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gri1\Documents\00_gri1\00_作業\Temp_Private\"/>
    </mc:Choice>
  </mc:AlternateContent>
  <xr:revisionPtr revIDLastSave="0" documentId="8_{4BA1FB6E-EDDA-4E34-A38B-EB66E3A502F6}" xr6:coauthVersionLast="45" xr6:coauthVersionMax="45" xr10:uidLastSave="{00000000-0000-0000-0000-000000000000}"/>
  <bookViews>
    <workbookView xWindow="-120" yWindow="-120" windowWidth="20730" windowHeight="11160" tabRatio="603" activeTab="1" xr2:uid="{00000000-000D-0000-FFFF-FFFF00000000}"/>
  </bookViews>
  <sheets>
    <sheet name="使い方" sheetId="130" r:id="rId1"/>
    <sheet name="2020" sheetId="122" r:id="rId2"/>
    <sheet name="日報" sheetId="102" r:id="rId3"/>
    <sheet name="例" sheetId="133" state="hidden" r:id="rId4"/>
    <sheet name="Master" sheetId="2" r:id="rId5"/>
    <sheet name="SOW" sheetId="132" r:id="rId6"/>
    <sheet name="SOW1" sheetId="128" r:id="rId7"/>
    <sheet name="SOW2" sheetId="129" r:id="rId8"/>
  </sheets>
  <functionGroups builtInGroupCount="19"/>
  <externalReferences>
    <externalReference r:id="rId9"/>
    <externalReference r:id="rId10"/>
    <externalReference r:id="rId11"/>
  </externalReferences>
  <definedNames>
    <definedName name="_xlnm._FilterDatabase" localSheetId="1" hidden="1">'2020'!$A$3:$AI$382</definedName>
    <definedName name="_xlnm._FilterDatabase" localSheetId="2" hidden="1">日報!$A$3:$U$3</definedName>
    <definedName name="_xlnm._FilterDatabase" localSheetId="3" hidden="1">例!$A$3:$P$88</definedName>
    <definedName name="a">OFFSET([1]リスト!$B$3,1,MATCH(!$E1,業務項目,0)-1,COUNTA(OFFSET([1]リスト!$B:$B,0,MATCH(!$E1,業務項目,0)-1))-1,1)</definedName>
    <definedName name="aaaaaaaa">OFFSET([1]リスト!$B$3,1,MATCH(!$E1,業務項目,0)-1,COUNTA(OFFSET([1]リスト!$B:$B,0,MATCH(!$E1,業務項目,0)-1))-1,1)</definedName>
    <definedName name="dd">OFFSET([1]リスト!$B$3,1,MATCH(!$E1,業務項目,0)-1,COUNTA(OFFSET([1]リスト!$B:$B,0,MATCH(!$E1,業務項目,0)-1))-1,1)</definedName>
    <definedName name="ddddddd">OFFSET([1]リスト!$B$3,0,0,1,COUNTA([1]リスト!$3:$3))</definedName>
    <definedName name="empNo">OFFSET(Master!$G$3,0,0,COUNTA(Master!$G:$G),1)</definedName>
    <definedName name="_xlnm.Print_Area" localSheetId="2">日報!$F$3:$O$3</definedName>
    <definedName name="_xlnm.Print_Area" localSheetId="3">例!$F$3:$O$3</definedName>
    <definedName name="REQ_ID">OFFSET(Master!$O$3,0,0,COUNTA(Master!$O:$O),1)</definedName>
    <definedName name="REQUEST">OFFSET(Master!$O$3,0,0,COUNTA(Master!$O:$O),3)</definedName>
    <definedName name="SOW">OFFSET(Master!$J$3,0,0,COUNTA(Master!$J:$J),3)</definedName>
    <definedName name="sss">OFFSET([1]リスト!$B$3,1,MATCH(!$E1,ddddddd,0)-1,COUNTA(OFFSET([1]リスト!$B:$B,0,MATCH(!$E1,ddddddd,0)-1))-1,1)</definedName>
    <definedName name="SYSTEM">OFFSET(SOW!$B$2,0,0,1,COUNTA(SOW!$2:$2))</definedName>
    <definedName name="SYSTEM業務">OFFSET('SOW1'!$B$2,0,0,1,COUNTA('SOW1'!$2:$2))</definedName>
    <definedName name="SYSTEM業務名">OFFSET('SOW2'!$B$2,0,0,1,COUNTA('SOW2'!$2:$2))</definedName>
    <definedName name="Z_0684C5C9_8E23_4B53_AA74_18AA5B149DB7_.wvu.Cols" localSheetId="1" hidden="1">'2020'!$C:$C</definedName>
    <definedName name="Z_0684C5C9_8E23_4B53_AA74_18AA5B149DB7_.wvu.PrintArea" localSheetId="1" hidden="1">'2020'!$A$1:$K$37</definedName>
    <definedName name="Z_0B67175A_B3F1_49F5_AA68_60E6D9AA41BC_.wvu.Cols" localSheetId="1" hidden="1">'2020'!$C:$C</definedName>
    <definedName name="Z_0B67175A_B3F1_49F5_AA68_60E6D9AA41BC_.wvu.PrintArea" localSheetId="1" hidden="1">'2020'!$A$1:$K$37</definedName>
    <definedName name="Z_AC979982_2FC0_40D3_9198_009B8901DBFE_.wvu.Cols" localSheetId="1" hidden="1">'2020'!$C:$C</definedName>
    <definedName name="Z_AC979982_2FC0_40D3_9198_009B8901DBFE_.wvu.PrintArea" localSheetId="1" hidden="1">'2020'!$A$1:$K$37</definedName>
    <definedName name="Z_E1821C0A_EBCD_4CD1_AEFE_55F5B4CCCE2F_.wvu.Cols" localSheetId="1" hidden="1">'2020'!$C:$C</definedName>
    <definedName name="Z_E1821C0A_EBCD_4CD1_AEFE_55F5B4CCCE2F_.wvu.PrintArea" localSheetId="1" hidden="1">'2020'!$A$1:$K$37</definedName>
    <definedName name="あ">OFFSET([1]リスト!$B$3,1,MATCH(!$E1,ええ,0)-1,COUNTA(OFFSET([1]リスト!$B:$B,0,MATCH(!$E1,ええ,0)-1))-1,1)</definedName>
    <definedName name="あｈｈｈｈｈｈｈｈ">OFFSET([1]リスト!$B$3,1,MATCH(!$E1,業務項目,0)-1,COUNTA(OFFSET([1]リスト!$B:$B,0,MATCH(!$E1,業務項目,0)-1))-1,1)</definedName>
    <definedName name="ええ">OFFSET([1]リスト!$B$3,0,0,1,COUNTA([1]リスト!$3:$3))</definedName>
    <definedName name="業務項目">OFFSET(SOW!$B$2,1,MATCH(!$C1,SYSTEM,0)-1,COUNTA(OFFSET(SOW!$B:$B,0,MATCH(!$C1,SYSTEM,0)-1))-1,1)</definedName>
    <definedName name="業務定義">OFFSET('SOW2'!$B$2,0,0,1,COUNTA('SOW2'!$2:$2))</definedName>
    <definedName name="業務内容" localSheetId="3">OFFSET('SOW1'!#REF!,1,MATCH(!$C1&amp;例!$D1,SYSTEM業務,0)-1,COUNTA(OFFSET('SOW1'!#REF!,0,MATCH(!$C1&amp;例!$D1,SYSTEM業務,0)-1))-1,1)</definedName>
    <definedName name="業務内容">OFFSET('SOW1'!$B$2,1,MATCH(!$C1&amp;日報!$D1,SYSTEM業務,0)-1,COUNTA(OFFSET('SOW1'!$B:$B,0,MATCH(!$C1&amp;日報!$D1,SYSTEM業務,0)-1))-1,1)</definedName>
    <definedName name="業務番号">OFFSET(Master!$K$3,0,0,COUNTA(Master!$K:$K),1)</definedName>
    <definedName name="業務名" localSheetId="3">OFFSET('SOW2'!#REF!,1,MATCH(!$C1&amp;例!$D1&amp;例!XFD1,SYSTEM業務名,0)-1,COUNTA(OFFSET('SOW2'!#REF!,0,MATCH(!$C1&amp;例!$D1&amp;例!$E1,SYSTEM業務名,0)-1))-1,1)</definedName>
    <definedName name="業務名">OFFSET('SOW2'!$B$2,1,MATCH(!$C1&amp;日報!$D1&amp;日報!XFD1,SYSTEM業務名,0)-1,COUNTA(OFFSET('SOW2'!$B:$B,0,MATCH(!$C1&amp;日報!$D1&amp;日報!$E1,SYSTEM業務名,0)-1))-1,1)</definedName>
    <definedName name="時間外開始">Master!$C$2</definedName>
    <definedName name="時間外終了">Master!$C$3</definedName>
    <definedName name="深夜開始">Master!$C$4</definedName>
    <definedName name="深夜終了">Master!$C$5</definedName>
    <definedName name="申請内容">OFFSET(Master!$E$3,0,0,COUNTA(Master!$E:$E,2))</definedName>
    <definedName name="体調">OFFSET(Master!$D$3,0,0,COUNTA(Master!$D:$E,2))</definedName>
    <definedName name="報告者">OFFSET(Master!$G$3,0,0,COUNTA(Master!$G:$G),2)</definedName>
  </definedNames>
  <calcPr calcId="191029"/>
  <customWorkbookViews>
    <customWorkbookView name="ayamada1 - 個人用ビュー" guid="{3E7FFAB8-447D-47A1-A768-79CD9C6A4372}" mergeInterval="0" personalView="1" maximized="1" windowWidth="1188" windowHeight="566" tabRatio="602" activeSheetId="8"/>
    <customWorkbookView name="hsumita1 - 個人用ビュー" guid="{AC979982-2FC0-40D3-9198-009B8901DBFE}" mergeInterval="0" personalView="1" maximized="1" windowWidth="1276" windowHeight="634" tabRatio="602" activeSheetId="6" showComments="commIndAndComment"/>
    <customWorkbookView name="Administrator - 個人用ビュー" guid="{E1821C0A-EBCD-4CD1-AEFE-55F5B4CCCE2F}" mergeInterval="0" personalView="1" maximized="1" windowWidth="1020" windowHeight="581" tabRatio="602" activeSheetId="7"/>
    <customWorkbookView name="akinpar1 - 個人用ビュー" guid="{0B67175A-B3F1-49F5-AA68-60E6D9AA41BC}" mergeInterval="0" personalView="1" maximized="1" windowWidth="1020" windowHeight="528" tabRatio="602" activeSheetId="8"/>
    <customWorkbookView name="tniiya1 - 個人用ビュー" guid="{0684C5C9-8E23-4B53-AA74-18AA5B149DB7}" mergeInterval="0" personalView="1" maximized="1" windowWidth="1276" windowHeight="612" tabRatio="602"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90" i="102" l="1"/>
  <c r="K90" i="102"/>
  <c r="I90" i="102"/>
  <c r="M89" i="102"/>
  <c r="K89" i="102"/>
  <c r="I89" i="102"/>
  <c r="M88" i="102"/>
  <c r="K88" i="102"/>
  <c r="I88" i="102"/>
  <c r="M87" i="102"/>
  <c r="K87" i="102"/>
  <c r="I87" i="102"/>
  <c r="M86" i="102"/>
  <c r="K86" i="102"/>
  <c r="I86" i="102"/>
  <c r="M85" i="102"/>
  <c r="K85" i="102"/>
  <c r="I85" i="102"/>
  <c r="O4" i="2" l="1"/>
  <c r="P4" i="2"/>
  <c r="O5" i="2"/>
  <c r="P5" i="2"/>
  <c r="O6" i="2"/>
  <c r="P6" i="2"/>
  <c r="O7" i="2"/>
  <c r="P7" i="2"/>
  <c r="O8" i="2"/>
  <c r="P8" i="2"/>
  <c r="O9" i="2"/>
  <c r="P9" i="2"/>
  <c r="O10" i="2"/>
  <c r="P10" i="2"/>
  <c r="O11" i="2"/>
  <c r="P11" i="2"/>
  <c r="O12" i="2"/>
  <c r="P12" i="2"/>
  <c r="O13" i="2"/>
  <c r="P13" i="2"/>
  <c r="O14" i="2"/>
  <c r="P14" i="2"/>
  <c r="O15" i="2"/>
  <c r="P15" i="2"/>
  <c r="O16" i="2"/>
  <c r="P16" i="2"/>
  <c r="O17" i="2"/>
  <c r="P17" i="2"/>
  <c r="O18" i="2"/>
  <c r="P18" i="2"/>
  <c r="O19" i="2"/>
  <c r="P19" i="2"/>
  <c r="O20" i="2"/>
  <c r="P20" i="2"/>
  <c r="O21" i="2"/>
  <c r="P21" i="2"/>
  <c r="O22" i="2"/>
  <c r="P22" i="2"/>
  <c r="O23" i="2"/>
  <c r="P23" i="2"/>
  <c r="O24" i="2"/>
  <c r="P24" i="2"/>
  <c r="O25" i="2"/>
  <c r="P25" i="2"/>
  <c r="O26" i="2"/>
  <c r="P26" i="2"/>
  <c r="O27" i="2"/>
  <c r="P27" i="2"/>
  <c r="O28" i="2"/>
  <c r="P28" i="2"/>
  <c r="O29" i="2"/>
  <c r="P29" i="2"/>
  <c r="O30" i="2"/>
  <c r="P30" i="2"/>
  <c r="O31" i="2"/>
  <c r="P31" i="2"/>
  <c r="O32" i="2"/>
  <c r="P32" i="2"/>
  <c r="O33" i="2"/>
  <c r="P33" i="2"/>
  <c r="O34" i="2"/>
  <c r="P34" i="2"/>
  <c r="O35" i="2"/>
  <c r="P35" i="2"/>
  <c r="O36" i="2"/>
  <c r="P36" i="2"/>
  <c r="O37" i="2"/>
  <c r="P37" i="2"/>
  <c r="O38" i="2"/>
  <c r="P38" i="2"/>
  <c r="O39" i="2"/>
  <c r="P39" i="2"/>
  <c r="O40" i="2"/>
  <c r="P40" i="2"/>
  <c r="O41" i="2"/>
  <c r="P41" i="2"/>
  <c r="O42" i="2"/>
  <c r="P42" i="2"/>
  <c r="O43" i="2"/>
  <c r="P43" i="2"/>
  <c r="O44" i="2"/>
  <c r="P44" i="2"/>
  <c r="O45" i="2"/>
  <c r="P45" i="2"/>
  <c r="O46" i="2"/>
  <c r="P46" i="2"/>
  <c r="O47" i="2"/>
  <c r="P47" i="2"/>
  <c r="O48" i="2"/>
  <c r="P48" i="2"/>
  <c r="O49" i="2"/>
  <c r="P49" i="2"/>
  <c r="O50" i="2"/>
  <c r="P50" i="2"/>
  <c r="O51" i="2"/>
  <c r="P51" i="2"/>
  <c r="O52" i="2"/>
  <c r="P52" i="2"/>
  <c r="O53" i="2"/>
  <c r="P53" i="2"/>
  <c r="O54" i="2"/>
  <c r="P54" i="2"/>
  <c r="O55" i="2"/>
  <c r="P55" i="2"/>
  <c r="O56" i="2"/>
  <c r="P56" i="2"/>
  <c r="O57" i="2"/>
  <c r="P57" i="2"/>
  <c r="O58" i="2"/>
  <c r="P58" i="2"/>
  <c r="O59" i="2"/>
  <c r="P59" i="2"/>
  <c r="O60" i="2"/>
  <c r="P60" i="2"/>
  <c r="O61" i="2"/>
  <c r="P61" i="2"/>
  <c r="O62" i="2"/>
  <c r="P62" i="2"/>
  <c r="O63" i="2"/>
  <c r="P63" i="2"/>
  <c r="O64" i="2"/>
  <c r="P64" i="2"/>
  <c r="O65" i="2"/>
  <c r="P65" i="2"/>
  <c r="O66" i="2"/>
  <c r="P66" i="2"/>
  <c r="O67" i="2"/>
  <c r="P67" i="2"/>
  <c r="O68" i="2"/>
  <c r="P68" i="2"/>
  <c r="O69" i="2"/>
  <c r="P69" i="2"/>
  <c r="O70" i="2"/>
  <c r="P70" i="2"/>
  <c r="O71" i="2"/>
  <c r="P71" i="2"/>
  <c r="O72" i="2"/>
  <c r="P72" i="2"/>
  <c r="O73" i="2"/>
  <c r="P73" i="2"/>
  <c r="O74" i="2"/>
  <c r="P74" i="2"/>
  <c r="O75" i="2"/>
  <c r="P75" i="2"/>
  <c r="O76" i="2"/>
  <c r="P76" i="2"/>
  <c r="O77" i="2"/>
  <c r="P77" i="2"/>
  <c r="O78" i="2"/>
  <c r="P78" i="2"/>
  <c r="O79" i="2"/>
  <c r="P79" i="2"/>
  <c r="O80" i="2"/>
  <c r="P80" i="2"/>
  <c r="O81" i="2"/>
  <c r="P81" i="2"/>
  <c r="O82" i="2"/>
  <c r="P82" i="2"/>
  <c r="O83" i="2"/>
  <c r="P83" i="2"/>
  <c r="O84" i="2"/>
  <c r="P84" i="2"/>
  <c r="O85" i="2"/>
  <c r="P85" i="2"/>
  <c r="O86" i="2"/>
  <c r="P86" i="2"/>
  <c r="O87" i="2"/>
  <c r="P87" i="2"/>
  <c r="O88" i="2"/>
  <c r="P88" i="2"/>
  <c r="O89" i="2"/>
  <c r="P89" i="2"/>
  <c r="O90" i="2"/>
  <c r="P90" i="2"/>
  <c r="O91" i="2"/>
  <c r="P91" i="2"/>
  <c r="O92" i="2"/>
  <c r="P92" i="2"/>
  <c r="O93" i="2"/>
  <c r="P93" i="2"/>
  <c r="O94" i="2"/>
  <c r="P94" i="2"/>
  <c r="O95" i="2"/>
  <c r="P95" i="2"/>
  <c r="O96" i="2"/>
  <c r="P96" i="2"/>
  <c r="O97" i="2"/>
  <c r="P97" i="2"/>
  <c r="O98" i="2"/>
  <c r="P98" i="2"/>
  <c r="O99" i="2"/>
  <c r="P99" i="2"/>
  <c r="O100" i="2"/>
  <c r="P100" i="2"/>
  <c r="O101" i="2"/>
  <c r="P101" i="2"/>
  <c r="O102" i="2"/>
  <c r="P102" i="2"/>
  <c r="O103" i="2"/>
  <c r="P103" i="2"/>
  <c r="O104" i="2"/>
  <c r="P104" i="2"/>
  <c r="O105" i="2"/>
  <c r="P105" i="2"/>
  <c r="O106" i="2"/>
  <c r="P106" i="2"/>
  <c r="O107" i="2"/>
  <c r="P107" i="2"/>
  <c r="O108" i="2"/>
  <c r="P108" i="2"/>
  <c r="O109" i="2"/>
  <c r="P109" i="2"/>
  <c r="O110" i="2"/>
  <c r="P110" i="2"/>
  <c r="O111" i="2"/>
  <c r="P111" i="2"/>
  <c r="O112" i="2"/>
  <c r="P112" i="2"/>
  <c r="O113" i="2"/>
  <c r="P113" i="2"/>
  <c r="O114" i="2"/>
  <c r="P114" i="2"/>
  <c r="O115" i="2"/>
  <c r="P115" i="2"/>
  <c r="O116" i="2"/>
  <c r="P116" i="2"/>
  <c r="O117" i="2"/>
  <c r="P117" i="2"/>
  <c r="O118" i="2"/>
  <c r="P118" i="2"/>
  <c r="O119" i="2"/>
  <c r="P119" i="2"/>
  <c r="O120" i="2"/>
  <c r="P120" i="2"/>
  <c r="O121" i="2"/>
  <c r="P121" i="2"/>
  <c r="O122" i="2"/>
  <c r="P122" i="2"/>
  <c r="O123" i="2"/>
  <c r="P123" i="2"/>
  <c r="O124" i="2"/>
  <c r="P124" i="2"/>
  <c r="O125" i="2"/>
  <c r="P125" i="2"/>
  <c r="O126" i="2"/>
  <c r="P126" i="2"/>
  <c r="O127" i="2"/>
  <c r="P127" i="2"/>
  <c r="O128" i="2"/>
  <c r="P128" i="2"/>
  <c r="O129" i="2"/>
  <c r="P129" i="2"/>
  <c r="O130" i="2"/>
  <c r="P130" i="2"/>
  <c r="O131" i="2"/>
  <c r="P131" i="2"/>
  <c r="O132" i="2"/>
  <c r="P132" i="2"/>
  <c r="O133" i="2"/>
  <c r="P133" i="2"/>
  <c r="O134" i="2"/>
  <c r="P134" i="2"/>
  <c r="O135" i="2"/>
  <c r="P135" i="2"/>
  <c r="O136" i="2"/>
  <c r="P136" i="2"/>
  <c r="O137" i="2"/>
  <c r="P137" i="2"/>
  <c r="O138" i="2"/>
  <c r="P138" i="2"/>
  <c r="O139" i="2"/>
  <c r="P139" i="2"/>
  <c r="O140" i="2"/>
  <c r="P140" i="2"/>
  <c r="O141" i="2"/>
  <c r="P141" i="2"/>
  <c r="O142" i="2"/>
  <c r="P142" i="2"/>
  <c r="O143" i="2"/>
  <c r="P143" i="2"/>
  <c r="O144" i="2"/>
  <c r="P144" i="2"/>
  <c r="O145" i="2"/>
  <c r="P145" i="2"/>
  <c r="O146" i="2"/>
  <c r="P146" i="2"/>
  <c r="O147" i="2"/>
  <c r="P147" i="2"/>
  <c r="O148" i="2"/>
  <c r="P148" i="2"/>
  <c r="O149" i="2"/>
  <c r="P149" i="2"/>
  <c r="O150" i="2"/>
  <c r="P150" i="2"/>
  <c r="O151" i="2"/>
  <c r="P151" i="2"/>
  <c r="O152" i="2"/>
  <c r="P152" i="2"/>
  <c r="O153" i="2"/>
  <c r="P153" i="2"/>
  <c r="O154" i="2"/>
  <c r="P154" i="2"/>
  <c r="O155" i="2"/>
  <c r="P155" i="2"/>
  <c r="O156" i="2"/>
  <c r="P156" i="2"/>
  <c r="O157" i="2"/>
  <c r="P157" i="2"/>
  <c r="O158" i="2"/>
  <c r="P158" i="2"/>
  <c r="O159" i="2"/>
  <c r="P159" i="2"/>
  <c r="O160" i="2"/>
  <c r="P160" i="2"/>
  <c r="O161" i="2"/>
  <c r="P161" i="2"/>
  <c r="O162" i="2"/>
  <c r="P162" i="2"/>
  <c r="O163" i="2"/>
  <c r="P163" i="2"/>
  <c r="O164" i="2"/>
  <c r="P164" i="2"/>
  <c r="O165" i="2"/>
  <c r="P165" i="2"/>
  <c r="O166" i="2"/>
  <c r="P166" i="2"/>
  <c r="O167" i="2"/>
  <c r="P167" i="2"/>
  <c r="O168" i="2"/>
  <c r="P168" i="2"/>
  <c r="O169" i="2"/>
  <c r="P169" i="2"/>
  <c r="O170" i="2"/>
  <c r="P170" i="2"/>
  <c r="O171" i="2"/>
  <c r="P171" i="2"/>
  <c r="O172" i="2"/>
  <c r="P172" i="2"/>
  <c r="O173" i="2"/>
  <c r="P173" i="2"/>
  <c r="O174" i="2"/>
  <c r="P174" i="2"/>
  <c r="O175" i="2"/>
  <c r="P175" i="2"/>
  <c r="O176" i="2"/>
  <c r="P176" i="2"/>
  <c r="O177" i="2"/>
  <c r="P177" i="2"/>
  <c r="O178" i="2"/>
  <c r="P178" i="2"/>
  <c r="O179" i="2"/>
  <c r="P179" i="2"/>
  <c r="O180" i="2"/>
  <c r="P180" i="2"/>
  <c r="O181" i="2"/>
  <c r="P181" i="2"/>
  <c r="O182" i="2"/>
  <c r="P182" i="2"/>
  <c r="O183" i="2"/>
  <c r="P183" i="2"/>
  <c r="O184" i="2"/>
  <c r="P184" i="2"/>
  <c r="O185" i="2"/>
  <c r="P185" i="2"/>
  <c r="O186" i="2"/>
  <c r="P186" i="2"/>
  <c r="O187" i="2"/>
  <c r="P187" i="2"/>
  <c r="O188" i="2"/>
  <c r="P188" i="2"/>
  <c r="O189" i="2"/>
  <c r="P189" i="2"/>
  <c r="O190" i="2"/>
  <c r="P190" i="2"/>
  <c r="O191" i="2"/>
  <c r="P191" i="2"/>
  <c r="O192" i="2"/>
  <c r="P192" i="2"/>
  <c r="O193" i="2"/>
  <c r="P193" i="2"/>
  <c r="O194" i="2"/>
  <c r="P194" i="2"/>
  <c r="O195" i="2"/>
  <c r="P195" i="2"/>
  <c r="O196" i="2"/>
  <c r="P196" i="2"/>
  <c r="O197" i="2"/>
  <c r="P197" i="2"/>
  <c r="O198" i="2"/>
  <c r="P198" i="2"/>
  <c r="O199" i="2"/>
  <c r="P199" i="2"/>
  <c r="O200" i="2"/>
  <c r="P200" i="2"/>
  <c r="O201" i="2"/>
  <c r="P201" i="2"/>
  <c r="O202" i="2"/>
  <c r="P202" i="2"/>
  <c r="O203" i="2"/>
  <c r="P203" i="2"/>
  <c r="O204" i="2"/>
  <c r="P204" i="2"/>
  <c r="O205" i="2"/>
  <c r="P205" i="2"/>
  <c r="O206" i="2"/>
  <c r="P206" i="2"/>
  <c r="O207" i="2"/>
  <c r="P207" i="2"/>
  <c r="O208" i="2"/>
  <c r="P208" i="2"/>
  <c r="O209" i="2"/>
  <c r="P209" i="2"/>
  <c r="O210" i="2"/>
  <c r="P210" i="2"/>
  <c r="O211" i="2"/>
  <c r="P211" i="2"/>
  <c r="O212" i="2"/>
  <c r="P212" i="2"/>
  <c r="O213" i="2"/>
  <c r="P213" i="2"/>
  <c r="O214" i="2"/>
  <c r="P214" i="2"/>
  <c r="O215" i="2"/>
  <c r="P215" i="2"/>
  <c r="O216" i="2"/>
  <c r="P216" i="2"/>
  <c r="O217" i="2"/>
  <c r="P217" i="2"/>
  <c r="O218" i="2"/>
  <c r="P218" i="2"/>
  <c r="O219" i="2"/>
  <c r="P219" i="2"/>
  <c r="O220" i="2"/>
  <c r="P220" i="2"/>
  <c r="O221" i="2"/>
  <c r="P221" i="2"/>
  <c r="O222" i="2"/>
  <c r="P222" i="2"/>
  <c r="O223" i="2"/>
  <c r="P223" i="2"/>
  <c r="O224" i="2"/>
  <c r="P224" i="2"/>
  <c r="O225" i="2"/>
  <c r="P225" i="2"/>
  <c r="O226" i="2"/>
  <c r="P226" i="2"/>
  <c r="O227" i="2"/>
  <c r="P227" i="2"/>
  <c r="O228" i="2"/>
  <c r="P228" i="2"/>
  <c r="O229" i="2"/>
  <c r="P229" i="2"/>
  <c r="O230" i="2"/>
  <c r="P230" i="2"/>
  <c r="O231" i="2"/>
  <c r="P231" i="2"/>
  <c r="O232" i="2"/>
  <c r="P232" i="2"/>
  <c r="O233" i="2"/>
  <c r="P233" i="2"/>
  <c r="O234" i="2"/>
  <c r="P234" i="2"/>
  <c r="O235" i="2"/>
  <c r="P235" i="2"/>
  <c r="O236" i="2"/>
  <c r="P236" i="2"/>
  <c r="O237" i="2"/>
  <c r="P237" i="2"/>
  <c r="O238" i="2"/>
  <c r="P238" i="2"/>
  <c r="O239" i="2"/>
  <c r="P239" i="2"/>
  <c r="O240" i="2"/>
  <c r="P240" i="2"/>
  <c r="O241" i="2"/>
  <c r="P241" i="2"/>
  <c r="O242" i="2"/>
  <c r="P242" i="2"/>
  <c r="O243" i="2"/>
  <c r="P243" i="2"/>
  <c r="O244" i="2"/>
  <c r="P244" i="2"/>
  <c r="O245" i="2"/>
  <c r="P245" i="2"/>
  <c r="O246" i="2"/>
  <c r="P246" i="2"/>
  <c r="O247" i="2"/>
  <c r="P247" i="2"/>
  <c r="O248" i="2"/>
  <c r="P248" i="2"/>
  <c r="O249" i="2"/>
  <c r="P249" i="2"/>
  <c r="O250" i="2"/>
  <c r="P250" i="2"/>
  <c r="O251" i="2"/>
  <c r="P251" i="2"/>
  <c r="O252" i="2"/>
  <c r="P252" i="2"/>
  <c r="O253" i="2"/>
  <c r="P253" i="2"/>
  <c r="O254" i="2"/>
  <c r="P254" i="2"/>
  <c r="O255" i="2"/>
  <c r="P255" i="2"/>
  <c r="O256" i="2"/>
  <c r="P256" i="2"/>
  <c r="O257" i="2"/>
  <c r="P257" i="2"/>
  <c r="O258" i="2"/>
  <c r="P258" i="2"/>
  <c r="O259" i="2"/>
  <c r="P259" i="2"/>
  <c r="O260" i="2"/>
  <c r="P260" i="2"/>
  <c r="O261" i="2"/>
  <c r="P261" i="2"/>
  <c r="O262" i="2"/>
  <c r="P262" i="2"/>
  <c r="O263" i="2"/>
  <c r="P263" i="2"/>
  <c r="O264" i="2"/>
  <c r="P264" i="2"/>
  <c r="O265" i="2"/>
  <c r="P265" i="2"/>
  <c r="O266" i="2"/>
  <c r="P266" i="2"/>
  <c r="O267" i="2"/>
  <c r="P267" i="2"/>
  <c r="O268" i="2"/>
  <c r="P268" i="2"/>
  <c r="O269" i="2"/>
  <c r="P269" i="2"/>
  <c r="O270" i="2"/>
  <c r="P270" i="2"/>
  <c r="O271" i="2"/>
  <c r="P271" i="2"/>
  <c r="O272" i="2"/>
  <c r="P272" i="2"/>
  <c r="O273" i="2"/>
  <c r="P273" i="2"/>
  <c r="O274" i="2"/>
  <c r="P274" i="2"/>
  <c r="O275" i="2"/>
  <c r="P275" i="2"/>
  <c r="O276" i="2"/>
  <c r="P276" i="2"/>
  <c r="O277" i="2"/>
  <c r="P277" i="2"/>
  <c r="O278" i="2"/>
  <c r="P278" i="2"/>
  <c r="O279" i="2"/>
  <c r="P279" i="2"/>
  <c r="O280" i="2"/>
  <c r="P280" i="2"/>
  <c r="O281" i="2"/>
  <c r="P281" i="2"/>
  <c r="O282" i="2"/>
  <c r="P282" i="2"/>
  <c r="O283" i="2"/>
  <c r="P283" i="2"/>
  <c r="O284" i="2"/>
  <c r="P284" i="2"/>
  <c r="O285" i="2"/>
  <c r="P285" i="2"/>
  <c r="O286" i="2"/>
  <c r="P286" i="2"/>
  <c r="O287" i="2"/>
  <c r="P287" i="2"/>
  <c r="O288" i="2"/>
  <c r="P288" i="2"/>
  <c r="O289" i="2"/>
  <c r="P289" i="2"/>
  <c r="O290" i="2"/>
  <c r="P290" i="2"/>
  <c r="O291" i="2"/>
  <c r="P291" i="2"/>
  <c r="O292" i="2"/>
  <c r="P292" i="2"/>
  <c r="O293" i="2"/>
  <c r="P293" i="2"/>
  <c r="O294" i="2"/>
  <c r="P294" i="2"/>
  <c r="O295" i="2"/>
  <c r="P295" i="2"/>
  <c r="O296" i="2"/>
  <c r="P296" i="2"/>
  <c r="O297" i="2"/>
  <c r="P297" i="2"/>
  <c r="O298" i="2"/>
  <c r="P298" i="2"/>
  <c r="O299" i="2"/>
  <c r="P299" i="2"/>
  <c r="O300" i="2"/>
  <c r="P300" i="2"/>
  <c r="O301" i="2"/>
  <c r="P301" i="2"/>
  <c r="O302" i="2"/>
  <c r="P302" i="2"/>
  <c r="O303" i="2"/>
  <c r="P303" i="2"/>
  <c r="O304" i="2"/>
  <c r="P304" i="2"/>
  <c r="O305" i="2"/>
  <c r="P305" i="2"/>
  <c r="O306" i="2"/>
  <c r="P306" i="2"/>
  <c r="O307" i="2"/>
  <c r="P307" i="2"/>
  <c r="O308" i="2"/>
  <c r="P308" i="2"/>
  <c r="O309" i="2"/>
  <c r="P309" i="2"/>
  <c r="O310" i="2"/>
  <c r="P310" i="2"/>
  <c r="O311" i="2"/>
  <c r="P311" i="2"/>
  <c r="O312" i="2"/>
  <c r="P312" i="2"/>
  <c r="O313" i="2"/>
  <c r="P313" i="2"/>
  <c r="O314" i="2"/>
  <c r="P314" i="2"/>
  <c r="O315" i="2"/>
  <c r="P315" i="2"/>
  <c r="O316" i="2"/>
  <c r="P316" i="2"/>
  <c r="O317" i="2"/>
  <c r="P317" i="2"/>
  <c r="O318" i="2"/>
  <c r="P318" i="2"/>
  <c r="O319" i="2"/>
  <c r="P319" i="2"/>
  <c r="O320" i="2"/>
  <c r="P320" i="2"/>
  <c r="O321" i="2"/>
  <c r="P321" i="2"/>
  <c r="O322" i="2"/>
  <c r="P322" i="2"/>
  <c r="O323" i="2"/>
  <c r="P323" i="2"/>
  <c r="O324" i="2"/>
  <c r="P324" i="2"/>
  <c r="O325" i="2"/>
  <c r="P325" i="2"/>
  <c r="O326" i="2"/>
  <c r="P326" i="2"/>
  <c r="O327" i="2"/>
  <c r="P327" i="2"/>
  <c r="O328" i="2"/>
  <c r="P328" i="2"/>
  <c r="O329" i="2"/>
  <c r="P329" i="2"/>
  <c r="O330" i="2"/>
  <c r="P330" i="2"/>
  <c r="O331" i="2"/>
  <c r="P331" i="2"/>
  <c r="O332" i="2"/>
  <c r="P332" i="2"/>
  <c r="O333" i="2"/>
  <c r="P333" i="2"/>
  <c r="O334" i="2"/>
  <c r="P334" i="2"/>
  <c r="O335" i="2"/>
  <c r="P335" i="2"/>
  <c r="O336" i="2"/>
  <c r="P336" i="2"/>
  <c r="O337" i="2"/>
  <c r="P337" i="2"/>
  <c r="O338" i="2"/>
  <c r="P338" i="2"/>
  <c r="O339" i="2"/>
  <c r="P339" i="2"/>
  <c r="O340" i="2"/>
  <c r="P340" i="2"/>
  <c r="O341" i="2"/>
  <c r="P341" i="2"/>
  <c r="O342" i="2"/>
  <c r="P342" i="2"/>
  <c r="O343" i="2"/>
  <c r="P343" i="2"/>
  <c r="O344" i="2"/>
  <c r="P344" i="2"/>
  <c r="O345" i="2"/>
  <c r="P345" i="2"/>
  <c r="O346" i="2"/>
  <c r="P346" i="2"/>
  <c r="O347" i="2"/>
  <c r="P347" i="2"/>
  <c r="O348" i="2"/>
  <c r="P348" i="2"/>
  <c r="O349" i="2"/>
  <c r="P349" i="2"/>
  <c r="O350" i="2"/>
  <c r="P350" i="2"/>
  <c r="O351" i="2"/>
  <c r="P351" i="2"/>
  <c r="O352" i="2"/>
  <c r="P352" i="2"/>
  <c r="O353" i="2"/>
  <c r="P353" i="2"/>
  <c r="O354" i="2"/>
  <c r="P354" i="2"/>
  <c r="O355" i="2"/>
  <c r="P355" i="2"/>
  <c r="O356" i="2"/>
  <c r="P356" i="2"/>
  <c r="O357" i="2"/>
  <c r="P357" i="2"/>
  <c r="O358" i="2"/>
  <c r="P358" i="2"/>
  <c r="O359" i="2"/>
  <c r="P359" i="2"/>
  <c r="O360" i="2"/>
  <c r="P360" i="2"/>
  <c r="O361" i="2"/>
  <c r="P361" i="2"/>
  <c r="O362" i="2"/>
  <c r="P362" i="2"/>
  <c r="O363" i="2"/>
  <c r="P363" i="2"/>
  <c r="O364" i="2"/>
  <c r="P364" i="2"/>
  <c r="O365" i="2"/>
  <c r="P365" i="2"/>
  <c r="O366" i="2"/>
  <c r="P366" i="2"/>
  <c r="O367" i="2"/>
  <c r="P367" i="2"/>
  <c r="O368" i="2"/>
  <c r="P368" i="2"/>
  <c r="O369" i="2"/>
  <c r="P369" i="2"/>
  <c r="O370" i="2"/>
  <c r="P370" i="2"/>
  <c r="O371" i="2"/>
  <c r="P371" i="2"/>
  <c r="O372" i="2"/>
  <c r="P372" i="2"/>
  <c r="O373" i="2"/>
  <c r="P373" i="2"/>
  <c r="O374" i="2"/>
  <c r="P374" i="2"/>
  <c r="O375" i="2"/>
  <c r="P375" i="2"/>
  <c r="O376" i="2"/>
  <c r="P376" i="2"/>
  <c r="O377" i="2"/>
  <c r="P377" i="2"/>
  <c r="O378" i="2"/>
  <c r="P378" i="2"/>
  <c r="O379" i="2"/>
  <c r="P379" i="2"/>
  <c r="O380" i="2"/>
  <c r="P380" i="2"/>
  <c r="O381" i="2"/>
  <c r="P381" i="2"/>
  <c r="O382" i="2"/>
  <c r="P382" i="2"/>
  <c r="O383" i="2"/>
  <c r="P383" i="2"/>
  <c r="O384" i="2"/>
  <c r="P384" i="2"/>
  <c r="O385" i="2"/>
  <c r="P385" i="2"/>
  <c r="O386" i="2"/>
  <c r="P386" i="2"/>
  <c r="O387" i="2"/>
  <c r="P387" i="2"/>
  <c r="O388" i="2"/>
  <c r="P388" i="2"/>
  <c r="O389" i="2"/>
  <c r="P389" i="2"/>
  <c r="O390" i="2"/>
  <c r="P390" i="2"/>
  <c r="O391" i="2"/>
  <c r="P391" i="2"/>
  <c r="O392" i="2"/>
  <c r="P392" i="2"/>
  <c r="O393" i="2"/>
  <c r="P393" i="2"/>
  <c r="O394" i="2"/>
  <c r="P394" i="2"/>
  <c r="O395" i="2"/>
  <c r="P395" i="2"/>
  <c r="O396" i="2"/>
  <c r="P396" i="2"/>
  <c r="O397" i="2"/>
  <c r="P397" i="2"/>
  <c r="O398" i="2"/>
  <c r="P398" i="2"/>
  <c r="O399" i="2"/>
  <c r="P399" i="2"/>
  <c r="O400" i="2"/>
  <c r="P400" i="2"/>
  <c r="O401" i="2"/>
  <c r="P401" i="2"/>
  <c r="O402" i="2"/>
  <c r="P402" i="2"/>
  <c r="O403" i="2"/>
  <c r="P403" i="2"/>
  <c r="O404" i="2"/>
  <c r="P404" i="2"/>
  <c r="O405" i="2"/>
  <c r="P405" i="2"/>
  <c r="O406" i="2"/>
  <c r="P406" i="2"/>
  <c r="O407" i="2"/>
  <c r="P407" i="2"/>
  <c r="O408" i="2"/>
  <c r="P408" i="2"/>
  <c r="O409" i="2"/>
  <c r="P409" i="2"/>
  <c r="O410" i="2"/>
  <c r="P410" i="2"/>
  <c r="O411" i="2"/>
  <c r="P411" i="2"/>
  <c r="O412" i="2"/>
  <c r="P412" i="2"/>
  <c r="O413" i="2"/>
  <c r="P413" i="2"/>
  <c r="O414" i="2"/>
  <c r="P414" i="2"/>
  <c r="O415" i="2"/>
  <c r="P415" i="2"/>
  <c r="O416" i="2"/>
  <c r="P416" i="2"/>
  <c r="O417" i="2"/>
  <c r="P417" i="2"/>
  <c r="O418" i="2"/>
  <c r="P418" i="2"/>
  <c r="O419" i="2"/>
  <c r="P419" i="2"/>
  <c r="O420" i="2"/>
  <c r="P420" i="2"/>
  <c r="O421" i="2"/>
  <c r="P421" i="2"/>
  <c r="O422" i="2"/>
  <c r="P422" i="2"/>
  <c r="O423" i="2"/>
  <c r="P423" i="2"/>
  <c r="O424" i="2"/>
  <c r="P424" i="2"/>
  <c r="O425" i="2"/>
  <c r="P425" i="2"/>
  <c r="O426" i="2"/>
  <c r="P426" i="2"/>
  <c r="O427" i="2"/>
  <c r="P427" i="2"/>
  <c r="O428" i="2"/>
  <c r="P428" i="2"/>
  <c r="O429" i="2"/>
  <c r="P429" i="2"/>
  <c r="O430" i="2"/>
  <c r="P430" i="2"/>
  <c r="O431" i="2"/>
  <c r="P431" i="2"/>
  <c r="O432" i="2"/>
  <c r="P432" i="2"/>
  <c r="O433" i="2"/>
  <c r="P433" i="2"/>
  <c r="O434" i="2"/>
  <c r="P434" i="2"/>
  <c r="O435" i="2"/>
  <c r="P435" i="2"/>
  <c r="O436" i="2"/>
  <c r="P436" i="2"/>
  <c r="O437" i="2"/>
  <c r="P437" i="2"/>
  <c r="O438" i="2"/>
  <c r="P438" i="2"/>
  <c r="O439" i="2"/>
  <c r="P439" i="2"/>
  <c r="O440" i="2"/>
  <c r="P440" i="2"/>
  <c r="O441" i="2"/>
  <c r="P441" i="2"/>
  <c r="O442" i="2"/>
  <c r="P442" i="2"/>
  <c r="O443" i="2"/>
  <c r="P443" i="2"/>
  <c r="O444" i="2"/>
  <c r="P444" i="2"/>
  <c r="O445" i="2"/>
  <c r="P445" i="2"/>
  <c r="O446" i="2"/>
  <c r="P446" i="2"/>
  <c r="O447" i="2"/>
  <c r="P447" i="2"/>
  <c r="O448" i="2"/>
  <c r="P448" i="2"/>
  <c r="O449" i="2"/>
  <c r="P449" i="2"/>
  <c r="O450" i="2"/>
  <c r="P450" i="2"/>
  <c r="O451" i="2"/>
  <c r="P451" i="2"/>
  <c r="O452" i="2"/>
  <c r="P452" i="2"/>
  <c r="O453" i="2"/>
  <c r="P453" i="2"/>
  <c r="O454" i="2"/>
  <c r="P454" i="2"/>
  <c r="O455" i="2"/>
  <c r="P455" i="2"/>
  <c r="O456" i="2"/>
  <c r="P456" i="2"/>
  <c r="O457" i="2"/>
  <c r="P457" i="2"/>
  <c r="O458" i="2"/>
  <c r="P458" i="2"/>
  <c r="O459" i="2"/>
  <c r="P459" i="2"/>
  <c r="O460" i="2"/>
  <c r="P460" i="2"/>
  <c r="O461" i="2"/>
  <c r="P461" i="2"/>
  <c r="O462" i="2"/>
  <c r="P462" i="2"/>
  <c r="O463" i="2"/>
  <c r="P463" i="2"/>
  <c r="O464" i="2"/>
  <c r="P464" i="2"/>
  <c r="O465" i="2"/>
  <c r="P465" i="2"/>
  <c r="O466" i="2"/>
  <c r="P466" i="2"/>
  <c r="O467" i="2"/>
  <c r="P467" i="2"/>
  <c r="O468" i="2"/>
  <c r="P468" i="2"/>
  <c r="O469" i="2"/>
  <c r="P469" i="2"/>
  <c r="O470" i="2"/>
  <c r="P470" i="2"/>
  <c r="O471" i="2"/>
  <c r="P471" i="2"/>
  <c r="O472" i="2"/>
  <c r="P472" i="2"/>
  <c r="O473" i="2"/>
  <c r="P473" i="2"/>
  <c r="O474" i="2"/>
  <c r="P474" i="2"/>
  <c r="O475" i="2"/>
  <c r="P475" i="2"/>
  <c r="O476" i="2"/>
  <c r="P476" i="2"/>
  <c r="O477" i="2"/>
  <c r="P477" i="2"/>
  <c r="O478" i="2"/>
  <c r="P478" i="2"/>
  <c r="O479" i="2"/>
  <c r="P479" i="2"/>
  <c r="O480" i="2"/>
  <c r="P480" i="2"/>
  <c r="O481" i="2"/>
  <c r="P481" i="2"/>
  <c r="O482" i="2"/>
  <c r="P482" i="2"/>
  <c r="O483" i="2"/>
  <c r="P483" i="2"/>
  <c r="O484" i="2"/>
  <c r="P484" i="2"/>
  <c r="O485" i="2"/>
  <c r="P485" i="2"/>
  <c r="O486" i="2"/>
  <c r="P486" i="2"/>
  <c r="O487" i="2"/>
  <c r="P487" i="2"/>
  <c r="O488" i="2"/>
  <c r="P488" i="2"/>
  <c r="O489" i="2"/>
  <c r="P489" i="2"/>
  <c r="O490" i="2"/>
  <c r="P490" i="2"/>
  <c r="O491" i="2"/>
  <c r="P491" i="2"/>
  <c r="O492" i="2"/>
  <c r="P492" i="2"/>
  <c r="O493" i="2"/>
  <c r="P493" i="2"/>
  <c r="O494" i="2"/>
  <c r="P494" i="2"/>
  <c r="O495" i="2"/>
  <c r="P495" i="2"/>
  <c r="O496" i="2"/>
  <c r="P496" i="2"/>
  <c r="O497" i="2"/>
  <c r="P497" i="2"/>
  <c r="O498" i="2"/>
  <c r="P498" i="2"/>
  <c r="O499" i="2"/>
  <c r="P499" i="2"/>
  <c r="O500" i="2"/>
  <c r="P500" i="2"/>
  <c r="O501" i="2"/>
  <c r="P501" i="2"/>
  <c r="O502" i="2"/>
  <c r="P502" i="2"/>
  <c r="O503" i="2"/>
  <c r="P503" i="2"/>
  <c r="O504" i="2"/>
  <c r="P504" i="2"/>
  <c r="O505" i="2"/>
  <c r="P505" i="2"/>
  <c r="O506" i="2"/>
  <c r="P506" i="2"/>
  <c r="O507" i="2"/>
  <c r="P507" i="2"/>
  <c r="O508" i="2"/>
  <c r="P508" i="2"/>
  <c r="O509" i="2"/>
  <c r="P509" i="2"/>
  <c r="O510" i="2"/>
  <c r="P510" i="2"/>
  <c r="O511" i="2"/>
  <c r="P511" i="2"/>
  <c r="O512" i="2"/>
  <c r="P512" i="2"/>
  <c r="O513" i="2"/>
  <c r="P513" i="2"/>
  <c r="O514" i="2"/>
  <c r="P514" i="2"/>
  <c r="O515" i="2"/>
  <c r="P515" i="2"/>
  <c r="O516" i="2"/>
  <c r="P516" i="2"/>
  <c r="O517" i="2"/>
  <c r="P517" i="2"/>
  <c r="O518" i="2"/>
  <c r="P518" i="2"/>
  <c r="O519" i="2"/>
  <c r="P519" i="2"/>
  <c r="O520" i="2"/>
  <c r="P520" i="2"/>
  <c r="O521" i="2"/>
  <c r="P521" i="2"/>
  <c r="O522" i="2"/>
  <c r="P522" i="2"/>
  <c r="O523" i="2"/>
  <c r="P523" i="2"/>
  <c r="O524" i="2"/>
  <c r="P524" i="2"/>
  <c r="O525" i="2"/>
  <c r="P525" i="2"/>
  <c r="O526" i="2"/>
  <c r="P526" i="2"/>
  <c r="O527" i="2"/>
  <c r="P527" i="2"/>
  <c r="O528" i="2"/>
  <c r="P528" i="2"/>
  <c r="O529" i="2"/>
  <c r="P529" i="2"/>
  <c r="O530" i="2"/>
  <c r="P530" i="2"/>
  <c r="O531" i="2"/>
  <c r="P531" i="2"/>
  <c r="O532" i="2"/>
  <c r="P532" i="2"/>
  <c r="O533" i="2"/>
  <c r="P533" i="2"/>
  <c r="O534" i="2"/>
  <c r="P534" i="2"/>
  <c r="O535" i="2"/>
  <c r="P535" i="2"/>
  <c r="O536" i="2"/>
  <c r="P536" i="2"/>
  <c r="O537" i="2"/>
  <c r="P537" i="2"/>
  <c r="O538" i="2"/>
  <c r="P538" i="2"/>
  <c r="O539" i="2"/>
  <c r="P539" i="2"/>
  <c r="O540" i="2"/>
  <c r="P540" i="2"/>
  <c r="O541" i="2"/>
  <c r="P541" i="2"/>
  <c r="O542" i="2"/>
  <c r="P542" i="2"/>
  <c r="O543" i="2"/>
  <c r="P543" i="2"/>
  <c r="O544" i="2"/>
  <c r="P544" i="2"/>
  <c r="O545" i="2"/>
  <c r="P545" i="2"/>
  <c r="O546" i="2"/>
  <c r="P546" i="2"/>
  <c r="O547" i="2"/>
  <c r="P547" i="2"/>
  <c r="O548" i="2"/>
  <c r="P548" i="2"/>
  <c r="O549" i="2"/>
  <c r="P549" i="2"/>
  <c r="O550" i="2"/>
  <c r="P550" i="2"/>
  <c r="O551" i="2"/>
  <c r="P551" i="2"/>
  <c r="O552" i="2"/>
  <c r="P552" i="2"/>
  <c r="O553" i="2"/>
  <c r="P553" i="2"/>
  <c r="O554" i="2"/>
  <c r="P554" i="2"/>
  <c r="O555" i="2"/>
  <c r="P555" i="2"/>
  <c r="O556" i="2"/>
  <c r="P556" i="2"/>
  <c r="O557" i="2"/>
  <c r="P557" i="2"/>
  <c r="O558" i="2"/>
  <c r="P558" i="2"/>
  <c r="O559" i="2"/>
  <c r="P559" i="2"/>
  <c r="O560" i="2"/>
  <c r="P560" i="2"/>
  <c r="O561" i="2"/>
  <c r="P561" i="2"/>
  <c r="O562" i="2"/>
  <c r="P562" i="2"/>
  <c r="O563" i="2"/>
  <c r="P563" i="2"/>
  <c r="O564" i="2"/>
  <c r="P564" i="2"/>
  <c r="O565" i="2"/>
  <c r="P565" i="2"/>
  <c r="O566" i="2"/>
  <c r="P566" i="2"/>
  <c r="O567" i="2"/>
  <c r="P567" i="2"/>
  <c r="O568" i="2"/>
  <c r="P568" i="2"/>
  <c r="O569" i="2"/>
  <c r="P569" i="2"/>
  <c r="O570" i="2"/>
  <c r="P570" i="2"/>
  <c r="O571" i="2"/>
  <c r="P571" i="2"/>
  <c r="O572" i="2"/>
  <c r="P572" i="2"/>
  <c r="O573" i="2"/>
  <c r="P573" i="2"/>
  <c r="O574" i="2"/>
  <c r="P574" i="2"/>
  <c r="O575" i="2"/>
  <c r="P575" i="2"/>
  <c r="O576" i="2"/>
  <c r="P576" i="2"/>
  <c r="O577" i="2"/>
  <c r="P577" i="2"/>
  <c r="O578" i="2"/>
  <c r="P578" i="2"/>
  <c r="O579" i="2"/>
  <c r="P579" i="2"/>
  <c r="O580" i="2"/>
  <c r="P580" i="2"/>
  <c r="O581" i="2"/>
  <c r="P581" i="2"/>
  <c r="O582" i="2"/>
  <c r="P582" i="2"/>
  <c r="O583" i="2"/>
  <c r="P583" i="2"/>
  <c r="O584" i="2"/>
  <c r="P584" i="2"/>
  <c r="O585" i="2"/>
  <c r="P585" i="2"/>
  <c r="O586" i="2"/>
  <c r="P586" i="2"/>
  <c r="O587" i="2"/>
  <c r="P587" i="2"/>
  <c r="O588" i="2"/>
  <c r="P588" i="2"/>
  <c r="O589" i="2"/>
  <c r="P589" i="2"/>
  <c r="O590" i="2"/>
  <c r="P590" i="2"/>
  <c r="O591" i="2"/>
  <c r="P591" i="2"/>
  <c r="O592" i="2"/>
  <c r="P592" i="2"/>
  <c r="O593" i="2"/>
  <c r="P593" i="2"/>
  <c r="O594" i="2"/>
  <c r="P594" i="2"/>
  <c r="O595" i="2"/>
  <c r="P595" i="2"/>
  <c r="O596" i="2"/>
  <c r="P596" i="2"/>
  <c r="O597" i="2"/>
  <c r="P597" i="2"/>
  <c r="O598" i="2"/>
  <c r="P598" i="2"/>
  <c r="O599" i="2"/>
  <c r="P599" i="2"/>
  <c r="O600" i="2"/>
  <c r="P600" i="2"/>
  <c r="O601" i="2"/>
  <c r="P601" i="2"/>
  <c r="O602" i="2"/>
  <c r="P602" i="2"/>
  <c r="O603" i="2"/>
  <c r="P603" i="2"/>
  <c r="O604" i="2"/>
  <c r="P604" i="2"/>
  <c r="O605" i="2"/>
  <c r="P605" i="2"/>
  <c r="O606" i="2"/>
  <c r="P606" i="2"/>
  <c r="O607" i="2"/>
  <c r="P607" i="2"/>
  <c r="O608" i="2"/>
  <c r="P608" i="2"/>
  <c r="O609" i="2"/>
  <c r="P609" i="2"/>
  <c r="O610" i="2"/>
  <c r="P610" i="2"/>
  <c r="O611" i="2"/>
  <c r="P611" i="2"/>
  <c r="O612" i="2"/>
  <c r="P612" i="2"/>
  <c r="O613" i="2"/>
  <c r="P613" i="2"/>
  <c r="O614" i="2"/>
  <c r="P614" i="2"/>
  <c r="O615" i="2"/>
  <c r="P615" i="2"/>
  <c r="O616" i="2"/>
  <c r="P616" i="2"/>
  <c r="O617" i="2"/>
  <c r="P617" i="2"/>
  <c r="O618" i="2"/>
  <c r="P618" i="2"/>
  <c r="O619" i="2"/>
  <c r="P619" i="2"/>
  <c r="O620" i="2"/>
  <c r="P620" i="2"/>
  <c r="O621" i="2"/>
  <c r="P621" i="2"/>
  <c r="O622" i="2"/>
  <c r="P622" i="2"/>
  <c r="O623" i="2"/>
  <c r="P623" i="2"/>
  <c r="O624" i="2"/>
  <c r="P624" i="2"/>
  <c r="O625" i="2"/>
  <c r="P625" i="2"/>
  <c r="O626" i="2"/>
  <c r="P626" i="2"/>
  <c r="O627" i="2"/>
  <c r="P627" i="2"/>
  <c r="O628" i="2"/>
  <c r="P628" i="2"/>
  <c r="O629" i="2"/>
  <c r="P629" i="2"/>
  <c r="O630" i="2"/>
  <c r="P630" i="2"/>
  <c r="O631" i="2"/>
  <c r="P631" i="2"/>
  <c r="O632" i="2"/>
  <c r="P632" i="2"/>
  <c r="O633" i="2"/>
  <c r="P633" i="2"/>
  <c r="O634" i="2"/>
  <c r="P634" i="2"/>
  <c r="O635" i="2"/>
  <c r="P635" i="2"/>
  <c r="O636" i="2"/>
  <c r="P636" i="2"/>
  <c r="O637" i="2"/>
  <c r="P637" i="2"/>
  <c r="O638" i="2"/>
  <c r="P638" i="2"/>
  <c r="O639" i="2"/>
  <c r="P639" i="2"/>
  <c r="O640" i="2"/>
  <c r="P640" i="2"/>
  <c r="O641" i="2"/>
  <c r="P641" i="2"/>
  <c r="O642" i="2"/>
  <c r="P642" i="2"/>
  <c r="O643" i="2"/>
  <c r="P643" i="2"/>
  <c r="O644" i="2"/>
  <c r="P644" i="2"/>
  <c r="O645" i="2"/>
  <c r="P645" i="2"/>
  <c r="O646" i="2"/>
  <c r="P646" i="2"/>
  <c r="O647" i="2"/>
  <c r="P647" i="2"/>
  <c r="O648" i="2"/>
  <c r="P648" i="2"/>
  <c r="O649" i="2"/>
  <c r="P649" i="2"/>
  <c r="O650" i="2"/>
  <c r="P650" i="2"/>
  <c r="O651" i="2"/>
  <c r="P651" i="2"/>
  <c r="O652" i="2"/>
  <c r="P652" i="2"/>
  <c r="O653" i="2"/>
  <c r="P653" i="2"/>
  <c r="O654" i="2"/>
  <c r="P654" i="2"/>
  <c r="O655" i="2"/>
  <c r="P655" i="2"/>
  <c r="O656" i="2"/>
  <c r="P656" i="2"/>
  <c r="O657" i="2"/>
  <c r="P657" i="2"/>
  <c r="O658" i="2"/>
  <c r="P658" i="2"/>
  <c r="O659" i="2"/>
  <c r="P659" i="2"/>
  <c r="O660" i="2"/>
  <c r="P660" i="2"/>
  <c r="O661" i="2"/>
  <c r="P661" i="2"/>
  <c r="O662" i="2"/>
  <c r="P662" i="2"/>
  <c r="O663" i="2"/>
  <c r="P663" i="2"/>
  <c r="O664" i="2"/>
  <c r="P664" i="2"/>
  <c r="O665" i="2"/>
  <c r="P665" i="2"/>
  <c r="O666" i="2"/>
  <c r="P666" i="2"/>
  <c r="O667" i="2"/>
  <c r="P667" i="2"/>
  <c r="O668" i="2"/>
  <c r="P668" i="2"/>
  <c r="O669" i="2"/>
  <c r="P669" i="2"/>
  <c r="O670" i="2"/>
  <c r="P670" i="2"/>
  <c r="O671" i="2"/>
  <c r="P671" i="2"/>
  <c r="O672" i="2"/>
  <c r="P672" i="2"/>
  <c r="O673" i="2"/>
  <c r="P673" i="2"/>
  <c r="O674" i="2"/>
  <c r="P674" i="2"/>
  <c r="O675" i="2"/>
  <c r="P675" i="2"/>
  <c r="O676" i="2"/>
  <c r="P676" i="2"/>
  <c r="O677" i="2"/>
  <c r="P677" i="2"/>
  <c r="O678" i="2"/>
  <c r="P678" i="2"/>
  <c r="O679" i="2"/>
  <c r="P679" i="2"/>
  <c r="O680" i="2"/>
  <c r="P680" i="2"/>
  <c r="O681" i="2"/>
  <c r="P681" i="2"/>
  <c r="O682" i="2"/>
  <c r="P682" i="2"/>
  <c r="O683" i="2"/>
  <c r="P683" i="2"/>
  <c r="O684" i="2"/>
  <c r="P684" i="2"/>
  <c r="O685" i="2"/>
  <c r="P685" i="2"/>
  <c r="O686" i="2"/>
  <c r="P686" i="2"/>
  <c r="O687" i="2"/>
  <c r="P687" i="2"/>
  <c r="O688" i="2"/>
  <c r="P688" i="2"/>
  <c r="O689" i="2"/>
  <c r="P689" i="2"/>
  <c r="O690" i="2"/>
  <c r="P690" i="2"/>
  <c r="O691" i="2"/>
  <c r="P691" i="2"/>
  <c r="O692" i="2"/>
  <c r="P692" i="2"/>
  <c r="O693" i="2"/>
  <c r="P693" i="2"/>
  <c r="O694" i="2"/>
  <c r="P694" i="2"/>
  <c r="O695" i="2"/>
  <c r="P695" i="2"/>
  <c r="O696" i="2"/>
  <c r="P696" i="2"/>
  <c r="O697" i="2"/>
  <c r="P697" i="2"/>
  <c r="O698" i="2"/>
  <c r="P698" i="2"/>
  <c r="O699" i="2"/>
  <c r="P699" i="2"/>
  <c r="O700" i="2"/>
  <c r="P700" i="2"/>
  <c r="O701" i="2"/>
  <c r="P701" i="2"/>
  <c r="O702" i="2"/>
  <c r="P702" i="2"/>
  <c r="O703" i="2"/>
  <c r="P703" i="2"/>
  <c r="O704" i="2"/>
  <c r="P704" i="2"/>
  <c r="O705" i="2"/>
  <c r="P705" i="2"/>
  <c r="O706" i="2"/>
  <c r="P706" i="2"/>
  <c r="O707" i="2"/>
  <c r="P707" i="2"/>
  <c r="O708" i="2"/>
  <c r="P708" i="2"/>
  <c r="O709" i="2"/>
  <c r="P709" i="2"/>
  <c r="O710" i="2"/>
  <c r="P710" i="2"/>
  <c r="O711" i="2"/>
  <c r="P711" i="2"/>
  <c r="O712" i="2"/>
  <c r="P712" i="2"/>
  <c r="O713" i="2"/>
  <c r="P713" i="2"/>
  <c r="O714" i="2"/>
  <c r="P714" i="2"/>
  <c r="O715" i="2"/>
  <c r="P715" i="2"/>
  <c r="O716" i="2"/>
  <c r="P716" i="2"/>
  <c r="O717" i="2"/>
  <c r="P717" i="2"/>
  <c r="O718" i="2"/>
  <c r="P718" i="2"/>
  <c r="O719" i="2"/>
  <c r="P719" i="2"/>
  <c r="O720" i="2"/>
  <c r="P720" i="2"/>
  <c r="O721" i="2"/>
  <c r="P721" i="2"/>
  <c r="O722" i="2"/>
  <c r="P722" i="2"/>
  <c r="O723" i="2"/>
  <c r="P723" i="2"/>
  <c r="O724" i="2"/>
  <c r="P724" i="2"/>
  <c r="O725" i="2"/>
  <c r="P725" i="2"/>
  <c r="O726" i="2"/>
  <c r="P726" i="2"/>
  <c r="O727" i="2"/>
  <c r="P727" i="2"/>
  <c r="O728" i="2"/>
  <c r="P728" i="2"/>
  <c r="O729" i="2"/>
  <c r="P729" i="2"/>
  <c r="O730" i="2"/>
  <c r="P730" i="2"/>
  <c r="O731" i="2"/>
  <c r="P731" i="2"/>
  <c r="O732" i="2"/>
  <c r="P732" i="2"/>
  <c r="O733" i="2"/>
  <c r="P733" i="2"/>
  <c r="O734" i="2"/>
  <c r="P734" i="2"/>
  <c r="O735" i="2"/>
  <c r="P735" i="2"/>
  <c r="O736" i="2"/>
  <c r="P736" i="2"/>
  <c r="O737" i="2"/>
  <c r="P737" i="2"/>
  <c r="O738" i="2"/>
  <c r="P738" i="2"/>
  <c r="O739" i="2"/>
  <c r="P739" i="2"/>
  <c r="O740" i="2"/>
  <c r="P740" i="2"/>
  <c r="O741" i="2"/>
  <c r="P741" i="2"/>
  <c r="O742" i="2"/>
  <c r="P742" i="2"/>
  <c r="O743" i="2"/>
  <c r="P743" i="2"/>
  <c r="O744" i="2"/>
  <c r="P744" i="2"/>
  <c r="O745" i="2"/>
  <c r="P745" i="2"/>
  <c r="O746" i="2"/>
  <c r="P746" i="2"/>
  <c r="O747" i="2"/>
  <c r="P747" i="2"/>
  <c r="O748" i="2"/>
  <c r="P748" i="2"/>
  <c r="O749" i="2"/>
  <c r="P749" i="2"/>
  <c r="O750" i="2"/>
  <c r="P750" i="2"/>
  <c r="O751" i="2"/>
  <c r="P751" i="2"/>
  <c r="O752" i="2"/>
  <c r="P752" i="2"/>
  <c r="O753" i="2"/>
  <c r="P753" i="2"/>
  <c r="O754" i="2"/>
  <c r="P754" i="2"/>
  <c r="O755" i="2"/>
  <c r="P755" i="2"/>
  <c r="O756" i="2"/>
  <c r="P756" i="2"/>
  <c r="O757" i="2"/>
  <c r="P757" i="2"/>
  <c r="O758" i="2"/>
  <c r="P758" i="2"/>
  <c r="O759" i="2"/>
  <c r="P759" i="2"/>
  <c r="O760" i="2"/>
  <c r="P760" i="2"/>
  <c r="O761" i="2"/>
  <c r="P761" i="2"/>
  <c r="O762" i="2"/>
  <c r="P762" i="2"/>
  <c r="O763" i="2"/>
  <c r="P763" i="2"/>
  <c r="O764" i="2"/>
  <c r="P764" i="2"/>
  <c r="O765" i="2"/>
  <c r="P765" i="2"/>
  <c r="O766" i="2"/>
  <c r="P766" i="2"/>
  <c r="O767" i="2"/>
  <c r="P767" i="2"/>
  <c r="O768" i="2"/>
  <c r="P768" i="2"/>
  <c r="O769" i="2"/>
  <c r="P769" i="2"/>
  <c r="O770" i="2"/>
  <c r="P770" i="2"/>
  <c r="O771" i="2"/>
  <c r="P771" i="2"/>
  <c r="O772" i="2"/>
  <c r="P772" i="2"/>
  <c r="O773" i="2"/>
  <c r="P773" i="2"/>
  <c r="O774" i="2"/>
  <c r="P774" i="2"/>
  <c r="O775" i="2"/>
  <c r="P775" i="2"/>
  <c r="O776" i="2"/>
  <c r="P776" i="2"/>
  <c r="O777" i="2"/>
  <c r="P777" i="2"/>
  <c r="O778" i="2"/>
  <c r="P778" i="2"/>
  <c r="O779" i="2"/>
  <c r="P779" i="2"/>
  <c r="O780" i="2"/>
  <c r="P780" i="2"/>
  <c r="O781" i="2"/>
  <c r="P781" i="2"/>
  <c r="O782" i="2"/>
  <c r="P782" i="2"/>
  <c r="O783" i="2"/>
  <c r="P783" i="2"/>
  <c r="O784" i="2"/>
  <c r="P784" i="2"/>
  <c r="O785" i="2"/>
  <c r="P785" i="2"/>
  <c r="O786" i="2"/>
  <c r="P786" i="2"/>
  <c r="O787" i="2"/>
  <c r="P787" i="2"/>
  <c r="O788" i="2"/>
  <c r="P788" i="2"/>
  <c r="O789" i="2"/>
  <c r="P789" i="2"/>
  <c r="O790" i="2"/>
  <c r="P790" i="2"/>
  <c r="O791" i="2"/>
  <c r="P791" i="2"/>
  <c r="O792" i="2"/>
  <c r="P792" i="2"/>
  <c r="O793" i="2"/>
  <c r="P793" i="2"/>
  <c r="O794" i="2"/>
  <c r="P794" i="2"/>
  <c r="O795" i="2"/>
  <c r="P795" i="2"/>
  <c r="O796" i="2"/>
  <c r="P796" i="2"/>
  <c r="O797" i="2"/>
  <c r="P797" i="2"/>
  <c r="O798" i="2"/>
  <c r="P798" i="2"/>
  <c r="O799" i="2"/>
  <c r="P799" i="2"/>
  <c r="O800" i="2"/>
  <c r="P800" i="2"/>
  <c r="O801" i="2"/>
  <c r="P801" i="2"/>
  <c r="O802" i="2"/>
  <c r="P802" i="2"/>
  <c r="O803" i="2"/>
  <c r="P803" i="2"/>
  <c r="O804" i="2"/>
  <c r="P804" i="2"/>
  <c r="O805" i="2"/>
  <c r="P805" i="2"/>
  <c r="O806" i="2"/>
  <c r="P806" i="2"/>
  <c r="O807" i="2"/>
  <c r="P807" i="2"/>
  <c r="O808" i="2"/>
  <c r="P808" i="2"/>
  <c r="O809" i="2"/>
  <c r="P809" i="2"/>
  <c r="O810" i="2"/>
  <c r="P810" i="2"/>
  <c r="O811" i="2"/>
  <c r="P811" i="2"/>
  <c r="O812" i="2"/>
  <c r="P812" i="2"/>
  <c r="O813" i="2"/>
  <c r="P813" i="2"/>
  <c r="O814" i="2"/>
  <c r="P814" i="2"/>
  <c r="O815" i="2"/>
  <c r="P815" i="2"/>
  <c r="O816" i="2"/>
  <c r="P816" i="2"/>
  <c r="O817" i="2"/>
  <c r="P817" i="2"/>
  <c r="O818" i="2"/>
  <c r="P818" i="2"/>
  <c r="O819" i="2"/>
  <c r="P819" i="2"/>
  <c r="O820" i="2"/>
  <c r="P820" i="2"/>
  <c r="O821" i="2"/>
  <c r="P821" i="2"/>
  <c r="O822" i="2"/>
  <c r="P822" i="2"/>
  <c r="O823" i="2"/>
  <c r="P823" i="2"/>
  <c r="O824" i="2"/>
  <c r="P824" i="2"/>
  <c r="O825" i="2"/>
  <c r="P825" i="2"/>
  <c r="O826" i="2"/>
  <c r="P826" i="2"/>
  <c r="O827" i="2"/>
  <c r="P827" i="2"/>
  <c r="O828" i="2"/>
  <c r="P828" i="2"/>
  <c r="O829" i="2"/>
  <c r="P829" i="2"/>
  <c r="O830" i="2"/>
  <c r="P830" i="2"/>
  <c r="O831" i="2"/>
  <c r="P831" i="2"/>
  <c r="O832" i="2"/>
  <c r="P832" i="2"/>
  <c r="O833" i="2"/>
  <c r="P833" i="2"/>
  <c r="O834" i="2"/>
  <c r="P834" i="2"/>
  <c r="O835" i="2"/>
  <c r="P835" i="2"/>
  <c r="O836" i="2"/>
  <c r="P836" i="2"/>
  <c r="O837" i="2"/>
  <c r="P837" i="2"/>
  <c r="O838" i="2"/>
  <c r="P838" i="2"/>
  <c r="O839" i="2"/>
  <c r="P839" i="2"/>
  <c r="O840" i="2"/>
  <c r="P840" i="2"/>
  <c r="O841" i="2"/>
  <c r="P841" i="2"/>
  <c r="O842" i="2"/>
  <c r="P842" i="2"/>
  <c r="O843" i="2"/>
  <c r="P843" i="2"/>
  <c r="O844" i="2"/>
  <c r="P844" i="2"/>
  <c r="O845" i="2"/>
  <c r="P845" i="2"/>
  <c r="O846" i="2"/>
  <c r="P846" i="2"/>
  <c r="O847" i="2"/>
  <c r="P847" i="2"/>
  <c r="O848" i="2"/>
  <c r="P848" i="2"/>
  <c r="O849" i="2"/>
  <c r="P849" i="2"/>
  <c r="O850" i="2"/>
  <c r="P850" i="2"/>
  <c r="O851" i="2"/>
  <c r="P851" i="2"/>
  <c r="O852" i="2"/>
  <c r="P852" i="2"/>
  <c r="O853" i="2"/>
  <c r="P853" i="2"/>
  <c r="O854" i="2"/>
  <c r="P854" i="2"/>
  <c r="O855" i="2"/>
  <c r="P855" i="2"/>
  <c r="O856" i="2"/>
  <c r="P856" i="2"/>
  <c r="O857" i="2"/>
  <c r="P857" i="2"/>
  <c r="O858" i="2"/>
  <c r="P858" i="2"/>
  <c r="O859" i="2"/>
  <c r="P859" i="2"/>
  <c r="O860" i="2"/>
  <c r="P860" i="2"/>
  <c r="O861" i="2"/>
  <c r="P861" i="2"/>
  <c r="O862" i="2"/>
  <c r="P862" i="2"/>
  <c r="O863" i="2"/>
  <c r="P863" i="2"/>
  <c r="O864" i="2"/>
  <c r="P864" i="2"/>
  <c r="O865" i="2"/>
  <c r="P865" i="2"/>
  <c r="O866" i="2"/>
  <c r="P866" i="2"/>
  <c r="O867" i="2"/>
  <c r="P867" i="2"/>
  <c r="O868" i="2"/>
  <c r="P868" i="2"/>
  <c r="O869" i="2"/>
  <c r="P869" i="2"/>
  <c r="O870" i="2"/>
  <c r="P870" i="2"/>
  <c r="O871" i="2"/>
  <c r="P871" i="2"/>
  <c r="O872" i="2"/>
  <c r="P872" i="2"/>
  <c r="O873" i="2"/>
  <c r="P873" i="2"/>
  <c r="O874" i="2"/>
  <c r="P874" i="2"/>
  <c r="O875" i="2"/>
  <c r="P875" i="2"/>
  <c r="O876" i="2"/>
  <c r="P876" i="2"/>
  <c r="O877" i="2"/>
  <c r="P877" i="2"/>
  <c r="O878" i="2"/>
  <c r="P878" i="2"/>
  <c r="O879" i="2"/>
  <c r="P879" i="2"/>
  <c r="O880" i="2"/>
  <c r="P880" i="2"/>
  <c r="O881" i="2"/>
  <c r="P881" i="2"/>
  <c r="O882" i="2"/>
  <c r="P882" i="2"/>
  <c r="O883" i="2"/>
  <c r="P883" i="2"/>
  <c r="O884" i="2"/>
  <c r="P884" i="2"/>
  <c r="O885" i="2"/>
  <c r="P885" i="2"/>
  <c r="O886" i="2"/>
  <c r="P886" i="2"/>
  <c r="O887" i="2"/>
  <c r="P887" i="2"/>
  <c r="O888" i="2"/>
  <c r="P888" i="2"/>
  <c r="O889" i="2"/>
  <c r="P889" i="2"/>
  <c r="O890" i="2"/>
  <c r="P890" i="2"/>
  <c r="O891" i="2"/>
  <c r="P891" i="2"/>
  <c r="O892" i="2"/>
  <c r="P892" i="2"/>
  <c r="O893" i="2"/>
  <c r="P893" i="2"/>
  <c r="O894" i="2"/>
  <c r="P894" i="2"/>
  <c r="O895" i="2"/>
  <c r="P895" i="2"/>
  <c r="O896" i="2"/>
  <c r="P896" i="2"/>
  <c r="O897" i="2"/>
  <c r="P897" i="2"/>
  <c r="O898" i="2"/>
  <c r="P898" i="2"/>
  <c r="O899" i="2"/>
  <c r="P899" i="2"/>
  <c r="O900" i="2"/>
  <c r="P900" i="2"/>
  <c r="O901" i="2"/>
  <c r="P901" i="2"/>
  <c r="O902" i="2"/>
  <c r="P902" i="2"/>
  <c r="O903" i="2"/>
  <c r="P903" i="2"/>
  <c r="O904" i="2"/>
  <c r="P904" i="2"/>
  <c r="O905" i="2"/>
  <c r="P905" i="2"/>
  <c r="O906" i="2"/>
  <c r="P906" i="2"/>
  <c r="O907" i="2"/>
  <c r="P907" i="2"/>
  <c r="O908" i="2"/>
  <c r="P908" i="2"/>
  <c r="O909" i="2"/>
  <c r="P909" i="2"/>
  <c r="O910" i="2"/>
  <c r="P910" i="2"/>
  <c r="O911" i="2"/>
  <c r="P911" i="2"/>
  <c r="O912" i="2"/>
  <c r="P912" i="2"/>
  <c r="O913" i="2"/>
  <c r="P913" i="2"/>
  <c r="O914" i="2"/>
  <c r="P914" i="2"/>
  <c r="O915" i="2"/>
  <c r="P915" i="2"/>
  <c r="O916" i="2"/>
  <c r="P916" i="2"/>
  <c r="O917" i="2"/>
  <c r="P917" i="2"/>
  <c r="O918" i="2"/>
  <c r="P918" i="2"/>
  <c r="O919" i="2"/>
  <c r="P919" i="2"/>
  <c r="O920" i="2"/>
  <c r="P920" i="2"/>
  <c r="O921" i="2"/>
  <c r="P921" i="2"/>
  <c r="O922" i="2"/>
  <c r="P922" i="2"/>
  <c r="O923" i="2"/>
  <c r="P923" i="2"/>
  <c r="O924" i="2"/>
  <c r="P924" i="2"/>
  <c r="O925" i="2"/>
  <c r="P925" i="2"/>
  <c r="O926" i="2"/>
  <c r="P926" i="2"/>
  <c r="O927" i="2"/>
  <c r="P927" i="2"/>
  <c r="O928" i="2"/>
  <c r="P928" i="2"/>
  <c r="O929" i="2"/>
  <c r="P929" i="2"/>
  <c r="O930" i="2"/>
  <c r="P930" i="2"/>
  <c r="O931" i="2"/>
  <c r="P931" i="2"/>
  <c r="O932" i="2"/>
  <c r="P932" i="2"/>
  <c r="O933" i="2"/>
  <c r="P933" i="2"/>
  <c r="O934" i="2"/>
  <c r="P934" i="2"/>
  <c r="O935" i="2"/>
  <c r="P935" i="2"/>
  <c r="O936" i="2"/>
  <c r="P936" i="2"/>
  <c r="O937" i="2"/>
  <c r="P937" i="2"/>
  <c r="O938" i="2"/>
  <c r="P938" i="2"/>
  <c r="O939" i="2"/>
  <c r="P939" i="2"/>
  <c r="O940" i="2"/>
  <c r="P940" i="2"/>
  <c r="O941" i="2"/>
  <c r="P941" i="2"/>
  <c r="O942" i="2"/>
  <c r="P942" i="2"/>
  <c r="O943" i="2"/>
  <c r="P943" i="2"/>
  <c r="O944" i="2"/>
  <c r="P944" i="2"/>
  <c r="O945" i="2"/>
  <c r="P945" i="2"/>
  <c r="O946" i="2"/>
  <c r="P946" i="2"/>
  <c r="O947" i="2"/>
  <c r="P947" i="2"/>
  <c r="O948" i="2"/>
  <c r="P948" i="2"/>
  <c r="O949" i="2"/>
  <c r="P949" i="2"/>
  <c r="O950" i="2"/>
  <c r="P950" i="2"/>
  <c r="O951" i="2"/>
  <c r="P951" i="2"/>
  <c r="O952" i="2"/>
  <c r="P952" i="2"/>
  <c r="O953" i="2"/>
  <c r="P953" i="2"/>
  <c r="O954" i="2"/>
  <c r="P954" i="2"/>
  <c r="O955" i="2"/>
  <c r="P955" i="2"/>
  <c r="O956" i="2"/>
  <c r="P956" i="2"/>
  <c r="O957" i="2"/>
  <c r="P957" i="2"/>
  <c r="O958" i="2"/>
  <c r="P958" i="2"/>
  <c r="O959" i="2"/>
  <c r="P959" i="2"/>
  <c r="O960" i="2"/>
  <c r="P960" i="2"/>
  <c r="O961" i="2"/>
  <c r="P961" i="2"/>
  <c r="O962" i="2"/>
  <c r="P962" i="2"/>
  <c r="O963" i="2"/>
  <c r="P963" i="2"/>
  <c r="O964" i="2"/>
  <c r="P964" i="2"/>
  <c r="O965" i="2"/>
  <c r="P965" i="2"/>
  <c r="O966" i="2"/>
  <c r="P966" i="2"/>
  <c r="O967" i="2"/>
  <c r="P967" i="2"/>
  <c r="O968" i="2"/>
  <c r="P968" i="2"/>
  <c r="O969" i="2"/>
  <c r="P969" i="2"/>
  <c r="O970" i="2"/>
  <c r="P970" i="2"/>
  <c r="O971" i="2"/>
  <c r="P971" i="2"/>
  <c r="O972" i="2"/>
  <c r="P972" i="2"/>
  <c r="O973" i="2"/>
  <c r="P973" i="2"/>
  <c r="O974" i="2"/>
  <c r="P974" i="2"/>
  <c r="O975" i="2"/>
  <c r="P975" i="2"/>
  <c r="O976" i="2"/>
  <c r="P976" i="2"/>
  <c r="O977" i="2"/>
  <c r="P977" i="2"/>
  <c r="O978" i="2"/>
  <c r="P978" i="2"/>
  <c r="O979" i="2"/>
  <c r="P979" i="2"/>
  <c r="O980" i="2"/>
  <c r="P980" i="2"/>
  <c r="O981" i="2"/>
  <c r="P981" i="2"/>
  <c r="O982" i="2"/>
  <c r="P982" i="2"/>
  <c r="O983" i="2"/>
  <c r="P983" i="2"/>
  <c r="O984" i="2"/>
  <c r="P984" i="2"/>
  <c r="O985" i="2"/>
  <c r="P985" i="2"/>
  <c r="O986" i="2"/>
  <c r="P986" i="2"/>
  <c r="O987" i="2"/>
  <c r="P987" i="2"/>
  <c r="O988" i="2"/>
  <c r="P988" i="2"/>
  <c r="O989" i="2"/>
  <c r="P989" i="2"/>
  <c r="O990" i="2"/>
  <c r="P990" i="2"/>
  <c r="O991" i="2"/>
  <c r="P991" i="2"/>
  <c r="O992" i="2"/>
  <c r="P992" i="2"/>
  <c r="O993" i="2"/>
  <c r="P993" i="2"/>
  <c r="O994" i="2"/>
  <c r="P994" i="2"/>
  <c r="O995" i="2"/>
  <c r="P995" i="2"/>
  <c r="O996" i="2"/>
  <c r="P996" i="2"/>
  <c r="O997" i="2"/>
  <c r="P997" i="2"/>
  <c r="O998" i="2"/>
  <c r="P998" i="2"/>
  <c r="O999" i="2"/>
  <c r="P999" i="2"/>
  <c r="O1000" i="2"/>
  <c r="P1000" i="2"/>
  <c r="O1001" i="2"/>
  <c r="P1001" i="2"/>
  <c r="O1002" i="2"/>
  <c r="P1002" i="2"/>
  <c r="O1003" i="2"/>
  <c r="P1003" i="2"/>
  <c r="O1004" i="2"/>
  <c r="P1004" i="2"/>
  <c r="O1005" i="2"/>
  <c r="P1005" i="2"/>
  <c r="O1006" i="2"/>
  <c r="P1006" i="2"/>
  <c r="O1007" i="2"/>
  <c r="P1007" i="2"/>
  <c r="O1008" i="2"/>
  <c r="P1008" i="2"/>
  <c r="O1009" i="2"/>
  <c r="P1009" i="2"/>
  <c r="O1010" i="2"/>
  <c r="P1010" i="2"/>
  <c r="O1011" i="2"/>
  <c r="P1011" i="2"/>
  <c r="O1012" i="2"/>
  <c r="P1012" i="2"/>
  <c r="O1013" i="2"/>
  <c r="P1013" i="2"/>
  <c r="O1014" i="2"/>
  <c r="P1014" i="2"/>
  <c r="O1015" i="2"/>
  <c r="P1015" i="2"/>
  <c r="O1016" i="2"/>
  <c r="P1016" i="2"/>
  <c r="O1017" i="2"/>
  <c r="P1017" i="2"/>
  <c r="O1018" i="2"/>
  <c r="P1018" i="2"/>
  <c r="O1019" i="2"/>
  <c r="P1019" i="2"/>
  <c r="O1020" i="2"/>
  <c r="P1020" i="2"/>
  <c r="O1021" i="2"/>
  <c r="P1021" i="2"/>
  <c r="O1022" i="2"/>
  <c r="P1022" i="2"/>
  <c r="O1023" i="2"/>
  <c r="P1023" i="2"/>
  <c r="O1024" i="2"/>
  <c r="P1024" i="2"/>
  <c r="O1025" i="2"/>
  <c r="P1025" i="2"/>
  <c r="O1026" i="2"/>
  <c r="P1026" i="2"/>
  <c r="O1027" i="2"/>
  <c r="P1027" i="2"/>
  <c r="O1028" i="2"/>
  <c r="P1028" i="2"/>
  <c r="O1029" i="2"/>
  <c r="P1029" i="2"/>
  <c r="O1030" i="2"/>
  <c r="P1030" i="2"/>
  <c r="O1031" i="2"/>
  <c r="P1031" i="2"/>
  <c r="O1032" i="2"/>
  <c r="P1032" i="2"/>
  <c r="O1033" i="2"/>
  <c r="P1033" i="2"/>
  <c r="O1034" i="2"/>
  <c r="P1034" i="2"/>
  <c r="O1035" i="2"/>
  <c r="P1035" i="2"/>
  <c r="O1036" i="2"/>
  <c r="P1036" i="2"/>
  <c r="O1037" i="2"/>
  <c r="P1037" i="2"/>
  <c r="O1038" i="2"/>
  <c r="P1038" i="2"/>
  <c r="O1039" i="2"/>
  <c r="P1039" i="2"/>
  <c r="O1040" i="2"/>
  <c r="P1040" i="2"/>
  <c r="O1041" i="2"/>
  <c r="P1041" i="2"/>
  <c r="O1042" i="2"/>
  <c r="P1042" i="2"/>
  <c r="O1043" i="2"/>
  <c r="P1043" i="2"/>
  <c r="O1044" i="2"/>
  <c r="P1044" i="2"/>
  <c r="O1045" i="2"/>
  <c r="P1045" i="2"/>
  <c r="O1046" i="2"/>
  <c r="P1046" i="2"/>
  <c r="O1047" i="2"/>
  <c r="P1047" i="2"/>
  <c r="O1048" i="2"/>
  <c r="P1048" i="2"/>
  <c r="O1049" i="2"/>
  <c r="P1049" i="2"/>
  <c r="O1050" i="2"/>
  <c r="P1050" i="2"/>
  <c r="O1051" i="2"/>
  <c r="P1051" i="2"/>
  <c r="O1052" i="2"/>
  <c r="P1052" i="2"/>
  <c r="O1053" i="2"/>
  <c r="P1053" i="2"/>
  <c r="O1054" i="2"/>
  <c r="P1054" i="2"/>
  <c r="O1055" i="2"/>
  <c r="P1055" i="2"/>
  <c r="O1056" i="2"/>
  <c r="P1056" i="2"/>
  <c r="O1057" i="2"/>
  <c r="P1057" i="2"/>
  <c r="O1058" i="2"/>
  <c r="P1058" i="2"/>
  <c r="O1059" i="2"/>
  <c r="P1059" i="2"/>
  <c r="O1060" i="2"/>
  <c r="P1060" i="2"/>
  <c r="O1061" i="2"/>
  <c r="P1061" i="2"/>
  <c r="O1062" i="2"/>
  <c r="P1062" i="2"/>
  <c r="O1063" i="2"/>
  <c r="P1063" i="2"/>
  <c r="O1064" i="2"/>
  <c r="P1064" i="2"/>
  <c r="O1065" i="2"/>
  <c r="P1065" i="2"/>
  <c r="O1066" i="2"/>
  <c r="P1066" i="2"/>
  <c r="O1067" i="2"/>
  <c r="P1067" i="2"/>
  <c r="O1068" i="2"/>
  <c r="P1068" i="2"/>
  <c r="O1069" i="2"/>
  <c r="P1069" i="2"/>
  <c r="O1070" i="2"/>
  <c r="P1070" i="2"/>
  <c r="O1071" i="2"/>
  <c r="P1071" i="2"/>
  <c r="O1072" i="2"/>
  <c r="P1072" i="2"/>
  <c r="O1073" i="2"/>
  <c r="P1073" i="2"/>
  <c r="O1074" i="2"/>
  <c r="P1074" i="2"/>
  <c r="O1075" i="2"/>
  <c r="P1075" i="2"/>
  <c r="O1076" i="2"/>
  <c r="P1076" i="2"/>
  <c r="O1077" i="2"/>
  <c r="P1077" i="2"/>
  <c r="O1078" i="2"/>
  <c r="P1078" i="2"/>
  <c r="O1079" i="2"/>
  <c r="P1079" i="2"/>
  <c r="O1080" i="2"/>
  <c r="P1080" i="2"/>
  <c r="O1081" i="2"/>
  <c r="P1081" i="2"/>
  <c r="O1082" i="2"/>
  <c r="P1082" i="2"/>
  <c r="O1083" i="2"/>
  <c r="P1083" i="2"/>
  <c r="O1084" i="2"/>
  <c r="P1084" i="2"/>
  <c r="O1085" i="2"/>
  <c r="P1085" i="2"/>
  <c r="O1086" i="2"/>
  <c r="P1086" i="2"/>
  <c r="O1087" i="2"/>
  <c r="P1087" i="2"/>
  <c r="O1088" i="2"/>
  <c r="P1088" i="2"/>
  <c r="O1089" i="2"/>
  <c r="P1089" i="2"/>
  <c r="O1090" i="2"/>
  <c r="P1090" i="2"/>
  <c r="O1091" i="2"/>
  <c r="P1091" i="2"/>
  <c r="O1092" i="2"/>
  <c r="P1092" i="2"/>
  <c r="O1093" i="2"/>
  <c r="P1093" i="2"/>
  <c r="O1094" i="2"/>
  <c r="P1094" i="2"/>
  <c r="O1095" i="2"/>
  <c r="P1095" i="2"/>
  <c r="O1096" i="2"/>
  <c r="P1096" i="2"/>
  <c r="O1097" i="2"/>
  <c r="P1097" i="2"/>
  <c r="O1098" i="2"/>
  <c r="P1098" i="2"/>
  <c r="O1099" i="2"/>
  <c r="P1099" i="2"/>
  <c r="O1100" i="2"/>
  <c r="P1100" i="2"/>
  <c r="O1101" i="2"/>
  <c r="P1101" i="2"/>
  <c r="O1102" i="2"/>
  <c r="P1102" i="2"/>
  <c r="O1103" i="2"/>
  <c r="P1103" i="2"/>
  <c r="O1104" i="2"/>
  <c r="P1104" i="2"/>
  <c r="O1105" i="2"/>
  <c r="P1105" i="2"/>
  <c r="O1106" i="2"/>
  <c r="P1106" i="2"/>
  <c r="O1107" i="2"/>
  <c r="P1107" i="2"/>
  <c r="O1108" i="2"/>
  <c r="P1108" i="2"/>
  <c r="O1109" i="2"/>
  <c r="P1109" i="2"/>
  <c r="O1110" i="2"/>
  <c r="P1110" i="2"/>
  <c r="O1111" i="2"/>
  <c r="P1111" i="2"/>
  <c r="O1112" i="2"/>
  <c r="P1112" i="2"/>
  <c r="O1113" i="2"/>
  <c r="P1113" i="2"/>
  <c r="O1114" i="2"/>
  <c r="P1114" i="2"/>
  <c r="O1115" i="2"/>
  <c r="P1115" i="2"/>
  <c r="O1116" i="2"/>
  <c r="P1116" i="2"/>
  <c r="O1117" i="2"/>
  <c r="P1117" i="2"/>
  <c r="O1118" i="2"/>
  <c r="P1118" i="2"/>
  <c r="O1119" i="2"/>
  <c r="P1119" i="2"/>
  <c r="O1120" i="2"/>
  <c r="P1120" i="2"/>
  <c r="O1121" i="2"/>
  <c r="P1121" i="2"/>
  <c r="O1122" i="2"/>
  <c r="P1122" i="2"/>
  <c r="O1123" i="2"/>
  <c r="P1123" i="2"/>
  <c r="O1124" i="2"/>
  <c r="P1124" i="2"/>
  <c r="O1125" i="2"/>
  <c r="P1125" i="2"/>
  <c r="O1126" i="2"/>
  <c r="P1126" i="2"/>
  <c r="O1127" i="2"/>
  <c r="P1127" i="2"/>
  <c r="O1128" i="2"/>
  <c r="P1128" i="2"/>
  <c r="O1129" i="2"/>
  <c r="P1129" i="2"/>
  <c r="O1130" i="2"/>
  <c r="P1130" i="2"/>
  <c r="O1131" i="2"/>
  <c r="P1131" i="2"/>
  <c r="O1132" i="2"/>
  <c r="P1132" i="2"/>
  <c r="O1133" i="2"/>
  <c r="P1133" i="2"/>
  <c r="O1134" i="2"/>
  <c r="P1134" i="2"/>
  <c r="O1135" i="2"/>
  <c r="P1135" i="2"/>
  <c r="O1136" i="2"/>
  <c r="P1136" i="2"/>
  <c r="O1137" i="2"/>
  <c r="P1137" i="2"/>
  <c r="O1138" i="2"/>
  <c r="P1138" i="2"/>
  <c r="O1139" i="2"/>
  <c r="P1139" i="2"/>
  <c r="O1140" i="2"/>
  <c r="P1140" i="2"/>
  <c r="O1141" i="2"/>
  <c r="P1141" i="2"/>
  <c r="O1142" i="2"/>
  <c r="P1142" i="2"/>
  <c r="O1143" i="2"/>
  <c r="P1143" i="2"/>
  <c r="O1144" i="2"/>
  <c r="P1144" i="2"/>
  <c r="O1145" i="2"/>
  <c r="P1145" i="2"/>
  <c r="O1146" i="2"/>
  <c r="P1146" i="2"/>
  <c r="O1147" i="2"/>
  <c r="P1147" i="2"/>
  <c r="O1148" i="2"/>
  <c r="P1148" i="2"/>
  <c r="O1149" i="2"/>
  <c r="P1149" i="2"/>
  <c r="O1150" i="2"/>
  <c r="P1150" i="2"/>
  <c r="O1151" i="2"/>
  <c r="P1151" i="2"/>
  <c r="O1152" i="2"/>
  <c r="P1152" i="2"/>
  <c r="O1153" i="2"/>
  <c r="P1153" i="2"/>
  <c r="O1154" i="2"/>
  <c r="P1154" i="2"/>
  <c r="O1155" i="2"/>
  <c r="P1155" i="2"/>
  <c r="O1156" i="2"/>
  <c r="P1156" i="2"/>
  <c r="O1157" i="2"/>
  <c r="P1157" i="2"/>
  <c r="O1158" i="2"/>
  <c r="P1158" i="2"/>
  <c r="O1159" i="2"/>
  <c r="P1159" i="2"/>
  <c r="O1160" i="2"/>
  <c r="P1160" i="2"/>
  <c r="O1161" i="2"/>
  <c r="P1161" i="2"/>
  <c r="O1162" i="2"/>
  <c r="P1162" i="2"/>
  <c r="O1163" i="2"/>
  <c r="P1163" i="2"/>
  <c r="O1164" i="2"/>
  <c r="P1164" i="2"/>
  <c r="O1165" i="2"/>
  <c r="P1165" i="2"/>
  <c r="O1166" i="2"/>
  <c r="P1166" i="2"/>
  <c r="O1167" i="2"/>
  <c r="P1167" i="2"/>
  <c r="O1168" i="2"/>
  <c r="P1168" i="2"/>
  <c r="O1169" i="2"/>
  <c r="P1169" i="2"/>
  <c r="O1170" i="2"/>
  <c r="P1170" i="2"/>
  <c r="O1171" i="2"/>
  <c r="P1171" i="2"/>
  <c r="O1172" i="2"/>
  <c r="P1172" i="2"/>
  <c r="O1173" i="2"/>
  <c r="P1173" i="2"/>
  <c r="O1174" i="2"/>
  <c r="P1174" i="2"/>
  <c r="O1175" i="2"/>
  <c r="P1175" i="2"/>
  <c r="O1176" i="2"/>
  <c r="P1176" i="2"/>
  <c r="O1177" i="2"/>
  <c r="P1177" i="2"/>
  <c r="O1178" i="2"/>
  <c r="P1178" i="2"/>
  <c r="O1179" i="2"/>
  <c r="P1179" i="2"/>
  <c r="O1180" i="2"/>
  <c r="P1180" i="2"/>
  <c r="O1181" i="2"/>
  <c r="P1181" i="2"/>
  <c r="O1182" i="2"/>
  <c r="P1182" i="2"/>
  <c r="O1183" i="2"/>
  <c r="P1183" i="2"/>
  <c r="O1184" i="2"/>
  <c r="P1184" i="2"/>
  <c r="O1185" i="2"/>
  <c r="P1185" i="2"/>
  <c r="O1186" i="2"/>
  <c r="P1186" i="2"/>
  <c r="O1187" i="2"/>
  <c r="P1187" i="2"/>
  <c r="O1188" i="2"/>
  <c r="P1188" i="2"/>
  <c r="O1189" i="2"/>
  <c r="P1189" i="2"/>
  <c r="O1190" i="2"/>
  <c r="P1190" i="2"/>
  <c r="O1191" i="2"/>
  <c r="P1191" i="2"/>
  <c r="O1192" i="2"/>
  <c r="P1192" i="2"/>
  <c r="O1193" i="2"/>
  <c r="P1193" i="2"/>
  <c r="O1194" i="2"/>
  <c r="P1194" i="2"/>
  <c r="O1195" i="2"/>
  <c r="P1195" i="2"/>
  <c r="O1196" i="2"/>
  <c r="P1196" i="2"/>
  <c r="O1197" i="2"/>
  <c r="P1197" i="2"/>
  <c r="O1198" i="2"/>
  <c r="P1198" i="2"/>
  <c r="O1199" i="2"/>
  <c r="P1199" i="2"/>
  <c r="O1200" i="2"/>
  <c r="P1200" i="2"/>
  <c r="O1201" i="2"/>
  <c r="P1201" i="2"/>
  <c r="O1202" i="2"/>
  <c r="P1202" i="2"/>
  <c r="O1203" i="2"/>
  <c r="P1203" i="2"/>
  <c r="O1204" i="2"/>
  <c r="P1204" i="2"/>
  <c r="O1205" i="2"/>
  <c r="P1205" i="2"/>
  <c r="O1206" i="2"/>
  <c r="P1206" i="2"/>
  <c r="O1207" i="2"/>
  <c r="P1207" i="2"/>
  <c r="O1208" i="2"/>
  <c r="P1208" i="2"/>
  <c r="O1209" i="2"/>
  <c r="P1209" i="2"/>
  <c r="O1210" i="2"/>
  <c r="P1210" i="2"/>
  <c r="O1211" i="2"/>
  <c r="P1211" i="2"/>
  <c r="O1212" i="2"/>
  <c r="P1212" i="2"/>
  <c r="O1213" i="2"/>
  <c r="P1213" i="2"/>
  <c r="O1214" i="2"/>
  <c r="P1214" i="2"/>
  <c r="O1215" i="2"/>
  <c r="P1215" i="2"/>
  <c r="O1216" i="2"/>
  <c r="P1216" i="2"/>
  <c r="O1217" i="2"/>
  <c r="P1217" i="2"/>
  <c r="O1218" i="2"/>
  <c r="P1218" i="2"/>
  <c r="O1219" i="2"/>
  <c r="P1219" i="2"/>
  <c r="O1220" i="2"/>
  <c r="P1220" i="2"/>
  <c r="O1221" i="2"/>
  <c r="P1221" i="2"/>
  <c r="O1222" i="2"/>
  <c r="P1222" i="2"/>
  <c r="O1223" i="2"/>
  <c r="P1223" i="2"/>
  <c r="O1224" i="2"/>
  <c r="P1224" i="2"/>
  <c r="O1225" i="2"/>
  <c r="P1225" i="2"/>
  <c r="O1226" i="2"/>
  <c r="P1226" i="2"/>
  <c r="O1227" i="2"/>
  <c r="P1227" i="2"/>
  <c r="O1228" i="2"/>
  <c r="P1228" i="2"/>
  <c r="O1229" i="2"/>
  <c r="P1229" i="2"/>
  <c r="O1230" i="2"/>
  <c r="P1230" i="2"/>
  <c r="O1231" i="2"/>
  <c r="P1231" i="2"/>
  <c r="O1232" i="2"/>
  <c r="P1232" i="2"/>
  <c r="O1233" i="2"/>
  <c r="P1233" i="2"/>
  <c r="O1234" i="2"/>
  <c r="P1234" i="2"/>
  <c r="O1235" i="2"/>
  <c r="P1235" i="2"/>
  <c r="O1236" i="2"/>
  <c r="P1236" i="2"/>
  <c r="O1237" i="2"/>
  <c r="P1237" i="2"/>
  <c r="O1238" i="2"/>
  <c r="P1238" i="2"/>
  <c r="O1239" i="2"/>
  <c r="P1239" i="2"/>
  <c r="O1240" i="2"/>
  <c r="P1240" i="2"/>
  <c r="O1241" i="2"/>
  <c r="P1241" i="2"/>
  <c r="O1242" i="2"/>
  <c r="P1242" i="2"/>
  <c r="O1243" i="2"/>
  <c r="P1243" i="2"/>
  <c r="O1244" i="2"/>
  <c r="P1244" i="2"/>
  <c r="O1245" i="2"/>
  <c r="P1245" i="2"/>
  <c r="O1246" i="2"/>
  <c r="P1246" i="2"/>
  <c r="O1247" i="2"/>
  <c r="P1247" i="2"/>
  <c r="O1248" i="2"/>
  <c r="P1248" i="2"/>
  <c r="O1249" i="2"/>
  <c r="P1249" i="2"/>
  <c r="O1250" i="2"/>
  <c r="P1250" i="2"/>
  <c r="O1251" i="2"/>
  <c r="P1251" i="2"/>
  <c r="O1252" i="2"/>
  <c r="P1252" i="2"/>
  <c r="O1253" i="2"/>
  <c r="P1253" i="2"/>
  <c r="O1254" i="2"/>
  <c r="P1254" i="2"/>
  <c r="O1255" i="2"/>
  <c r="P1255" i="2"/>
  <c r="O1256" i="2"/>
  <c r="P1256" i="2"/>
  <c r="O1257" i="2"/>
  <c r="P1257" i="2"/>
  <c r="O1258" i="2"/>
  <c r="P1258" i="2"/>
  <c r="O1259" i="2"/>
  <c r="P1259" i="2"/>
  <c r="O1260" i="2"/>
  <c r="P1260" i="2"/>
  <c r="O1261" i="2"/>
  <c r="P1261" i="2"/>
  <c r="O1262" i="2"/>
  <c r="P1262" i="2"/>
  <c r="O1263" i="2"/>
  <c r="P1263" i="2"/>
  <c r="O1264" i="2"/>
  <c r="P1264" i="2"/>
  <c r="O1265" i="2"/>
  <c r="P1265" i="2"/>
  <c r="O1266" i="2"/>
  <c r="P1266" i="2"/>
  <c r="O1267" i="2"/>
  <c r="P1267" i="2"/>
  <c r="O1268" i="2"/>
  <c r="P1268" i="2"/>
  <c r="O1269" i="2"/>
  <c r="P1269" i="2"/>
  <c r="O1270" i="2"/>
  <c r="P1270" i="2"/>
  <c r="O1271" i="2"/>
  <c r="P1271" i="2"/>
  <c r="O1272" i="2"/>
  <c r="P1272" i="2"/>
  <c r="O1273" i="2"/>
  <c r="P1273" i="2"/>
  <c r="O1274" i="2"/>
  <c r="P1274" i="2"/>
  <c r="O1275" i="2"/>
  <c r="P1275" i="2"/>
  <c r="O1276" i="2"/>
  <c r="P1276" i="2"/>
  <c r="O1277" i="2"/>
  <c r="P1277" i="2"/>
  <c r="O1278" i="2"/>
  <c r="P1278" i="2"/>
  <c r="O1279" i="2"/>
  <c r="P1279" i="2"/>
  <c r="O1280" i="2"/>
  <c r="P1280" i="2"/>
  <c r="O1281" i="2"/>
  <c r="P1281" i="2"/>
  <c r="O1282" i="2"/>
  <c r="P1282" i="2"/>
  <c r="O1283" i="2"/>
  <c r="P1283" i="2"/>
  <c r="O1284" i="2"/>
  <c r="P1284" i="2"/>
  <c r="O1285" i="2"/>
  <c r="P1285" i="2"/>
  <c r="O1286" i="2"/>
  <c r="P1286" i="2"/>
  <c r="O1287" i="2"/>
  <c r="P1287" i="2"/>
  <c r="O1288" i="2"/>
  <c r="P1288" i="2"/>
  <c r="O1289" i="2"/>
  <c r="P1289" i="2"/>
  <c r="O1290" i="2"/>
  <c r="P1290" i="2"/>
  <c r="O1291" i="2"/>
  <c r="P1291" i="2"/>
  <c r="O1292" i="2"/>
  <c r="P1292" i="2"/>
  <c r="O1293" i="2"/>
  <c r="P1293" i="2"/>
  <c r="O1294" i="2"/>
  <c r="P1294" i="2"/>
  <c r="O1295" i="2"/>
  <c r="P1295" i="2"/>
  <c r="O1296" i="2"/>
  <c r="P1296" i="2"/>
  <c r="O1297" i="2"/>
  <c r="P1297" i="2"/>
  <c r="O1298" i="2"/>
  <c r="P1298" i="2"/>
  <c r="O1299" i="2"/>
  <c r="P1299" i="2"/>
  <c r="O1300" i="2"/>
  <c r="P1300" i="2"/>
  <c r="O1301" i="2"/>
  <c r="P1301" i="2"/>
  <c r="O1302" i="2"/>
  <c r="P1302" i="2"/>
  <c r="O1303" i="2"/>
  <c r="P1303" i="2"/>
  <c r="O1304" i="2"/>
  <c r="P1304" i="2"/>
  <c r="O1305" i="2"/>
  <c r="P1305" i="2"/>
  <c r="O1306" i="2"/>
  <c r="P1306" i="2"/>
  <c r="O1307" i="2"/>
  <c r="P1307" i="2"/>
  <c r="O1308" i="2"/>
  <c r="P1308" i="2"/>
  <c r="O1309" i="2"/>
  <c r="P1309" i="2"/>
  <c r="O1310" i="2"/>
  <c r="P1310" i="2"/>
  <c r="O1311" i="2"/>
  <c r="P1311" i="2"/>
  <c r="O1312" i="2"/>
  <c r="P1312" i="2"/>
  <c r="O1313" i="2"/>
  <c r="P1313" i="2"/>
  <c r="O1314" i="2"/>
  <c r="P1314" i="2"/>
  <c r="O1315" i="2"/>
  <c r="P1315" i="2"/>
  <c r="O1316" i="2"/>
  <c r="P1316" i="2"/>
  <c r="O1317" i="2"/>
  <c r="P1317" i="2"/>
  <c r="O1318" i="2"/>
  <c r="P1318" i="2"/>
  <c r="O1319" i="2"/>
  <c r="P1319" i="2"/>
  <c r="O1320" i="2"/>
  <c r="P1320" i="2"/>
  <c r="O1321" i="2"/>
  <c r="P1321" i="2"/>
  <c r="O1322" i="2"/>
  <c r="P1322" i="2"/>
  <c r="O1323" i="2"/>
  <c r="P1323" i="2"/>
  <c r="O1324" i="2"/>
  <c r="P1324" i="2"/>
  <c r="O1325" i="2"/>
  <c r="P1325" i="2"/>
  <c r="O1326" i="2"/>
  <c r="P1326" i="2"/>
  <c r="O1327" i="2"/>
  <c r="P1327" i="2"/>
  <c r="O1328" i="2"/>
  <c r="P1328" i="2"/>
  <c r="O1329" i="2"/>
  <c r="P1329" i="2"/>
  <c r="O1330" i="2"/>
  <c r="P1330" i="2"/>
  <c r="O1331" i="2"/>
  <c r="P1331" i="2"/>
  <c r="O1332" i="2"/>
  <c r="P1332" i="2"/>
  <c r="O1333" i="2"/>
  <c r="P1333" i="2"/>
  <c r="O1334" i="2"/>
  <c r="P1334" i="2"/>
  <c r="O1335" i="2"/>
  <c r="P1335" i="2"/>
  <c r="O1336" i="2"/>
  <c r="P1336" i="2"/>
  <c r="O1337" i="2"/>
  <c r="P1337" i="2"/>
  <c r="O1338" i="2"/>
  <c r="P1338" i="2"/>
  <c r="O1339" i="2"/>
  <c r="P1339" i="2"/>
  <c r="O1340" i="2"/>
  <c r="P1340" i="2"/>
  <c r="O1341" i="2"/>
  <c r="P1341" i="2"/>
  <c r="O1342" i="2"/>
  <c r="P1342" i="2"/>
  <c r="O1343" i="2"/>
  <c r="P1343" i="2"/>
  <c r="O1344" i="2"/>
  <c r="P1344" i="2"/>
  <c r="O1345" i="2"/>
  <c r="P1345" i="2"/>
  <c r="O1346" i="2"/>
  <c r="P1346" i="2"/>
  <c r="O1347" i="2"/>
  <c r="P1347" i="2"/>
  <c r="O1348" i="2"/>
  <c r="P1348" i="2"/>
  <c r="O1349" i="2"/>
  <c r="P1349" i="2"/>
  <c r="O1350" i="2"/>
  <c r="P1350" i="2"/>
  <c r="O1351" i="2"/>
  <c r="P1351" i="2"/>
  <c r="O1352" i="2"/>
  <c r="P1352" i="2"/>
  <c r="O1353" i="2"/>
  <c r="P1353" i="2"/>
  <c r="O1354" i="2"/>
  <c r="P1354" i="2"/>
  <c r="O1355" i="2"/>
  <c r="P1355" i="2"/>
  <c r="O1356" i="2"/>
  <c r="P1356" i="2"/>
  <c r="O1357" i="2"/>
  <c r="P1357" i="2"/>
  <c r="O1358" i="2"/>
  <c r="P1358" i="2"/>
  <c r="O1359" i="2"/>
  <c r="P1359" i="2"/>
  <c r="O1360" i="2"/>
  <c r="P1360" i="2"/>
  <c r="O1361" i="2"/>
  <c r="P1361" i="2"/>
  <c r="O1362" i="2"/>
  <c r="P1362" i="2"/>
  <c r="O1363" i="2"/>
  <c r="P1363" i="2"/>
  <c r="O1364" i="2"/>
  <c r="P1364" i="2"/>
  <c r="O1365" i="2"/>
  <c r="P1365" i="2"/>
  <c r="O1366" i="2"/>
  <c r="P1366" i="2"/>
  <c r="O1367" i="2"/>
  <c r="P1367" i="2"/>
  <c r="O1368" i="2"/>
  <c r="P1368" i="2"/>
  <c r="O1369" i="2"/>
  <c r="P1369" i="2"/>
  <c r="O1370" i="2"/>
  <c r="P1370" i="2"/>
  <c r="O1371" i="2"/>
  <c r="P1371" i="2"/>
  <c r="O1372" i="2"/>
  <c r="P1372" i="2"/>
  <c r="O1373" i="2"/>
  <c r="P1373" i="2"/>
  <c r="O1374" i="2"/>
  <c r="P1374" i="2"/>
  <c r="O1375" i="2"/>
  <c r="P1375" i="2"/>
  <c r="O1376" i="2"/>
  <c r="P1376" i="2"/>
  <c r="O1377" i="2"/>
  <c r="P1377" i="2"/>
  <c r="O1378" i="2"/>
  <c r="P1378" i="2"/>
  <c r="O1379" i="2"/>
  <c r="P1379" i="2"/>
  <c r="O1380" i="2"/>
  <c r="P1380" i="2"/>
  <c r="O1381" i="2"/>
  <c r="P1381" i="2"/>
  <c r="O1382" i="2"/>
  <c r="P1382" i="2"/>
  <c r="O1383" i="2"/>
  <c r="P1383" i="2"/>
  <c r="O1384" i="2"/>
  <c r="P1384" i="2"/>
  <c r="O1385" i="2"/>
  <c r="P1385" i="2"/>
  <c r="O1386" i="2"/>
  <c r="P1386" i="2"/>
  <c r="O1387" i="2"/>
  <c r="P1387" i="2"/>
  <c r="O1388" i="2"/>
  <c r="P1388" i="2"/>
  <c r="O1389" i="2"/>
  <c r="P1389" i="2"/>
  <c r="O1390" i="2"/>
  <c r="P1390" i="2"/>
  <c r="O1391" i="2"/>
  <c r="P1391" i="2"/>
  <c r="O1392" i="2"/>
  <c r="P1392" i="2"/>
  <c r="O1393" i="2"/>
  <c r="P1393" i="2"/>
  <c r="O1394" i="2"/>
  <c r="P1394" i="2"/>
  <c r="O1395" i="2"/>
  <c r="P1395" i="2"/>
  <c r="O1396" i="2"/>
  <c r="P1396" i="2"/>
  <c r="O1397" i="2"/>
  <c r="P1397" i="2"/>
  <c r="O1398" i="2"/>
  <c r="P1398" i="2"/>
  <c r="O1399" i="2"/>
  <c r="P1399" i="2"/>
  <c r="O1400" i="2"/>
  <c r="P1400" i="2"/>
  <c r="O1401" i="2"/>
  <c r="P1401" i="2"/>
  <c r="O1402" i="2"/>
  <c r="P1402" i="2"/>
  <c r="O1403" i="2"/>
  <c r="P1403" i="2"/>
  <c r="O1404" i="2"/>
  <c r="P1404" i="2"/>
  <c r="O1405" i="2"/>
  <c r="P1405" i="2"/>
  <c r="O1406" i="2"/>
  <c r="P1406" i="2"/>
  <c r="O1407" i="2"/>
  <c r="P1407" i="2"/>
  <c r="O1408" i="2"/>
  <c r="P1408" i="2"/>
  <c r="O1409" i="2"/>
  <c r="P1409" i="2"/>
  <c r="O1410" i="2"/>
  <c r="P1410" i="2"/>
  <c r="O1411" i="2"/>
  <c r="P1411" i="2"/>
  <c r="O1412" i="2"/>
  <c r="P1412" i="2"/>
  <c r="O1413" i="2"/>
  <c r="P1413" i="2"/>
  <c r="O1414" i="2"/>
  <c r="P1414" i="2"/>
  <c r="O1415" i="2"/>
  <c r="P1415" i="2"/>
  <c r="O1416" i="2"/>
  <c r="P1416" i="2"/>
  <c r="O1417" i="2"/>
  <c r="P1417" i="2"/>
  <c r="O1418" i="2"/>
  <c r="P1418" i="2"/>
  <c r="O1419" i="2"/>
  <c r="P1419" i="2"/>
  <c r="O1420" i="2"/>
  <c r="P1420" i="2"/>
  <c r="O1421" i="2"/>
  <c r="P1421" i="2"/>
  <c r="O1422" i="2"/>
  <c r="P1422" i="2"/>
  <c r="O1423" i="2"/>
  <c r="P1423" i="2"/>
  <c r="O1424" i="2"/>
  <c r="P1424" i="2"/>
  <c r="O1425" i="2"/>
  <c r="P1425" i="2"/>
  <c r="O1426" i="2"/>
  <c r="P1426" i="2"/>
  <c r="O1427" i="2"/>
  <c r="P1427" i="2"/>
  <c r="O1428" i="2"/>
  <c r="P1428" i="2"/>
  <c r="O1429" i="2"/>
  <c r="P1429" i="2"/>
  <c r="O1430" i="2"/>
  <c r="P1430" i="2"/>
  <c r="O1431" i="2"/>
  <c r="P1431" i="2"/>
  <c r="O1432" i="2"/>
  <c r="P1432" i="2"/>
  <c r="O1433" i="2"/>
  <c r="P1433" i="2"/>
  <c r="O1434" i="2"/>
  <c r="P1434" i="2"/>
  <c r="O1435" i="2"/>
  <c r="P1435" i="2"/>
  <c r="O1436" i="2"/>
  <c r="P1436" i="2"/>
  <c r="O1437" i="2"/>
  <c r="P1437" i="2"/>
  <c r="O1438" i="2"/>
  <c r="P1438" i="2"/>
  <c r="O1439" i="2"/>
  <c r="P1439" i="2"/>
  <c r="O1440" i="2"/>
  <c r="P1440" i="2"/>
  <c r="O1441" i="2"/>
  <c r="P1441" i="2"/>
  <c r="O1442" i="2"/>
  <c r="P1442" i="2"/>
  <c r="O1443" i="2"/>
  <c r="P1443" i="2"/>
  <c r="O1444" i="2"/>
  <c r="P1444" i="2"/>
  <c r="O1445" i="2"/>
  <c r="P1445" i="2"/>
  <c r="O1446" i="2"/>
  <c r="P1446" i="2"/>
  <c r="O1447" i="2"/>
  <c r="P1447" i="2"/>
  <c r="O1448" i="2"/>
  <c r="P1448" i="2"/>
  <c r="O1449" i="2"/>
  <c r="P1449" i="2"/>
  <c r="O1450" i="2"/>
  <c r="P1450" i="2"/>
  <c r="O1451" i="2"/>
  <c r="P1451" i="2"/>
  <c r="O1452" i="2"/>
  <c r="P1452" i="2"/>
  <c r="O1453" i="2"/>
  <c r="P1453" i="2"/>
  <c r="O1454" i="2"/>
  <c r="P1454" i="2"/>
  <c r="O1455" i="2"/>
  <c r="P1455" i="2"/>
  <c r="O1456" i="2"/>
  <c r="P1456" i="2"/>
  <c r="O1457" i="2"/>
  <c r="P1457" i="2"/>
  <c r="O1458" i="2"/>
  <c r="P1458" i="2"/>
  <c r="O1459" i="2"/>
  <c r="P1459" i="2"/>
  <c r="O1460" i="2"/>
  <c r="P1460" i="2"/>
  <c r="O1461" i="2"/>
  <c r="P1461" i="2"/>
  <c r="O1462" i="2"/>
  <c r="P1462" i="2"/>
  <c r="O1463" i="2"/>
  <c r="P1463" i="2"/>
  <c r="O1464" i="2"/>
  <c r="P1464" i="2"/>
  <c r="O1465" i="2"/>
  <c r="P1465" i="2"/>
  <c r="O1466" i="2"/>
  <c r="P1466" i="2"/>
  <c r="O1467" i="2"/>
  <c r="P1467" i="2"/>
  <c r="O1468" i="2"/>
  <c r="P1468" i="2"/>
  <c r="O1469" i="2"/>
  <c r="P1469" i="2"/>
  <c r="O1470" i="2"/>
  <c r="P1470" i="2"/>
  <c r="O1471" i="2"/>
  <c r="P1471" i="2"/>
  <c r="O1472" i="2"/>
  <c r="P1472" i="2"/>
  <c r="O1473" i="2"/>
  <c r="P1473" i="2"/>
  <c r="O1474" i="2"/>
  <c r="P1474" i="2"/>
  <c r="O1475" i="2"/>
  <c r="P1475" i="2"/>
  <c r="O1476" i="2"/>
  <c r="P1476" i="2"/>
  <c r="O1477" i="2"/>
  <c r="P1477" i="2"/>
  <c r="O1478" i="2"/>
  <c r="P1478" i="2"/>
  <c r="O1479" i="2"/>
  <c r="P1479" i="2"/>
  <c r="O1480" i="2"/>
  <c r="P1480" i="2"/>
  <c r="O1481" i="2"/>
  <c r="P1481" i="2"/>
  <c r="O1482" i="2"/>
  <c r="P1482" i="2"/>
  <c r="O1483" i="2"/>
  <c r="P1483" i="2"/>
  <c r="O1484" i="2"/>
  <c r="P1484" i="2"/>
  <c r="O1485" i="2"/>
  <c r="P1485" i="2"/>
  <c r="O1486" i="2"/>
  <c r="P1486" i="2"/>
  <c r="O1487" i="2"/>
  <c r="P1487" i="2"/>
  <c r="O1488" i="2"/>
  <c r="P1488" i="2"/>
  <c r="O1489" i="2"/>
  <c r="P1489" i="2"/>
  <c r="O1490" i="2"/>
  <c r="P1490" i="2"/>
  <c r="O1491" i="2"/>
  <c r="P1491" i="2"/>
  <c r="O1492" i="2"/>
  <c r="P1492" i="2"/>
  <c r="O1493" i="2"/>
  <c r="P1493" i="2"/>
  <c r="O1494" i="2"/>
  <c r="P1494" i="2"/>
  <c r="O1495" i="2"/>
  <c r="P1495" i="2"/>
  <c r="O1496" i="2"/>
  <c r="P1496" i="2"/>
  <c r="O1497" i="2"/>
  <c r="P1497" i="2"/>
  <c r="O1498" i="2"/>
  <c r="P1498" i="2"/>
  <c r="O1499" i="2"/>
  <c r="P1499" i="2"/>
  <c r="O1500" i="2"/>
  <c r="P1500" i="2"/>
  <c r="O1501" i="2"/>
  <c r="P1501" i="2"/>
  <c r="O1502" i="2"/>
  <c r="P1502" i="2"/>
  <c r="O1503" i="2"/>
  <c r="P1503" i="2"/>
  <c r="O1504" i="2"/>
  <c r="P1504" i="2"/>
  <c r="O1505" i="2"/>
  <c r="P1505" i="2"/>
  <c r="O1506" i="2"/>
  <c r="P1506" i="2"/>
  <c r="O1507" i="2"/>
  <c r="P1507" i="2"/>
  <c r="O1508" i="2"/>
  <c r="P1508" i="2"/>
  <c r="O1509" i="2"/>
  <c r="P1509" i="2"/>
  <c r="O1510" i="2"/>
  <c r="P1510" i="2"/>
  <c r="O1511" i="2"/>
  <c r="P1511" i="2"/>
  <c r="O1512" i="2"/>
  <c r="P1512" i="2"/>
  <c r="O1513" i="2"/>
  <c r="P1513" i="2"/>
  <c r="O1514" i="2"/>
  <c r="P1514" i="2"/>
  <c r="O1515" i="2"/>
  <c r="P1515" i="2"/>
  <c r="O1516" i="2"/>
  <c r="P1516" i="2"/>
  <c r="O1517" i="2"/>
  <c r="P1517" i="2"/>
  <c r="O1518" i="2"/>
  <c r="P1518" i="2"/>
  <c r="O1519" i="2"/>
  <c r="P1519" i="2"/>
  <c r="O1520" i="2"/>
  <c r="P1520" i="2"/>
  <c r="O1521" i="2"/>
  <c r="P1521" i="2"/>
  <c r="O1522" i="2"/>
  <c r="P1522" i="2"/>
  <c r="O1523" i="2"/>
  <c r="P1523" i="2"/>
  <c r="O1524" i="2"/>
  <c r="P1524" i="2"/>
  <c r="O1525" i="2"/>
  <c r="P1525" i="2"/>
  <c r="O1526" i="2"/>
  <c r="P1526" i="2"/>
  <c r="O1527" i="2"/>
  <c r="P1527" i="2"/>
  <c r="O1528" i="2"/>
  <c r="P1528" i="2"/>
  <c r="O1529" i="2"/>
  <c r="P1529" i="2"/>
  <c r="O1530" i="2"/>
  <c r="P1530" i="2"/>
  <c r="O1531" i="2"/>
  <c r="P1531" i="2"/>
  <c r="O1532" i="2"/>
  <c r="P1532" i="2"/>
  <c r="O1533" i="2"/>
  <c r="P1533" i="2"/>
  <c r="O1534" i="2"/>
  <c r="P1534" i="2"/>
  <c r="O1535" i="2"/>
  <c r="P1535" i="2"/>
  <c r="O1536" i="2"/>
  <c r="P1536" i="2"/>
  <c r="O1537" i="2"/>
  <c r="P1537" i="2"/>
  <c r="O1538" i="2"/>
  <c r="P1538" i="2"/>
  <c r="O1539" i="2"/>
  <c r="P1539" i="2"/>
  <c r="O1540" i="2"/>
  <c r="P1540" i="2"/>
  <c r="O1541" i="2"/>
  <c r="P1541" i="2"/>
  <c r="O1542" i="2"/>
  <c r="P1542" i="2"/>
  <c r="O1543" i="2"/>
  <c r="P1543" i="2"/>
  <c r="O1544" i="2"/>
  <c r="P1544" i="2"/>
  <c r="O1545" i="2"/>
  <c r="P1545" i="2"/>
  <c r="O1546" i="2"/>
  <c r="P1546" i="2"/>
  <c r="O1547" i="2"/>
  <c r="P1547" i="2"/>
  <c r="O1548" i="2"/>
  <c r="P1548" i="2"/>
  <c r="O1549" i="2"/>
  <c r="P1549" i="2"/>
  <c r="O1550" i="2"/>
  <c r="P1550" i="2"/>
  <c r="O1551" i="2"/>
  <c r="P1551" i="2"/>
  <c r="O1552" i="2"/>
  <c r="P1552" i="2"/>
  <c r="O1553" i="2"/>
  <c r="P1553" i="2"/>
  <c r="O1554" i="2"/>
  <c r="P1554" i="2"/>
  <c r="O1555" i="2"/>
  <c r="P1555" i="2"/>
  <c r="O1556" i="2"/>
  <c r="P1556" i="2"/>
  <c r="O1557" i="2"/>
  <c r="P1557" i="2"/>
  <c r="O1558" i="2"/>
  <c r="P1558" i="2"/>
  <c r="O1559" i="2"/>
  <c r="P1559" i="2"/>
  <c r="O1560" i="2"/>
  <c r="P1560" i="2"/>
  <c r="O1561" i="2"/>
  <c r="P1561" i="2"/>
  <c r="O1562" i="2"/>
  <c r="P1562" i="2"/>
  <c r="O1563" i="2"/>
  <c r="P1563" i="2"/>
  <c r="O1564" i="2"/>
  <c r="P1564" i="2"/>
  <c r="O1565" i="2"/>
  <c r="P1565" i="2"/>
  <c r="O1566" i="2"/>
  <c r="P1566" i="2"/>
  <c r="O1567" i="2"/>
  <c r="P1567" i="2"/>
  <c r="O1568" i="2"/>
  <c r="P1568" i="2"/>
  <c r="O1569" i="2"/>
  <c r="P1569" i="2"/>
  <c r="O1570" i="2"/>
  <c r="P1570" i="2"/>
  <c r="O1571" i="2"/>
  <c r="P1571" i="2"/>
  <c r="O1572" i="2"/>
  <c r="P1572" i="2"/>
  <c r="O1573" i="2"/>
  <c r="P1573" i="2"/>
  <c r="O1574" i="2"/>
  <c r="P1574" i="2"/>
  <c r="O1575" i="2"/>
  <c r="P1575" i="2"/>
  <c r="O1576" i="2"/>
  <c r="P1576" i="2"/>
  <c r="O1577" i="2"/>
  <c r="P1577" i="2"/>
  <c r="O1578" i="2"/>
  <c r="P1578" i="2"/>
  <c r="O1579" i="2"/>
  <c r="P1579" i="2"/>
  <c r="O1580" i="2"/>
  <c r="P1580" i="2"/>
  <c r="O1581" i="2"/>
  <c r="P1581" i="2"/>
  <c r="O1582" i="2"/>
  <c r="P1582" i="2"/>
  <c r="O1583" i="2"/>
  <c r="P1583" i="2"/>
  <c r="O1584" i="2"/>
  <c r="P1584" i="2"/>
  <c r="O1585" i="2"/>
  <c r="P1585" i="2"/>
  <c r="O1586" i="2"/>
  <c r="P1586" i="2"/>
  <c r="O1587" i="2"/>
  <c r="P1587" i="2"/>
  <c r="O1588" i="2"/>
  <c r="P1588" i="2"/>
  <c r="O1589" i="2"/>
  <c r="P1589" i="2"/>
  <c r="O1590" i="2"/>
  <c r="P1590" i="2"/>
  <c r="O1591" i="2"/>
  <c r="P1591" i="2"/>
  <c r="O1592" i="2"/>
  <c r="P1592" i="2"/>
  <c r="O1593" i="2"/>
  <c r="P1593" i="2"/>
  <c r="O1594" i="2"/>
  <c r="P1594" i="2"/>
  <c r="O1595" i="2"/>
  <c r="P1595" i="2"/>
  <c r="O1596" i="2"/>
  <c r="P1596" i="2"/>
  <c r="O1597" i="2"/>
  <c r="P1597" i="2"/>
  <c r="O1598" i="2"/>
  <c r="P1598" i="2"/>
  <c r="O1599" i="2"/>
  <c r="P1599" i="2"/>
  <c r="O1600" i="2"/>
  <c r="P1600" i="2"/>
  <c r="O1601" i="2"/>
  <c r="P1601" i="2"/>
  <c r="O1602" i="2"/>
  <c r="P1602" i="2"/>
  <c r="O1603" i="2"/>
  <c r="P1603" i="2"/>
  <c r="O1604" i="2"/>
  <c r="P1604" i="2"/>
  <c r="O1605" i="2"/>
  <c r="P1605" i="2"/>
  <c r="O1606" i="2"/>
  <c r="P1606" i="2"/>
  <c r="O1607" i="2"/>
  <c r="P1607" i="2"/>
  <c r="O1608" i="2"/>
  <c r="P1608" i="2"/>
  <c r="O1609" i="2"/>
  <c r="P1609" i="2"/>
  <c r="O1610" i="2"/>
  <c r="P1610" i="2"/>
  <c r="O1611" i="2"/>
  <c r="P1611" i="2"/>
  <c r="O1612" i="2"/>
  <c r="P1612" i="2"/>
  <c r="O1613" i="2"/>
  <c r="P1613" i="2"/>
  <c r="O1614" i="2"/>
  <c r="P1614" i="2"/>
  <c r="O1615" i="2"/>
  <c r="P1615" i="2"/>
  <c r="O1616" i="2"/>
  <c r="P1616" i="2"/>
  <c r="O1617" i="2"/>
  <c r="P1617" i="2"/>
  <c r="O1618" i="2"/>
  <c r="P1618" i="2"/>
  <c r="O1619" i="2"/>
  <c r="P1619" i="2"/>
  <c r="O1620" i="2"/>
  <c r="P1620" i="2"/>
  <c r="O1621" i="2"/>
  <c r="P1621" i="2"/>
  <c r="O1622" i="2"/>
  <c r="P1622" i="2"/>
  <c r="O1623" i="2"/>
  <c r="P1623" i="2"/>
  <c r="O1624" i="2"/>
  <c r="P1624" i="2"/>
  <c r="O1625" i="2"/>
  <c r="P1625" i="2"/>
  <c r="O1626" i="2"/>
  <c r="P1626" i="2"/>
  <c r="O1627" i="2"/>
  <c r="P1627" i="2"/>
  <c r="O1628" i="2"/>
  <c r="P1628" i="2"/>
  <c r="O1629" i="2"/>
  <c r="P1629" i="2"/>
  <c r="O1630" i="2"/>
  <c r="P1630" i="2"/>
  <c r="O1631" i="2"/>
  <c r="P1631" i="2"/>
  <c r="O1632" i="2"/>
  <c r="P1632" i="2"/>
  <c r="O1633" i="2"/>
  <c r="P1633" i="2"/>
  <c r="O1634" i="2"/>
  <c r="P1634" i="2"/>
  <c r="O1635" i="2"/>
  <c r="P1635" i="2"/>
  <c r="O1636" i="2"/>
  <c r="P1636" i="2"/>
  <c r="O1637" i="2"/>
  <c r="P1637" i="2"/>
  <c r="O1638" i="2"/>
  <c r="P1638" i="2"/>
  <c r="O1639" i="2"/>
  <c r="P1639" i="2"/>
  <c r="O1640" i="2"/>
  <c r="P1640" i="2"/>
  <c r="O1641" i="2"/>
  <c r="P1641" i="2"/>
  <c r="O1642" i="2"/>
  <c r="P1642" i="2"/>
  <c r="O1643" i="2"/>
  <c r="P1643" i="2"/>
  <c r="O1644" i="2"/>
  <c r="P1644" i="2"/>
  <c r="O1645" i="2"/>
  <c r="P1645" i="2"/>
  <c r="O1646" i="2"/>
  <c r="P1646" i="2"/>
  <c r="O1647" i="2"/>
  <c r="P1647" i="2"/>
  <c r="O1648" i="2"/>
  <c r="P1648" i="2"/>
  <c r="O1649" i="2"/>
  <c r="P1649" i="2"/>
  <c r="O1650" i="2"/>
  <c r="P1650" i="2"/>
  <c r="O1651" i="2"/>
  <c r="P1651" i="2"/>
  <c r="O1652" i="2"/>
  <c r="P1652" i="2"/>
  <c r="O1653" i="2"/>
  <c r="P1653" i="2"/>
  <c r="O1654" i="2"/>
  <c r="P1654" i="2"/>
  <c r="O1655" i="2"/>
  <c r="P1655" i="2"/>
  <c r="O1656" i="2"/>
  <c r="P1656" i="2"/>
  <c r="O1657" i="2"/>
  <c r="P1657" i="2"/>
  <c r="O1658" i="2"/>
  <c r="P1658" i="2"/>
  <c r="O1659" i="2"/>
  <c r="P1659" i="2"/>
  <c r="O1660" i="2"/>
  <c r="P1660" i="2"/>
  <c r="O1661" i="2"/>
  <c r="P1661" i="2"/>
  <c r="O1662" i="2"/>
  <c r="P1662" i="2"/>
  <c r="O1663" i="2"/>
  <c r="P1663" i="2"/>
  <c r="O1664" i="2"/>
  <c r="P1664" i="2"/>
  <c r="O1665" i="2"/>
  <c r="P1665" i="2"/>
  <c r="O1666" i="2"/>
  <c r="P1666" i="2"/>
  <c r="O1667" i="2"/>
  <c r="P1667" i="2"/>
  <c r="O1668" i="2"/>
  <c r="P1668" i="2"/>
  <c r="O1669" i="2"/>
  <c r="P1669" i="2"/>
  <c r="O1670" i="2"/>
  <c r="P1670" i="2"/>
  <c r="O1671" i="2"/>
  <c r="P1671" i="2"/>
  <c r="O1672" i="2"/>
  <c r="P1672" i="2"/>
  <c r="O1673" i="2"/>
  <c r="P1673" i="2"/>
  <c r="O1674" i="2"/>
  <c r="P1674" i="2"/>
  <c r="O1675" i="2"/>
  <c r="P1675" i="2"/>
  <c r="O1676" i="2"/>
  <c r="P1676" i="2"/>
  <c r="O1677" i="2"/>
  <c r="P1677" i="2"/>
  <c r="O1678" i="2"/>
  <c r="P1678" i="2"/>
  <c r="O1679" i="2"/>
  <c r="P1679" i="2"/>
  <c r="O1680" i="2"/>
  <c r="P1680" i="2"/>
  <c r="O1681" i="2"/>
  <c r="P1681" i="2"/>
  <c r="O1682" i="2"/>
  <c r="P1682" i="2"/>
  <c r="O1683" i="2"/>
  <c r="P1683" i="2"/>
  <c r="O1684" i="2"/>
  <c r="P1684" i="2"/>
  <c r="O1685" i="2"/>
  <c r="P1685" i="2"/>
  <c r="O1686" i="2"/>
  <c r="P1686" i="2"/>
  <c r="O1687" i="2"/>
  <c r="P1687" i="2"/>
  <c r="O1688" i="2"/>
  <c r="P1688" i="2"/>
  <c r="O1689" i="2"/>
  <c r="P1689" i="2"/>
  <c r="O1690" i="2"/>
  <c r="P1690" i="2"/>
  <c r="O1691" i="2"/>
  <c r="P1691" i="2"/>
  <c r="O1692" i="2"/>
  <c r="P1692" i="2"/>
  <c r="O1693" i="2"/>
  <c r="P1693" i="2"/>
  <c r="O1694" i="2"/>
  <c r="P1694" i="2"/>
  <c r="O1695" i="2"/>
  <c r="P1695" i="2"/>
  <c r="O1696" i="2"/>
  <c r="P1696" i="2"/>
  <c r="O1697" i="2"/>
  <c r="P1697" i="2"/>
  <c r="O1698" i="2"/>
  <c r="P1698" i="2"/>
  <c r="O1699" i="2"/>
  <c r="P1699" i="2"/>
  <c r="O1700" i="2"/>
  <c r="P1700" i="2"/>
  <c r="O1701" i="2"/>
  <c r="P1701" i="2"/>
  <c r="O1702" i="2"/>
  <c r="P1702" i="2"/>
  <c r="O1703" i="2"/>
  <c r="P1703" i="2"/>
  <c r="O1704" i="2"/>
  <c r="P1704" i="2"/>
  <c r="O1705" i="2"/>
  <c r="P1705" i="2"/>
  <c r="O1706" i="2"/>
  <c r="P1706" i="2"/>
  <c r="O1707" i="2"/>
  <c r="P1707" i="2"/>
  <c r="O1708" i="2"/>
  <c r="P1708" i="2"/>
  <c r="O1709" i="2"/>
  <c r="P1709" i="2"/>
  <c r="O1710" i="2"/>
  <c r="P1710" i="2"/>
  <c r="O1711" i="2"/>
  <c r="P1711" i="2"/>
  <c r="O1712" i="2"/>
  <c r="P1712" i="2"/>
  <c r="O1713" i="2"/>
  <c r="P1713" i="2"/>
  <c r="O1714" i="2"/>
  <c r="P1714" i="2"/>
  <c r="O1715" i="2"/>
  <c r="P1715" i="2"/>
  <c r="O1716" i="2"/>
  <c r="P1716" i="2"/>
  <c r="O1717" i="2"/>
  <c r="P1717" i="2"/>
  <c r="O1718" i="2"/>
  <c r="P1718" i="2"/>
  <c r="O1719" i="2"/>
  <c r="P1719" i="2"/>
  <c r="O1720" i="2"/>
  <c r="P1720" i="2"/>
  <c r="O1721" i="2"/>
  <c r="P1721" i="2"/>
  <c r="O1722" i="2"/>
  <c r="P1722" i="2"/>
  <c r="O1723" i="2"/>
  <c r="P1723" i="2"/>
  <c r="O1724" i="2"/>
  <c r="P1724" i="2"/>
  <c r="O1725" i="2"/>
  <c r="P1725" i="2"/>
  <c r="O1726" i="2"/>
  <c r="P1726" i="2"/>
  <c r="O1727" i="2"/>
  <c r="P1727" i="2"/>
  <c r="O1728" i="2"/>
  <c r="P1728" i="2"/>
  <c r="O1729" i="2"/>
  <c r="P1729" i="2"/>
  <c r="O1730" i="2"/>
  <c r="P1730" i="2"/>
  <c r="O1731" i="2"/>
  <c r="P1731" i="2"/>
  <c r="O1732" i="2"/>
  <c r="P1732" i="2"/>
  <c r="O1733" i="2"/>
  <c r="P1733" i="2"/>
  <c r="O1734" i="2"/>
  <c r="P1734" i="2"/>
  <c r="O1735" i="2"/>
  <c r="P1735" i="2"/>
  <c r="O1736" i="2"/>
  <c r="P1736" i="2"/>
  <c r="O1737" i="2"/>
  <c r="P1737" i="2"/>
  <c r="O1738" i="2"/>
  <c r="P1738" i="2"/>
  <c r="O1739" i="2"/>
  <c r="P1739" i="2"/>
  <c r="O1740" i="2"/>
  <c r="P1740" i="2"/>
  <c r="O1741" i="2"/>
  <c r="P1741" i="2"/>
  <c r="O1742" i="2"/>
  <c r="P1742" i="2"/>
  <c r="O1743" i="2"/>
  <c r="P1743" i="2"/>
  <c r="O1744" i="2"/>
  <c r="P1744" i="2"/>
  <c r="O1745" i="2"/>
  <c r="P1745" i="2"/>
  <c r="O1746" i="2"/>
  <c r="P1746" i="2"/>
  <c r="O1747" i="2"/>
  <c r="P1747" i="2"/>
  <c r="O1748" i="2"/>
  <c r="P1748" i="2"/>
  <c r="O1749" i="2"/>
  <c r="P1749" i="2"/>
  <c r="O1750" i="2"/>
  <c r="P1750" i="2"/>
  <c r="O1751" i="2"/>
  <c r="P1751" i="2"/>
  <c r="O1752" i="2"/>
  <c r="P1752" i="2"/>
  <c r="O1753" i="2"/>
  <c r="P1753" i="2"/>
  <c r="O1754" i="2"/>
  <c r="P1754" i="2"/>
  <c r="O1755" i="2"/>
  <c r="P1755" i="2"/>
  <c r="O1756" i="2"/>
  <c r="P1756" i="2"/>
  <c r="O1757" i="2"/>
  <c r="P1757" i="2"/>
  <c r="O1758" i="2"/>
  <c r="P1758" i="2"/>
  <c r="O1759" i="2"/>
  <c r="P1759" i="2"/>
  <c r="O1760" i="2"/>
  <c r="P1760" i="2"/>
  <c r="O1761" i="2"/>
  <c r="P1761" i="2"/>
  <c r="O1762" i="2"/>
  <c r="P1762" i="2"/>
  <c r="O1763" i="2"/>
  <c r="P1763" i="2"/>
  <c r="O1764" i="2"/>
  <c r="P1764" i="2"/>
  <c r="O1765" i="2"/>
  <c r="P1765" i="2"/>
  <c r="O1766" i="2"/>
  <c r="P1766" i="2"/>
  <c r="O1767" i="2"/>
  <c r="P1767" i="2"/>
  <c r="O1768" i="2"/>
  <c r="P1768" i="2"/>
  <c r="O1769" i="2"/>
  <c r="P1769" i="2"/>
  <c r="O1770" i="2"/>
  <c r="P1770" i="2"/>
  <c r="O1771" i="2"/>
  <c r="P1771" i="2"/>
  <c r="O1772" i="2"/>
  <c r="P1772" i="2"/>
  <c r="O1773" i="2"/>
  <c r="P1773" i="2"/>
  <c r="O1774" i="2"/>
  <c r="P1774" i="2"/>
  <c r="O1775" i="2"/>
  <c r="P1775" i="2"/>
  <c r="O1776" i="2"/>
  <c r="P1776" i="2"/>
  <c r="O1777" i="2"/>
  <c r="P1777" i="2"/>
  <c r="O1778" i="2"/>
  <c r="P1778" i="2"/>
  <c r="O1779" i="2"/>
  <c r="P1779" i="2"/>
  <c r="O1780" i="2"/>
  <c r="P1780" i="2"/>
  <c r="O1781" i="2"/>
  <c r="P1781" i="2"/>
  <c r="O1782" i="2"/>
  <c r="P1782" i="2"/>
  <c r="O1783" i="2"/>
  <c r="P1783" i="2"/>
  <c r="O1784" i="2"/>
  <c r="P1784" i="2"/>
  <c r="O1785" i="2"/>
  <c r="P1785" i="2"/>
  <c r="O1786" i="2"/>
  <c r="P1786" i="2"/>
  <c r="O1787" i="2"/>
  <c r="P1787" i="2"/>
  <c r="O1788" i="2"/>
  <c r="P1788" i="2"/>
  <c r="O1789" i="2"/>
  <c r="P1789" i="2"/>
  <c r="O1790" i="2"/>
  <c r="P1790" i="2"/>
  <c r="O1791" i="2"/>
  <c r="P1791" i="2"/>
  <c r="O1792" i="2"/>
  <c r="P1792" i="2"/>
  <c r="O1793" i="2"/>
  <c r="P1793" i="2"/>
  <c r="O1794" i="2"/>
  <c r="P1794" i="2"/>
  <c r="O1795" i="2"/>
  <c r="P1795" i="2"/>
  <c r="O1796" i="2"/>
  <c r="P1796" i="2"/>
  <c r="O1797" i="2"/>
  <c r="P1797" i="2"/>
  <c r="O1798" i="2"/>
  <c r="P1798" i="2"/>
  <c r="O1799" i="2"/>
  <c r="P1799" i="2"/>
  <c r="O1800" i="2"/>
  <c r="P1800" i="2"/>
  <c r="O1801" i="2"/>
  <c r="P1801" i="2"/>
  <c r="O1802" i="2"/>
  <c r="P1802" i="2"/>
  <c r="O1803" i="2"/>
  <c r="P1803" i="2"/>
  <c r="O1804" i="2"/>
  <c r="P1804" i="2"/>
  <c r="O1805" i="2"/>
  <c r="P1805" i="2"/>
  <c r="O1806" i="2"/>
  <c r="P1806" i="2"/>
  <c r="O1807" i="2"/>
  <c r="P1807" i="2"/>
  <c r="O1808" i="2"/>
  <c r="P1808" i="2"/>
  <c r="O1809" i="2"/>
  <c r="P1809" i="2"/>
  <c r="O1810" i="2"/>
  <c r="P1810" i="2"/>
  <c r="O1811" i="2"/>
  <c r="P1811" i="2"/>
  <c r="O1812" i="2"/>
  <c r="P1812" i="2"/>
  <c r="O1813" i="2"/>
  <c r="P1813" i="2"/>
  <c r="O1814" i="2"/>
  <c r="P1814" i="2"/>
  <c r="O1815" i="2"/>
  <c r="P1815" i="2"/>
  <c r="O1816" i="2"/>
  <c r="P1816" i="2"/>
  <c r="O1817" i="2"/>
  <c r="P1817" i="2"/>
  <c r="O1818" i="2"/>
  <c r="P1818" i="2"/>
  <c r="O1819" i="2"/>
  <c r="P1819" i="2"/>
  <c r="O1820" i="2"/>
  <c r="P1820" i="2"/>
  <c r="O1821" i="2"/>
  <c r="P1821" i="2"/>
  <c r="O1822" i="2"/>
  <c r="P1822" i="2"/>
  <c r="O1823" i="2"/>
  <c r="P1823" i="2"/>
  <c r="O1824" i="2"/>
  <c r="P1824" i="2"/>
  <c r="O1825" i="2"/>
  <c r="P1825" i="2"/>
  <c r="O1826" i="2"/>
  <c r="P1826" i="2"/>
  <c r="O1827" i="2"/>
  <c r="P1827" i="2"/>
  <c r="O1828" i="2"/>
  <c r="P1828" i="2"/>
  <c r="O1829" i="2"/>
  <c r="P1829" i="2"/>
  <c r="O1830" i="2"/>
  <c r="P1830" i="2"/>
  <c r="O1831" i="2"/>
  <c r="P1831" i="2"/>
  <c r="O1832" i="2"/>
  <c r="P1832" i="2"/>
  <c r="O1833" i="2"/>
  <c r="P1833" i="2"/>
  <c r="O1834" i="2"/>
  <c r="P1834" i="2"/>
  <c r="O1835" i="2"/>
  <c r="P1835" i="2"/>
  <c r="O1836" i="2"/>
  <c r="P1836" i="2"/>
  <c r="O1837" i="2"/>
  <c r="P1837" i="2"/>
  <c r="O1838" i="2"/>
  <c r="P1838" i="2"/>
  <c r="O1839" i="2"/>
  <c r="P1839" i="2"/>
  <c r="O1840" i="2"/>
  <c r="P1840" i="2"/>
  <c r="O1841" i="2"/>
  <c r="P1841" i="2"/>
  <c r="O1842" i="2"/>
  <c r="P1842" i="2"/>
  <c r="O1843" i="2"/>
  <c r="P1843" i="2"/>
  <c r="O1844" i="2"/>
  <c r="P1844" i="2"/>
  <c r="O1845" i="2"/>
  <c r="P1845" i="2"/>
  <c r="O1846" i="2"/>
  <c r="P1846" i="2"/>
  <c r="O1847" i="2"/>
  <c r="P1847" i="2"/>
  <c r="O1848" i="2"/>
  <c r="P1848" i="2"/>
  <c r="O1849" i="2"/>
  <c r="P1849" i="2"/>
  <c r="O1850" i="2"/>
  <c r="P1850" i="2"/>
  <c r="O1851" i="2"/>
  <c r="P1851" i="2"/>
  <c r="O1852" i="2"/>
  <c r="P1852" i="2"/>
  <c r="O1853" i="2"/>
  <c r="P1853" i="2"/>
  <c r="O1854" i="2"/>
  <c r="P1854" i="2"/>
  <c r="O1855" i="2"/>
  <c r="P1855" i="2"/>
  <c r="O1856" i="2"/>
  <c r="P1856" i="2"/>
  <c r="O1857" i="2"/>
  <c r="P1857" i="2"/>
  <c r="O1858" i="2"/>
  <c r="P1858" i="2"/>
  <c r="O1859" i="2"/>
  <c r="P1859" i="2"/>
  <c r="O1860" i="2"/>
  <c r="P1860" i="2"/>
  <c r="O1861" i="2"/>
  <c r="P1861" i="2"/>
  <c r="O1862" i="2"/>
  <c r="P1862" i="2"/>
  <c r="O1863" i="2"/>
  <c r="P1863" i="2"/>
  <c r="O1864" i="2"/>
  <c r="P1864" i="2"/>
  <c r="O1865" i="2"/>
  <c r="P1865" i="2"/>
  <c r="O1866" i="2"/>
  <c r="P1866" i="2"/>
  <c r="O1867" i="2"/>
  <c r="P1867" i="2"/>
  <c r="O1868" i="2"/>
  <c r="P1868" i="2"/>
  <c r="O1869" i="2"/>
  <c r="P1869" i="2"/>
  <c r="O1870" i="2"/>
  <c r="P1870" i="2"/>
  <c r="O1871" i="2"/>
  <c r="P1871" i="2"/>
  <c r="O1872" i="2"/>
  <c r="P1872" i="2"/>
  <c r="O1873" i="2"/>
  <c r="P1873" i="2"/>
  <c r="O1874" i="2"/>
  <c r="P1874" i="2"/>
  <c r="O1875" i="2"/>
  <c r="P1875" i="2"/>
  <c r="O1876" i="2"/>
  <c r="P1876" i="2"/>
  <c r="O1877" i="2"/>
  <c r="P1877" i="2"/>
  <c r="O1878" i="2"/>
  <c r="P1878" i="2"/>
  <c r="O1879" i="2"/>
  <c r="P1879" i="2"/>
  <c r="O1880" i="2"/>
  <c r="P1880" i="2"/>
  <c r="O1881" i="2"/>
  <c r="P1881" i="2"/>
  <c r="O1882" i="2"/>
  <c r="P1882" i="2"/>
  <c r="O1883" i="2"/>
  <c r="P1883" i="2"/>
  <c r="O1884" i="2"/>
  <c r="P1884" i="2"/>
  <c r="O1885" i="2"/>
  <c r="P1885" i="2"/>
  <c r="O1886" i="2"/>
  <c r="P1886" i="2"/>
  <c r="O1887" i="2"/>
  <c r="P1887" i="2"/>
  <c r="O1888" i="2"/>
  <c r="P1888" i="2"/>
  <c r="O1889" i="2"/>
  <c r="P1889" i="2"/>
  <c r="O1890" i="2"/>
  <c r="P1890" i="2"/>
  <c r="O1891" i="2"/>
  <c r="P1891" i="2"/>
  <c r="O1892" i="2"/>
  <c r="P1892" i="2"/>
  <c r="O1893" i="2"/>
  <c r="P1893" i="2"/>
  <c r="O1894" i="2"/>
  <c r="P1894" i="2"/>
  <c r="O1895" i="2"/>
  <c r="P1895" i="2"/>
  <c r="O1896" i="2"/>
  <c r="P1896" i="2"/>
  <c r="O1897" i="2"/>
  <c r="P1897" i="2"/>
  <c r="O1898" i="2"/>
  <c r="P1898" i="2"/>
  <c r="O1899" i="2"/>
  <c r="P1899" i="2"/>
  <c r="O1900" i="2"/>
  <c r="P1900" i="2"/>
  <c r="O1901" i="2"/>
  <c r="P1901" i="2"/>
  <c r="O1902" i="2"/>
  <c r="P1902" i="2"/>
  <c r="O1903" i="2"/>
  <c r="P1903" i="2"/>
  <c r="O1904" i="2"/>
  <c r="P1904" i="2"/>
  <c r="O1905" i="2"/>
  <c r="P1905" i="2"/>
  <c r="O1906" i="2"/>
  <c r="P1906" i="2"/>
  <c r="O1907" i="2"/>
  <c r="P1907" i="2"/>
  <c r="O1908" i="2"/>
  <c r="P1908" i="2"/>
  <c r="O1909" i="2"/>
  <c r="P1909" i="2"/>
  <c r="O1910" i="2"/>
  <c r="P1910" i="2"/>
  <c r="O1911" i="2"/>
  <c r="P1911" i="2"/>
  <c r="O1912" i="2"/>
  <c r="P1912" i="2"/>
  <c r="O1913" i="2"/>
  <c r="P1913" i="2"/>
  <c r="O1914" i="2"/>
  <c r="P1914" i="2"/>
  <c r="O1915" i="2"/>
  <c r="P1915" i="2"/>
  <c r="O1916" i="2"/>
  <c r="P1916" i="2"/>
  <c r="O1917" i="2"/>
  <c r="P1917" i="2"/>
  <c r="O1918" i="2"/>
  <c r="P1918" i="2"/>
  <c r="O1919" i="2"/>
  <c r="P1919" i="2"/>
  <c r="O1920" i="2"/>
  <c r="P1920" i="2"/>
  <c r="O1921" i="2"/>
  <c r="P1921" i="2"/>
  <c r="O1922" i="2"/>
  <c r="P1922" i="2"/>
  <c r="O1923" i="2"/>
  <c r="P1923" i="2"/>
  <c r="O1924" i="2"/>
  <c r="P1924" i="2"/>
  <c r="O1925" i="2"/>
  <c r="P1925" i="2"/>
  <c r="O1926" i="2"/>
  <c r="P1926" i="2"/>
  <c r="O1927" i="2"/>
  <c r="P1927" i="2"/>
  <c r="O1928" i="2"/>
  <c r="P1928" i="2"/>
  <c r="O1929" i="2"/>
  <c r="P1929" i="2"/>
  <c r="O1930" i="2"/>
  <c r="P1930" i="2"/>
  <c r="O1931" i="2"/>
  <c r="P1931" i="2"/>
  <c r="O1932" i="2"/>
  <c r="P1932" i="2"/>
  <c r="O1933" i="2"/>
  <c r="P1933" i="2"/>
  <c r="O1934" i="2"/>
  <c r="P1934" i="2"/>
  <c r="O1935" i="2"/>
  <c r="P1935" i="2"/>
  <c r="O1936" i="2"/>
  <c r="P1936" i="2"/>
  <c r="O1937" i="2"/>
  <c r="P1937" i="2"/>
  <c r="O1938" i="2"/>
  <c r="P1938" i="2"/>
  <c r="O1939" i="2"/>
  <c r="P1939" i="2"/>
  <c r="O1940" i="2"/>
  <c r="P1940" i="2"/>
  <c r="O1941" i="2"/>
  <c r="P1941" i="2"/>
  <c r="O1942" i="2"/>
  <c r="P1942" i="2"/>
  <c r="O1943" i="2"/>
  <c r="P1943" i="2"/>
  <c r="O1944" i="2"/>
  <c r="P1944" i="2"/>
  <c r="O1945" i="2"/>
  <c r="P1945" i="2"/>
  <c r="O1946" i="2"/>
  <c r="P1946" i="2"/>
  <c r="O1947" i="2"/>
  <c r="P1947" i="2"/>
  <c r="O1948" i="2"/>
  <c r="P1948" i="2"/>
  <c r="O1949" i="2"/>
  <c r="P1949" i="2"/>
  <c r="O1950" i="2"/>
  <c r="P1950" i="2"/>
  <c r="O1951" i="2"/>
  <c r="P1951" i="2"/>
  <c r="O1952" i="2"/>
  <c r="P1952" i="2"/>
  <c r="O1953" i="2"/>
  <c r="P1953" i="2"/>
  <c r="O1954" i="2"/>
  <c r="P1954" i="2"/>
  <c r="O1955" i="2"/>
  <c r="P1955" i="2"/>
  <c r="O1956" i="2"/>
  <c r="P1956" i="2"/>
  <c r="O1957" i="2"/>
  <c r="P1957" i="2"/>
  <c r="O1958" i="2"/>
  <c r="P1958" i="2"/>
  <c r="O1959" i="2"/>
  <c r="P1959" i="2"/>
  <c r="O1960" i="2"/>
  <c r="P1960" i="2"/>
  <c r="O1961" i="2"/>
  <c r="P1961" i="2"/>
  <c r="O1962" i="2"/>
  <c r="P1962" i="2"/>
  <c r="O1963" i="2"/>
  <c r="P1963" i="2"/>
  <c r="O1964" i="2"/>
  <c r="P1964" i="2"/>
  <c r="O1965" i="2"/>
  <c r="P1965" i="2"/>
  <c r="O1966" i="2"/>
  <c r="P1966" i="2"/>
  <c r="O1967" i="2"/>
  <c r="P1967" i="2"/>
  <c r="O1968" i="2"/>
  <c r="P1968" i="2"/>
  <c r="O1969" i="2"/>
  <c r="P1969" i="2"/>
  <c r="O1970" i="2"/>
  <c r="P1970" i="2"/>
  <c r="O1971" i="2"/>
  <c r="P1971" i="2"/>
  <c r="O1972" i="2"/>
  <c r="P1972" i="2"/>
  <c r="O1973" i="2"/>
  <c r="P1973" i="2"/>
  <c r="O1974" i="2"/>
  <c r="P1974" i="2"/>
  <c r="O1975" i="2"/>
  <c r="P1975" i="2"/>
  <c r="O1976" i="2"/>
  <c r="P1976" i="2"/>
  <c r="O1977" i="2"/>
  <c r="P1977" i="2"/>
  <c r="O1978" i="2"/>
  <c r="P1978" i="2"/>
  <c r="O1979" i="2"/>
  <c r="P1979" i="2"/>
  <c r="O1980" i="2"/>
  <c r="P1980" i="2"/>
  <c r="O1981" i="2"/>
  <c r="P1981" i="2"/>
  <c r="O1982" i="2"/>
  <c r="P1982" i="2"/>
  <c r="O1983" i="2"/>
  <c r="P1983" i="2"/>
  <c r="O1984" i="2"/>
  <c r="P1984" i="2"/>
  <c r="O1985" i="2"/>
  <c r="P1985" i="2"/>
  <c r="O1986" i="2"/>
  <c r="P1986" i="2"/>
  <c r="O1987" i="2"/>
  <c r="P1987" i="2"/>
  <c r="O1988" i="2"/>
  <c r="P1988" i="2"/>
  <c r="O1989" i="2"/>
  <c r="P1989" i="2"/>
  <c r="O1990" i="2"/>
  <c r="P1990" i="2"/>
  <c r="O1991" i="2"/>
  <c r="P1991" i="2"/>
  <c r="O1992" i="2"/>
  <c r="P1992" i="2"/>
  <c r="O1993" i="2"/>
  <c r="P1993" i="2"/>
  <c r="O1994" i="2"/>
  <c r="P1994" i="2"/>
  <c r="O1995" i="2"/>
  <c r="P1995" i="2"/>
  <c r="O1996" i="2"/>
  <c r="P1996" i="2"/>
  <c r="O1997" i="2"/>
  <c r="P1997" i="2"/>
  <c r="O1998" i="2"/>
  <c r="P1998" i="2"/>
  <c r="O1999" i="2"/>
  <c r="P1999" i="2"/>
  <c r="O2000" i="2"/>
  <c r="P2000" i="2"/>
  <c r="O2001" i="2"/>
  <c r="P2001" i="2"/>
  <c r="O2002" i="2"/>
  <c r="P2002" i="2"/>
  <c r="O2003" i="2"/>
  <c r="P2003" i="2"/>
  <c r="O2004" i="2"/>
  <c r="P2004" i="2"/>
  <c r="O2005" i="2"/>
  <c r="P2005" i="2"/>
  <c r="O2006" i="2"/>
  <c r="P2006" i="2"/>
  <c r="O2007" i="2"/>
  <c r="P2007" i="2"/>
  <c r="O2008" i="2"/>
  <c r="P2008" i="2"/>
  <c r="O2009" i="2"/>
  <c r="P2009" i="2"/>
  <c r="O2010" i="2"/>
  <c r="P2010" i="2"/>
  <c r="O2011" i="2"/>
  <c r="P2011" i="2"/>
  <c r="O2012" i="2"/>
  <c r="P2012" i="2"/>
  <c r="O2013" i="2"/>
  <c r="P2013" i="2"/>
  <c r="O2014" i="2"/>
  <c r="P2014" i="2"/>
  <c r="O2015" i="2"/>
  <c r="P2015" i="2"/>
  <c r="O2016" i="2"/>
  <c r="P2016" i="2"/>
  <c r="O2017" i="2"/>
  <c r="P2017" i="2"/>
  <c r="O2018" i="2"/>
  <c r="P2018" i="2"/>
  <c r="O2019" i="2"/>
  <c r="P2019" i="2"/>
  <c r="O2020" i="2"/>
  <c r="P2020" i="2"/>
  <c r="O2021" i="2"/>
  <c r="P2021" i="2"/>
  <c r="O2022" i="2"/>
  <c r="P2022" i="2"/>
  <c r="O2023" i="2"/>
  <c r="P2023" i="2"/>
  <c r="O2024" i="2"/>
  <c r="P2024" i="2"/>
  <c r="O2025" i="2"/>
  <c r="P2025" i="2"/>
  <c r="O2026" i="2"/>
  <c r="P2026" i="2"/>
  <c r="O2027" i="2"/>
  <c r="P2027" i="2"/>
  <c r="O2028" i="2"/>
  <c r="P2028" i="2"/>
  <c r="O2029" i="2"/>
  <c r="P2029" i="2"/>
  <c r="O2030" i="2"/>
  <c r="P2030" i="2"/>
  <c r="O2031" i="2"/>
  <c r="P2031" i="2"/>
  <c r="O2032" i="2"/>
  <c r="P2032" i="2"/>
  <c r="O2033" i="2"/>
  <c r="P2033" i="2"/>
  <c r="O2034" i="2"/>
  <c r="P2034" i="2"/>
  <c r="O2035" i="2"/>
  <c r="P2035" i="2"/>
  <c r="O2036" i="2"/>
  <c r="P2036" i="2"/>
  <c r="O2037" i="2"/>
  <c r="P2037" i="2"/>
  <c r="O2038" i="2"/>
  <c r="P2038" i="2"/>
  <c r="O2039" i="2"/>
  <c r="P2039" i="2"/>
  <c r="O2040" i="2"/>
  <c r="P2040" i="2"/>
  <c r="O2041" i="2"/>
  <c r="P2041" i="2"/>
  <c r="O2042" i="2"/>
  <c r="P2042" i="2"/>
  <c r="O2043" i="2"/>
  <c r="P2043" i="2"/>
  <c r="O2044" i="2"/>
  <c r="P2044" i="2"/>
  <c r="O2045" i="2"/>
  <c r="P2045" i="2"/>
  <c r="O2046" i="2"/>
  <c r="P2046" i="2"/>
  <c r="O2047" i="2"/>
  <c r="P2047" i="2"/>
  <c r="O2048" i="2"/>
  <c r="P2048" i="2"/>
  <c r="O2049" i="2"/>
  <c r="P2049" i="2"/>
  <c r="O2050" i="2"/>
  <c r="P2050" i="2"/>
  <c r="O2051" i="2"/>
  <c r="P2051" i="2"/>
  <c r="O2052" i="2"/>
  <c r="P2052" i="2"/>
  <c r="O2053" i="2"/>
  <c r="P2053" i="2"/>
  <c r="O2054" i="2"/>
  <c r="P2054" i="2"/>
  <c r="O2055" i="2"/>
  <c r="P2055" i="2"/>
  <c r="O2056" i="2"/>
  <c r="P2056" i="2"/>
  <c r="O2057" i="2"/>
  <c r="P2057" i="2"/>
  <c r="O2058" i="2"/>
  <c r="P2058" i="2"/>
  <c r="O2059" i="2"/>
  <c r="P2059" i="2"/>
  <c r="O2060" i="2"/>
  <c r="P2060" i="2"/>
  <c r="O2061" i="2"/>
  <c r="P2061" i="2"/>
  <c r="O2062" i="2"/>
  <c r="P2062" i="2"/>
  <c r="O2063" i="2"/>
  <c r="P2063" i="2"/>
  <c r="O2064" i="2"/>
  <c r="P2064" i="2"/>
  <c r="O2065" i="2"/>
  <c r="P2065" i="2"/>
  <c r="O2066" i="2"/>
  <c r="P2066" i="2"/>
  <c r="O2067" i="2"/>
  <c r="P2067" i="2"/>
  <c r="O2068" i="2"/>
  <c r="P2068" i="2"/>
  <c r="O2069" i="2"/>
  <c r="P2069" i="2"/>
  <c r="O2070" i="2"/>
  <c r="P2070" i="2"/>
  <c r="O2071" i="2"/>
  <c r="P2071" i="2"/>
  <c r="O2072" i="2"/>
  <c r="P2072" i="2"/>
  <c r="O2073" i="2"/>
  <c r="P2073" i="2"/>
  <c r="O2074" i="2"/>
  <c r="P2074" i="2"/>
  <c r="O2075" i="2"/>
  <c r="P2075" i="2"/>
  <c r="O2076" i="2"/>
  <c r="P2076" i="2"/>
  <c r="O2077" i="2"/>
  <c r="P2077" i="2"/>
  <c r="O2078" i="2"/>
  <c r="P2078" i="2"/>
  <c r="O2079" i="2"/>
  <c r="P2079" i="2"/>
  <c r="O2080" i="2"/>
  <c r="P2080" i="2"/>
  <c r="O2081" i="2"/>
  <c r="P2081" i="2"/>
  <c r="O2082" i="2"/>
  <c r="P2082" i="2"/>
  <c r="O2083" i="2"/>
  <c r="P2083" i="2"/>
  <c r="O2084" i="2"/>
  <c r="P2084" i="2"/>
  <c r="O2085" i="2"/>
  <c r="P2085" i="2"/>
  <c r="O2086" i="2"/>
  <c r="P2086" i="2"/>
  <c r="O2087" i="2"/>
  <c r="P2087" i="2"/>
  <c r="O2088" i="2"/>
  <c r="P2088" i="2"/>
  <c r="O2089" i="2"/>
  <c r="P2089" i="2"/>
  <c r="O2090" i="2"/>
  <c r="P2090" i="2"/>
  <c r="O2091" i="2"/>
  <c r="P2091" i="2"/>
  <c r="O2092" i="2"/>
  <c r="P2092" i="2"/>
  <c r="O2093" i="2"/>
  <c r="P2093" i="2"/>
  <c r="O2094" i="2"/>
  <c r="P2094" i="2"/>
  <c r="O2095" i="2"/>
  <c r="P2095" i="2"/>
  <c r="O2096" i="2"/>
  <c r="P2096" i="2"/>
  <c r="O2097" i="2"/>
  <c r="P2097" i="2"/>
  <c r="O2098" i="2"/>
  <c r="P2098" i="2"/>
  <c r="O2099" i="2"/>
  <c r="P2099" i="2"/>
  <c r="O2100" i="2"/>
  <c r="P2100" i="2"/>
  <c r="O2101" i="2"/>
  <c r="P2101" i="2"/>
  <c r="O2102" i="2"/>
  <c r="P2102" i="2"/>
  <c r="O2103" i="2"/>
  <c r="P2103" i="2"/>
  <c r="O2104" i="2"/>
  <c r="P2104" i="2"/>
  <c r="O2105" i="2"/>
  <c r="P2105" i="2"/>
  <c r="O2106" i="2"/>
  <c r="P2106" i="2"/>
  <c r="O2107" i="2"/>
  <c r="P2107" i="2"/>
  <c r="O2108" i="2"/>
  <c r="P2108" i="2"/>
  <c r="O2109" i="2"/>
  <c r="P2109" i="2"/>
  <c r="O2110" i="2"/>
  <c r="P2110" i="2"/>
  <c r="O2111" i="2"/>
  <c r="P2111" i="2"/>
  <c r="O2112" i="2"/>
  <c r="P2112" i="2"/>
  <c r="O2113" i="2"/>
  <c r="P2113" i="2"/>
  <c r="O2114" i="2"/>
  <c r="P2114" i="2"/>
  <c r="O2115" i="2"/>
  <c r="P2115" i="2"/>
  <c r="O2116" i="2"/>
  <c r="P2116" i="2"/>
  <c r="O2117" i="2"/>
  <c r="P2117" i="2"/>
  <c r="O2118" i="2"/>
  <c r="P2118" i="2"/>
  <c r="O2119" i="2"/>
  <c r="P2119" i="2"/>
  <c r="O2120" i="2"/>
  <c r="P2120" i="2"/>
  <c r="O2121" i="2"/>
  <c r="P2121" i="2"/>
  <c r="O2122" i="2"/>
  <c r="P2122" i="2"/>
  <c r="O2123" i="2"/>
  <c r="P2123" i="2"/>
  <c r="O2124" i="2"/>
  <c r="P2124" i="2"/>
  <c r="O2125" i="2"/>
  <c r="P2125" i="2"/>
  <c r="O2126" i="2"/>
  <c r="P2126" i="2"/>
  <c r="O2127" i="2"/>
  <c r="P2127" i="2"/>
  <c r="O2128" i="2"/>
  <c r="P2128" i="2"/>
  <c r="O2129" i="2"/>
  <c r="P2129" i="2"/>
  <c r="O2130" i="2"/>
  <c r="P2130" i="2"/>
  <c r="O2131" i="2"/>
  <c r="P2131" i="2"/>
  <c r="O2132" i="2"/>
  <c r="P2132" i="2"/>
  <c r="O2133" i="2"/>
  <c r="P2133" i="2"/>
  <c r="O2134" i="2"/>
  <c r="P2134" i="2"/>
  <c r="O2135" i="2"/>
  <c r="P2135" i="2"/>
  <c r="O2136" i="2"/>
  <c r="P2136" i="2"/>
  <c r="O2137" i="2"/>
  <c r="P2137" i="2"/>
  <c r="O2138" i="2"/>
  <c r="P2138" i="2"/>
  <c r="O2139" i="2"/>
  <c r="P2139" i="2"/>
  <c r="O2140" i="2"/>
  <c r="P2140" i="2"/>
  <c r="O2141" i="2"/>
  <c r="P2141" i="2"/>
  <c r="O2142" i="2"/>
  <c r="P2142" i="2"/>
  <c r="O2143" i="2"/>
  <c r="P2143" i="2"/>
  <c r="O2144" i="2"/>
  <c r="P2144" i="2"/>
  <c r="O2145" i="2"/>
  <c r="P2145" i="2"/>
  <c r="O2146" i="2"/>
  <c r="P2146" i="2"/>
  <c r="O2147" i="2"/>
  <c r="P2147" i="2"/>
  <c r="O2148" i="2"/>
  <c r="P2148" i="2"/>
  <c r="O2149" i="2"/>
  <c r="P2149" i="2"/>
  <c r="O2150" i="2"/>
  <c r="P2150" i="2"/>
  <c r="O2151" i="2"/>
  <c r="P2151" i="2"/>
  <c r="O2152" i="2"/>
  <c r="P2152" i="2"/>
  <c r="O2153" i="2"/>
  <c r="P2153" i="2"/>
  <c r="O2154" i="2"/>
  <c r="P2154" i="2"/>
  <c r="O2155" i="2"/>
  <c r="P2155" i="2"/>
  <c r="O2156" i="2"/>
  <c r="P2156" i="2"/>
  <c r="O2157" i="2"/>
  <c r="P2157" i="2"/>
  <c r="O2158" i="2"/>
  <c r="P2158" i="2"/>
  <c r="O2159" i="2"/>
  <c r="P2159" i="2"/>
  <c r="O2160" i="2"/>
  <c r="P2160" i="2"/>
  <c r="O2161" i="2"/>
  <c r="P2161" i="2"/>
  <c r="O2162" i="2"/>
  <c r="P2162" i="2"/>
  <c r="O2163" i="2"/>
  <c r="P2163" i="2"/>
  <c r="O2164" i="2"/>
  <c r="P2164" i="2"/>
  <c r="O2165" i="2"/>
  <c r="P2165" i="2"/>
  <c r="O2166" i="2"/>
  <c r="P2166" i="2"/>
  <c r="O2167" i="2"/>
  <c r="P2167" i="2"/>
  <c r="O2168" i="2"/>
  <c r="P2168" i="2"/>
  <c r="O2169" i="2"/>
  <c r="P2169" i="2"/>
  <c r="O2170" i="2"/>
  <c r="P2170" i="2"/>
  <c r="O2171" i="2"/>
  <c r="P2171" i="2"/>
  <c r="O2172" i="2"/>
  <c r="P2172" i="2"/>
  <c r="O2173" i="2"/>
  <c r="P2173" i="2"/>
  <c r="O2174" i="2"/>
  <c r="P2174" i="2"/>
  <c r="O2175" i="2"/>
  <c r="P2175" i="2"/>
  <c r="O2176" i="2"/>
  <c r="P2176" i="2"/>
  <c r="O2177" i="2"/>
  <c r="P2177" i="2"/>
  <c r="O2178" i="2"/>
  <c r="P2178" i="2"/>
  <c r="O2179" i="2"/>
  <c r="P2179" i="2"/>
  <c r="O2180" i="2"/>
  <c r="P2180" i="2"/>
  <c r="O2181" i="2"/>
  <c r="P2181" i="2"/>
  <c r="O2182" i="2"/>
  <c r="P2182" i="2"/>
  <c r="O2183" i="2"/>
  <c r="P2183" i="2"/>
  <c r="O2184" i="2"/>
  <c r="P2184" i="2"/>
  <c r="O2185" i="2"/>
  <c r="P2185" i="2"/>
  <c r="O2186" i="2"/>
  <c r="P2186" i="2"/>
  <c r="O2187" i="2"/>
  <c r="P2187" i="2"/>
  <c r="O2188" i="2"/>
  <c r="P2188" i="2"/>
  <c r="O2189" i="2"/>
  <c r="P2189" i="2"/>
  <c r="O2190" i="2"/>
  <c r="P2190" i="2"/>
  <c r="O2191" i="2"/>
  <c r="P2191" i="2"/>
  <c r="O2192" i="2"/>
  <c r="P2192" i="2"/>
  <c r="O2193" i="2"/>
  <c r="P2193" i="2"/>
  <c r="O2194" i="2"/>
  <c r="P2194" i="2"/>
  <c r="O2195" i="2"/>
  <c r="P2195" i="2"/>
  <c r="O2196" i="2"/>
  <c r="P2196" i="2"/>
  <c r="O2197" i="2"/>
  <c r="P2197" i="2"/>
  <c r="O2198" i="2"/>
  <c r="P2198" i="2"/>
  <c r="O2199" i="2"/>
  <c r="P2199" i="2"/>
  <c r="O2200" i="2"/>
  <c r="P2200" i="2"/>
  <c r="O2201" i="2"/>
  <c r="P2201" i="2"/>
  <c r="O2202" i="2"/>
  <c r="P2202" i="2"/>
  <c r="O2203" i="2"/>
  <c r="P2203" i="2"/>
  <c r="O2204" i="2"/>
  <c r="P2204" i="2"/>
  <c r="O2205" i="2"/>
  <c r="P2205" i="2"/>
  <c r="O2206" i="2"/>
  <c r="P2206" i="2"/>
  <c r="O2207" i="2"/>
  <c r="P2207" i="2"/>
  <c r="O2208" i="2"/>
  <c r="P2208" i="2"/>
  <c r="O2209" i="2"/>
  <c r="P2209" i="2"/>
  <c r="O2210" i="2"/>
  <c r="P2210" i="2"/>
  <c r="O2211" i="2"/>
  <c r="P2211" i="2"/>
  <c r="O2212" i="2"/>
  <c r="P2212" i="2"/>
  <c r="O2213" i="2"/>
  <c r="P2213" i="2"/>
  <c r="O2214" i="2"/>
  <c r="P2214" i="2"/>
  <c r="O2215" i="2"/>
  <c r="P2215" i="2"/>
  <c r="O2216" i="2"/>
  <c r="P2216" i="2"/>
  <c r="O2217" i="2"/>
  <c r="P2217" i="2"/>
  <c r="O2218" i="2"/>
  <c r="P2218" i="2"/>
  <c r="O2219" i="2"/>
  <c r="P2219" i="2"/>
  <c r="O2220" i="2"/>
  <c r="P2220" i="2"/>
  <c r="O2221" i="2"/>
  <c r="P2221" i="2"/>
  <c r="O2222" i="2"/>
  <c r="P2222" i="2"/>
  <c r="O2223" i="2"/>
  <c r="P2223" i="2"/>
  <c r="O2224" i="2"/>
  <c r="P2224" i="2"/>
  <c r="O2225" i="2"/>
  <c r="P2225" i="2"/>
  <c r="O2226" i="2"/>
  <c r="P2226" i="2"/>
  <c r="O2227" i="2"/>
  <c r="P2227" i="2"/>
  <c r="O2228" i="2"/>
  <c r="P2228" i="2"/>
  <c r="O2229" i="2"/>
  <c r="P2229" i="2"/>
  <c r="O2230" i="2"/>
  <c r="P2230" i="2"/>
  <c r="O2231" i="2"/>
  <c r="P2231" i="2"/>
  <c r="O2232" i="2"/>
  <c r="P2232" i="2"/>
  <c r="O2233" i="2"/>
  <c r="P2233" i="2"/>
  <c r="O2234" i="2"/>
  <c r="P2234" i="2"/>
  <c r="O2235" i="2"/>
  <c r="P2235" i="2"/>
  <c r="O2236" i="2"/>
  <c r="P2236" i="2"/>
  <c r="O2237" i="2"/>
  <c r="P2237" i="2"/>
  <c r="O2238" i="2"/>
  <c r="P2238" i="2"/>
  <c r="O2239" i="2"/>
  <c r="P2239" i="2"/>
  <c r="O2240" i="2"/>
  <c r="P2240" i="2"/>
  <c r="O2241" i="2"/>
  <c r="P2241" i="2"/>
  <c r="O2242" i="2"/>
  <c r="P2242" i="2"/>
  <c r="O2243" i="2"/>
  <c r="P2243" i="2"/>
  <c r="O2244" i="2"/>
  <c r="P2244" i="2"/>
  <c r="O2245" i="2"/>
  <c r="P2245" i="2"/>
  <c r="O2246" i="2"/>
  <c r="P2246" i="2"/>
  <c r="O2247" i="2"/>
  <c r="P2247" i="2"/>
  <c r="O2248" i="2"/>
  <c r="P2248" i="2"/>
  <c r="O2249" i="2"/>
  <c r="P2249" i="2"/>
  <c r="O2250" i="2"/>
  <c r="P2250" i="2"/>
  <c r="O2251" i="2"/>
  <c r="P2251" i="2"/>
  <c r="O2252" i="2"/>
  <c r="P2252" i="2"/>
  <c r="O2253" i="2"/>
  <c r="P2253" i="2"/>
  <c r="O2254" i="2"/>
  <c r="P2254" i="2"/>
  <c r="O2255" i="2"/>
  <c r="P2255" i="2"/>
  <c r="O2256" i="2"/>
  <c r="P2256" i="2"/>
  <c r="O2257" i="2"/>
  <c r="P2257" i="2"/>
  <c r="O2258" i="2"/>
  <c r="P2258" i="2"/>
  <c r="O2259" i="2"/>
  <c r="P2259" i="2"/>
  <c r="O2260" i="2"/>
  <c r="P2260" i="2"/>
  <c r="O2261" i="2"/>
  <c r="P2261" i="2"/>
  <c r="O2262" i="2"/>
  <c r="P2262" i="2"/>
  <c r="O2263" i="2"/>
  <c r="P2263" i="2"/>
  <c r="O2264" i="2"/>
  <c r="P2264" i="2"/>
  <c r="O2265" i="2"/>
  <c r="P2265" i="2"/>
  <c r="O2266" i="2"/>
  <c r="P2266" i="2"/>
  <c r="O2267" i="2"/>
  <c r="P2267" i="2"/>
  <c r="O2268" i="2"/>
  <c r="P2268" i="2"/>
  <c r="O2269" i="2"/>
  <c r="P2269" i="2"/>
  <c r="O2270" i="2"/>
  <c r="P2270" i="2"/>
  <c r="O2271" i="2"/>
  <c r="P2271" i="2"/>
  <c r="O2272" i="2"/>
  <c r="P2272" i="2"/>
  <c r="O2273" i="2"/>
  <c r="P2273" i="2"/>
  <c r="O2274" i="2"/>
  <c r="P2274" i="2"/>
  <c r="O2275" i="2"/>
  <c r="P2275" i="2"/>
  <c r="O2276" i="2"/>
  <c r="P2276" i="2"/>
  <c r="O2277" i="2"/>
  <c r="P2277" i="2"/>
  <c r="O2278" i="2"/>
  <c r="P2278" i="2"/>
  <c r="O2279" i="2"/>
  <c r="P2279" i="2"/>
  <c r="O2280" i="2"/>
  <c r="P2280" i="2"/>
  <c r="O2281" i="2"/>
  <c r="P2281" i="2"/>
  <c r="O2282" i="2"/>
  <c r="P2282" i="2"/>
  <c r="O2283" i="2"/>
  <c r="P2283" i="2"/>
  <c r="O2284" i="2"/>
  <c r="P2284" i="2"/>
  <c r="O2285" i="2"/>
  <c r="P2285" i="2"/>
  <c r="O2286" i="2"/>
  <c r="P2286" i="2"/>
  <c r="O2287" i="2"/>
  <c r="P2287" i="2"/>
  <c r="O2288" i="2"/>
  <c r="P2288" i="2"/>
  <c r="O2289" i="2"/>
  <c r="P2289" i="2"/>
  <c r="O2290" i="2"/>
  <c r="P2290" i="2"/>
  <c r="O2291" i="2"/>
  <c r="P2291" i="2"/>
  <c r="O2292" i="2"/>
  <c r="P2292" i="2"/>
  <c r="O2293" i="2"/>
  <c r="P2293" i="2"/>
  <c r="O2294" i="2"/>
  <c r="P2294" i="2"/>
  <c r="O2295" i="2"/>
  <c r="P2295" i="2"/>
  <c r="O2296" i="2"/>
  <c r="P2296" i="2"/>
  <c r="O2297" i="2"/>
  <c r="P2297" i="2"/>
  <c r="O2298" i="2"/>
  <c r="P2298" i="2"/>
  <c r="O2299" i="2"/>
  <c r="P2299" i="2"/>
  <c r="O2300" i="2"/>
  <c r="P2300" i="2"/>
  <c r="O2301" i="2"/>
  <c r="P2301" i="2"/>
  <c r="O2302" i="2"/>
  <c r="P2302" i="2"/>
  <c r="O2303" i="2"/>
  <c r="P2303" i="2"/>
  <c r="O2304" i="2"/>
  <c r="P2304" i="2"/>
  <c r="O2305" i="2"/>
  <c r="P2305" i="2"/>
  <c r="O2306" i="2"/>
  <c r="P2306" i="2"/>
  <c r="O2307" i="2"/>
  <c r="P2307" i="2"/>
  <c r="O2308" i="2"/>
  <c r="P2308" i="2"/>
  <c r="O2309" i="2"/>
  <c r="P2309" i="2"/>
  <c r="O2310" i="2"/>
  <c r="P2310" i="2"/>
  <c r="O2311" i="2"/>
  <c r="P2311" i="2"/>
  <c r="O2312" i="2"/>
  <c r="P2312" i="2"/>
  <c r="O2313" i="2"/>
  <c r="P2313" i="2"/>
  <c r="O2314" i="2"/>
  <c r="P2314" i="2"/>
  <c r="O2315" i="2"/>
  <c r="P2315" i="2"/>
  <c r="O2316" i="2"/>
  <c r="P2316" i="2"/>
  <c r="O2317" i="2"/>
  <c r="P2317" i="2"/>
  <c r="O2318" i="2"/>
  <c r="P2318" i="2"/>
  <c r="O2319" i="2"/>
  <c r="P2319" i="2"/>
  <c r="O2320" i="2"/>
  <c r="P2320" i="2"/>
  <c r="O2321" i="2"/>
  <c r="P2321" i="2"/>
  <c r="O2322" i="2"/>
  <c r="P2322" i="2"/>
  <c r="O2323" i="2"/>
  <c r="P2323" i="2"/>
  <c r="O2324" i="2"/>
  <c r="P2324" i="2"/>
  <c r="O2325" i="2"/>
  <c r="P2325" i="2"/>
  <c r="O2326" i="2"/>
  <c r="P2326" i="2"/>
  <c r="O2327" i="2"/>
  <c r="P2327" i="2"/>
  <c r="O2328" i="2"/>
  <c r="P2328" i="2"/>
  <c r="O2329" i="2"/>
  <c r="P2329" i="2"/>
  <c r="O2330" i="2"/>
  <c r="P2330" i="2"/>
  <c r="O2331" i="2"/>
  <c r="P2331" i="2"/>
  <c r="O2332" i="2"/>
  <c r="P2332" i="2"/>
  <c r="O2333" i="2"/>
  <c r="P2333" i="2"/>
  <c r="O2334" i="2"/>
  <c r="P2334" i="2"/>
  <c r="O2335" i="2"/>
  <c r="P2335" i="2"/>
  <c r="O2336" i="2"/>
  <c r="P2336" i="2"/>
  <c r="O2337" i="2"/>
  <c r="P2337" i="2"/>
  <c r="O2338" i="2"/>
  <c r="P2338" i="2"/>
  <c r="O2339" i="2"/>
  <c r="P2339" i="2"/>
  <c r="O2340" i="2"/>
  <c r="P2340" i="2"/>
  <c r="O2341" i="2"/>
  <c r="P2341" i="2"/>
  <c r="O2342" i="2"/>
  <c r="P2342" i="2"/>
  <c r="O2343" i="2"/>
  <c r="P2343" i="2"/>
  <c r="O2344" i="2"/>
  <c r="P2344" i="2"/>
  <c r="O2345" i="2"/>
  <c r="P2345" i="2"/>
  <c r="O2346" i="2"/>
  <c r="P2346" i="2"/>
  <c r="O2347" i="2"/>
  <c r="P2347" i="2"/>
  <c r="O2348" i="2"/>
  <c r="P2348" i="2"/>
  <c r="O2349" i="2"/>
  <c r="P2349" i="2"/>
  <c r="O2350" i="2"/>
  <c r="P2350" i="2"/>
  <c r="O2351" i="2"/>
  <c r="P2351" i="2"/>
  <c r="O2352" i="2"/>
  <c r="P2352" i="2"/>
  <c r="O2353" i="2"/>
  <c r="P2353" i="2"/>
  <c r="O2354" i="2"/>
  <c r="P2354" i="2"/>
  <c r="O2355" i="2"/>
  <c r="P2355" i="2"/>
  <c r="O2356" i="2"/>
  <c r="P2356" i="2"/>
  <c r="O2357" i="2"/>
  <c r="P2357" i="2"/>
  <c r="O2358" i="2"/>
  <c r="P2358" i="2"/>
  <c r="O2359" i="2"/>
  <c r="P2359" i="2"/>
  <c r="O2360" i="2"/>
  <c r="P2360" i="2"/>
  <c r="O2361" i="2"/>
  <c r="P2361" i="2"/>
  <c r="O2362" i="2"/>
  <c r="P2362" i="2"/>
  <c r="O2363" i="2"/>
  <c r="P2363" i="2"/>
  <c r="O2364" i="2"/>
  <c r="P2364" i="2"/>
  <c r="O2365" i="2"/>
  <c r="P2365" i="2"/>
  <c r="O2366" i="2"/>
  <c r="P2366" i="2"/>
  <c r="O2367" i="2"/>
  <c r="P2367" i="2"/>
  <c r="O2368" i="2"/>
  <c r="P2368" i="2"/>
  <c r="O2369" i="2"/>
  <c r="P2369" i="2"/>
  <c r="O2370" i="2"/>
  <c r="P2370" i="2"/>
  <c r="O2371" i="2"/>
  <c r="P2371" i="2"/>
  <c r="O2372" i="2"/>
  <c r="P2372" i="2"/>
  <c r="O2373" i="2"/>
  <c r="P2373" i="2"/>
  <c r="O2374" i="2"/>
  <c r="P2374" i="2"/>
  <c r="O2375" i="2"/>
  <c r="P2375" i="2"/>
  <c r="O2376" i="2"/>
  <c r="P2376" i="2"/>
  <c r="O2377" i="2"/>
  <c r="P2377" i="2"/>
  <c r="O2378" i="2"/>
  <c r="P2378" i="2"/>
  <c r="O2379" i="2"/>
  <c r="P2379" i="2"/>
  <c r="O2380" i="2"/>
  <c r="P2380" i="2"/>
  <c r="O2381" i="2"/>
  <c r="P2381" i="2"/>
  <c r="O2382" i="2"/>
  <c r="P2382" i="2"/>
  <c r="O2383" i="2"/>
  <c r="P2383" i="2"/>
  <c r="O2384" i="2"/>
  <c r="P2384" i="2"/>
  <c r="O2385" i="2"/>
  <c r="P2385" i="2"/>
  <c r="O2386" i="2"/>
  <c r="P2386" i="2"/>
  <c r="O2387" i="2"/>
  <c r="P2387" i="2"/>
  <c r="O2388" i="2"/>
  <c r="P2388" i="2"/>
  <c r="O2389" i="2"/>
  <c r="P2389" i="2"/>
  <c r="O2390" i="2"/>
  <c r="P2390" i="2"/>
  <c r="O2391" i="2"/>
  <c r="P2391" i="2"/>
  <c r="O2392" i="2"/>
  <c r="P2392" i="2"/>
  <c r="O2393" i="2"/>
  <c r="P2393" i="2"/>
  <c r="O2394" i="2"/>
  <c r="P2394" i="2"/>
  <c r="O2395" i="2"/>
  <c r="P2395" i="2"/>
  <c r="O2396" i="2"/>
  <c r="P2396" i="2"/>
  <c r="O2397" i="2"/>
  <c r="P2397" i="2"/>
  <c r="O2398" i="2"/>
  <c r="P2398" i="2"/>
  <c r="O2399" i="2"/>
  <c r="P2399" i="2"/>
  <c r="O2400" i="2"/>
  <c r="P2400" i="2"/>
  <c r="O2401" i="2"/>
  <c r="P2401" i="2"/>
  <c r="O2402" i="2"/>
  <c r="P2402" i="2"/>
  <c r="O2403" i="2"/>
  <c r="P2403" i="2"/>
  <c r="O2404" i="2"/>
  <c r="P2404" i="2"/>
  <c r="O2405" i="2"/>
  <c r="P2405" i="2"/>
  <c r="O2406" i="2"/>
  <c r="P2406" i="2"/>
  <c r="O2407" i="2"/>
  <c r="P2407" i="2"/>
  <c r="O2408" i="2"/>
  <c r="P2408" i="2"/>
  <c r="O2409" i="2"/>
  <c r="P2409" i="2"/>
  <c r="O2410" i="2"/>
  <c r="P2410" i="2"/>
  <c r="O2411" i="2"/>
  <c r="P2411" i="2"/>
  <c r="O2412" i="2"/>
  <c r="P2412" i="2"/>
  <c r="O2413" i="2"/>
  <c r="P2413" i="2"/>
  <c r="O2414" i="2"/>
  <c r="P2414" i="2"/>
  <c r="O2415" i="2"/>
  <c r="P2415" i="2"/>
  <c r="O2416" i="2"/>
  <c r="P2416" i="2"/>
  <c r="O2417" i="2"/>
  <c r="P2417" i="2"/>
  <c r="O2418" i="2"/>
  <c r="P2418" i="2"/>
  <c r="O2419" i="2"/>
  <c r="P2419" i="2"/>
  <c r="O2420" i="2"/>
  <c r="P2420" i="2"/>
  <c r="O2421" i="2"/>
  <c r="P2421" i="2"/>
  <c r="O2422" i="2"/>
  <c r="P2422" i="2"/>
  <c r="O2423" i="2"/>
  <c r="P2423" i="2"/>
  <c r="O2424" i="2"/>
  <c r="P2424" i="2"/>
  <c r="O2425" i="2"/>
  <c r="P2425" i="2"/>
  <c r="O2426" i="2"/>
  <c r="P2426" i="2"/>
  <c r="O2427" i="2"/>
  <c r="P2427" i="2"/>
  <c r="O2428" i="2"/>
  <c r="P2428" i="2"/>
  <c r="O2429" i="2"/>
  <c r="P2429" i="2"/>
  <c r="O2430" i="2"/>
  <c r="P2430" i="2"/>
  <c r="O2431" i="2"/>
  <c r="P2431" i="2"/>
  <c r="O2432" i="2"/>
  <c r="P2432" i="2"/>
  <c r="O2433" i="2"/>
  <c r="P2433" i="2"/>
  <c r="O2434" i="2"/>
  <c r="P2434" i="2"/>
  <c r="O2435" i="2"/>
  <c r="P2435" i="2"/>
  <c r="O2436" i="2"/>
  <c r="P2436" i="2"/>
  <c r="O2437" i="2"/>
  <c r="P2437" i="2"/>
  <c r="O2438" i="2"/>
  <c r="P2438" i="2"/>
  <c r="O2439" i="2"/>
  <c r="P2439" i="2"/>
  <c r="O2440" i="2"/>
  <c r="P2440" i="2"/>
  <c r="O2441" i="2"/>
  <c r="P2441" i="2"/>
  <c r="O2442" i="2"/>
  <c r="P2442" i="2"/>
  <c r="O2443" i="2"/>
  <c r="P2443" i="2"/>
  <c r="O2444" i="2"/>
  <c r="P2444" i="2"/>
  <c r="O2445" i="2"/>
  <c r="P2445" i="2"/>
  <c r="O2446" i="2"/>
  <c r="P2446" i="2"/>
  <c r="O2447" i="2"/>
  <c r="P2447" i="2"/>
  <c r="O2448" i="2"/>
  <c r="P2448" i="2"/>
  <c r="O2449" i="2"/>
  <c r="P2449" i="2"/>
  <c r="O2450" i="2"/>
  <c r="P2450" i="2"/>
  <c r="O2451" i="2"/>
  <c r="P2451" i="2"/>
  <c r="O2452" i="2"/>
  <c r="P2452" i="2"/>
  <c r="O2453" i="2"/>
  <c r="P2453" i="2"/>
  <c r="O2454" i="2"/>
  <c r="P2454" i="2"/>
  <c r="O2455" i="2"/>
  <c r="P2455" i="2"/>
  <c r="O2456" i="2"/>
  <c r="P2456" i="2"/>
  <c r="O2457" i="2"/>
  <c r="P2457" i="2"/>
  <c r="O2458" i="2"/>
  <c r="P2458" i="2"/>
  <c r="O2459" i="2"/>
  <c r="P2459" i="2"/>
  <c r="O2460" i="2"/>
  <c r="P2460" i="2"/>
  <c r="O2461" i="2"/>
  <c r="P2461" i="2"/>
  <c r="O2462" i="2"/>
  <c r="P2462" i="2"/>
  <c r="O2463" i="2"/>
  <c r="P2463" i="2"/>
  <c r="O2464" i="2"/>
  <c r="P2464" i="2"/>
  <c r="O2465" i="2"/>
  <c r="P2465" i="2"/>
  <c r="O2466" i="2"/>
  <c r="P2466" i="2"/>
  <c r="O2467" i="2"/>
  <c r="P2467" i="2"/>
  <c r="O2468" i="2"/>
  <c r="P2468" i="2"/>
  <c r="O2469" i="2"/>
  <c r="P2469" i="2"/>
  <c r="O2470" i="2"/>
  <c r="P2470" i="2"/>
  <c r="O2471" i="2"/>
  <c r="P2471" i="2"/>
  <c r="O2472" i="2"/>
  <c r="P2472" i="2"/>
  <c r="O2473" i="2"/>
  <c r="P2473" i="2"/>
  <c r="O2474" i="2"/>
  <c r="P2474" i="2"/>
  <c r="O2475" i="2"/>
  <c r="P2475" i="2"/>
  <c r="O2476" i="2"/>
  <c r="P2476" i="2"/>
  <c r="O2477" i="2"/>
  <c r="P2477" i="2"/>
  <c r="O2478" i="2"/>
  <c r="P2478" i="2"/>
  <c r="O2479" i="2"/>
  <c r="P2479" i="2"/>
  <c r="O2480" i="2"/>
  <c r="P2480" i="2"/>
  <c r="O2481" i="2"/>
  <c r="P2481" i="2"/>
  <c r="O2482" i="2"/>
  <c r="P2482" i="2"/>
  <c r="O2483" i="2"/>
  <c r="P2483" i="2"/>
  <c r="O2484" i="2"/>
  <c r="P2484" i="2"/>
  <c r="O2485" i="2"/>
  <c r="P2485" i="2"/>
  <c r="O2486" i="2"/>
  <c r="P2486" i="2"/>
  <c r="O2487" i="2"/>
  <c r="P2487" i="2"/>
  <c r="O2488" i="2"/>
  <c r="P2488" i="2"/>
  <c r="O2489" i="2"/>
  <c r="P2489" i="2"/>
  <c r="O2490" i="2"/>
  <c r="P2490" i="2"/>
  <c r="O2491" i="2"/>
  <c r="P2491" i="2"/>
  <c r="O2492" i="2"/>
  <c r="P2492" i="2"/>
  <c r="O2493" i="2"/>
  <c r="P2493" i="2"/>
  <c r="O2494" i="2"/>
  <c r="P2494" i="2"/>
  <c r="O2495" i="2"/>
  <c r="P2495" i="2"/>
  <c r="O2496" i="2"/>
  <c r="P2496" i="2"/>
  <c r="O2497" i="2"/>
  <c r="P2497" i="2"/>
  <c r="O2498" i="2"/>
  <c r="P2498" i="2"/>
  <c r="O2499" i="2"/>
  <c r="P2499" i="2"/>
  <c r="O2500" i="2"/>
  <c r="P2500" i="2"/>
  <c r="O2501" i="2"/>
  <c r="P2501" i="2"/>
  <c r="O2502" i="2"/>
  <c r="P2502" i="2"/>
  <c r="O2503" i="2"/>
  <c r="P2503" i="2"/>
  <c r="O2504" i="2"/>
  <c r="P2504" i="2"/>
  <c r="O2505" i="2"/>
  <c r="P2505" i="2"/>
  <c r="O2506" i="2"/>
  <c r="P2506" i="2"/>
  <c r="O2507" i="2"/>
  <c r="P2507" i="2"/>
  <c r="O2508" i="2"/>
  <c r="P2508" i="2"/>
  <c r="O2509" i="2"/>
  <c r="P2509" i="2"/>
  <c r="O2510" i="2"/>
  <c r="P2510" i="2"/>
  <c r="O2511" i="2"/>
  <c r="P2511" i="2"/>
  <c r="O2512" i="2"/>
  <c r="P2512" i="2"/>
  <c r="O2513" i="2"/>
  <c r="P2513" i="2"/>
  <c r="O2514" i="2"/>
  <c r="P2514" i="2"/>
  <c r="O2515" i="2"/>
  <c r="P2515" i="2"/>
  <c r="O2516" i="2"/>
  <c r="P2516" i="2"/>
  <c r="O2517" i="2"/>
  <c r="P2517" i="2"/>
  <c r="O2518" i="2"/>
  <c r="P2518" i="2"/>
  <c r="O2519" i="2"/>
  <c r="P2519" i="2"/>
  <c r="O2520" i="2"/>
  <c r="P2520" i="2"/>
  <c r="O2521" i="2"/>
  <c r="P2521" i="2"/>
  <c r="O2522" i="2"/>
  <c r="P2522" i="2"/>
  <c r="O2523" i="2"/>
  <c r="P2523" i="2"/>
  <c r="O2524" i="2"/>
  <c r="P2524" i="2"/>
  <c r="O2525" i="2"/>
  <c r="P2525" i="2"/>
  <c r="O2526" i="2"/>
  <c r="P2526" i="2"/>
  <c r="O2527" i="2"/>
  <c r="P2527" i="2"/>
  <c r="O2528" i="2"/>
  <c r="P2528" i="2"/>
  <c r="O2529" i="2"/>
  <c r="P2529" i="2"/>
  <c r="O2530" i="2"/>
  <c r="P2530" i="2"/>
  <c r="O2531" i="2"/>
  <c r="P2531" i="2"/>
  <c r="O2532" i="2"/>
  <c r="P2532" i="2"/>
  <c r="O2533" i="2"/>
  <c r="P2533" i="2"/>
  <c r="O2534" i="2"/>
  <c r="P2534" i="2"/>
  <c r="O2535" i="2"/>
  <c r="P2535" i="2"/>
  <c r="O2536" i="2"/>
  <c r="P2536" i="2"/>
  <c r="O2537" i="2"/>
  <c r="P2537" i="2"/>
  <c r="O2538" i="2"/>
  <c r="P2538" i="2"/>
  <c r="O2539" i="2"/>
  <c r="P2539" i="2"/>
  <c r="O2540" i="2"/>
  <c r="P2540" i="2"/>
  <c r="O2541" i="2"/>
  <c r="P2541" i="2"/>
  <c r="O2542" i="2"/>
  <c r="P2542" i="2"/>
  <c r="O2543" i="2"/>
  <c r="P2543" i="2"/>
  <c r="O2544" i="2"/>
  <c r="P2544" i="2"/>
  <c r="O2545" i="2"/>
  <c r="P2545" i="2"/>
  <c r="O2546" i="2"/>
  <c r="P2546" i="2"/>
  <c r="O2547" i="2"/>
  <c r="P2547" i="2"/>
  <c r="O2548" i="2"/>
  <c r="P2548" i="2"/>
  <c r="O2549" i="2"/>
  <c r="P2549" i="2"/>
  <c r="O2550" i="2"/>
  <c r="P2550" i="2"/>
  <c r="O2551" i="2"/>
  <c r="P2551" i="2"/>
  <c r="O2552" i="2"/>
  <c r="P2552" i="2"/>
  <c r="O2553" i="2"/>
  <c r="P2553" i="2"/>
  <c r="O2554" i="2"/>
  <c r="P2554" i="2"/>
  <c r="O2555" i="2"/>
  <c r="P2555" i="2"/>
  <c r="O2556" i="2"/>
  <c r="P2556" i="2"/>
  <c r="O2557" i="2"/>
  <c r="P2557" i="2"/>
  <c r="O2558" i="2"/>
  <c r="P2558" i="2"/>
  <c r="O2559" i="2"/>
  <c r="P2559" i="2"/>
  <c r="O2560" i="2"/>
  <c r="P2560" i="2"/>
  <c r="O2561" i="2"/>
  <c r="P2561" i="2"/>
  <c r="O2562" i="2"/>
  <c r="P2562" i="2"/>
  <c r="O2563" i="2"/>
  <c r="P2563" i="2"/>
  <c r="O2564" i="2"/>
  <c r="P2564" i="2"/>
  <c r="O2565" i="2"/>
  <c r="P2565" i="2"/>
  <c r="O2566" i="2"/>
  <c r="P2566" i="2"/>
  <c r="O2567" i="2"/>
  <c r="P2567" i="2"/>
  <c r="O2568" i="2"/>
  <c r="P2568" i="2"/>
  <c r="O2569" i="2"/>
  <c r="P2569" i="2"/>
  <c r="O2570" i="2"/>
  <c r="P2570" i="2"/>
  <c r="O2571" i="2"/>
  <c r="P2571" i="2"/>
  <c r="O2572" i="2"/>
  <c r="P2572" i="2"/>
  <c r="O2573" i="2"/>
  <c r="P2573" i="2"/>
  <c r="O2574" i="2"/>
  <c r="P2574" i="2"/>
  <c r="O2575" i="2"/>
  <c r="P2575" i="2"/>
  <c r="O2576" i="2"/>
  <c r="P2576" i="2"/>
  <c r="O2577" i="2"/>
  <c r="P2577" i="2"/>
  <c r="O2578" i="2"/>
  <c r="P2578" i="2"/>
  <c r="O2579" i="2"/>
  <c r="P2579" i="2"/>
  <c r="O2580" i="2"/>
  <c r="P2580" i="2"/>
  <c r="O2581" i="2"/>
  <c r="P2581" i="2"/>
  <c r="O2582" i="2"/>
  <c r="P2582" i="2"/>
  <c r="O2583" i="2"/>
  <c r="P2583" i="2"/>
  <c r="O2584" i="2"/>
  <c r="P2584" i="2"/>
  <c r="O2585" i="2"/>
  <c r="P2585" i="2"/>
  <c r="O2586" i="2"/>
  <c r="P2586" i="2"/>
  <c r="O2587" i="2"/>
  <c r="P2587" i="2"/>
  <c r="O2588" i="2"/>
  <c r="P2588" i="2"/>
  <c r="O2589" i="2"/>
  <c r="P2589" i="2"/>
  <c r="O2590" i="2"/>
  <c r="P2590" i="2"/>
  <c r="O2591" i="2"/>
  <c r="P2591" i="2"/>
  <c r="O2592" i="2"/>
  <c r="P2592" i="2"/>
  <c r="O2593" i="2"/>
  <c r="P2593" i="2"/>
  <c r="O2594" i="2"/>
  <c r="P2594" i="2"/>
  <c r="O2595" i="2"/>
  <c r="P2595" i="2"/>
  <c r="O2596" i="2"/>
  <c r="P2596" i="2"/>
  <c r="O2597" i="2"/>
  <c r="P2597" i="2"/>
  <c r="O2598" i="2"/>
  <c r="P2598" i="2"/>
  <c r="O2599" i="2"/>
  <c r="P2599" i="2"/>
  <c r="O2600" i="2"/>
  <c r="P2600" i="2"/>
  <c r="O2601" i="2"/>
  <c r="P2601" i="2"/>
  <c r="O2602" i="2"/>
  <c r="P2602" i="2"/>
  <c r="O2603" i="2"/>
  <c r="P2603" i="2"/>
  <c r="O2604" i="2"/>
  <c r="P2604" i="2"/>
  <c r="O2605" i="2"/>
  <c r="P2605" i="2"/>
  <c r="O2606" i="2"/>
  <c r="P2606" i="2"/>
  <c r="O2607" i="2"/>
  <c r="P2607" i="2"/>
  <c r="O2608" i="2"/>
  <c r="P2608" i="2"/>
  <c r="O2609" i="2"/>
  <c r="P2609" i="2"/>
  <c r="O2610" i="2"/>
  <c r="P2610" i="2"/>
  <c r="O2611" i="2"/>
  <c r="P2611" i="2"/>
  <c r="O2612" i="2"/>
  <c r="P2612" i="2"/>
  <c r="O2613" i="2"/>
  <c r="P2613" i="2"/>
  <c r="O2614" i="2"/>
  <c r="P2614" i="2"/>
  <c r="O2615" i="2"/>
  <c r="P2615" i="2"/>
  <c r="O2616" i="2"/>
  <c r="P2616" i="2"/>
  <c r="O2617" i="2"/>
  <c r="P2617" i="2"/>
  <c r="O2618" i="2"/>
  <c r="P2618" i="2"/>
  <c r="O2619" i="2"/>
  <c r="P2619" i="2"/>
  <c r="O2620" i="2"/>
  <c r="P2620" i="2"/>
  <c r="O2621" i="2"/>
  <c r="P2621" i="2"/>
  <c r="O2622" i="2"/>
  <c r="P2622" i="2"/>
  <c r="O2623" i="2"/>
  <c r="P2623" i="2"/>
  <c r="O2624" i="2"/>
  <c r="P2624" i="2"/>
  <c r="O2625" i="2"/>
  <c r="P2625" i="2"/>
  <c r="O2626" i="2"/>
  <c r="P2626" i="2"/>
  <c r="O2627" i="2"/>
  <c r="P2627" i="2"/>
  <c r="O2628" i="2"/>
  <c r="P2628" i="2"/>
  <c r="O2629" i="2"/>
  <c r="P2629" i="2"/>
  <c r="O2630" i="2"/>
  <c r="P2630" i="2"/>
  <c r="O2631" i="2"/>
  <c r="P2631" i="2"/>
  <c r="O2632" i="2"/>
  <c r="P2632" i="2"/>
  <c r="O2633" i="2"/>
  <c r="P2633" i="2"/>
  <c r="O2634" i="2"/>
  <c r="P2634" i="2"/>
  <c r="O2635" i="2"/>
  <c r="P2635" i="2"/>
  <c r="O2636" i="2"/>
  <c r="P2636" i="2"/>
  <c r="O2637" i="2"/>
  <c r="P2637" i="2"/>
  <c r="O2638" i="2"/>
  <c r="P2638" i="2"/>
  <c r="O2639" i="2"/>
  <c r="P2639" i="2"/>
  <c r="O2640" i="2"/>
  <c r="P2640" i="2"/>
  <c r="O2641" i="2"/>
  <c r="P2641" i="2"/>
  <c r="O2642" i="2"/>
  <c r="P2642" i="2"/>
  <c r="O2643" i="2"/>
  <c r="P2643" i="2"/>
  <c r="O2644" i="2"/>
  <c r="P2644" i="2"/>
  <c r="O2645" i="2"/>
  <c r="P2645" i="2"/>
  <c r="O2646" i="2"/>
  <c r="P2646" i="2"/>
  <c r="O2647" i="2"/>
  <c r="P2647" i="2"/>
  <c r="O2648" i="2"/>
  <c r="P2648" i="2"/>
  <c r="O2649" i="2"/>
  <c r="P2649" i="2"/>
  <c r="O2650" i="2"/>
  <c r="P2650" i="2"/>
  <c r="O2651" i="2"/>
  <c r="P2651" i="2"/>
  <c r="O2652" i="2"/>
  <c r="P2652" i="2"/>
  <c r="O2653" i="2"/>
  <c r="P2653" i="2"/>
  <c r="O2654" i="2"/>
  <c r="P2654" i="2"/>
  <c r="O2655" i="2"/>
  <c r="P2655" i="2"/>
  <c r="O2656" i="2"/>
  <c r="P2656" i="2"/>
  <c r="O2657" i="2"/>
  <c r="P2657" i="2"/>
  <c r="O2658" i="2"/>
  <c r="P2658" i="2"/>
  <c r="O2659" i="2"/>
  <c r="P2659" i="2"/>
  <c r="O2660" i="2"/>
  <c r="P2660" i="2"/>
  <c r="O2661" i="2"/>
  <c r="P2661" i="2"/>
  <c r="O2662" i="2"/>
  <c r="P2662" i="2"/>
  <c r="O2663" i="2"/>
  <c r="P2663" i="2"/>
  <c r="O2664" i="2"/>
  <c r="P2664" i="2"/>
  <c r="O2665" i="2"/>
  <c r="P2665" i="2"/>
  <c r="O2666" i="2"/>
  <c r="P2666" i="2"/>
  <c r="O2667" i="2"/>
  <c r="P2667" i="2"/>
  <c r="O2668" i="2"/>
  <c r="P2668" i="2"/>
  <c r="O2669" i="2"/>
  <c r="P2669" i="2"/>
  <c r="O2670" i="2"/>
  <c r="P2670" i="2"/>
  <c r="O2671" i="2"/>
  <c r="P2671" i="2"/>
  <c r="O2672" i="2"/>
  <c r="P2672" i="2"/>
  <c r="O2673" i="2"/>
  <c r="P2673" i="2"/>
  <c r="O2674" i="2"/>
  <c r="P2674" i="2"/>
  <c r="O2675" i="2"/>
  <c r="P2675" i="2"/>
  <c r="O2676" i="2"/>
  <c r="P2676" i="2"/>
  <c r="O2677" i="2"/>
  <c r="P2677" i="2"/>
  <c r="O2678" i="2"/>
  <c r="P2678" i="2"/>
  <c r="O2679" i="2"/>
  <c r="P2679" i="2"/>
  <c r="O2680" i="2"/>
  <c r="P2680" i="2"/>
  <c r="O2681" i="2"/>
  <c r="P2681" i="2"/>
  <c r="O2682" i="2"/>
  <c r="P2682" i="2"/>
  <c r="O2683" i="2"/>
  <c r="P2683" i="2"/>
  <c r="O2684" i="2"/>
  <c r="P2684" i="2"/>
  <c r="O2685" i="2"/>
  <c r="P2685" i="2"/>
  <c r="O2686" i="2"/>
  <c r="P2686" i="2"/>
  <c r="O2687" i="2"/>
  <c r="P2687" i="2"/>
  <c r="O2688" i="2"/>
  <c r="P2688" i="2"/>
  <c r="O2689" i="2"/>
  <c r="P2689" i="2"/>
  <c r="O2690" i="2"/>
  <c r="P2690" i="2"/>
  <c r="O2691" i="2"/>
  <c r="P2691" i="2"/>
  <c r="O2692" i="2"/>
  <c r="P2692" i="2"/>
  <c r="O2693" i="2"/>
  <c r="P2693" i="2"/>
  <c r="O2694" i="2"/>
  <c r="P2694" i="2"/>
  <c r="O2695" i="2"/>
  <c r="P2695" i="2"/>
  <c r="O2696" i="2"/>
  <c r="P2696" i="2"/>
  <c r="O2697" i="2"/>
  <c r="P2697" i="2"/>
  <c r="O2698" i="2"/>
  <c r="P2698" i="2"/>
  <c r="O2699" i="2"/>
  <c r="P2699" i="2"/>
  <c r="O2700" i="2"/>
  <c r="P2700" i="2"/>
  <c r="O2701" i="2"/>
  <c r="P2701" i="2"/>
  <c r="O2702" i="2"/>
  <c r="P2702" i="2"/>
  <c r="O2703" i="2"/>
  <c r="P2703" i="2"/>
  <c r="O2704" i="2"/>
  <c r="P2704" i="2"/>
  <c r="O2705" i="2"/>
  <c r="P2705" i="2"/>
  <c r="O2706" i="2"/>
  <c r="P2706" i="2"/>
  <c r="O2707" i="2"/>
  <c r="P2707" i="2"/>
  <c r="O2708" i="2"/>
  <c r="P2708" i="2"/>
  <c r="O2709" i="2"/>
  <c r="P2709" i="2"/>
  <c r="O2710" i="2"/>
  <c r="P2710" i="2"/>
  <c r="O2711" i="2"/>
  <c r="P2711" i="2"/>
  <c r="O2712" i="2"/>
  <c r="P2712" i="2"/>
  <c r="O2713" i="2"/>
  <c r="P2713" i="2"/>
  <c r="O2714" i="2"/>
  <c r="P2714" i="2"/>
  <c r="O2715" i="2"/>
  <c r="P2715" i="2"/>
  <c r="O2716" i="2"/>
  <c r="P2716" i="2"/>
  <c r="O2717" i="2"/>
  <c r="P2717" i="2"/>
  <c r="O2718" i="2"/>
  <c r="P2718" i="2"/>
  <c r="O2719" i="2"/>
  <c r="P2719" i="2"/>
  <c r="O2720" i="2"/>
  <c r="P2720" i="2"/>
  <c r="O2721" i="2"/>
  <c r="P2721" i="2"/>
  <c r="O2722" i="2"/>
  <c r="P2722" i="2"/>
  <c r="O2723" i="2"/>
  <c r="P2723" i="2"/>
  <c r="O2724" i="2"/>
  <c r="P2724" i="2"/>
  <c r="O2725" i="2"/>
  <c r="P2725" i="2"/>
  <c r="O2726" i="2"/>
  <c r="P2726" i="2"/>
  <c r="O2727" i="2"/>
  <c r="P2727" i="2"/>
  <c r="O2728" i="2"/>
  <c r="P2728" i="2"/>
  <c r="O2729" i="2"/>
  <c r="P2729" i="2"/>
  <c r="O2730" i="2"/>
  <c r="P2730" i="2"/>
  <c r="O2731" i="2"/>
  <c r="P2731" i="2"/>
  <c r="O2732" i="2"/>
  <c r="P2732" i="2"/>
  <c r="O2733" i="2"/>
  <c r="P2733" i="2"/>
  <c r="O2734" i="2"/>
  <c r="P2734" i="2"/>
  <c r="O2735" i="2"/>
  <c r="P2735" i="2"/>
  <c r="O2736" i="2"/>
  <c r="P2736" i="2"/>
  <c r="O2737" i="2"/>
  <c r="P2737" i="2"/>
  <c r="O2738" i="2"/>
  <c r="P2738" i="2"/>
  <c r="O2739" i="2"/>
  <c r="P2739" i="2"/>
  <c r="O2740" i="2"/>
  <c r="P2740" i="2"/>
  <c r="O2741" i="2"/>
  <c r="P2741" i="2"/>
  <c r="O2742" i="2"/>
  <c r="P2742" i="2"/>
  <c r="O2743" i="2"/>
  <c r="P2743" i="2"/>
  <c r="O2744" i="2"/>
  <c r="P2744" i="2"/>
  <c r="O2745" i="2"/>
  <c r="P2745" i="2"/>
  <c r="O2746" i="2"/>
  <c r="P2746" i="2"/>
  <c r="O2747" i="2"/>
  <c r="P2747" i="2"/>
  <c r="O2748" i="2"/>
  <c r="P2748" i="2"/>
  <c r="O2749" i="2"/>
  <c r="P2749" i="2"/>
  <c r="O2750" i="2"/>
  <c r="P2750" i="2"/>
  <c r="O2751" i="2"/>
  <c r="P2751" i="2"/>
  <c r="O2752" i="2"/>
  <c r="P2752" i="2"/>
  <c r="O2753" i="2"/>
  <c r="P2753" i="2"/>
  <c r="O2754" i="2"/>
  <c r="P2754" i="2"/>
  <c r="O2755" i="2"/>
  <c r="P2755" i="2"/>
  <c r="O2756" i="2"/>
  <c r="P2756" i="2"/>
  <c r="O2757" i="2"/>
  <c r="P2757" i="2"/>
  <c r="O2758" i="2"/>
  <c r="P2758" i="2"/>
  <c r="O2759" i="2"/>
  <c r="P2759" i="2"/>
  <c r="O2760" i="2"/>
  <c r="P2760" i="2"/>
  <c r="O2761" i="2"/>
  <c r="P2761" i="2"/>
  <c r="O2762" i="2"/>
  <c r="P2762" i="2"/>
  <c r="O2763" i="2"/>
  <c r="P2763" i="2"/>
  <c r="O2764" i="2"/>
  <c r="P2764" i="2"/>
  <c r="O2765" i="2"/>
  <c r="P2765" i="2"/>
  <c r="O2766" i="2"/>
  <c r="P2766" i="2"/>
  <c r="O2767" i="2"/>
  <c r="P2767" i="2"/>
  <c r="O2768" i="2"/>
  <c r="P2768" i="2"/>
  <c r="O2769" i="2"/>
  <c r="P2769" i="2"/>
  <c r="O2770" i="2"/>
  <c r="P2770" i="2"/>
  <c r="O2771" i="2"/>
  <c r="P2771" i="2"/>
  <c r="O2772" i="2"/>
  <c r="P2772" i="2"/>
  <c r="O2773" i="2"/>
  <c r="P2773" i="2"/>
  <c r="O2774" i="2"/>
  <c r="P2774" i="2"/>
  <c r="O2775" i="2"/>
  <c r="P2775" i="2"/>
  <c r="O2776" i="2"/>
  <c r="P2776" i="2"/>
  <c r="O2777" i="2"/>
  <c r="P2777" i="2"/>
  <c r="O2778" i="2"/>
  <c r="P2778" i="2"/>
  <c r="O2779" i="2"/>
  <c r="P2779" i="2"/>
  <c r="O2780" i="2"/>
  <c r="P2780" i="2"/>
  <c r="O2781" i="2"/>
  <c r="P2781" i="2"/>
  <c r="O2782" i="2"/>
  <c r="P2782" i="2"/>
  <c r="O2783" i="2"/>
  <c r="P2783" i="2"/>
  <c r="O2784" i="2"/>
  <c r="P2784" i="2"/>
  <c r="O2785" i="2"/>
  <c r="P2785" i="2"/>
  <c r="O2786" i="2"/>
  <c r="P2786" i="2"/>
  <c r="O2787" i="2"/>
  <c r="P2787" i="2"/>
  <c r="O2788" i="2"/>
  <c r="P2788" i="2"/>
  <c r="O2789" i="2"/>
  <c r="P2789" i="2"/>
  <c r="O2790" i="2"/>
  <c r="P2790" i="2"/>
  <c r="O2791" i="2"/>
  <c r="P2791" i="2"/>
  <c r="O2792" i="2"/>
  <c r="P2792" i="2"/>
  <c r="O2793" i="2"/>
  <c r="P2793" i="2"/>
  <c r="O2794" i="2"/>
  <c r="P2794" i="2"/>
  <c r="O2795" i="2"/>
  <c r="P2795" i="2"/>
  <c r="O2796" i="2"/>
  <c r="P2796" i="2"/>
  <c r="O2797" i="2"/>
  <c r="P2797" i="2"/>
  <c r="O2798" i="2"/>
  <c r="P2798" i="2"/>
  <c r="O2799" i="2"/>
  <c r="P2799" i="2"/>
  <c r="O2800" i="2"/>
  <c r="P2800" i="2"/>
  <c r="O2801" i="2"/>
  <c r="P2801" i="2"/>
  <c r="O2802" i="2"/>
  <c r="P2802" i="2"/>
  <c r="O2803" i="2"/>
  <c r="P2803" i="2"/>
  <c r="O2804" i="2"/>
  <c r="P2804" i="2"/>
  <c r="O2805" i="2"/>
  <c r="P2805" i="2"/>
  <c r="O2806" i="2"/>
  <c r="P2806" i="2"/>
  <c r="O2807" i="2"/>
  <c r="P2807" i="2"/>
  <c r="O2808" i="2"/>
  <c r="P2808" i="2"/>
  <c r="O2809" i="2"/>
  <c r="P2809" i="2"/>
  <c r="O2810" i="2"/>
  <c r="P2810" i="2"/>
  <c r="O2811" i="2"/>
  <c r="P2811" i="2"/>
  <c r="O2812" i="2"/>
  <c r="P2812" i="2"/>
  <c r="O2813" i="2"/>
  <c r="P2813" i="2"/>
  <c r="O2814" i="2"/>
  <c r="P2814" i="2"/>
  <c r="O2815" i="2"/>
  <c r="P2815" i="2"/>
  <c r="O2816" i="2"/>
  <c r="P2816" i="2"/>
  <c r="O2817" i="2"/>
  <c r="P2817" i="2"/>
  <c r="O2818" i="2"/>
  <c r="P2818" i="2"/>
  <c r="O2819" i="2"/>
  <c r="P2819" i="2"/>
  <c r="O2820" i="2"/>
  <c r="P2820" i="2"/>
  <c r="O2821" i="2"/>
  <c r="P2821" i="2"/>
  <c r="O2822" i="2"/>
  <c r="P2822" i="2"/>
  <c r="O2823" i="2"/>
  <c r="P2823" i="2"/>
  <c r="O2824" i="2"/>
  <c r="P2824" i="2"/>
  <c r="O2825" i="2"/>
  <c r="P2825" i="2"/>
  <c r="O2826" i="2"/>
  <c r="P2826" i="2"/>
  <c r="O2827" i="2"/>
  <c r="P2827" i="2"/>
  <c r="O2828" i="2"/>
  <c r="P2828" i="2"/>
  <c r="O2829" i="2"/>
  <c r="P2829" i="2"/>
  <c r="O2830" i="2"/>
  <c r="P2830" i="2"/>
  <c r="O2831" i="2"/>
  <c r="P2831" i="2"/>
  <c r="O2832" i="2"/>
  <c r="P2832" i="2"/>
  <c r="O2833" i="2"/>
  <c r="P2833" i="2"/>
  <c r="O2834" i="2"/>
  <c r="P2834" i="2"/>
  <c r="O2835" i="2"/>
  <c r="P2835" i="2"/>
  <c r="O2836" i="2"/>
  <c r="P2836" i="2"/>
  <c r="O2837" i="2"/>
  <c r="P2837" i="2"/>
  <c r="O2838" i="2"/>
  <c r="P2838" i="2"/>
  <c r="O2839" i="2"/>
  <c r="P2839" i="2"/>
  <c r="O2840" i="2"/>
  <c r="P2840" i="2"/>
  <c r="O2841" i="2"/>
  <c r="P2841" i="2"/>
  <c r="O2842" i="2"/>
  <c r="P2842" i="2"/>
  <c r="O2843" i="2"/>
  <c r="P2843" i="2"/>
  <c r="O2844" i="2"/>
  <c r="P2844" i="2"/>
  <c r="O2845" i="2"/>
  <c r="P2845" i="2"/>
  <c r="O2846" i="2"/>
  <c r="P2846" i="2"/>
  <c r="O2847" i="2"/>
  <c r="P2847" i="2"/>
  <c r="O2848" i="2"/>
  <c r="P2848" i="2"/>
  <c r="O2849" i="2"/>
  <c r="P2849" i="2"/>
  <c r="O2850" i="2"/>
  <c r="P2850" i="2"/>
  <c r="O2851" i="2"/>
  <c r="P2851" i="2"/>
  <c r="O2852" i="2"/>
  <c r="P2852" i="2"/>
  <c r="O2853" i="2"/>
  <c r="P2853" i="2"/>
  <c r="O2854" i="2"/>
  <c r="P2854" i="2"/>
  <c r="O2855" i="2"/>
  <c r="P2855" i="2"/>
  <c r="O2856" i="2"/>
  <c r="P2856" i="2"/>
  <c r="O2857" i="2"/>
  <c r="P2857" i="2"/>
  <c r="O2858" i="2"/>
  <c r="P2858" i="2"/>
  <c r="O2859" i="2"/>
  <c r="P2859" i="2"/>
  <c r="O2860" i="2"/>
  <c r="P2860" i="2"/>
  <c r="O2861" i="2"/>
  <c r="P2861" i="2"/>
  <c r="O2862" i="2"/>
  <c r="P2862" i="2"/>
  <c r="O2863" i="2"/>
  <c r="P2863" i="2"/>
  <c r="O2864" i="2"/>
  <c r="P2864" i="2"/>
  <c r="O2865" i="2"/>
  <c r="P2865" i="2"/>
  <c r="O2866" i="2"/>
  <c r="P2866" i="2"/>
  <c r="O2867" i="2"/>
  <c r="P2867" i="2"/>
  <c r="O2868" i="2"/>
  <c r="P2868" i="2"/>
  <c r="O2869" i="2"/>
  <c r="P2869" i="2"/>
  <c r="O2870" i="2"/>
  <c r="P2870" i="2"/>
  <c r="O2871" i="2"/>
  <c r="P2871" i="2"/>
  <c r="O2872" i="2"/>
  <c r="P2872" i="2"/>
  <c r="O2873" i="2"/>
  <c r="P2873" i="2"/>
  <c r="O2874" i="2"/>
  <c r="P2874" i="2"/>
  <c r="O2875" i="2"/>
  <c r="P2875" i="2"/>
  <c r="O2876" i="2"/>
  <c r="P2876" i="2"/>
  <c r="O2877" i="2"/>
  <c r="P2877" i="2"/>
  <c r="O2878" i="2"/>
  <c r="P2878" i="2"/>
  <c r="O2879" i="2"/>
  <c r="P2879" i="2"/>
  <c r="O2880" i="2"/>
  <c r="P2880" i="2"/>
  <c r="O2881" i="2"/>
  <c r="P2881" i="2"/>
  <c r="O2882" i="2"/>
  <c r="P2882" i="2"/>
  <c r="O2883" i="2"/>
  <c r="P2883" i="2"/>
  <c r="O2884" i="2"/>
  <c r="P2884" i="2"/>
  <c r="O2885" i="2"/>
  <c r="P2885" i="2"/>
  <c r="O2886" i="2"/>
  <c r="P2886" i="2"/>
  <c r="O2887" i="2"/>
  <c r="P2887" i="2"/>
  <c r="O2888" i="2"/>
  <c r="P2888" i="2"/>
  <c r="O2889" i="2"/>
  <c r="P2889" i="2"/>
  <c r="O2890" i="2"/>
  <c r="P2890" i="2"/>
  <c r="O2891" i="2"/>
  <c r="P2891" i="2"/>
  <c r="O2892" i="2"/>
  <c r="P2892" i="2"/>
  <c r="O2893" i="2"/>
  <c r="P2893" i="2"/>
  <c r="O2894" i="2"/>
  <c r="P2894" i="2"/>
  <c r="O2895" i="2"/>
  <c r="P2895" i="2"/>
  <c r="O2896" i="2"/>
  <c r="P2896" i="2"/>
  <c r="O2897" i="2"/>
  <c r="P2897" i="2"/>
  <c r="O2898" i="2"/>
  <c r="P2898" i="2"/>
  <c r="O2899" i="2"/>
  <c r="P2899" i="2"/>
  <c r="O2900" i="2"/>
  <c r="P2900" i="2"/>
  <c r="O2901" i="2"/>
  <c r="P2901" i="2"/>
  <c r="O2902" i="2"/>
  <c r="P2902" i="2"/>
  <c r="O2903" i="2"/>
  <c r="P2903" i="2"/>
  <c r="O2904" i="2"/>
  <c r="P2904" i="2"/>
  <c r="O2905" i="2"/>
  <c r="P2905" i="2"/>
  <c r="O2906" i="2"/>
  <c r="P2906" i="2"/>
  <c r="O2907" i="2"/>
  <c r="P2907" i="2"/>
  <c r="O2908" i="2"/>
  <c r="P2908" i="2"/>
  <c r="O2909" i="2"/>
  <c r="P2909" i="2"/>
  <c r="O2910" i="2"/>
  <c r="P2910" i="2"/>
  <c r="O2911" i="2"/>
  <c r="P2911" i="2"/>
  <c r="O2912" i="2"/>
  <c r="P2912" i="2"/>
  <c r="O2913" i="2"/>
  <c r="P2913" i="2"/>
  <c r="O2914" i="2"/>
  <c r="P2914" i="2"/>
  <c r="O2915" i="2"/>
  <c r="P2915" i="2"/>
  <c r="O2916" i="2"/>
  <c r="P2916" i="2"/>
  <c r="O2917" i="2"/>
  <c r="P2917" i="2"/>
  <c r="O2918" i="2"/>
  <c r="P2918" i="2"/>
  <c r="O2919" i="2"/>
  <c r="P2919" i="2"/>
  <c r="O2920" i="2"/>
  <c r="P2920" i="2"/>
  <c r="O2921" i="2"/>
  <c r="P2921" i="2"/>
  <c r="O2922" i="2"/>
  <c r="P2922" i="2"/>
  <c r="O2923" i="2"/>
  <c r="P2923" i="2"/>
  <c r="O2924" i="2"/>
  <c r="P2924" i="2"/>
  <c r="O2925" i="2"/>
  <c r="P2925" i="2"/>
  <c r="O2926" i="2"/>
  <c r="P2926" i="2"/>
  <c r="O2927" i="2"/>
  <c r="P2927" i="2"/>
  <c r="O2928" i="2"/>
  <c r="P2928" i="2"/>
  <c r="O2929" i="2"/>
  <c r="P2929" i="2"/>
  <c r="O2930" i="2"/>
  <c r="P2930" i="2"/>
  <c r="O2931" i="2"/>
  <c r="P2931" i="2"/>
  <c r="O2932" i="2"/>
  <c r="P2932" i="2"/>
  <c r="O2933" i="2"/>
  <c r="P2933" i="2"/>
  <c r="O2934" i="2"/>
  <c r="P2934" i="2"/>
  <c r="O2935" i="2"/>
  <c r="P2935" i="2"/>
  <c r="O2936" i="2"/>
  <c r="P2936" i="2"/>
  <c r="O2937" i="2"/>
  <c r="P2937" i="2"/>
  <c r="O2938" i="2"/>
  <c r="P2938" i="2"/>
  <c r="O2939" i="2"/>
  <c r="P2939" i="2"/>
  <c r="O2940" i="2"/>
  <c r="P2940" i="2"/>
  <c r="O2941" i="2"/>
  <c r="P2941" i="2"/>
  <c r="O2942" i="2"/>
  <c r="P2942" i="2"/>
  <c r="O2943" i="2"/>
  <c r="P2943" i="2"/>
  <c r="O2944" i="2"/>
  <c r="P2944" i="2"/>
  <c r="O2945" i="2"/>
  <c r="P2945" i="2"/>
  <c r="O2946" i="2"/>
  <c r="P2946" i="2"/>
  <c r="O2947" i="2"/>
  <c r="P2947" i="2"/>
  <c r="O2948" i="2"/>
  <c r="P2948" i="2"/>
  <c r="O2949" i="2"/>
  <c r="P2949" i="2"/>
  <c r="O2950" i="2"/>
  <c r="P2950" i="2"/>
  <c r="O2951" i="2"/>
  <c r="P2951" i="2"/>
  <c r="O2952" i="2"/>
  <c r="P2952" i="2"/>
  <c r="O2953" i="2"/>
  <c r="P2953" i="2"/>
  <c r="O2954" i="2"/>
  <c r="P2954" i="2"/>
  <c r="O2955" i="2"/>
  <c r="P2955" i="2"/>
  <c r="O2956" i="2"/>
  <c r="P2956" i="2"/>
  <c r="O2957" i="2"/>
  <c r="P2957" i="2"/>
  <c r="O2958" i="2"/>
  <c r="P2958" i="2"/>
  <c r="O2959" i="2"/>
  <c r="P2959" i="2"/>
  <c r="O2960" i="2"/>
  <c r="P2960" i="2"/>
  <c r="O2961" i="2"/>
  <c r="P2961" i="2"/>
  <c r="O2962" i="2"/>
  <c r="P2962" i="2"/>
  <c r="O2963" i="2"/>
  <c r="P2963" i="2"/>
  <c r="O2964" i="2"/>
  <c r="P2964" i="2"/>
  <c r="O2965" i="2"/>
  <c r="P2965" i="2"/>
  <c r="O2966" i="2"/>
  <c r="P2966" i="2"/>
  <c r="O2967" i="2"/>
  <c r="P2967" i="2"/>
  <c r="O2968" i="2"/>
  <c r="P2968" i="2"/>
  <c r="O2969" i="2"/>
  <c r="P2969" i="2"/>
  <c r="O2970" i="2"/>
  <c r="P2970" i="2"/>
  <c r="O2971" i="2"/>
  <c r="P2971" i="2"/>
  <c r="O2972" i="2"/>
  <c r="P2972" i="2"/>
  <c r="O2973" i="2"/>
  <c r="P2973" i="2"/>
  <c r="O2974" i="2"/>
  <c r="P2974" i="2"/>
  <c r="O2975" i="2"/>
  <c r="P2975" i="2"/>
  <c r="O2976" i="2"/>
  <c r="P2976" i="2"/>
  <c r="O2977" i="2"/>
  <c r="P2977" i="2"/>
  <c r="O2978" i="2"/>
  <c r="P2978" i="2"/>
  <c r="O2979" i="2"/>
  <c r="P2979" i="2"/>
  <c r="O2980" i="2"/>
  <c r="P2980" i="2"/>
  <c r="O2981" i="2"/>
  <c r="P2981" i="2"/>
  <c r="O2982" i="2"/>
  <c r="P2982" i="2"/>
  <c r="O2983" i="2"/>
  <c r="P2983" i="2"/>
  <c r="O2984" i="2"/>
  <c r="P2984" i="2"/>
  <c r="O2985" i="2"/>
  <c r="P2985" i="2"/>
  <c r="O2986" i="2"/>
  <c r="P2986" i="2"/>
  <c r="O2987" i="2"/>
  <c r="P2987" i="2"/>
  <c r="O2988" i="2"/>
  <c r="P2988" i="2"/>
  <c r="O2989" i="2"/>
  <c r="P2989" i="2"/>
  <c r="O2990" i="2"/>
  <c r="P2990" i="2"/>
  <c r="O2991" i="2"/>
  <c r="P2991" i="2"/>
  <c r="O2992" i="2"/>
  <c r="P2992" i="2"/>
  <c r="O2993" i="2"/>
  <c r="P2993" i="2"/>
  <c r="O2994" i="2"/>
  <c r="P2994" i="2"/>
  <c r="O2995" i="2"/>
  <c r="P2995" i="2"/>
  <c r="O2996" i="2"/>
  <c r="P2996" i="2"/>
  <c r="O2997" i="2"/>
  <c r="P2997" i="2"/>
  <c r="O2998" i="2"/>
  <c r="P2998" i="2"/>
  <c r="O2999" i="2"/>
  <c r="P2999" i="2"/>
  <c r="O3000" i="2"/>
  <c r="P3000" i="2"/>
  <c r="O3001" i="2"/>
  <c r="P3001" i="2"/>
  <c r="O3002" i="2"/>
  <c r="P3002" i="2"/>
  <c r="O3003" i="2"/>
  <c r="P3003" i="2"/>
  <c r="O3004" i="2"/>
  <c r="P3004" i="2"/>
  <c r="O3005" i="2"/>
  <c r="P3005" i="2"/>
  <c r="O3006" i="2"/>
  <c r="P3006" i="2"/>
  <c r="O3007" i="2"/>
  <c r="P3007" i="2"/>
  <c r="O3008" i="2"/>
  <c r="P3008" i="2"/>
  <c r="O3009" i="2"/>
  <c r="P3009" i="2"/>
  <c r="O3010" i="2"/>
  <c r="P3010" i="2"/>
  <c r="O3011" i="2"/>
  <c r="P3011" i="2"/>
  <c r="O3012" i="2"/>
  <c r="P3012" i="2"/>
  <c r="O3013" i="2"/>
  <c r="P3013" i="2"/>
  <c r="O3014" i="2"/>
  <c r="P3014" i="2"/>
  <c r="O3015" i="2"/>
  <c r="P3015" i="2"/>
  <c r="O3016" i="2"/>
  <c r="P3016" i="2"/>
  <c r="O3017" i="2"/>
  <c r="P3017" i="2"/>
  <c r="O3018" i="2"/>
  <c r="P3018" i="2"/>
  <c r="O3019" i="2"/>
  <c r="P3019" i="2"/>
  <c r="O3020" i="2"/>
  <c r="P3020" i="2"/>
  <c r="O3021" i="2"/>
  <c r="P3021" i="2"/>
  <c r="O3022" i="2"/>
  <c r="P3022" i="2"/>
  <c r="O3023" i="2"/>
  <c r="P3023" i="2"/>
  <c r="O3024" i="2"/>
  <c r="P3024" i="2"/>
  <c r="O3025" i="2"/>
  <c r="P3025" i="2"/>
  <c r="O3026" i="2"/>
  <c r="P3026" i="2"/>
  <c r="O3027" i="2"/>
  <c r="P3027" i="2"/>
  <c r="O3028" i="2"/>
  <c r="P3028" i="2"/>
  <c r="O3029" i="2"/>
  <c r="P3029" i="2"/>
  <c r="O3030" i="2"/>
  <c r="P3030" i="2"/>
  <c r="O3031" i="2"/>
  <c r="P3031" i="2"/>
  <c r="O3032" i="2"/>
  <c r="P3032" i="2"/>
  <c r="O3033" i="2"/>
  <c r="P3033" i="2"/>
  <c r="O3034" i="2"/>
  <c r="P3034" i="2"/>
  <c r="O3035" i="2"/>
  <c r="P3035" i="2"/>
  <c r="O3036" i="2"/>
  <c r="P3036" i="2"/>
  <c r="O3037" i="2"/>
  <c r="P3037" i="2"/>
  <c r="O3038" i="2"/>
  <c r="P3038" i="2"/>
  <c r="O3039" i="2"/>
  <c r="P3039" i="2"/>
  <c r="O3040" i="2"/>
  <c r="P3040" i="2"/>
  <c r="O3041" i="2"/>
  <c r="P3041" i="2"/>
  <c r="O3042" i="2"/>
  <c r="P3042" i="2"/>
  <c r="O3043" i="2"/>
  <c r="P3043" i="2"/>
  <c r="O3044" i="2"/>
  <c r="P3044" i="2"/>
  <c r="O3045" i="2"/>
  <c r="P3045" i="2"/>
  <c r="O3046" i="2"/>
  <c r="P3046" i="2"/>
  <c r="O3047" i="2"/>
  <c r="P3047" i="2"/>
  <c r="O3048" i="2"/>
  <c r="P3048" i="2"/>
  <c r="O3049" i="2"/>
  <c r="P3049" i="2"/>
  <c r="O3050" i="2"/>
  <c r="P3050" i="2"/>
  <c r="O3051" i="2"/>
  <c r="P3051" i="2"/>
  <c r="O3052" i="2"/>
  <c r="P3052" i="2"/>
  <c r="O3053" i="2"/>
  <c r="P3053" i="2"/>
  <c r="O3054" i="2"/>
  <c r="P3054" i="2"/>
  <c r="O3055" i="2"/>
  <c r="P3055" i="2"/>
  <c r="O3056" i="2"/>
  <c r="P3056" i="2"/>
  <c r="O3057" i="2"/>
  <c r="P3057" i="2"/>
  <c r="O3058" i="2"/>
  <c r="P3058" i="2"/>
  <c r="O3059" i="2"/>
  <c r="P3059" i="2"/>
  <c r="O3060" i="2"/>
  <c r="P3060" i="2"/>
  <c r="O3061" i="2"/>
  <c r="P3061" i="2"/>
  <c r="O3062" i="2"/>
  <c r="P3062" i="2"/>
  <c r="O3063" i="2"/>
  <c r="P3063" i="2"/>
  <c r="O3064" i="2"/>
  <c r="P3064" i="2"/>
  <c r="O3065" i="2"/>
  <c r="P3065" i="2"/>
  <c r="O3066" i="2"/>
  <c r="P3066" i="2"/>
  <c r="O3067" i="2"/>
  <c r="P3067" i="2"/>
  <c r="O3068" i="2"/>
  <c r="P3068" i="2"/>
  <c r="O3069" i="2"/>
  <c r="P3069" i="2"/>
  <c r="O3070" i="2"/>
  <c r="P3070" i="2"/>
  <c r="O3071" i="2"/>
  <c r="P3071" i="2"/>
  <c r="O3072" i="2"/>
  <c r="P3072" i="2"/>
  <c r="O3073" i="2"/>
  <c r="P3073" i="2"/>
  <c r="O3074" i="2"/>
  <c r="P3074" i="2"/>
  <c r="O3075" i="2"/>
  <c r="P3075" i="2"/>
  <c r="O3076" i="2"/>
  <c r="P3076" i="2"/>
  <c r="O3077" i="2"/>
  <c r="P3077" i="2"/>
  <c r="O3078" i="2"/>
  <c r="P3078" i="2"/>
  <c r="O3079" i="2"/>
  <c r="P3079" i="2"/>
  <c r="O3080" i="2"/>
  <c r="P3080" i="2"/>
  <c r="O3081" i="2"/>
  <c r="P3081" i="2"/>
  <c r="O3082" i="2"/>
  <c r="P3082" i="2"/>
  <c r="O3083" i="2"/>
  <c r="P3083" i="2"/>
  <c r="O3084" i="2"/>
  <c r="P3084" i="2"/>
  <c r="O3085" i="2"/>
  <c r="P3085" i="2"/>
  <c r="O3086" i="2"/>
  <c r="P3086" i="2"/>
  <c r="O3087" i="2"/>
  <c r="P3087" i="2"/>
  <c r="O3088" i="2"/>
  <c r="P3088" i="2"/>
  <c r="O3089" i="2"/>
  <c r="P3089" i="2"/>
  <c r="O3090" i="2"/>
  <c r="P3090" i="2"/>
  <c r="O3091" i="2"/>
  <c r="P3091" i="2"/>
  <c r="O3092" i="2"/>
  <c r="P3092" i="2"/>
  <c r="O3093" i="2"/>
  <c r="P3093" i="2"/>
  <c r="O3094" i="2"/>
  <c r="P3094" i="2"/>
  <c r="O3095" i="2"/>
  <c r="P3095" i="2"/>
  <c r="O3096" i="2"/>
  <c r="P3096" i="2"/>
  <c r="O3097" i="2"/>
  <c r="P3097" i="2"/>
  <c r="O3098" i="2"/>
  <c r="P3098" i="2"/>
  <c r="O3099" i="2"/>
  <c r="P3099" i="2"/>
  <c r="O3100" i="2"/>
  <c r="P3100" i="2"/>
  <c r="O3101" i="2"/>
  <c r="P3101" i="2"/>
  <c r="O3102" i="2"/>
  <c r="P3102" i="2"/>
  <c r="O3103" i="2"/>
  <c r="P3103" i="2"/>
  <c r="O3104" i="2"/>
  <c r="P3104" i="2"/>
  <c r="O3105" i="2"/>
  <c r="P3105" i="2"/>
  <c r="O3106" i="2"/>
  <c r="P3106" i="2"/>
  <c r="O3107" i="2"/>
  <c r="P3107" i="2"/>
  <c r="O3108" i="2"/>
  <c r="P3108" i="2"/>
  <c r="O3109" i="2"/>
  <c r="P3109" i="2"/>
  <c r="O3110" i="2"/>
  <c r="P3110" i="2"/>
  <c r="O3111" i="2"/>
  <c r="P3111" i="2"/>
  <c r="O3112" i="2"/>
  <c r="P3112" i="2"/>
  <c r="O3113" i="2"/>
  <c r="P3113" i="2"/>
  <c r="O3114" i="2"/>
  <c r="P3114" i="2"/>
  <c r="O3115" i="2"/>
  <c r="P3115" i="2"/>
  <c r="O3116" i="2"/>
  <c r="P3116" i="2"/>
  <c r="O3117" i="2"/>
  <c r="P3117" i="2"/>
  <c r="O3118" i="2"/>
  <c r="P3118" i="2"/>
  <c r="O3119" i="2"/>
  <c r="P3119" i="2"/>
  <c r="O3120" i="2"/>
  <c r="P3120" i="2"/>
  <c r="O3121" i="2"/>
  <c r="P3121" i="2"/>
  <c r="O3122" i="2"/>
  <c r="P3122" i="2"/>
  <c r="O3123" i="2"/>
  <c r="P3123" i="2"/>
  <c r="O3124" i="2"/>
  <c r="P3124" i="2"/>
  <c r="O3125" i="2"/>
  <c r="P3125" i="2"/>
  <c r="O3126" i="2"/>
  <c r="P3126" i="2"/>
  <c r="O3127" i="2"/>
  <c r="P3127" i="2"/>
  <c r="O3128" i="2"/>
  <c r="P3128" i="2"/>
  <c r="O3129" i="2"/>
  <c r="P3129" i="2"/>
  <c r="O3130" i="2"/>
  <c r="P3130" i="2"/>
  <c r="O3131" i="2"/>
  <c r="P3131" i="2"/>
  <c r="O3132" i="2"/>
  <c r="P3132" i="2"/>
  <c r="O3133" i="2"/>
  <c r="P3133" i="2"/>
  <c r="O3134" i="2"/>
  <c r="P3134" i="2"/>
  <c r="O3135" i="2"/>
  <c r="P3135" i="2"/>
  <c r="O3136" i="2"/>
  <c r="P3136" i="2"/>
  <c r="O3137" i="2"/>
  <c r="P3137" i="2"/>
  <c r="O3138" i="2"/>
  <c r="P3138" i="2"/>
  <c r="O3139" i="2"/>
  <c r="P3139" i="2"/>
  <c r="O3140" i="2"/>
  <c r="P3140" i="2"/>
  <c r="O3141" i="2"/>
  <c r="P3141" i="2"/>
  <c r="O3142" i="2"/>
  <c r="P3142" i="2"/>
  <c r="O3143" i="2"/>
  <c r="P3143" i="2"/>
  <c r="O3144" i="2"/>
  <c r="P3144" i="2"/>
  <c r="O3145" i="2"/>
  <c r="P3145" i="2"/>
  <c r="O3146" i="2"/>
  <c r="P3146" i="2"/>
  <c r="O3147" i="2"/>
  <c r="P3147" i="2"/>
  <c r="O3148" i="2"/>
  <c r="P3148" i="2"/>
  <c r="O3149" i="2"/>
  <c r="P3149" i="2"/>
  <c r="O3150" i="2"/>
  <c r="P3150" i="2"/>
  <c r="O3151" i="2"/>
  <c r="P3151" i="2"/>
  <c r="O3152" i="2"/>
  <c r="P3152" i="2"/>
  <c r="O3153" i="2"/>
  <c r="P3153" i="2"/>
  <c r="O3154" i="2"/>
  <c r="P3154" i="2"/>
  <c r="O3155" i="2"/>
  <c r="P3155" i="2"/>
  <c r="O3156" i="2"/>
  <c r="P3156" i="2"/>
  <c r="O3157" i="2"/>
  <c r="P3157" i="2"/>
  <c r="O3158" i="2"/>
  <c r="P3158" i="2"/>
  <c r="O3159" i="2"/>
  <c r="P3159" i="2"/>
  <c r="O3160" i="2"/>
  <c r="P3160" i="2"/>
  <c r="O3161" i="2"/>
  <c r="P3161" i="2"/>
  <c r="O3162" i="2"/>
  <c r="P3162" i="2"/>
  <c r="O3163" i="2"/>
  <c r="P3163" i="2"/>
  <c r="O3164" i="2"/>
  <c r="P3164" i="2"/>
  <c r="O3165" i="2"/>
  <c r="P3165" i="2"/>
  <c r="O3166" i="2"/>
  <c r="P3166" i="2"/>
  <c r="O3167" i="2"/>
  <c r="P3167" i="2"/>
  <c r="O3168" i="2"/>
  <c r="P3168" i="2"/>
  <c r="O3169" i="2"/>
  <c r="P3169" i="2"/>
  <c r="O3170" i="2"/>
  <c r="P3170" i="2"/>
  <c r="O3171" i="2"/>
  <c r="P3171" i="2"/>
  <c r="O3172" i="2"/>
  <c r="P3172" i="2"/>
  <c r="O3173" i="2"/>
  <c r="P3173" i="2"/>
  <c r="O3174" i="2"/>
  <c r="P3174" i="2"/>
  <c r="O3175" i="2"/>
  <c r="P3175" i="2"/>
  <c r="O3176" i="2"/>
  <c r="P3176" i="2"/>
  <c r="O3177" i="2"/>
  <c r="P3177" i="2"/>
  <c r="O3178" i="2"/>
  <c r="P3178" i="2"/>
  <c r="O3179" i="2"/>
  <c r="P3179" i="2"/>
  <c r="O3180" i="2"/>
  <c r="P3180" i="2"/>
  <c r="O3181" i="2"/>
  <c r="P3181" i="2"/>
  <c r="O3182" i="2"/>
  <c r="P3182" i="2"/>
  <c r="O3183" i="2"/>
  <c r="P3183" i="2"/>
  <c r="O3184" i="2"/>
  <c r="P3184" i="2"/>
  <c r="O3185" i="2"/>
  <c r="P3185" i="2"/>
  <c r="O3186" i="2"/>
  <c r="P3186" i="2"/>
  <c r="O3187" i="2"/>
  <c r="P3187" i="2"/>
  <c r="O3188" i="2"/>
  <c r="P3188" i="2"/>
  <c r="O3189" i="2"/>
  <c r="P3189" i="2"/>
  <c r="O3190" i="2"/>
  <c r="P3190" i="2"/>
  <c r="O3191" i="2"/>
  <c r="P3191" i="2"/>
  <c r="O3192" i="2"/>
  <c r="P3192" i="2"/>
  <c r="O3193" i="2"/>
  <c r="P3193" i="2"/>
  <c r="O3194" i="2"/>
  <c r="P3194" i="2"/>
  <c r="O3195" i="2"/>
  <c r="P3195" i="2"/>
  <c r="O3196" i="2"/>
  <c r="P3196" i="2"/>
  <c r="O3197" i="2"/>
  <c r="P3197" i="2"/>
  <c r="O3198" i="2"/>
  <c r="P3198" i="2"/>
  <c r="O3199" i="2"/>
  <c r="P3199" i="2"/>
  <c r="O3200" i="2"/>
  <c r="P3200" i="2"/>
  <c r="O3201" i="2"/>
  <c r="P3201" i="2"/>
  <c r="O3202" i="2"/>
  <c r="P3202" i="2"/>
  <c r="O3203" i="2"/>
  <c r="P3203" i="2"/>
  <c r="O3204" i="2"/>
  <c r="P3204" i="2"/>
  <c r="O3205" i="2"/>
  <c r="P3205" i="2"/>
  <c r="O3206" i="2"/>
  <c r="P3206" i="2"/>
  <c r="O3207" i="2"/>
  <c r="P3207" i="2"/>
  <c r="O3208" i="2"/>
  <c r="P3208" i="2"/>
  <c r="O3209" i="2"/>
  <c r="P3209" i="2"/>
  <c r="O3210" i="2"/>
  <c r="P3210" i="2"/>
  <c r="O3211" i="2"/>
  <c r="P3211" i="2"/>
  <c r="O3212" i="2"/>
  <c r="P3212" i="2"/>
  <c r="O3213" i="2"/>
  <c r="P3213" i="2"/>
  <c r="O3214" i="2"/>
  <c r="P3214" i="2"/>
  <c r="O3215" i="2"/>
  <c r="P3215" i="2"/>
  <c r="O3216" i="2"/>
  <c r="P3216" i="2"/>
  <c r="O3217" i="2"/>
  <c r="P3217" i="2"/>
  <c r="O3218" i="2"/>
  <c r="P3218" i="2"/>
  <c r="O3219" i="2"/>
  <c r="P3219" i="2"/>
  <c r="O3220" i="2"/>
  <c r="P3220" i="2"/>
  <c r="O3221" i="2"/>
  <c r="P3221" i="2"/>
  <c r="O3222" i="2"/>
  <c r="P3222" i="2"/>
  <c r="O3223" i="2"/>
  <c r="P3223" i="2"/>
  <c r="O3224" i="2"/>
  <c r="P3224" i="2"/>
  <c r="O3225" i="2"/>
  <c r="P3225" i="2"/>
  <c r="O3226" i="2"/>
  <c r="P3226" i="2"/>
  <c r="O3227" i="2"/>
  <c r="P3227" i="2"/>
  <c r="O3228" i="2"/>
  <c r="P3228" i="2"/>
  <c r="O3229" i="2"/>
  <c r="P3229" i="2"/>
  <c r="O3230" i="2"/>
  <c r="P3230" i="2"/>
  <c r="O3231" i="2"/>
  <c r="P3231" i="2"/>
  <c r="O3232" i="2"/>
  <c r="P3232" i="2"/>
  <c r="O3233" i="2"/>
  <c r="P3233" i="2"/>
  <c r="O3234" i="2"/>
  <c r="P3234" i="2"/>
  <c r="O3235" i="2"/>
  <c r="P3235" i="2"/>
  <c r="O3236" i="2"/>
  <c r="P3236" i="2"/>
  <c r="O3237" i="2"/>
  <c r="P3237" i="2"/>
  <c r="O3238" i="2"/>
  <c r="P3238" i="2"/>
  <c r="O3239" i="2"/>
  <c r="P3239" i="2"/>
  <c r="O3240" i="2"/>
  <c r="P3240" i="2"/>
  <c r="O3241" i="2"/>
  <c r="P3241" i="2"/>
  <c r="O3242" i="2"/>
  <c r="P3242" i="2"/>
  <c r="O3243" i="2"/>
  <c r="P3243" i="2"/>
  <c r="O3244" i="2"/>
  <c r="P3244" i="2"/>
  <c r="O3245" i="2"/>
  <c r="P3245" i="2"/>
  <c r="O3246" i="2"/>
  <c r="P3246" i="2"/>
  <c r="O3247" i="2"/>
  <c r="P3247" i="2"/>
  <c r="O3248" i="2"/>
  <c r="P3248" i="2"/>
  <c r="O3249" i="2"/>
  <c r="P3249" i="2"/>
  <c r="O3250" i="2"/>
  <c r="P3250" i="2"/>
  <c r="O3251" i="2"/>
  <c r="P3251" i="2"/>
  <c r="O3252" i="2"/>
  <c r="P3252" i="2"/>
  <c r="O3253" i="2"/>
  <c r="P3253" i="2"/>
  <c r="O3254" i="2"/>
  <c r="P3254" i="2"/>
  <c r="O3255" i="2"/>
  <c r="P3255" i="2"/>
  <c r="O3256" i="2"/>
  <c r="P3256" i="2"/>
  <c r="O3257" i="2"/>
  <c r="P3257" i="2"/>
  <c r="O3258" i="2"/>
  <c r="P3258" i="2"/>
  <c r="O3259" i="2"/>
  <c r="P3259" i="2"/>
  <c r="O3260" i="2"/>
  <c r="P3260" i="2"/>
  <c r="O3261" i="2"/>
  <c r="P3261" i="2"/>
  <c r="O3262" i="2"/>
  <c r="P3262" i="2"/>
  <c r="O3263" i="2"/>
  <c r="P3263" i="2"/>
  <c r="O3264" i="2"/>
  <c r="P3264" i="2"/>
  <c r="O3265" i="2"/>
  <c r="P3265" i="2"/>
  <c r="O3266" i="2"/>
  <c r="P3266" i="2"/>
  <c r="O3267" i="2"/>
  <c r="P3267" i="2"/>
  <c r="O3268" i="2"/>
  <c r="P3268" i="2"/>
  <c r="O3269" i="2"/>
  <c r="P3269" i="2"/>
  <c r="O3270" i="2"/>
  <c r="P3270" i="2"/>
  <c r="O3271" i="2"/>
  <c r="P3271" i="2"/>
  <c r="O3272" i="2"/>
  <c r="P3272" i="2"/>
  <c r="O3273" i="2"/>
  <c r="P3273" i="2"/>
  <c r="O3274" i="2"/>
  <c r="P3274" i="2"/>
  <c r="O3275" i="2"/>
  <c r="P3275" i="2"/>
  <c r="O3276" i="2"/>
  <c r="P3276" i="2"/>
  <c r="O3277" i="2"/>
  <c r="P3277" i="2"/>
  <c r="O3278" i="2"/>
  <c r="P3278" i="2"/>
  <c r="O3279" i="2"/>
  <c r="P3279" i="2"/>
  <c r="O3280" i="2"/>
  <c r="P3280" i="2"/>
  <c r="O3281" i="2"/>
  <c r="P3281" i="2"/>
  <c r="O3282" i="2"/>
  <c r="P3282" i="2"/>
  <c r="O3283" i="2"/>
  <c r="P3283" i="2"/>
  <c r="O3284" i="2"/>
  <c r="P3284" i="2"/>
  <c r="O3285" i="2"/>
  <c r="P3285" i="2"/>
  <c r="O3286" i="2"/>
  <c r="P3286" i="2"/>
  <c r="O3287" i="2"/>
  <c r="P3287" i="2"/>
  <c r="O3288" i="2"/>
  <c r="P3288" i="2"/>
  <c r="O3289" i="2"/>
  <c r="P3289" i="2"/>
  <c r="O3290" i="2"/>
  <c r="P3290" i="2"/>
  <c r="O3291" i="2"/>
  <c r="P3291" i="2"/>
  <c r="O3292" i="2"/>
  <c r="P3292" i="2"/>
  <c r="O3293" i="2"/>
  <c r="P3293" i="2"/>
  <c r="O3294" i="2"/>
  <c r="P3294" i="2"/>
  <c r="O3295" i="2"/>
  <c r="P3295" i="2"/>
  <c r="O3296" i="2"/>
  <c r="P3296" i="2"/>
  <c r="O3297" i="2"/>
  <c r="P3297" i="2"/>
  <c r="O3298" i="2"/>
  <c r="P3298" i="2"/>
  <c r="O3299" i="2"/>
  <c r="P3299" i="2"/>
  <c r="O3300" i="2"/>
  <c r="P3300" i="2"/>
  <c r="O3301" i="2"/>
  <c r="P3301" i="2"/>
  <c r="O3302" i="2"/>
  <c r="P3302" i="2"/>
  <c r="O3303" i="2"/>
  <c r="P3303" i="2"/>
  <c r="O3304" i="2"/>
  <c r="P3304" i="2"/>
  <c r="O3305" i="2"/>
  <c r="P3305" i="2"/>
  <c r="O3306" i="2"/>
  <c r="P3306" i="2"/>
  <c r="O3307" i="2"/>
  <c r="P3307" i="2"/>
  <c r="O3308" i="2"/>
  <c r="P3308" i="2"/>
  <c r="O3309" i="2"/>
  <c r="P3309" i="2"/>
  <c r="O3310" i="2"/>
  <c r="P3310" i="2"/>
  <c r="O3311" i="2"/>
  <c r="P3311" i="2"/>
  <c r="O3312" i="2"/>
  <c r="P3312" i="2"/>
  <c r="O3313" i="2"/>
  <c r="P3313" i="2"/>
  <c r="O3314" i="2"/>
  <c r="P3314" i="2"/>
  <c r="O3315" i="2"/>
  <c r="P3315" i="2"/>
  <c r="O3316" i="2"/>
  <c r="P3316" i="2"/>
  <c r="O3317" i="2"/>
  <c r="P3317" i="2"/>
  <c r="O3318" i="2"/>
  <c r="P3318" i="2"/>
  <c r="O3319" i="2"/>
  <c r="P3319" i="2"/>
  <c r="O3320" i="2"/>
  <c r="P3320" i="2"/>
  <c r="O3321" i="2"/>
  <c r="P3321" i="2"/>
  <c r="O3322" i="2"/>
  <c r="P3322" i="2"/>
  <c r="O3323" i="2"/>
  <c r="P3323" i="2"/>
  <c r="O3324" i="2"/>
  <c r="P3324" i="2"/>
  <c r="O3325" i="2"/>
  <c r="P3325" i="2"/>
  <c r="O3326" i="2"/>
  <c r="P3326" i="2"/>
  <c r="O3327" i="2"/>
  <c r="P3327" i="2"/>
  <c r="O3328" i="2"/>
  <c r="P3328" i="2"/>
  <c r="O3329" i="2"/>
  <c r="P3329" i="2"/>
  <c r="O3330" i="2"/>
  <c r="P3330" i="2"/>
  <c r="O3331" i="2"/>
  <c r="P3331" i="2"/>
  <c r="O3332" i="2"/>
  <c r="P3332" i="2"/>
  <c r="O3333" i="2"/>
  <c r="P3333" i="2"/>
  <c r="O3334" i="2"/>
  <c r="P3334" i="2"/>
  <c r="O3335" i="2"/>
  <c r="P3335" i="2"/>
  <c r="O3336" i="2"/>
  <c r="P3336" i="2"/>
  <c r="O3337" i="2"/>
  <c r="P3337" i="2"/>
  <c r="O3338" i="2"/>
  <c r="P3338" i="2"/>
  <c r="O3339" i="2"/>
  <c r="P3339" i="2"/>
  <c r="O3340" i="2"/>
  <c r="P3340" i="2"/>
  <c r="O3341" i="2"/>
  <c r="P3341" i="2"/>
  <c r="O3342" i="2"/>
  <c r="P3342" i="2"/>
  <c r="O3343" i="2"/>
  <c r="P3343" i="2"/>
  <c r="O3344" i="2"/>
  <c r="P3344" i="2"/>
  <c r="O3345" i="2"/>
  <c r="P3345" i="2"/>
  <c r="O3346" i="2"/>
  <c r="P3346" i="2"/>
  <c r="O3347" i="2"/>
  <c r="P3347" i="2"/>
  <c r="O3348" i="2"/>
  <c r="P3348" i="2"/>
  <c r="O3349" i="2"/>
  <c r="P3349" i="2"/>
  <c r="O3350" i="2"/>
  <c r="P3350" i="2"/>
  <c r="O3351" i="2"/>
  <c r="P3351" i="2"/>
  <c r="O3352" i="2"/>
  <c r="P3352" i="2"/>
  <c r="O3353" i="2"/>
  <c r="P3353" i="2"/>
  <c r="O3354" i="2"/>
  <c r="P3354" i="2"/>
  <c r="O3355" i="2"/>
  <c r="P3355" i="2"/>
  <c r="O3356" i="2"/>
  <c r="P3356" i="2"/>
  <c r="O3357" i="2"/>
  <c r="P3357" i="2"/>
  <c r="O3358" i="2"/>
  <c r="P3358" i="2"/>
  <c r="O3359" i="2"/>
  <c r="P3359" i="2"/>
  <c r="O3360" i="2"/>
  <c r="P3360" i="2"/>
  <c r="O3361" i="2"/>
  <c r="P3361" i="2"/>
  <c r="O3362" i="2"/>
  <c r="P3362" i="2"/>
  <c r="O3363" i="2"/>
  <c r="P3363" i="2"/>
  <c r="O3364" i="2"/>
  <c r="P3364" i="2"/>
  <c r="O3365" i="2"/>
  <c r="P3365" i="2"/>
  <c r="O3366" i="2"/>
  <c r="P3366" i="2"/>
  <c r="O3367" i="2"/>
  <c r="P3367" i="2"/>
  <c r="O3368" i="2"/>
  <c r="P3368" i="2"/>
  <c r="O3369" i="2"/>
  <c r="P3369" i="2"/>
  <c r="O3370" i="2"/>
  <c r="P3370" i="2"/>
  <c r="O3371" i="2"/>
  <c r="P3371" i="2"/>
  <c r="O3372" i="2"/>
  <c r="P3372" i="2"/>
  <c r="O3373" i="2"/>
  <c r="P3373" i="2"/>
  <c r="O3374" i="2"/>
  <c r="P3374" i="2"/>
  <c r="O3375" i="2"/>
  <c r="P3375" i="2"/>
  <c r="O3376" i="2"/>
  <c r="P3376" i="2"/>
  <c r="O3377" i="2"/>
  <c r="P3377" i="2"/>
  <c r="O3378" i="2"/>
  <c r="P3378" i="2"/>
  <c r="O3379" i="2"/>
  <c r="P3379" i="2"/>
  <c r="O3380" i="2"/>
  <c r="P3380" i="2"/>
  <c r="O3381" i="2"/>
  <c r="P3381" i="2"/>
  <c r="O3382" i="2"/>
  <c r="P3382" i="2"/>
  <c r="O3383" i="2"/>
  <c r="P3383" i="2"/>
  <c r="O3384" i="2"/>
  <c r="P3384" i="2"/>
  <c r="O3385" i="2"/>
  <c r="P3385" i="2"/>
  <c r="O3386" i="2"/>
  <c r="P3386" i="2"/>
  <c r="O3387" i="2"/>
  <c r="P3387" i="2"/>
  <c r="O3388" i="2"/>
  <c r="P3388" i="2"/>
  <c r="O3389" i="2"/>
  <c r="P3389" i="2"/>
  <c r="O3390" i="2"/>
  <c r="P3390" i="2"/>
  <c r="O3391" i="2"/>
  <c r="P3391" i="2"/>
  <c r="O3392" i="2"/>
  <c r="P3392" i="2"/>
  <c r="O3393" i="2"/>
  <c r="P3393" i="2"/>
  <c r="O3394" i="2"/>
  <c r="P3394" i="2"/>
  <c r="O3395" i="2"/>
  <c r="P3395" i="2"/>
  <c r="O3396" i="2"/>
  <c r="P3396" i="2"/>
  <c r="O3397" i="2"/>
  <c r="P3397" i="2"/>
  <c r="O3398" i="2"/>
  <c r="P3398" i="2"/>
  <c r="O3399" i="2"/>
  <c r="P3399" i="2"/>
  <c r="O3400" i="2"/>
  <c r="P3400" i="2"/>
  <c r="O3401" i="2"/>
  <c r="P3401" i="2"/>
  <c r="O3402" i="2"/>
  <c r="P3402" i="2"/>
  <c r="O3403" i="2"/>
  <c r="P3403" i="2"/>
  <c r="O3404" i="2"/>
  <c r="P3404" i="2"/>
  <c r="O3405" i="2"/>
  <c r="P3405" i="2"/>
  <c r="O3406" i="2"/>
  <c r="P3406" i="2"/>
  <c r="O3407" i="2"/>
  <c r="P3407" i="2"/>
  <c r="O3408" i="2"/>
  <c r="P3408" i="2"/>
  <c r="O3409" i="2"/>
  <c r="P3409" i="2"/>
  <c r="O3410" i="2"/>
  <c r="P3410" i="2"/>
  <c r="O3411" i="2"/>
  <c r="P3411" i="2"/>
  <c r="O3412" i="2"/>
  <c r="P3412" i="2"/>
  <c r="O3413" i="2"/>
  <c r="P3413" i="2"/>
  <c r="O3414" i="2"/>
  <c r="P3414" i="2"/>
  <c r="O3415" i="2"/>
  <c r="P3415" i="2"/>
  <c r="O3416" i="2"/>
  <c r="P3416" i="2"/>
  <c r="O3417" i="2"/>
  <c r="P3417" i="2"/>
  <c r="O3418" i="2"/>
  <c r="P3418" i="2"/>
  <c r="O3419" i="2"/>
  <c r="P3419" i="2"/>
  <c r="O3420" i="2"/>
  <c r="P3420" i="2"/>
  <c r="O3421" i="2"/>
  <c r="P3421" i="2"/>
  <c r="O3422" i="2"/>
  <c r="P3422" i="2"/>
  <c r="O3423" i="2"/>
  <c r="P3423" i="2"/>
  <c r="O3424" i="2"/>
  <c r="P3424" i="2"/>
  <c r="O3425" i="2"/>
  <c r="P3425" i="2"/>
  <c r="O3426" i="2"/>
  <c r="P3426" i="2"/>
  <c r="O3427" i="2"/>
  <c r="P3427" i="2"/>
  <c r="O3428" i="2"/>
  <c r="P3428" i="2"/>
  <c r="O3429" i="2"/>
  <c r="P3429" i="2"/>
  <c r="O3430" i="2"/>
  <c r="P3430" i="2"/>
  <c r="O3431" i="2"/>
  <c r="P3431" i="2"/>
  <c r="O3432" i="2"/>
  <c r="P3432" i="2"/>
  <c r="O3433" i="2"/>
  <c r="P3433" i="2"/>
  <c r="O3434" i="2"/>
  <c r="P3434" i="2"/>
  <c r="O3435" i="2"/>
  <c r="P3435" i="2"/>
  <c r="O3436" i="2"/>
  <c r="P3436" i="2"/>
  <c r="O3437" i="2"/>
  <c r="P3437" i="2"/>
  <c r="O3438" i="2"/>
  <c r="P3438" i="2"/>
  <c r="O3439" i="2"/>
  <c r="P3439" i="2"/>
  <c r="O3440" i="2"/>
  <c r="P3440" i="2"/>
  <c r="O3441" i="2"/>
  <c r="P3441" i="2"/>
  <c r="O3442" i="2"/>
  <c r="P3442" i="2"/>
  <c r="O3443" i="2"/>
  <c r="P3443" i="2"/>
  <c r="O3444" i="2"/>
  <c r="P3444" i="2"/>
  <c r="O3445" i="2"/>
  <c r="P3445" i="2"/>
  <c r="O3446" i="2"/>
  <c r="P3446" i="2"/>
  <c r="O3447" i="2"/>
  <c r="P3447" i="2"/>
  <c r="O3448" i="2"/>
  <c r="P3448" i="2"/>
  <c r="O3449" i="2"/>
  <c r="P3449" i="2"/>
  <c r="O3450" i="2"/>
  <c r="P3450" i="2"/>
  <c r="O3451" i="2"/>
  <c r="P3451" i="2"/>
  <c r="O3452" i="2"/>
  <c r="P3452" i="2"/>
  <c r="O3453" i="2"/>
  <c r="P3453" i="2"/>
  <c r="O3454" i="2"/>
  <c r="P3454" i="2"/>
  <c r="O3455" i="2"/>
  <c r="P3455" i="2"/>
  <c r="O3456" i="2"/>
  <c r="P3456" i="2"/>
  <c r="O3457" i="2"/>
  <c r="P3457" i="2"/>
  <c r="O3458" i="2"/>
  <c r="P3458" i="2"/>
  <c r="O3459" i="2"/>
  <c r="P3459" i="2"/>
  <c r="O3460" i="2"/>
  <c r="P3460" i="2"/>
  <c r="O3461" i="2"/>
  <c r="P3461" i="2"/>
  <c r="O3462" i="2"/>
  <c r="P3462" i="2"/>
  <c r="O3463" i="2"/>
  <c r="P3463" i="2"/>
  <c r="O3464" i="2"/>
  <c r="P3464" i="2"/>
  <c r="O3465" i="2"/>
  <c r="P3465" i="2"/>
  <c r="O3466" i="2"/>
  <c r="P3466" i="2"/>
  <c r="O3467" i="2"/>
  <c r="P3467" i="2"/>
  <c r="O3468" i="2"/>
  <c r="P3468" i="2"/>
  <c r="O3469" i="2"/>
  <c r="P3469" i="2"/>
  <c r="O3470" i="2"/>
  <c r="P3470" i="2"/>
  <c r="O3471" i="2"/>
  <c r="P3471" i="2"/>
  <c r="O3472" i="2"/>
  <c r="P3472" i="2"/>
  <c r="O3473" i="2"/>
  <c r="P3473" i="2"/>
  <c r="O3474" i="2"/>
  <c r="P3474" i="2"/>
  <c r="O3475" i="2"/>
  <c r="P3475" i="2"/>
  <c r="O3476" i="2"/>
  <c r="P3476" i="2"/>
  <c r="O3477" i="2"/>
  <c r="P3477" i="2"/>
  <c r="O3478" i="2"/>
  <c r="P3478" i="2"/>
  <c r="O3479" i="2"/>
  <c r="P3479" i="2"/>
  <c r="O3480" i="2"/>
  <c r="P3480" i="2"/>
  <c r="O3481" i="2"/>
  <c r="P3481" i="2"/>
  <c r="O3482" i="2"/>
  <c r="P3482" i="2"/>
  <c r="O3483" i="2"/>
  <c r="P3483" i="2"/>
  <c r="O3484" i="2"/>
  <c r="P3484" i="2"/>
  <c r="O3485" i="2"/>
  <c r="P3485" i="2"/>
  <c r="O3486" i="2"/>
  <c r="P3486" i="2"/>
  <c r="O3487" i="2"/>
  <c r="P3487" i="2"/>
  <c r="O3488" i="2"/>
  <c r="P3488" i="2"/>
  <c r="O3489" i="2"/>
  <c r="P3489" i="2"/>
  <c r="O3490" i="2"/>
  <c r="P3490" i="2"/>
  <c r="O3491" i="2"/>
  <c r="P3491" i="2"/>
  <c r="O3492" i="2"/>
  <c r="P3492" i="2"/>
  <c r="O3493" i="2"/>
  <c r="P3493" i="2"/>
  <c r="O3494" i="2"/>
  <c r="P3494" i="2"/>
  <c r="O3495" i="2"/>
  <c r="P3495" i="2"/>
  <c r="O3496" i="2"/>
  <c r="P3496" i="2"/>
  <c r="O3497" i="2"/>
  <c r="P3497" i="2"/>
  <c r="O3498" i="2"/>
  <c r="P3498" i="2"/>
  <c r="O3499" i="2"/>
  <c r="P3499" i="2"/>
  <c r="O3500" i="2"/>
  <c r="P3500" i="2"/>
  <c r="O3501" i="2"/>
  <c r="P3501" i="2"/>
  <c r="O3502" i="2"/>
  <c r="P3502" i="2"/>
  <c r="O3503" i="2"/>
  <c r="P3503" i="2"/>
  <c r="O3504" i="2"/>
  <c r="P3504" i="2"/>
  <c r="O3505" i="2"/>
  <c r="P3505" i="2"/>
  <c r="O3506" i="2"/>
  <c r="P3506" i="2"/>
  <c r="O3507" i="2"/>
  <c r="P3507" i="2"/>
  <c r="O3508" i="2"/>
  <c r="P3508" i="2"/>
  <c r="O3509" i="2"/>
  <c r="P3509" i="2"/>
  <c r="O3510" i="2"/>
  <c r="P3510" i="2"/>
  <c r="O3511" i="2"/>
  <c r="P3511" i="2"/>
  <c r="O3512" i="2"/>
  <c r="P3512" i="2"/>
  <c r="O3513" i="2"/>
  <c r="P3513" i="2"/>
  <c r="O3514" i="2"/>
  <c r="P3514" i="2"/>
  <c r="O3515" i="2"/>
  <c r="P3515" i="2"/>
  <c r="O3516" i="2"/>
  <c r="P3516" i="2"/>
  <c r="O3517" i="2"/>
  <c r="P3517" i="2"/>
  <c r="O3518" i="2"/>
  <c r="P3518" i="2"/>
  <c r="O3519" i="2"/>
  <c r="P3519" i="2"/>
  <c r="O3520" i="2"/>
  <c r="P3520" i="2"/>
  <c r="O3521" i="2"/>
  <c r="P3521" i="2"/>
  <c r="O3522" i="2"/>
  <c r="P3522" i="2"/>
  <c r="O3523" i="2"/>
  <c r="P3523" i="2"/>
  <c r="O3524" i="2"/>
  <c r="P3524" i="2"/>
  <c r="O3525" i="2"/>
  <c r="P3525" i="2"/>
  <c r="O3526" i="2"/>
  <c r="P3526" i="2"/>
  <c r="O3527" i="2"/>
  <c r="P3527" i="2"/>
  <c r="O3528" i="2"/>
  <c r="P3528" i="2"/>
  <c r="O3529" i="2"/>
  <c r="P3529" i="2"/>
  <c r="O3530" i="2"/>
  <c r="P3530" i="2"/>
  <c r="O3531" i="2"/>
  <c r="P3531" i="2"/>
  <c r="O3532" i="2"/>
  <c r="P3532" i="2"/>
  <c r="O3533" i="2"/>
  <c r="P3533" i="2"/>
  <c r="O3534" i="2"/>
  <c r="P3534" i="2"/>
  <c r="O3535" i="2"/>
  <c r="P3535" i="2"/>
  <c r="O3536" i="2"/>
  <c r="P3536" i="2"/>
  <c r="O3537" i="2"/>
  <c r="P3537" i="2"/>
  <c r="O3538" i="2"/>
  <c r="P3538" i="2"/>
  <c r="O3539" i="2"/>
  <c r="P3539" i="2"/>
  <c r="O3540" i="2"/>
  <c r="P3540" i="2"/>
  <c r="O3541" i="2"/>
  <c r="P3541" i="2"/>
  <c r="O3542" i="2"/>
  <c r="P3542" i="2"/>
  <c r="O3543" i="2"/>
  <c r="P3543" i="2"/>
  <c r="O3544" i="2"/>
  <c r="P3544" i="2"/>
  <c r="O3545" i="2"/>
  <c r="P3545" i="2"/>
  <c r="O3546" i="2"/>
  <c r="P3546" i="2"/>
  <c r="O3547" i="2"/>
  <c r="P3547" i="2"/>
  <c r="O3548" i="2"/>
  <c r="P3548" i="2"/>
  <c r="O3549" i="2"/>
  <c r="P3549" i="2"/>
  <c r="O3550" i="2"/>
  <c r="P3550" i="2"/>
  <c r="O3551" i="2"/>
  <c r="P3551" i="2"/>
  <c r="O3552" i="2"/>
  <c r="P3552" i="2"/>
  <c r="O3553" i="2"/>
  <c r="P3553" i="2"/>
  <c r="O3554" i="2"/>
  <c r="P3554" i="2"/>
  <c r="O3555" i="2"/>
  <c r="P3555" i="2"/>
  <c r="O3556" i="2"/>
  <c r="P3556" i="2"/>
  <c r="O3557" i="2"/>
  <c r="P3557" i="2"/>
  <c r="O3558" i="2"/>
  <c r="P3558" i="2"/>
  <c r="O3559" i="2"/>
  <c r="P3559" i="2"/>
  <c r="O3560" i="2"/>
  <c r="P3560" i="2"/>
  <c r="O3561" i="2"/>
  <c r="P3561" i="2"/>
  <c r="O3562" i="2"/>
  <c r="P3562" i="2"/>
  <c r="O3563" i="2"/>
  <c r="P3563" i="2"/>
  <c r="O3564" i="2"/>
  <c r="P3564" i="2"/>
  <c r="O3565" i="2"/>
  <c r="P3565" i="2"/>
  <c r="O3566" i="2"/>
  <c r="P3566" i="2"/>
  <c r="O3567" i="2"/>
  <c r="P3567" i="2"/>
  <c r="O3568" i="2"/>
  <c r="P3568" i="2"/>
  <c r="O3569" i="2"/>
  <c r="P3569" i="2"/>
  <c r="O3570" i="2"/>
  <c r="P3570" i="2"/>
  <c r="O3571" i="2"/>
  <c r="P3571" i="2"/>
  <c r="O3572" i="2"/>
  <c r="P3572" i="2"/>
  <c r="O3573" i="2"/>
  <c r="P3573" i="2"/>
  <c r="O3574" i="2"/>
  <c r="P3574" i="2"/>
  <c r="O3575" i="2"/>
  <c r="P3575" i="2"/>
  <c r="O3576" i="2"/>
  <c r="P3576" i="2"/>
  <c r="O3577" i="2"/>
  <c r="P3577" i="2"/>
  <c r="O3578" i="2"/>
  <c r="P3578" i="2"/>
  <c r="O3579" i="2"/>
  <c r="P3579" i="2"/>
  <c r="O3580" i="2"/>
  <c r="P3580" i="2"/>
  <c r="O3581" i="2"/>
  <c r="P3581" i="2"/>
  <c r="O3582" i="2"/>
  <c r="P3582" i="2"/>
  <c r="O3583" i="2"/>
  <c r="P3583" i="2"/>
  <c r="O3584" i="2"/>
  <c r="P3584" i="2"/>
  <c r="O3585" i="2"/>
  <c r="P3585" i="2"/>
  <c r="O3586" i="2"/>
  <c r="P3586" i="2"/>
  <c r="O3587" i="2"/>
  <c r="P3587" i="2"/>
  <c r="O3588" i="2"/>
  <c r="P3588" i="2"/>
  <c r="O3589" i="2"/>
  <c r="P3589" i="2"/>
  <c r="O3590" i="2"/>
  <c r="P3590" i="2"/>
  <c r="O3591" i="2"/>
  <c r="P3591" i="2"/>
  <c r="O3592" i="2"/>
  <c r="P3592" i="2"/>
  <c r="O3593" i="2"/>
  <c r="P3593" i="2"/>
  <c r="O3594" i="2"/>
  <c r="P3594" i="2"/>
  <c r="O3595" i="2"/>
  <c r="P3595" i="2"/>
  <c r="O3596" i="2"/>
  <c r="P3596" i="2"/>
  <c r="O3597" i="2"/>
  <c r="P3597" i="2"/>
  <c r="O3598" i="2"/>
  <c r="P3598" i="2"/>
  <c r="O3599" i="2"/>
  <c r="P3599" i="2"/>
  <c r="O3600" i="2"/>
  <c r="P3600" i="2"/>
  <c r="O3601" i="2"/>
  <c r="P3601" i="2"/>
  <c r="O3602" i="2"/>
  <c r="P3602" i="2"/>
  <c r="O3603" i="2"/>
  <c r="P3603" i="2"/>
  <c r="O3604" i="2"/>
  <c r="P3604" i="2"/>
  <c r="O3605" i="2"/>
  <c r="P3605" i="2"/>
  <c r="O3606" i="2"/>
  <c r="P3606" i="2"/>
  <c r="O3607" i="2"/>
  <c r="P3607" i="2"/>
  <c r="O3608" i="2"/>
  <c r="P3608" i="2"/>
  <c r="O3609" i="2"/>
  <c r="P3609" i="2"/>
  <c r="O3610" i="2"/>
  <c r="P3610" i="2"/>
  <c r="O3611" i="2"/>
  <c r="P3611" i="2"/>
  <c r="O3612" i="2"/>
  <c r="P3612" i="2"/>
  <c r="O3613" i="2"/>
  <c r="P3613" i="2"/>
  <c r="O3614" i="2"/>
  <c r="P3614" i="2"/>
  <c r="O3615" i="2"/>
  <c r="P3615" i="2"/>
  <c r="O3616" i="2"/>
  <c r="P3616" i="2"/>
  <c r="O3617" i="2"/>
  <c r="P3617" i="2"/>
  <c r="O3618" i="2"/>
  <c r="P3618" i="2"/>
  <c r="O3619" i="2"/>
  <c r="P3619" i="2"/>
  <c r="O3620" i="2"/>
  <c r="P3620" i="2"/>
  <c r="O3621" i="2"/>
  <c r="P3621" i="2"/>
  <c r="O3622" i="2"/>
  <c r="P3622" i="2"/>
  <c r="O3623" i="2"/>
  <c r="P3623" i="2"/>
  <c r="O3624" i="2"/>
  <c r="P3624" i="2"/>
  <c r="O3625" i="2"/>
  <c r="P3625" i="2"/>
  <c r="O3626" i="2"/>
  <c r="P3626" i="2"/>
  <c r="O3627" i="2"/>
  <c r="P3627" i="2"/>
  <c r="O3628" i="2"/>
  <c r="P3628" i="2"/>
  <c r="O3629" i="2"/>
  <c r="P3629" i="2"/>
  <c r="O3630" i="2"/>
  <c r="P3630" i="2"/>
  <c r="O3631" i="2"/>
  <c r="P3631" i="2"/>
  <c r="O3632" i="2"/>
  <c r="P3632" i="2"/>
  <c r="O3633" i="2"/>
  <c r="P3633" i="2"/>
  <c r="O3634" i="2"/>
  <c r="P3634" i="2"/>
  <c r="O3635" i="2"/>
  <c r="P3635" i="2"/>
  <c r="O3636" i="2"/>
  <c r="P3636" i="2"/>
  <c r="O3637" i="2"/>
  <c r="P3637" i="2"/>
  <c r="O3638" i="2"/>
  <c r="P3638" i="2"/>
  <c r="O3639" i="2"/>
  <c r="P3639" i="2"/>
  <c r="O3640" i="2"/>
  <c r="P3640" i="2"/>
  <c r="O3641" i="2"/>
  <c r="P3641" i="2"/>
  <c r="O3642" i="2"/>
  <c r="P3642" i="2"/>
  <c r="O3643" i="2"/>
  <c r="P3643" i="2"/>
  <c r="O3644" i="2"/>
  <c r="P3644" i="2"/>
  <c r="O3645" i="2"/>
  <c r="P3645" i="2"/>
  <c r="O3646" i="2"/>
  <c r="P3646" i="2"/>
  <c r="O3647" i="2"/>
  <c r="P3647" i="2"/>
  <c r="O3648" i="2"/>
  <c r="P3648" i="2"/>
  <c r="O3649" i="2"/>
  <c r="P3649" i="2"/>
  <c r="O3650" i="2"/>
  <c r="P3650" i="2"/>
  <c r="O3651" i="2"/>
  <c r="P3651" i="2"/>
  <c r="O3652" i="2"/>
  <c r="P3652" i="2"/>
  <c r="O3653" i="2"/>
  <c r="P3653" i="2"/>
  <c r="O3654" i="2"/>
  <c r="P3654" i="2"/>
  <c r="O3655" i="2"/>
  <c r="P3655" i="2"/>
  <c r="O3656" i="2"/>
  <c r="P3656" i="2"/>
  <c r="O3657" i="2"/>
  <c r="P3657" i="2"/>
  <c r="O3658" i="2"/>
  <c r="P3658" i="2"/>
  <c r="O3659" i="2"/>
  <c r="P3659" i="2"/>
  <c r="O3660" i="2"/>
  <c r="P3660" i="2"/>
  <c r="O3661" i="2"/>
  <c r="P3661" i="2"/>
  <c r="O3662" i="2"/>
  <c r="P3662" i="2"/>
  <c r="O3663" i="2"/>
  <c r="P3663" i="2"/>
  <c r="O3664" i="2"/>
  <c r="P3664" i="2"/>
  <c r="O3665" i="2"/>
  <c r="P3665" i="2"/>
  <c r="O3666" i="2"/>
  <c r="P3666" i="2"/>
  <c r="O3667" i="2"/>
  <c r="P3667" i="2"/>
  <c r="O3668" i="2"/>
  <c r="P3668" i="2"/>
  <c r="O3669" i="2"/>
  <c r="P3669" i="2"/>
  <c r="O3670" i="2"/>
  <c r="P3670" i="2"/>
  <c r="O3671" i="2"/>
  <c r="P3671" i="2"/>
  <c r="O3672" i="2"/>
  <c r="P3672" i="2"/>
  <c r="O3673" i="2"/>
  <c r="P3673" i="2"/>
  <c r="O3674" i="2"/>
  <c r="P3674" i="2"/>
  <c r="O3675" i="2"/>
  <c r="P3675" i="2"/>
  <c r="O3676" i="2"/>
  <c r="P3676" i="2"/>
  <c r="O3677" i="2"/>
  <c r="P3677" i="2"/>
  <c r="O3678" i="2"/>
  <c r="P3678" i="2"/>
  <c r="O3679" i="2"/>
  <c r="P3679" i="2"/>
  <c r="O3680" i="2"/>
  <c r="P3680" i="2"/>
  <c r="O3681" i="2"/>
  <c r="P3681" i="2"/>
  <c r="O3682" i="2"/>
  <c r="P3682" i="2"/>
  <c r="O3683" i="2"/>
  <c r="P3683" i="2"/>
  <c r="O3684" i="2"/>
  <c r="P3684" i="2"/>
  <c r="O3685" i="2"/>
  <c r="P3685" i="2"/>
  <c r="O3686" i="2"/>
  <c r="P3686" i="2"/>
  <c r="O3687" i="2"/>
  <c r="P3687" i="2"/>
  <c r="O3688" i="2"/>
  <c r="P3688" i="2"/>
  <c r="O3689" i="2"/>
  <c r="P3689" i="2"/>
  <c r="O3690" i="2"/>
  <c r="P3690" i="2"/>
  <c r="O3691" i="2"/>
  <c r="P3691" i="2"/>
  <c r="O3692" i="2"/>
  <c r="P3692" i="2"/>
  <c r="O3693" i="2"/>
  <c r="P3693" i="2"/>
  <c r="O3694" i="2"/>
  <c r="P3694" i="2"/>
  <c r="O3695" i="2"/>
  <c r="P3695" i="2"/>
  <c r="O3696" i="2"/>
  <c r="P3696" i="2"/>
  <c r="O3697" i="2"/>
  <c r="P3697" i="2"/>
  <c r="O3698" i="2"/>
  <c r="P3698" i="2"/>
  <c r="O3699" i="2"/>
  <c r="P3699" i="2"/>
  <c r="O3700" i="2"/>
  <c r="P3700" i="2"/>
  <c r="O3701" i="2"/>
  <c r="P3701" i="2"/>
  <c r="O3702" i="2"/>
  <c r="P3702" i="2"/>
  <c r="O3703" i="2"/>
  <c r="P3703" i="2"/>
  <c r="O3704" i="2"/>
  <c r="P3704" i="2"/>
  <c r="O3705" i="2"/>
  <c r="P3705" i="2"/>
  <c r="O3706" i="2"/>
  <c r="P3706" i="2"/>
  <c r="O3707" i="2"/>
  <c r="P3707" i="2"/>
  <c r="O3708" i="2"/>
  <c r="P3708" i="2"/>
  <c r="O3709" i="2"/>
  <c r="P3709" i="2"/>
  <c r="O3710" i="2"/>
  <c r="P3710" i="2"/>
  <c r="O3711" i="2"/>
  <c r="P3711" i="2"/>
  <c r="O3712" i="2"/>
  <c r="P3712" i="2"/>
  <c r="O3713" i="2"/>
  <c r="P3713" i="2"/>
  <c r="O3714" i="2"/>
  <c r="P3714" i="2"/>
  <c r="O3715" i="2"/>
  <c r="P3715" i="2"/>
  <c r="O3716" i="2"/>
  <c r="P3716" i="2"/>
  <c r="O3717" i="2"/>
  <c r="P3717" i="2"/>
  <c r="O3718" i="2"/>
  <c r="P3718" i="2"/>
  <c r="O3719" i="2"/>
  <c r="P3719" i="2"/>
  <c r="O3720" i="2"/>
  <c r="P3720" i="2"/>
  <c r="O3721" i="2"/>
  <c r="P3721" i="2"/>
  <c r="O3722" i="2"/>
  <c r="P3722" i="2"/>
  <c r="O3723" i="2"/>
  <c r="P3723" i="2"/>
  <c r="O3724" i="2"/>
  <c r="P3724" i="2"/>
  <c r="O3725" i="2"/>
  <c r="P3725" i="2"/>
  <c r="O3726" i="2"/>
  <c r="P3726" i="2"/>
  <c r="O3727" i="2"/>
  <c r="P3727" i="2"/>
  <c r="O3728" i="2"/>
  <c r="P3728" i="2"/>
  <c r="O3729" i="2"/>
  <c r="P3729" i="2"/>
  <c r="O3730" i="2"/>
  <c r="P3730" i="2"/>
  <c r="O3731" i="2"/>
  <c r="P3731" i="2"/>
  <c r="O3732" i="2"/>
  <c r="P3732" i="2"/>
  <c r="O3733" i="2"/>
  <c r="P3733" i="2"/>
  <c r="O3734" i="2"/>
  <c r="P3734" i="2"/>
  <c r="O3735" i="2"/>
  <c r="P3735" i="2"/>
  <c r="O3736" i="2"/>
  <c r="P3736" i="2"/>
  <c r="O3737" i="2"/>
  <c r="P3737" i="2"/>
  <c r="O3738" i="2"/>
  <c r="P3738" i="2"/>
  <c r="O3739" i="2"/>
  <c r="P3739" i="2"/>
  <c r="O3740" i="2"/>
  <c r="P3740" i="2"/>
  <c r="O3741" i="2"/>
  <c r="P3741" i="2"/>
  <c r="O3742" i="2"/>
  <c r="P3742" i="2"/>
  <c r="O3743" i="2"/>
  <c r="P3743" i="2"/>
  <c r="O3744" i="2"/>
  <c r="P3744" i="2"/>
  <c r="O3745" i="2"/>
  <c r="P3745" i="2"/>
  <c r="O3746" i="2"/>
  <c r="P3746" i="2"/>
  <c r="O3747" i="2"/>
  <c r="P3747" i="2"/>
  <c r="O3748" i="2"/>
  <c r="P3748" i="2"/>
  <c r="O3749" i="2"/>
  <c r="P3749" i="2"/>
  <c r="O3750" i="2"/>
  <c r="P3750" i="2"/>
  <c r="O3751" i="2"/>
  <c r="P3751" i="2"/>
  <c r="O3752" i="2"/>
  <c r="P3752" i="2"/>
  <c r="O3753" i="2"/>
  <c r="P3753" i="2"/>
  <c r="O3754" i="2"/>
  <c r="P3754" i="2"/>
  <c r="O3755" i="2"/>
  <c r="P3755" i="2"/>
  <c r="O3756" i="2"/>
  <c r="P3756" i="2"/>
  <c r="O3757" i="2"/>
  <c r="P3757" i="2"/>
  <c r="O3758" i="2"/>
  <c r="P3758" i="2"/>
  <c r="O3759" i="2"/>
  <c r="P3759" i="2"/>
  <c r="O3760" i="2"/>
  <c r="P3760" i="2"/>
  <c r="O3761" i="2"/>
  <c r="P3761" i="2"/>
  <c r="O3762" i="2"/>
  <c r="P3762" i="2"/>
  <c r="O3763" i="2"/>
  <c r="P3763" i="2"/>
  <c r="O3764" i="2"/>
  <c r="P3764" i="2"/>
  <c r="O3765" i="2"/>
  <c r="P3765" i="2"/>
  <c r="O3766" i="2"/>
  <c r="P3766" i="2"/>
  <c r="O3767" i="2"/>
  <c r="P3767" i="2"/>
  <c r="O3768" i="2"/>
  <c r="P3768" i="2"/>
  <c r="O3769" i="2"/>
  <c r="P3769" i="2"/>
  <c r="O3770" i="2"/>
  <c r="P3770" i="2"/>
  <c r="O3771" i="2"/>
  <c r="P3771" i="2"/>
  <c r="O3772" i="2"/>
  <c r="P3772" i="2"/>
  <c r="O3773" i="2"/>
  <c r="P3773" i="2"/>
  <c r="O3774" i="2"/>
  <c r="P3774" i="2"/>
  <c r="O3775" i="2"/>
  <c r="P3775" i="2"/>
  <c r="O3776" i="2"/>
  <c r="P3776" i="2"/>
  <c r="O3777" i="2"/>
  <c r="P3777" i="2"/>
  <c r="O3778" i="2"/>
  <c r="P3778" i="2"/>
  <c r="O3779" i="2"/>
  <c r="P3779" i="2"/>
  <c r="O3780" i="2"/>
  <c r="P3780" i="2"/>
  <c r="O3781" i="2"/>
  <c r="P3781" i="2"/>
  <c r="O3782" i="2"/>
  <c r="P3782" i="2"/>
  <c r="O3783" i="2"/>
  <c r="P3783" i="2"/>
  <c r="O3784" i="2"/>
  <c r="P3784" i="2"/>
  <c r="O3785" i="2"/>
  <c r="P3785" i="2"/>
  <c r="O3786" i="2"/>
  <c r="P3786" i="2"/>
  <c r="O3787" i="2"/>
  <c r="P3787" i="2"/>
  <c r="O3788" i="2"/>
  <c r="P3788" i="2"/>
  <c r="O3789" i="2"/>
  <c r="P3789" i="2"/>
  <c r="O3790" i="2"/>
  <c r="P3790" i="2"/>
  <c r="O3791" i="2"/>
  <c r="P3791" i="2"/>
  <c r="O3792" i="2"/>
  <c r="P3792" i="2"/>
  <c r="O3793" i="2"/>
  <c r="P3793" i="2"/>
  <c r="O3794" i="2"/>
  <c r="P3794" i="2"/>
  <c r="O3795" i="2"/>
  <c r="P3795" i="2"/>
  <c r="O3796" i="2"/>
  <c r="P3796" i="2"/>
  <c r="O3797" i="2"/>
  <c r="P3797" i="2"/>
  <c r="O3798" i="2"/>
  <c r="P3798" i="2"/>
  <c r="O3799" i="2"/>
  <c r="P3799" i="2"/>
  <c r="O3800" i="2"/>
  <c r="P3800" i="2"/>
  <c r="O3801" i="2"/>
  <c r="P3801" i="2"/>
  <c r="O3802" i="2"/>
  <c r="P3802" i="2"/>
  <c r="O3803" i="2"/>
  <c r="P3803" i="2"/>
  <c r="O3804" i="2"/>
  <c r="P3804" i="2"/>
  <c r="O3805" i="2"/>
  <c r="P3805" i="2"/>
  <c r="O3806" i="2"/>
  <c r="P3806" i="2"/>
  <c r="O3807" i="2"/>
  <c r="P3807" i="2"/>
  <c r="O3808" i="2"/>
  <c r="P3808" i="2"/>
  <c r="O3809" i="2"/>
  <c r="P3809" i="2"/>
  <c r="O3810" i="2"/>
  <c r="P3810" i="2"/>
  <c r="O3811" i="2"/>
  <c r="P3811" i="2"/>
  <c r="O3812" i="2"/>
  <c r="P3812" i="2"/>
  <c r="O3813" i="2"/>
  <c r="P3813" i="2"/>
  <c r="O3814" i="2"/>
  <c r="P3814" i="2"/>
  <c r="O3815" i="2"/>
  <c r="P3815" i="2"/>
  <c r="O3816" i="2"/>
  <c r="P3816" i="2"/>
  <c r="O3817" i="2"/>
  <c r="P3817" i="2"/>
  <c r="O3818" i="2"/>
  <c r="P3818" i="2"/>
  <c r="O3819" i="2"/>
  <c r="P3819" i="2"/>
  <c r="O3820" i="2"/>
  <c r="P3820" i="2"/>
  <c r="O3821" i="2"/>
  <c r="P3821" i="2"/>
  <c r="O3822" i="2"/>
  <c r="P3822" i="2"/>
  <c r="O3823" i="2"/>
  <c r="P3823" i="2"/>
  <c r="O3824" i="2"/>
  <c r="P3824" i="2"/>
  <c r="O3825" i="2"/>
  <c r="P3825" i="2"/>
  <c r="O3826" i="2"/>
  <c r="P3826" i="2"/>
  <c r="O3827" i="2"/>
  <c r="P3827" i="2"/>
  <c r="O3828" i="2"/>
  <c r="P3828" i="2"/>
  <c r="O3829" i="2"/>
  <c r="P3829" i="2"/>
  <c r="O3830" i="2"/>
  <c r="P3830" i="2"/>
  <c r="O3831" i="2"/>
  <c r="P3831" i="2"/>
  <c r="O3832" i="2"/>
  <c r="P3832" i="2"/>
  <c r="O3833" i="2"/>
  <c r="P3833" i="2"/>
  <c r="O3834" i="2"/>
  <c r="P3834" i="2"/>
  <c r="O3835" i="2"/>
  <c r="P3835" i="2"/>
  <c r="O3836" i="2"/>
  <c r="P3836" i="2"/>
  <c r="O3837" i="2"/>
  <c r="P3837" i="2"/>
  <c r="O3838" i="2"/>
  <c r="P3838" i="2"/>
  <c r="O3839" i="2"/>
  <c r="P3839" i="2"/>
  <c r="O3840" i="2"/>
  <c r="P3840" i="2"/>
  <c r="O3841" i="2"/>
  <c r="P3841" i="2"/>
  <c r="O3842" i="2"/>
  <c r="P3842" i="2"/>
  <c r="O3843" i="2"/>
  <c r="P3843" i="2"/>
  <c r="O3844" i="2"/>
  <c r="P3844" i="2"/>
  <c r="O3845" i="2"/>
  <c r="P3845" i="2"/>
  <c r="O3846" i="2"/>
  <c r="P3846" i="2"/>
  <c r="O3847" i="2"/>
  <c r="P3847" i="2"/>
  <c r="O3848" i="2"/>
  <c r="P3848" i="2"/>
  <c r="O3849" i="2"/>
  <c r="P3849" i="2"/>
  <c r="O3850" i="2"/>
  <c r="P3850" i="2"/>
  <c r="O3851" i="2"/>
  <c r="P3851" i="2"/>
  <c r="O3852" i="2"/>
  <c r="P3852" i="2"/>
  <c r="O3853" i="2"/>
  <c r="P3853" i="2"/>
  <c r="O3854" i="2"/>
  <c r="P3854" i="2"/>
  <c r="O3855" i="2"/>
  <c r="P3855" i="2"/>
  <c r="O3856" i="2"/>
  <c r="P3856" i="2"/>
  <c r="O3857" i="2"/>
  <c r="P3857" i="2"/>
  <c r="O3858" i="2"/>
  <c r="P3858" i="2"/>
  <c r="O3859" i="2"/>
  <c r="P3859" i="2"/>
  <c r="O3860" i="2"/>
  <c r="P3860" i="2"/>
  <c r="O3861" i="2"/>
  <c r="P3861" i="2"/>
  <c r="O3862" i="2"/>
  <c r="P3862" i="2"/>
  <c r="O3863" i="2"/>
  <c r="P3863" i="2"/>
  <c r="O3864" i="2"/>
  <c r="P3864" i="2"/>
  <c r="O3865" i="2"/>
  <c r="P3865" i="2"/>
  <c r="O3866" i="2"/>
  <c r="P3866" i="2"/>
  <c r="O3867" i="2"/>
  <c r="P3867" i="2"/>
  <c r="O3868" i="2"/>
  <c r="P3868" i="2"/>
  <c r="O3869" i="2"/>
  <c r="P3869" i="2"/>
  <c r="O3870" i="2"/>
  <c r="P3870" i="2"/>
  <c r="O3871" i="2"/>
  <c r="P3871" i="2"/>
  <c r="O3872" i="2"/>
  <c r="P3872" i="2"/>
  <c r="O3873" i="2"/>
  <c r="P3873" i="2"/>
  <c r="O3874" i="2"/>
  <c r="P3874" i="2"/>
  <c r="O3875" i="2"/>
  <c r="P3875" i="2"/>
  <c r="O3876" i="2"/>
  <c r="P3876" i="2"/>
  <c r="O3877" i="2"/>
  <c r="P3877" i="2"/>
  <c r="O3878" i="2"/>
  <c r="P3878" i="2"/>
  <c r="O3879" i="2"/>
  <c r="P3879" i="2"/>
  <c r="O3880" i="2"/>
  <c r="P3880" i="2"/>
  <c r="O3881" i="2"/>
  <c r="P3881" i="2"/>
  <c r="O3882" i="2"/>
  <c r="P3882" i="2"/>
  <c r="O3883" i="2"/>
  <c r="P3883" i="2"/>
  <c r="O3884" i="2"/>
  <c r="P3884" i="2"/>
  <c r="O3885" i="2"/>
  <c r="P3885" i="2"/>
  <c r="O3886" i="2"/>
  <c r="P3886" i="2"/>
  <c r="O3887" i="2"/>
  <c r="P3887" i="2"/>
  <c r="O3888" i="2"/>
  <c r="P3888" i="2"/>
  <c r="O3889" i="2"/>
  <c r="P3889" i="2"/>
  <c r="O3890" i="2"/>
  <c r="P3890" i="2"/>
  <c r="O3891" i="2"/>
  <c r="P3891" i="2"/>
  <c r="O3892" i="2"/>
  <c r="P3892" i="2"/>
  <c r="O3893" i="2"/>
  <c r="P3893" i="2"/>
  <c r="O3894" i="2"/>
  <c r="P3894" i="2"/>
  <c r="O3895" i="2"/>
  <c r="P3895" i="2"/>
  <c r="O3896" i="2"/>
  <c r="P3896" i="2"/>
  <c r="O3897" i="2"/>
  <c r="P3897" i="2"/>
  <c r="O3898" i="2"/>
  <c r="P3898" i="2"/>
  <c r="O3899" i="2"/>
  <c r="P3899" i="2"/>
  <c r="O3900" i="2"/>
  <c r="P3900" i="2"/>
  <c r="O3901" i="2"/>
  <c r="P3901" i="2"/>
  <c r="O3902" i="2"/>
  <c r="P3902" i="2"/>
  <c r="O3903" i="2"/>
  <c r="P3903" i="2"/>
  <c r="O3904" i="2"/>
  <c r="P3904" i="2"/>
  <c r="O3905" i="2"/>
  <c r="P3905" i="2"/>
  <c r="O3906" i="2"/>
  <c r="P3906" i="2"/>
  <c r="O3907" i="2"/>
  <c r="P3907" i="2"/>
  <c r="O3908" i="2"/>
  <c r="P3908" i="2"/>
  <c r="O3909" i="2"/>
  <c r="P3909" i="2"/>
  <c r="O3910" i="2"/>
  <c r="P3910" i="2"/>
  <c r="O3911" i="2"/>
  <c r="P3911" i="2"/>
  <c r="O3912" i="2"/>
  <c r="P3912" i="2"/>
  <c r="O3913" i="2"/>
  <c r="P3913" i="2"/>
  <c r="O3914" i="2"/>
  <c r="P3914" i="2"/>
  <c r="O3915" i="2"/>
  <c r="P3915" i="2"/>
  <c r="O3916" i="2"/>
  <c r="P3916" i="2"/>
  <c r="O3917" i="2"/>
  <c r="P3917" i="2"/>
  <c r="O3918" i="2"/>
  <c r="P3918" i="2"/>
  <c r="O3919" i="2"/>
  <c r="P3919" i="2"/>
  <c r="O3920" i="2"/>
  <c r="P3920" i="2"/>
  <c r="O3921" i="2"/>
  <c r="P3921" i="2"/>
  <c r="O3922" i="2"/>
  <c r="P3922" i="2"/>
  <c r="O3923" i="2"/>
  <c r="P3923" i="2"/>
  <c r="O3924" i="2"/>
  <c r="P3924" i="2"/>
  <c r="O3925" i="2"/>
  <c r="P3925" i="2"/>
  <c r="O3926" i="2"/>
  <c r="P3926" i="2"/>
  <c r="O3927" i="2"/>
  <c r="P3927" i="2"/>
  <c r="O3928" i="2"/>
  <c r="P3928" i="2"/>
  <c r="O3929" i="2"/>
  <c r="P3929" i="2"/>
  <c r="O3930" i="2"/>
  <c r="P3930" i="2"/>
  <c r="O3931" i="2"/>
  <c r="P3931" i="2"/>
  <c r="O3932" i="2"/>
  <c r="P3932" i="2"/>
  <c r="O3933" i="2"/>
  <c r="P3933" i="2"/>
  <c r="O3934" i="2"/>
  <c r="P3934" i="2"/>
  <c r="O3935" i="2"/>
  <c r="P3935" i="2"/>
  <c r="O3936" i="2"/>
  <c r="P3936" i="2"/>
  <c r="O3937" i="2"/>
  <c r="P3937" i="2"/>
  <c r="O3938" i="2"/>
  <c r="P3938" i="2"/>
  <c r="O3939" i="2"/>
  <c r="P3939" i="2"/>
  <c r="O3940" i="2"/>
  <c r="P3940" i="2"/>
  <c r="O3941" i="2"/>
  <c r="P3941" i="2"/>
  <c r="O3942" i="2"/>
  <c r="P3942" i="2"/>
  <c r="O3943" i="2"/>
  <c r="P3943" i="2"/>
  <c r="O3944" i="2"/>
  <c r="P3944" i="2"/>
  <c r="O3945" i="2"/>
  <c r="P3945" i="2"/>
  <c r="O3946" i="2"/>
  <c r="P3946" i="2"/>
  <c r="O3947" i="2"/>
  <c r="P3947" i="2"/>
  <c r="O3948" i="2"/>
  <c r="P3948" i="2"/>
  <c r="O3949" i="2"/>
  <c r="P3949" i="2"/>
  <c r="O3950" i="2"/>
  <c r="P3950" i="2"/>
  <c r="O3951" i="2"/>
  <c r="P3951" i="2"/>
  <c r="O3952" i="2"/>
  <c r="P3952" i="2"/>
  <c r="O3953" i="2"/>
  <c r="P3953" i="2"/>
  <c r="O3954" i="2"/>
  <c r="P3954" i="2"/>
  <c r="O3955" i="2"/>
  <c r="P3955" i="2"/>
  <c r="O3956" i="2"/>
  <c r="P3956" i="2"/>
  <c r="O3957" i="2"/>
  <c r="P3957" i="2"/>
  <c r="O3958" i="2"/>
  <c r="P3958" i="2"/>
  <c r="O3959" i="2"/>
  <c r="P3959" i="2"/>
  <c r="O3960" i="2"/>
  <c r="P3960" i="2"/>
  <c r="O3961" i="2"/>
  <c r="P3961" i="2"/>
  <c r="O3962" i="2"/>
  <c r="P3962" i="2"/>
  <c r="O3963" i="2"/>
  <c r="P3963" i="2"/>
  <c r="O3964" i="2"/>
  <c r="P3964" i="2"/>
  <c r="O3965" i="2"/>
  <c r="P3965" i="2"/>
  <c r="O3966" i="2"/>
  <c r="P3966" i="2"/>
  <c r="O3967" i="2"/>
  <c r="P3967" i="2"/>
  <c r="O3968" i="2"/>
  <c r="P3968" i="2"/>
  <c r="O3969" i="2"/>
  <c r="P3969" i="2"/>
  <c r="O3970" i="2"/>
  <c r="P3970" i="2"/>
  <c r="O3971" i="2"/>
  <c r="P3971" i="2"/>
  <c r="O3972" i="2"/>
  <c r="P3972" i="2"/>
  <c r="O3973" i="2"/>
  <c r="P3973" i="2"/>
  <c r="O3974" i="2"/>
  <c r="P3974" i="2"/>
  <c r="O3975" i="2"/>
  <c r="P3975" i="2"/>
  <c r="O3976" i="2"/>
  <c r="P3976" i="2"/>
  <c r="O3977" i="2"/>
  <c r="P3977" i="2"/>
  <c r="O3978" i="2"/>
  <c r="P3978" i="2"/>
  <c r="O3979" i="2"/>
  <c r="P3979" i="2"/>
  <c r="O3980" i="2"/>
  <c r="P3980" i="2"/>
  <c r="O3981" i="2"/>
  <c r="P3981" i="2"/>
  <c r="O3982" i="2"/>
  <c r="P3982" i="2"/>
  <c r="O3983" i="2"/>
  <c r="P3983" i="2"/>
  <c r="O3984" i="2"/>
  <c r="P3984" i="2"/>
  <c r="O3985" i="2"/>
  <c r="P3985" i="2"/>
  <c r="O3986" i="2"/>
  <c r="P3986" i="2"/>
  <c r="O3987" i="2"/>
  <c r="P3987" i="2"/>
  <c r="O3988" i="2"/>
  <c r="P3988" i="2"/>
  <c r="O3989" i="2"/>
  <c r="P3989" i="2"/>
  <c r="O3990" i="2"/>
  <c r="P3990" i="2"/>
  <c r="O3991" i="2"/>
  <c r="P3991" i="2"/>
  <c r="O3992" i="2"/>
  <c r="P3992" i="2"/>
  <c r="O3993" i="2"/>
  <c r="P3993" i="2"/>
  <c r="O3994" i="2"/>
  <c r="P3994" i="2"/>
  <c r="O3995" i="2"/>
  <c r="P3995" i="2"/>
  <c r="O3996" i="2"/>
  <c r="P3996" i="2"/>
  <c r="O3997" i="2"/>
  <c r="P3997" i="2"/>
  <c r="O3998" i="2"/>
  <c r="P3998" i="2"/>
  <c r="O3999" i="2"/>
  <c r="P3999" i="2"/>
  <c r="O4000" i="2"/>
  <c r="P4000" i="2"/>
  <c r="O4001" i="2"/>
  <c r="P4001" i="2"/>
  <c r="O4002" i="2"/>
  <c r="P4002" i="2"/>
  <c r="O4003" i="2"/>
  <c r="P4003" i="2"/>
  <c r="O4004" i="2"/>
  <c r="P4004" i="2"/>
  <c r="O4005" i="2"/>
  <c r="P4005" i="2"/>
  <c r="O4006" i="2"/>
  <c r="P4006" i="2"/>
  <c r="O4007" i="2"/>
  <c r="P4007" i="2"/>
  <c r="O4008" i="2"/>
  <c r="P4008" i="2"/>
  <c r="O4009" i="2"/>
  <c r="P4009" i="2"/>
  <c r="O4010" i="2"/>
  <c r="P4010" i="2"/>
  <c r="O4011" i="2"/>
  <c r="P4011" i="2"/>
  <c r="O4012" i="2"/>
  <c r="P4012" i="2"/>
  <c r="O4013" i="2"/>
  <c r="P4013" i="2"/>
  <c r="O4014" i="2"/>
  <c r="P4014" i="2"/>
  <c r="O4015" i="2"/>
  <c r="P4015" i="2"/>
  <c r="O4016" i="2"/>
  <c r="P4016" i="2"/>
  <c r="O4017" i="2"/>
  <c r="P4017" i="2"/>
  <c r="O4018" i="2"/>
  <c r="P4018" i="2"/>
  <c r="O4019" i="2"/>
  <c r="P4019" i="2"/>
  <c r="O4020" i="2"/>
  <c r="P4020" i="2"/>
  <c r="O4021" i="2"/>
  <c r="P4021" i="2"/>
  <c r="O4022" i="2"/>
  <c r="P4022" i="2"/>
  <c r="O4023" i="2"/>
  <c r="P4023" i="2"/>
  <c r="O4024" i="2"/>
  <c r="P4024" i="2"/>
  <c r="O4025" i="2"/>
  <c r="P4025" i="2"/>
  <c r="O4026" i="2"/>
  <c r="P4026" i="2"/>
  <c r="O4027" i="2"/>
  <c r="P4027" i="2"/>
  <c r="O4028" i="2"/>
  <c r="P4028" i="2"/>
  <c r="O4029" i="2"/>
  <c r="P4029" i="2"/>
  <c r="O4030" i="2"/>
  <c r="P4030" i="2"/>
  <c r="O4031" i="2"/>
  <c r="P4031" i="2"/>
  <c r="O4032" i="2"/>
  <c r="P4032" i="2"/>
  <c r="O4033" i="2"/>
  <c r="P4033" i="2"/>
  <c r="O4034" i="2"/>
  <c r="P4034" i="2"/>
  <c r="O4035" i="2"/>
  <c r="P4035" i="2"/>
  <c r="O4036" i="2"/>
  <c r="P4036" i="2"/>
  <c r="O4037" i="2"/>
  <c r="P4037" i="2"/>
  <c r="O4038" i="2"/>
  <c r="P4038" i="2"/>
  <c r="O4039" i="2"/>
  <c r="P4039" i="2"/>
  <c r="O4040" i="2"/>
  <c r="P4040" i="2"/>
  <c r="O4041" i="2"/>
  <c r="P4041" i="2"/>
  <c r="O4042" i="2"/>
  <c r="P4042" i="2"/>
  <c r="O4043" i="2"/>
  <c r="P4043" i="2"/>
  <c r="O4044" i="2"/>
  <c r="P4044" i="2"/>
  <c r="O4045" i="2"/>
  <c r="P4045" i="2"/>
  <c r="O4046" i="2"/>
  <c r="P4046" i="2"/>
  <c r="O4047" i="2"/>
  <c r="P4047" i="2"/>
  <c r="O4048" i="2"/>
  <c r="P4048" i="2"/>
  <c r="O4049" i="2"/>
  <c r="P4049" i="2"/>
  <c r="O4050" i="2"/>
  <c r="P4050" i="2"/>
  <c r="O4051" i="2"/>
  <c r="P4051" i="2"/>
  <c r="O4052" i="2"/>
  <c r="P4052" i="2"/>
  <c r="O4053" i="2"/>
  <c r="P4053" i="2"/>
  <c r="O4054" i="2"/>
  <c r="P4054" i="2"/>
  <c r="O4055" i="2"/>
  <c r="P4055" i="2"/>
  <c r="O4056" i="2"/>
  <c r="P4056" i="2"/>
  <c r="O4057" i="2"/>
  <c r="P4057" i="2"/>
  <c r="O4058" i="2"/>
  <c r="P4058" i="2"/>
  <c r="O4059" i="2"/>
  <c r="P4059" i="2"/>
  <c r="O4060" i="2"/>
  <c r="P4060" i="2"/>
  <c r="O4061" i="2"/>
  <c r="P4061" i="2"/>
  <c r="O4062" i="2"/>
  <c r="P4062" i="2"/>
  <c r="O4063" i="2"/>
  <c r="P4063" i="2"/>
  <c r="O4064" i="2"/>
  <c r="P4064" i="2"/>
  <c r="O4065" i="2"/>
  <c r="P4065" i="2"/>
  <c r="O4066" i="2"/>
  <c r="P4066" i="2"/>
  <c r="O4067" i="2"/>
  <c r="P4067" i="2"/>
  <c r="O4068" i="2"/>
  <c r="P4068" i="2"/>
  <c r="O4069" i="2"/>
  <c r="P4069" i="2"/>
  <c r="J3" i="2" l="1"/>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K64" i="102"/>
  <c r="K10" i="2"/>
  <c r="I64" i="102"/>
  <c r="K63" i="102"/>
  <c r="I63" i="102"/>
  <c r="K62" i="102"/>
  <c r="I62" i="102"/>
  <c r="P62" i="102" s="1"/>
  <c r="K61" i="102"/>
  <c r="I61" i="102"/>
  <c r="T54" i="102"/>
  <c r="E2" i="102"/>
  <c r="S62" i="102" s="1"/>
  <c r="R54" i="102"/>
  <c r="I54" i="102"/>
  <c r="P54" i="102" s="1"/>
  <c r="O3" i="2"/>
  <c r="P3" i="2"/>
  <c r="R4" i="102"/>
  <c r="R5" i="102"/>
  <c r="R6" i="102"/>
  <c r="R8" i="102"/>
  <c r="R9" i="102"/>
  <c r="R10" i="102"/>
  <c r="R11" i="102"/>
  <c r="R12" i="102"/>
  <c r="R13" i="102"/>
  <c r="R14" i="102"/>
  <c r="R15" i="102"/>
  <c r="R16" i="102"/>
  <c r="R17" i="102"/>
  <c r="R18" i="102"/>
  <c r="R19" i="102"/>
  <c r="R20" i="102"/>
  <c r="R21" i="102"/>
  <c r="R22" i="102"/>
  <c r="R23" i="102"/>
  <c r="R24" i="102"/>
  <c r="R25" i="102"/>
  <c r="R26" i="102"/>
  <c r="R27" i="102"/>
  <c r="R28" i="102"/>
  <c r="R29" i="102"/>
  <c r="R30" i="102"/>
  <c r="R31" i="102"/>
  <c r="R32" i="102"/>
  <c r="R33" i="102"/>
  <c r="R34" i="102"/>
  <c r="R35" i="102"/>
  <c r="R36" i="102"/>
  <c r="R37" i="102"/>
  <c r="R38" i="102"/>
  <c r="R39" i="102"/>
  <c r="R40" i="102"/>
  <c r="R41" i="102"/>
  <c r="R42" i="102"/>
  <c r="R43" i="102"/>
  <c r="R44" i="102"/>
  <c r="R45" i="102"/>
  <c r="R46" i="102"/>
  <c r="R47" i="102"/>
  <c r="R48" i="102"/>
  <c r="R49" i="102"/>
  <c r="R50" i="102"/>
  <c r="R51" i="102"/>
  <c r="R52" i="102"/>
  <c r="R53" i="102"/>
  <c r="R55" i="102"/>
  <c r="R56" i="102"/>
  <c r="R57" i="102"/>
  <c r="R58" i="102"/>
  <c r="R59" i="102"/>
  <c r="R60" i="102"/>
  <c r="R61" i="102"/>
  <c r="R62" i="102"/>
  <c r="R63" i="102"/>
  <c r="R64" i="102"/>
  <c r="I65" i="102"/>
  <c r="P65" i="102" s="1"/>
  <c r="R65" i="102"/>
  <c r="I66" i="102"/>
  <c r="R66" i="102"/>
  <c r="I67" i="102"/>
  <c r="P67" i="102" s="1"/>
  <c r="R67" i="102"/>
  <c r="I68" i="102"/>
  <c r="R68" i="102"/>
  <c r="I69" i="102"/>
  <c r="P69" i="102" s="1"/>
  <c r="R69" i="102"/>
  <c r="I70" i="102"/>
  <c r="P70" i="102" s="1"/>
  <c r="R70" i="102"/>
  <c r="I71" i="102"/>
  <c r="P71" i="102" s="1"/>
  <c r="R71" i="102"/>
  <c r="I72" i="102"/>
  <c r="P72" i="102" s="1"/>
  <c r="R72" i="102"/>
  <c r="I73" i="102"/>
  <c r="P73" i="102" s="1"/>
  <c r="R73" i="102"/>
  <c r="I74" i="102"/>
  <c r="R74" i="102"/>
  <c r="I75" i="102"/>
  <c r="P75" i="102" s="1"/>
  <c r="R75" i="102"/>
  <c r="I76" i="102"/>
  <c r="P76" i="102" s="1"/>
  <c r="R76" i="102"/>
  <c r="I77" i="102"/>
  <c r="P77" i="102" s="1"/>
  <c r="R77" i="102"/>
  <c r="I78" i="102"/>
  <c r="R78" i="102"/>
  <c r="I79" i="102"/>
  <c r="P79" i="102" s="1"/>
  <c r="R79" i="102"/>
  <c r="I80" i="102"/>
  <c r="P80" i="102" s="1"/>
  <c r="R80" i="102"/>
  <c r="I81" i="102"/>
  <c r="P81" i="102" s="1"/>
  <c r="R81" i="102"/>
  <c r="I82" i="102"/>
  <c r="R82" i="102"/>
  <c r="I83" i="102"/>
  <c r="P83" i="102" s="1"/>
  <c r="R83" i="102"/>
  <c r="R84" i="102"/>
  <c r="R85" i="102"/>
  <c r="R86" i="102"/>
  <c r="R87" i="102"/>
  <c r="R88" i="102"/>
  <c r="R89" i="102"/>
  <c r="R90" i="102"/>
  <c r="Q373" i="2" s="1"/>
  <c r="R91" i="102"/>
  <c r="Q550" i="2" s="1"/>
  <c r="R92" i="102"/>
  <c r="R93" i="102"/>
  <c r="R94" i="102"/>
  <c r="R95" i="102"/>
  <c r="R96" i="102"/>
  <c r="R97" i="102"/>
  <c r="R98" i="102"/>
  <c r="R99" i="102"/>
  <c r="R100" i="102"/>
  <c r="R101" i="102"/>
  <c r="R102" i="102"/>
  <c r="R103" i="102"/>
  <c r="R104" i="102"/>
  <c r="R105" i="102"/>
  <c r="R106" i="102"/>
  <c r="R107" i="102"/>
  <c r="R108" i="102"/>
  <c r="R109" i="102"/>
  <c r="R110" i="102"/>
  <c r="R111" i="102"/>
  <c r="R112" i="102"/>
  <c r="R113" i="102"/>
  <c r="R114" i="102"/>
  <c r="R115" i="102"/>
  <c r="R116" i="102"/>
  <c r="R117" i="102"/>
  <c r="R118" i="102"/>
  <c r="R119" i="102"/>
  <c r="R120" i="102"/>
  <c r="R121" i="102"/>
  <c r="R122" i="102"/>
  <c r="R123" i="102"/>
  <c r="R124" i="102"/>
  <c r="R125" i="102"/>
  <c r="R126" i="102"/>
  <c r="R127" i="102"/>
  <c r="R128" i="102"/>
  <c r="R129" i="102"/>
  <c r="R130" i="102"/>
  <c r="R131" i="102"/>
  <c r="R132" i="102"/>
  <c r="R133" i="102"/>
  <c r="R134" i="102"/>
  <c r="R135" i="102"/>
  <c r="R136" i="102"/>
  <c r="R137" i="102"/>
  <c r="R138" i="102"/>
  <c r="R139" i="102"/>
  <c r="R140" i="102"/>
  <c r="R141" i="102"/>
  <c r="R142" i="102"/>
  <c r="R143" i="102"/>
  <c r="R144" i="102"/>
  <c r="R145" i="102"/>
  <c r="R146" i="102"/>
  <c r="R147" i="102"/>
  <c r="R148" i="102"/>
  <c r="R149" i="102"/>
  <c r="R150" i="102"/>
  <c r="R151" i="102"/>
  <c r="R152" i="102"/>
  <c r="R153" i="102"/>
  <c r="R154" i="102"/>
  <c r="R155" i="102"/>
  <c r="R156" i="102"/>
  <c r="R157" i="102"/>
  <c r="R158" i="102"/>
  <c r="R159" i="102"/>
  <c r="R160" i="102"/>
  <c r="R161" i="102"/>
  <c r="R162" i="102"/>
  <c r="R163" i="102"/>
  <c r="R164" i="102"/>
  <c r="R165" i="102"/>
  <c r="R166" i="102"/>
  <c r="R167" i="102"/>
  <c r="R168" i="102"/>
  <c r="R169" i="102"/>
  <c r="R170" i="102"/>
  <c r="R171" i="102"/>
  <c r="R172" i="102"/>
  <c r="R173" i="102"/>
  <c r="R174" i="102"/>
  <c r="R175" i="102"/>
  <c r="R176" i="102"/>
  <c r="R177" i="102"/>
  <c r="R178" i="102"/>
  <c r="R179" i="102"/>
  <c r="R180" i="102"/>
  <c r="R181" i="102"/>
  <c r="R182" i="102"/>
  <c r="R183" i="102"/>
  <c r="R184" i="102"/>
  <c r="R185" i="102"/>
  <c r="R186" i="102"/>
  <c r="R187" i="102"/>
  <c r="R188" i="102"/>
  <c r="R189" i="102"/>
  <c r="R190" i="102"/>
  <c r="R191" i="102"/>
  <c r="R192" i="102"/>
  <c r="R193" i="102"/>
  <c r="R194" i="102"/>
  <c r="R195" i="102"/>
  <c r="R196" i="102"/>
  <c r="R197" i="102"/>
  <c r="R198" i="102"/>
  <c r="R199" i="102"/>
  <c r="R200" i="102"/>
  <c r="R201" i="102"/>
  <c r="R202" i="102"/>
  <c r="R203" i="102"/>
  <c r="R204" i="102"/>
  <c r="R205" i="102"/>
  <c r="R206" i="102"/>
  <c r="R207" i="102"/>
  <c r="R208" i="102"/>
  <c r="R209" i="102"/>
  <c r="R210" i="102"/>
  <c r="R211" i="102"/>
  <c r="R212" i="102"/>
  <c r="R213" i="102"/>
  <c r="R214" i="102"/>
  <c r="R215" i="102"/>
  <c r="R216" i="102"/>
  <c r="R217" i="102"/>
  <c r="R218" i="102"/>
  <c r="R219" i="102"/>
  <c r="R220" i="102"/>
  <c r="R221" i="102"/>
  <c r="R222" i="102"/>
  <c r="R223" i="102"/>
  <c r="R224" i="102"/>
  <c r="R225" i="102"/>
  <c r="R226" i="102"/>
  <c r="R227" i="102"/>
  <c r="R228" i="102"/>
  <c r="R229" i="102"/>
  <c r="R230" i="102"/>
  <c r="R231" i="102"/>
  <c r="R232" i="102"/>
  <c r="R233" i="102"/>
  <c r="R234" i="102"/>
  <c r="R235" i="102"/>
  <c r="R236" i="102"/>
  <c r="R237" i="102"/>
  <c r="R238" i="102"/>
  <c r="R239" i="102"/>
  <c r="R240" i="102"/>
  <c r="R241" i="102"/>
  <c r="R242" i="102"/>
  <c r="R243" i="102"/>
  <c r="R244" i="102"/>
  <c r="R245" i="102"/>
  <c r="R246" i="102"/>
  <c r="R247" i="102"/>
  <c r="R248" i="102"/>
  <c r="R249" i="102"/>
  <c r="R250" i="102"/>
  <c r="R251" i="102"/>
  <c r="R252" i="102"/>
  <c r="R253" i="102"/>
  <c r="R254" i="102"/>
  <c r="R255" i="102"/>
  <c r="R256" i="102"/>
  <c r="R257" i="102"/>
  <c r="R258" i="102"/>
  <c r="R259" i="102"/>
  <c r="R260" i="102"/>
  <c r="R261" i="102"/>
  <c r="R262" i="102"/>
  <c r="R263" i="102"/>
  <c r="R264" i="102"/>
  <c r="R265" i="102"/>
  <c r="R266" i="102"/>
  <c r="R267" i="102"/>
  <c r="R268" i="102"/>
  <c r="R269" i="102"/>
  <c r="R270" i="102"/>
  <c r="R271" i="102"/>
  <c r="R272" i="102"/>
  <c r="R273" i="102"/>
  <c r="R274" i="102"/>
  <c r="R275" i="102"/>
  <c r="R276" i="102"/>
  <c r="R277" i="102"/>
  <c r="R278" i="102"/>
  <c r="R279" i="102"/>
  <c r="R280" i="102"/>
  <c r="R281" i="102"/>
  <c r="R282" i="102"/>
  <c r="R283" i="102"/>
  <c r="R284" i="102"/>
  <c r="R285" i="102"/>
  <c r="R286" i="102"/>
  <c r="R287" i="102"/>
  <c r="R288" i="102"/>
  <c r="R289" i="102"/>
  <c r="R290" i="102"/>
  <c r="R291" i="102"/>
  <c r="R292" i="102"/>
  <c r="R293" i="102"/>
  <c r="R294" i="102"/>
  <c r="R295" i="102"/>
  <c r="R296" i="102"/>
  <c r="R297" i="102"/>
  <c r="R298" i="102"/>
  <c r="R299" i="102"/>
  <c r="R300" i="102"/>
  <c r="R301" i="102"/>
  <c r="R302" i="102"/>
  <c r="R303" i="102"/>
  <c r="R304" i="102"/>
  <c r="R305" i="102"/>
  <c r="R306" i="102"/>
  <c r="R307" i="102"/>
  <c r="R308" i="102"/>
  <c r="R309" i="102"/>
  <c r="R310" i="102"/>
  <c r="R311" i="102"/>
  <c r="R312" i="102"/>
  <c r="R313" i="102"/>
  <c r="R314" i="102"/>
  <c r="R315" i="102"/>
  <c r="R316" i="102"/>
  <c r="R317" i="102"/>
  <c r="R318" i="102"/>
  <c r="R319" i="102"/>
  <c r="R320" i="102"/>
  <c r="R321" i="102"/>
  <c r="R322" i="102"/>
  <c r="R323" i="102"/>
  <c r="R324" i="102"/>
  <c r="R325" i="102"/>
  <c r="R326" i="102"/>
  <c r="R327" i="102"/>
  <c r="R328" i="102"/>
  <c r="R329" i="102"/>
  <c r="R330" i="102"/>
  <c r="R331" i="102"/>
  <c r="R332" i="102"/>
  <c r="R333" i="102"/>
  <c r="R334" i="102"/>
  <c r="R335" i="102"/>
  <c r="R336" i="102"/>
  <c r="R337" i="102"/>
  <c r="R338" i="102"/>
  <c r="R339" i="102"/>
  <c r="R340" i="102"/>
  <c r="R341" i="102"/>
  <c r="R342" i="102"/>
  <c r="R343" i="102"/>
  <c r="R344" i="102"/>
  <c r="R345" i="102"/>
  <c r="R346" i="102"/>
  <c r="R347" i="102"/>
  <c r="R348" i="102"/>
  <c r="R349" i="102"/>
  <c r="R350" i="102"/>
  <c r="R351" i="102"/>
  <c r="R352" i="102"/>
  <c r="R353" i="102"/>
  <c r="R354" i="102"/>
  <c r="R355" i="102"/>
  <c r="R356" i="102"/>
  <c r="R357" i="102"/>
  <c r="R358" i="102"/>
  <c r="R359" i="102"/>
  <c r="R360" i="102"/>
  <c r="R361" i="102"/>
  <c r="R362" i="102"/>
  <c r="R363" i="102"/>
  <c r="R364" i="102"/>
  <c r="R365" i="102"/>
  <c r="R366" i="102"/>
  <c r="R367" i="102"/>
  <c r="R368" i="102"/>
  <c r="R369" i="102"/>
  <c r="R370" i="102"/>
  <c r="R371" i="102"/>
  <c r="R372" i="102"/>
  <c r="R373" i="102"/>
  <c r="R374" i="102"/>
  <c r="R375" i="102"/>
  <c r="R376" i="102"/>
  <c r="R377" i="102"/>
  <c r="R378" i="102"/>
  <c r="R379" i="102"/>
  <c r="R380" i="102"/>
  <c r="R381" i="102"/>
  <c r="R382" i="102"/>
  <c r="R383" i="102"/>
  <c r="R384" i="102"/>
  <c r="R385" i="102"/>
  <c r="R386" i="102"/>
  <c r="R387" i="102"/>
  <c r="R388" i="102"/>
  <c r="R389" i="102"/>
  <c r="R390" i="102"/>
  <c r="R391" i="102"/>
  <c r="R392" i="102"/>
  <c r="R393" i="102"/>
  <c r="R394" i="102"/>
  <c r="R395" i="102"/>
  <c r="R396" i="102"/>
  <c r="R397" i="102"/>
  <c r="R398" i="102"/>
  <c r="R399" i="102"/>
  <c r="R400" i="102"/>
  <c r="R401" i="102"/>
  <c r="R402" i="102"/>
  <c r="R403" i="102"/>
  <c r="R404" i="102"/>
  <c r="R405" i="102"/>
  <c r="R406" i="102"/>
  <c r="R407" i="102"/>
  <c r="R408" i="102"/>
  <c r="R409" i="102"/>
  <c r="R410" i="102"/>
  <c r="R411" i="102"/>
  <c r="R412" i="102"/>
  <c r="R413" i="102"/>
  <c r="R414" i="102"/>
  <c r="R415" i="102"/>
  <c r="R416" i="102"/>
  <c r="R417" i="102"/>
  <c r="R418" i="102"/>
  <c r="R419" i="102"/>
  <c r="R420" i="102"/>
  <c r="R421" i="102"/>
  <c r="R422" i="102"/>
  <c r="R423" i="102"/>
  <c r="R424" i="102"/>
  <c r="R425" i="102"/>
  <c r="R426" i="102"/>
  <c r="R427" i="102"/>
  <c r="R428" i="102"/>
  <c r="R429" i="102"/>
  <c r="R430" i="102"/>
  <c r="R431" i="102"/>
  <c r="R432" i="102"/>
  <c r="R433" i="102"/>
  <c r="R434" i="102"/>
  <c r="R435" i="102"/>
  <c r="R436" i="102"/>
  <c r="R437" i="102"/>
  <c r="R438" i="102"/>
  <c r="R439" i="102"/>
  <c r="R440" i="102"/>
  <c r="R441" i="102"/>
  <c r="R442" i="102"/>
  <c r="R443" i="102"/>
  <c r="R444" i="102"/>
  <c r="R445" i="102"/>
  <c r="R446" i="102"/>
  <c r="R447" i="102"/>
  <c r="R448" i="102"/>
  <c r="R449" i="102"/>
  <c r="R450" i="102"/>
  <c r="R451" i="102"/>
  <c r="R452" i="102"/>
  <c r="R453" i="102"/>
  <c r="R454" i="102"/>
  <c r="R455" i="102"/>
  <c r="R456" i="102"/>
  <c r="R457" i="102"/>
  <c r="R458" i="102"/>
  <c r="R459" i="102"/>
  <c r="R460" i="102"/>
  <c r="R461" i="102"/>
  <c r="R462" i="102"/>
  <c r="R463" i="102"/>
  <c r="R464" i="102"/>
  <c r="R465" i="102"/>
  <c r="R466" i="102"/>
  <c r="R467" i="102"/>
  <c r="R468" i="102"/>
  <c r="R469" i="102"/>
  <c r="R470" i="102"/>
  <c r="R471" i="102"/>
  <c r="R472" i="102"/>
  <c r="R473" i="102"/>
  <c r="R474" i="102"/>
  <c r="R475" i="102"/>
  <c r="R476" i="102"/>
  <c r="R477" i="102"/>
  <c r="R478" i="102"/>
  <c r="R479" i="102"/>
  <c r="R480" i="102"/>
  <c r="R481" i="102"/>
  <c r="R482" i="102"/>
  <c r="R483" i="102"/>
  <c r="R484" i="102"/>
  <c r="R485" i="102"/>
  <c r="R486" i="102"/>
  <c r="R487" i="102"/>
  <c r="R488" i="102"/>
  <c r="R489" i="102"/>
  <c r="R490" i="102"/>
  <c r="R491" i="102"/>
  <c r="R492" i="102"/>
  <c r="R493" i="102"/>
  <c r="R494" i="102"/>
  <c r="R495" i="102"/>
  <c r="R496" i="102"/>
  <c r="R497" i="102"/>
  <c r="R498" i="102"/>
  <c r="R499" i="102"/>
  <c r="R500" i="102"/>
  <c r="R501" i="102"/>
  <c r="R502" i="102"/>
  <c r="R503" i="102"/>
  <c r="R504" i="102"/>
  <c r="R505" i="102"/>
  <c r="R506" i="102"/>
  <c r="R507" i="102"/>
  <c r="R508" i="102"/>
  <c r="R509" i="102"/>
  <c r="R510" i="102"/>
  <c r="R511" i="102"/>
  <c r="R512" i="102"/>
  <c r="R513" i="102"/>
  <c r="R514" i="102"/>
  <c r="R515" i="102"/>
  <c r="R516" i="102"/>
  <c r="R517" i="102"/>
  <c r="R518" i="102"/>
  <c r="R519" i="102"/>
  <c r="R520" i="102"/>
  <c r="R521" i="102"/>
  <c r="R522" i="102"/>
  <c r="R523" i="102"/>
  <c r="R524" i="102"/>
  <c r="R525" i="102"/>
  <c r="R526" i="102"/>
  <c r="R527" i="102"/>
  <c r="R528" i="102"/>
  <c r="R529" i="102"/>
  <c r="R530" i="102"/>
  <c r="R531" i="102"/>
  <c r="R532" i="102"/>
  <c r="R533" i="102"/>
  <c r="R534" i="102"/>
  <c r="R535" i="102"/>
  <c r="R536" i="102"/>
  <c r="R537" i="102"/>
  <c r="R538" i="102"/>
  <c r="R539" i="102"/>
  <c r="R540" i="102"/>
  <c r="R541" i="102"/>
  <c r="R542" i="102"/>
  <c r="R543" i="102"/>
  <c r="R544" i="102"/>
  <c r="R545" i="102"/>
  <c r="R546" i="102"/>
  <c r="R547" i="102"/>
  <c r="R548" i="102"/>
  <c r="R549" i="102"/>
  <c r="R550" i="102"/>
  <c r="R551" i="102"/>
  <c r="R552" i="102"/>
  <c r="R553" i="102"/>
  <c r="R554" i="102"/>
  <c r="R555" i="102"/>
  <c r="R556" i="102"/>
  <c r="R557" i="102"/>
  <c r="R558" i="102"/>
  <c r="R559" i="102"/>
  <c r="R560" i="102"/>
  <c r="R561" i="102"/>
  <c r="R562" i="102"/>
  <c r="R563" i="102"/>
  <c r="R564" i="102"/>
  <c r="R565" i="102"/>
  <c r="R566" i="102"/>
  <c r="R567" i="102"/>
  <c r="R568" i="102"/>
  <c r="R569" i="102"/>
  <c r="R570" i="102"/>
  <c r="R571" i="102"/>
  <c r="R572" i="102"/>
  <c r="R573" i="102"/>
  <c r="R574" i="102"/>
  <c r="R575" i="102"/>
  <c r="R576" i="102"/>
  <c r="R577" i="102"/>
  <c r="R578" i="102"/>
  <c r="R579" i="102"/>
  <c r="R580" i="102"/>
  <c r="R581" i="102"/>
  <c r="R582" i="102"/>
  <c r="R583" i="102"/>
  <c r="R584" i="102"/>
  <c r="R585" i="102"/>
  <c r="R586" i="102"/>
  <c r="R587" i="102"/>
  <c r="R588" i="102"/>
  <c r="R589" i="102"/>
  <c r="R590" i="102"/>
  <c r="R591" i="102"/>
  <c r="R592" i="102"/>
  <c r="R593" i="102"/>
  <c r="R594" i="102"/>
  <c r="R595" i="102"/>
  <c r="R596" i="102"/>
  <c r="R597" i="102"/>
  <c r="R598" i="102"/>
  <c r="R599" i="102"/>
  <c r="R600" i="102"/>
  <c r="R601" i="102"/>
  <c r="R602" i="102"/>
  <c r="R603" i="102"/>
  <c r="R604" i="102"/>
  <c r="R605" i="102"/>
  <c r="R606" i="102"/>
  <c r="R607" i="102"/>
  <c r="R608" i="102"/>
  <c r="R609" i="102"/>
  <c r="R610" i="102"/>
  <c r="R611" i="102"/>
  <c r="R612" i="102"/>
  <c r="R613" i="102"/>
  <c r="R614" i="102"/>
  <c r="R615" i="102"/>
  <c r="R616" i="102"/>
  <c r="R617" i="102"/>
  <c r="R618" i="102"/>
  <c r="R619" i="102"/>
  <c r="R620" i="102"/>
  <c r="R621" i="102"/>
  <c r="R622" i="102"/>
  <c r="R623" i="102"/>
  <c r="R624" i="102"/>
  <c r="R625" i="102"/>
  <c r="R626" i="102"/>
  <c r="R627" i="102"/>
  <c r="R628" i="102"/>
  <c r="R629" i="102"/>
  <c r="R630" i="102"/>
  <c r="R631" i="102"/>
  <c r="R632" i="102"/>
  <c r="R633" i="102"/>
  <c r="R634" i="102"/>
  <c r="R635" i="102"/>
  <c r="R636" i="102"/>
  <c r="R637" i="102"/>
  <c r="R638" i="102"/>
  <c r="R639" i="102"/>
  <c r="R640" i="102"/>
  <c r="R641" i="102"/>
  <c r="R642" i="102"/>
  <c r="R643" i="102"/>
  <c r="R644" i="102"/>
  <c r="R645" i="102"/>
  <c r="R646" i="102"/>
  <c r="R647" i="102"/>
  <c r="R648" i="102"/>
  <c r="R649" i="102"/>
  <c r="R650" i="102"/>
  <c r="R651" i="102"/>
  <c r="R652" i="102"/>
  <c r="R653" i="102"/>
  <c r="R654" i="102"/>
  <c r="R655" i="102"/>
  <c r="R656" i="102"/>
  <c r="R657" i="102"/>
  <c r="R658" i="102"/>
  <c r="R659" i="102"/>
  <c r="R660" i="102"/>
  <c r="R661" i="102"/>
  <c r="R662" i="102"/>
  <c r="R663" i="102"/>
  <c r="R664" i="102"/>
  <c r="R665" i="102"/>
  <c r="R666" i="102"/>
  <c r="R667" i="102"/>
  <c r="R668" i="102"/>
  <c r="R669" i="102"/>
  <c r="R670" i="102"/>
  <c r="R671" i="102"/>
  <c r="R672" i="102"/>
  <c r="R673" i="102"/>
  <c r="R674" i="102"/>
  <c r="R675" i="102"/>
  <c r="R676" i="102"/>
  <c r="R677" i="102"/>
  <c r="R678" i="102"/>
  <c r="R679" i="102"/>
  <c r="R680" i="102"/>
  <c r="R681" i="102"/>
  <c r="R682" i="102"/>
  <c r="R683" i="102"/>
  <c r="R684" i="102"/>
  <c r="R685" i="102"/>
  <c r="R686" i="102"/>
  <c r="R687" i="102"/>
  <c r="R688" i="102"/>
  <c r="R689" i="102"/>
  <c r="R690" i="102"/>
  <c r="R691" i="102"/>
  <c r="Q466" i="2"/>
  <c r="Q582" i="2"/>
  <c r="Q610" i="2"/>
  <c r="Q623" i="2"/>
  <c r="Q633" i="2"/>
  <c r="Q637" i="2"/>
  <c r="Q641" i="2"/>
  <c r="Q645" i="2"/>
  <c r="Q649" i="2"/>
  <c r="Q651" i="2"/>
  <c r="Q654" i="2"/>
  <c r="Q657" i="2"/>
  <c r="Q659" i="2"/>
  <c r="Q662" i="2"/>
  <c r="Q665" i="2"/>
  <c r="Q667" i="2"/>
  <c r="Q670" i="2"/>
  <c r="Q673" i="2"/>
  <c r="Q675" i="2"/>
  <c r="Q678" i="2"/>
  <c r="Q681" i="2"/>
  <c r="Q683" i="2"/>
  <c r="Q686" i="2"/>
  <c r="Q689" i="2"/>
  <c r="Q691" i="2"/>
  <c r="Q694" i="2"/>
  <c r="Q697" i="2"/>
  <c r="Q699" i="2"/>
  <c r="Q702" i="2"/>
  <c r="Q705" i="2"/>
  <c r="Q707" i="2"/>
  <c r="Q710" i="2"/>
  <c r="Q713" i="2"/>
  <c r="Q715" i="2"/>
  <c r="Q718" i="2"/>
  <c r="Q721" i="2"/>
  <c r="Q723" i="2"/>
  <c r="Q726" i="2"/>
  <c r="Q729" i="2"/>
  <c r="Q731" i="2"/>
  <c r="Q734" i="2"/>
  <c r="Q737" i="2"/>
  <c r="Q739" i="2"/>
  <c r="Q742" i="2"/>
  <c r="Q745" i="2"/>
  <c r="Q747" i="2"/>
  <c r="Q750" i="2"/>
  <c r="Q753" i="2"/>
  <c r="Q755" i="2"/>
  <c r="Q758" i="2"/>
  <c r="Q759" i="2"/>
  <c r="Q761" i="2"/>
  <c r="Q763" i="2"/>
  <c r="Q765" i="2"/>
  <c r="Q766" i="2"/>
  <c r="Q769" i="2"/>
  <c r="Q770" i="2"/>
  <c r="Q771" i="2"/>
  <c r="Q774" i="2"/>
  <c r="Q775" i="2"/>
  <c r="Q777" i="2"/>
  <c r="Q779" i="2"/>
  <c r="Q781" i="2"/>
  <c r="Q782" i="2"/>
  <c r="Q783" i="2"/>
  <c r="Q785" i="2"/>
  <c r="Q786" i="2"/>
  <c r="Q787" i="2"/>
  <c r="Q789" i="2"/>
  <c r="Q790" i="2"/>
  <c r="Q791" i="2"/>
  <c r="Q793" i="2"/>
  <c r="Q794" i="2"/>
  <c r="Q795" i="2"/>
  <c r="Q797" i="2"/>
  <c r="Q798" i="2"/>
  <c r="Q799" i="2"/>
  <c r="Q801" i="2"/>
  <c r="Q802" i="2"/>
  <c r="Q803" i="2"/>
  <c r="Q805" i="2"/>
  <c r="Q806" i="2"/>
  <c r="Q807" i="2"/>
  <c r="Q809" i="2"/>
  <c r="Q810" i="2"/>
  <c r="Q811" i="2"/>
  <c r="Q813" i="2"/>
  <c r="Q814" i="2"/>
  <c r="Q815" i="2"/>
  <c r="Q817" i="2"/>
  <c r="Q818" i="2"/>
  <c r="Q819" i="2"/>
  <c r="Q821" i="2"/>
  <c r="Q822" i="2"/>
  <c r="Q823" i="2"/>
  <c r="Q825" i="2"/>
  <c r="Q826" i="2"/>
  <c r="Q827" i="2"/>
  <c r="Q829" i="2"/>
  <c r="Q830" i="2"/>
  <c r="Q831" i="2"/>
  <c r="Q833" i="2"/>
  <c r="Q834" i="2"/>
  <c r="Q835"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Q2001" i="2"/>
  <c r="Q2002" i="2"/>
  <c r="Q2003" i="2"/>
  <c r="Q2004" i="2"/>
  <c r="Q2005" i="2"/>
  <c r="Q2006" i="2"/>
  <c r="Q2007" i="2"/>
  <c r="Q2008" i="2"/>
  <c r="Q2009" i="2"/>
  <c r="Q2010" i="2"/>
  <c r="Q2011" i="2"/>
  <c r="Q2012" i="2"/>
  <c r="Q2013" i="2"/>
  <c r="Q2014" i="2"/>
  <c r="Q2015" i="2"/>
  <c r="Q2016" i="2"/>
  <c r="Q2017" i="2"/>
  <c r="Q2018" i="2"/>
  <c r="Q2019" i="2"/>
  <c r="Q2020" i="2"/>
  <c r="Q2021" i="2"/>
  <c r="Q2022" i="2"/>
  <c r="Q2023" i="2"/>
  <c r="Q2024" i="2"/>
  <c r="Q2025" i="2"/>
  <c r="Q2026" i="2"/>
  <c r="Q2027" i="2"/>
  <c r="Q2028" i="2"/>
  <c r="Q2029" i="2"/>
  <c r="Q2030" i="2"/>
  <c r="Q2031" i="2"/>
  <c r="Q2032" i="2"/>
  <c r="Q2033" i="2"/>
  <c r="Q2034" i="2"/>
  <c r="Q2035" i="2"/>
  <c r="Q2036" i="2"/>
  <c r="Q2037" i="2"/>
  <c r="Q2038" i="2"/>
  <c r="Q2039" i="2"/>
  <c r="Q2040" i="2"/>
  <c r="Q2041" i="2"/>
  <c r="Q2042" i="2"/>
  <c r="Q2043" i="2"/>
  <c r="Q2044" i="2"/>
  <c r="Q2045" i="2"/>
  <c r="Q2046" i="2"/>
  <c r="Q2047" i="2"/>
  <c r="Q2048" i="2"/>
  <c r="Q2049" i="2"/>
  <c r="Q2050" i="2"/>
  <c r="Q2051" i="2"/>
  <c r="Q2052" i="2"/>
  <c r="Q2053" i="2"/>
  <c r="Q2054" i="2"/>
  <c r="Q2055" i="2"/>
  <c r="Q2056" i="2"/>
  <c r="Q2057" i="2"/>
  <c r="Q2058" i="2"/>
  <c r="Q2059" i="2"/>
  <c r="Q2060" i="2"/>
  <c r="Q2061" i="2"/>
  <c r="Q2062" i="2"/>
  <c r="Q2063" i="2"/>
  <c r="Q2064" i="2"/>
  <c r="Q2065" i="2"/>
  <c r="Q2066" i="2"/>
  <c r="Q2067" i="2"/>
  <c r="Q2068" i="2"/>
  <c r="Q2069" i="2"/>
  <c r="Q2070" i="2"/>
  <c r="Q2071" i="2"/>
  <c r="Q2072" i="2"/>
  <c r="Q2073" i="2"/>
  <c r="Q2074" i="2"/>
  <c r="Q2075" i="2"/>
  <c r="Q2076" i="2"/>
  <c r="Q2077" i="2"/>
  <c r="Q2078" i="2"/>
  <c r="Q2079" i="2"/>
  <c r="Q2080" i="2"/>
  <c r="Q2081" i="2"/>
  <c r="Q2082" i="2"/>
  <c r="Q2083" i="2"/>
  <c r="Q2084" i="2"/>
  <c r="Q2085" i="2"/>
  <c r="Q2086" i="2"/>
  <c r="Q2087" i="2"/>
  <c r="Q2088" i="2"/>
  <c r="Q2089" i="2"/>
  <c r="Q2090" i="2"/>
  <c r="Q2091" i="2"/>
  <c r="Q2092" i="2"/>
  <c r="Q2093" i="2"/>
  <c r="Q2094" i="2"/>
  <c r="Q2095" i="2"/>
  <c r="Q2096" i="2"/>
  <c r="Q2097" i="2"/>
  <c r="Q2098" i="2"/>
  <c r="Q2099" i="2"/>
  <c r="Q2100" i="2"/>
  <c r="Q2101" i="2"/>
  <c r="Q2102" i="2"/>
  <c r="Q2103" i="2"/>
  <c r="Q2104" i="2"/>
  <c r="Q2105" i="2"/>
  <c r="Q2106" i="2"/>
  <c r="Q2107" i="2"/>
  <c r="Q2108" i="2"/>
  <c r="Q2109" i="2"/>
  <c r="Q2110" i="2"/>
  <c r="Q2111" i="2"/>
  <c r="Q2112" i="2"/>
  <c r="Q2113" i="2"/>
  <c r="Q2114" i="2"/>
  <c r="Q2115" i="2"/>
  <c r="Q2116" i="2"/>
  <c r="Q2117" i="2"/>
  <c r="Q2118" i="2"/>
  <c r="Q2119" i="2"/>
  <c r="Q2120" i="2"/>
  <c r="Q2121" i="2"/>
  <c r="Q2122" i="2"/>
  <c r="Q2123" i="2"/>
  <c r="Q2124" i="2"/>
  <c r="Q2125" i="2"/>
  <c r="Q2126" i="2"/>
  <c r="Q2127" i="2"/>
  <c r="Q2128" i="2"/>
  <c r="Q2129" i="2"/>
  <c r="Q2130" i="2"/>
  <c r="Q2131" i="2"/>
  <c r="Q2132" i="2"/>
  <c r="Q2133" i="2"/>
  <c r="Q2134" i="2"/>
  <c r="Q2135" i="2"/>
  <c r="Q2136" i="2"/>
  <c r="Q2137" i="2"/>
  <c r="Q2138" i="2"/>
  <c r="Q2139" i="2"/>
  <c r="Q2140" i="2"/>
  <c r="Q2141" i="2"/>
  <c r="Q2142" i="2"/>
  <c r="Q2143" i="2"/>
  <c r="Q2144" i="2"/>
  <c r="Q2145" i="2"/>
  <c r="Q2146" i="2"/>
  <c r="Q2147" i="2"/>
  <c r="Q2148" i="2"/>
  <c r="Q2149" i="2"/>
  <c r="Q2150" i="2"/>
  <c r="Q2151" i="2"/>
  <c r="Q2152" i="2"/>
  <c r="Q2153" i="2"/>
  <c r="Q2154" i="2"/>
  <c r="Q2155" i="2"/>
  <c r="Q2156" i="2"/>
  <c r="Q2157" i="2"/>
  <c r="Q2158" i="2"/>
  <c r="Q2159" i="2"/>
  <c r="Q2160" i="2"/>
  <c r="Q2161" i="2"/>
  <c r="Q2162" i="2"/>
  <c r="Q2163" i="2"/>
  <c r="Q2164" i="2"/>
  <c r="Q2165" i="2"/>
  <c r="Q2166" i="2"/>
  <c r="Q2167" i="2"/>
  <c r="Q2168" i="2"/>
  <c r="Q2169" i="2"/>
  <c r="Q2170" i="2"/>
  <c r="Q2171" i="2"/>
  <c r="Q2172" i="2"/>
  <c r="Q2173" i="2"/>
  <c r="Q2174" i="2"/>
  <c r="Q2175" i="2"/>
  <c r="Q2176" i="2"/>
  <c r="Q2177" i="2"/>
  <c r="Q2178" i="2"/>
  <c r="Q2179" i="2"/>
  <c r="Q2180" i="2"/>
  <c r="Q2181" i="2"/>
  <c r="Q2182" i="2"/>
  <c r="Q2183" i="2"/>
  <c r="Q2184" i="2"/>
  <c r="Q2185" i="2"/>
  <c r="Q2186" i="2"/>
  <c r="Q2187" i="2"/>
  <c r="Q2188" i="2"/>
  <c r="Q2189" i="2"/>
  <c r="Q2190" i="2"/>
  <c r="Q2191" i="2"/>
  <c r="Q2192" i="2"/>
  <c r="Q2193" i="2"/>
  <c r="Q2194" i="2"/>
  <c r="Q2195" i="2"/>
  <c r="Q2196" i="2"/>
  <c r="Q2197" i="2"/>
  <c r="Q2198" i="2"/>
  <c r="Q2199" i="2"/>
  <c r="Q2200" i="2"/>
  <c r="Q2201" i="2"/>
  <c r="Q2202" i="2"/>
  <c r="Q2203" i="2"/>
  <c r="Q2204" i="2"/>
  <c r="Q2205" i="2"/>
  <c r="Q2206" i="2"/>
  <c r="Q2207" i="2"/>
  <c r="Q2208" i="2"/>
  <c r="Q2209" i="2"/>
  <c r="Q2210" i="2"/>
  <c r="Q2211" i="2"/>
  <c r="Q2212" i="2"/>
  <c r="Q2213" i="2"/>
  <c r="Q2214" i="2"/>
  <c r="Q2215" i="2"/>
  <c r="Q2216" i="2"/>
  <c r="Q2217" i="2"/>
  <c r="Q2218" i="2"/>
  <c r="Q2219" i="2"/>
  <c r="Q2220" i="2"/>
  <c r="Q2221" i="2"/>
  <c r="Q2222" i="2"/>
  <c r="Q2223" i="2"/>
  <c r="Q2224" i="2"/>
  <c r="Q2225" i="2"/>
  <c r="Q2226" i="2"/>
  <c r="Q2227" i="2"/>
  <c r="Q2228" i="2"/>
  <c r="Q2229" i="2"/>
  <c r="Q2230" i="2"/>
  <c r="Q2231" i="2"/>
  <c r="Q2232" i="2"/>
  <c r="Q2233" i="2"/>
  <c r="Q2234" i="2"/>
  <c r="Q2235" i="2"/>
  <c r="Q2236" i="2"/>
  <c r="Q2237" i="2"/>
  <c r="Q2238" i="2"/>
  <c r="Q2239" i="2"/>
  <c r="Q2240" i="2"/>
  <c r="Q2241" i="2"/>
  <c r="Q2242" i="2"/>
  <c r="Q2243" i="2"/>
  <c r="Q2244" i="2"/>
  <c r="Q2245" i="2"/>
  <c r="Q2246" i="2"/>
  <c r="Q2247" i="2"/>
  <c r="Q2248" i="2"/>
  <c r="Q2249" i="2"/>
  <c r="Q2250" i="2"/>
  <c r="Q2251" i="2"/>
  <c r="Q2252" i="2"/>
  <c r="Q2253" i="2"/>
  <c r="Q2254" i="2"/>
  <c r="Q2255" i="2"/>
  <c r="Q2256" i="2"/>
  <c r="Q2257" i="2"/>
  <c r="Q2258" i="2"/>
  <c r="Q2259" i="2"/>
  <c r="Q2260" i="2"/>
  <c r="Q2261" i="2"/>
  <c r="Q2262" i="2"/>
  <c r="Q2263" i="2"/>
  <c r="Q2264" i="2"/>
  <c r="Q2265" i="2"/>
  <c r="Q2266" i="2"/>
  <c r="Q2267" i="2"/>
  <c r="Q2268" i="2"/>
  <c r="Q2269" i="2"/>
  <c r="Q2270" i="2"/>
  <c r="Q2271" i="2"/>
  <c r="Q2272" i="2"/>
  <c r="Q2273" i="2"/>
  <c r="Q2274" i="2"/>
  <c r="Q2275" i="2"/>
  <c r="Q2276" i="2"/>
  <c r="Q2277" i="2"/>
  <c r="Q2278" i="2"/>
  <c r="Q2279" i="2"/>
  <c r="Q2280" i="2"/>
  <c r="Q2281" i="2"/>
  <c r="Q2282" i="2"/>
  <c r="Q2283" i="2"/>
  <c r="Q2284" i="2"/>
  <c r="Q2285" i="2"/>
  <c r="Q2286" i="2"/>
  <c r="Q2287" i="2"/>
  <c r="Q2288" i="2"/>
  <c r="Q2289" i="2"/>
  <c r="Q2290" i="2"/>
  <c r="Q2291" i="2"/>
  <c r="Q2292" i="2"/>
  <c r="Q2293" i="2"/>
  <c r="Q2294" i="2"/>
  <c r="Q2295" i="2"/>
  <c r="Q2296" i="2"/>
  <c r="Q2297" i="2"/>
  <c r="Q2298" i="2"/>
  <c r="Q2299" i="2"/>
  <c r="Q2300" i="2"/>
  <c r="Q2301" i="2"/>
  <c r="Q2302" i="2"/>
  <c r="Q2303" i="2"/>
  <c r="Q2304" i="2"/>
  <c r="Q2305" i="2"/>
  <c r="Q2306" i="2"/>
  <c r="Q2307" i="2"/>
  <c r="Q2308" i="2"/>
  <c r="Q2309" i="2"/>
  <c r="Q2310" i="2"/>
  <c r="Q2311" i="2"/>
  <c r="Q2312" i="2"/>
  <c r="Q2313" i="2"/>
  <c r="Q2314" i="2"/>
  <c r="Q2315" i="2"/>
  <c r="Q2316" i="2"/>
  <c r="Q2317" i="2"/>
  <c r="Q2318" i="2"/>
  <c r="Q2319" i="2"/>
  <c r="Q2320" i="2"/>
  <c r="Q2321" i="2"/>
  <c r="Q2322" i="2"/>
  <c r="Q2323" i="2"/>
  <c r="Q2324" i="2"/>
  <c r="Q2325" i="2"/>
  <c r="Q2326" i="2"/>
  <c r="Q2327" i="2"/>
  <c r="Q2328" i="2"/>
  <c r="Q2329" i="2"/>
  <c r="Q2330" i="2"/>
  <c r="Q2331" i="2"/>
  <c r="Q2332" i="2"/>
  <c r="Q2333" i="2"/>
  <c r="Q2334" i="2"/>
  <c r="Q2335" i="2"/>
  <c r="Q2336" i="2"/>
  <c r="Q2337" i="2"/>
  <c r="Q2338" i="2"/>
  <c r="Q2339" i="2"/>
  <c r="Q2340" i="2"/>
  <c r="Q2341" i="2"/>
  <c r="Q2342" i="2"/>
  <c r="Q2343" i="2"/>
  <c r="Q2344" i="2"/>
  <c r="Q2345" i="2"/>
  <c r="Q2346" i="2"/>
  <c r="Q2347" i="2"/>
  <c r="Q2348" i="2"/>
  <c r="Q2349" i="2"/>
  <c r="Q2350" i="2"/>
  <c r="Q2351" i="2"/>
  <c r="Q2352" i="2"/>
  <c r="Q2353" i="2"/>
  <c r="Q2354" i="2"/>
  <c r="Q2355" i="2"/>
  <c r="Q2356" i="2"/>
  <c r="Q2357" i="2"/>
  <c r="Q2358" i="2"/>
  <c r="Q2359" i="2"/>
  <c r="Q2360" i="2"/>
  <c r="Q2361" i="2"/>
  <c r="Q2362" i="2"/>
  <c r="Q2363" i="2"/>
  <c r="Q2364" i="2"/>
  <c r="Q2365" i="2"/>
  <c r="Q2366" i="2"/>
  <c r="Q2367" i="2"/>
  <c r="Q2368" i="2"/>
  <c r="Q2369" i="2"/>
  <c r="Q2370" i="2"/>
  <c r="Q2371" i="2"/>
  <c r="Q2372" i="2"/>
  <c r="Q2373" i="2"/>
  <c r="Q2374" i="2"/>
  <c r="Q2375" i="2"/>
  <c r="Q2376" i="2"/>
  <c r="Q2377" i="2"/>
  <c r="Q2378" i="2"/>
  <c r="Q2379" i="2"/>
  <c r="Q2380" i="2"/>
  <c r="Q2381" i="2"/>
  <c r="Q2382" i="2"/>
  <c r="Q2383" i="2"/>
  <c r="Q2384" i="2"/>
  <c r="Q2385" i="2"/>
  <c r="Q2386" i="2"/>
  <c r="Q2387" i="2"/>
  <c r="Q2388" i="2"/>
  <c r="Q2389" i="2"/>
  <c r="Q2390" i="2"/>
  <c r="Q2391" i="2"/>
  <c r="Q2392" i="2"/>
  <c r="Q2393" i="2"/>
  <c r="Q2394" i="2"/>
  <c r="Q2395" i="2"/>
  <c r="Q2396" i="2"/>
  <c r="Q2397" i="2"/>
  <c r="Q2398" i="2"/>
  <c r="Q2399" i="2"/>
  <c r="Q2400" i="2"/>
  <c r="Q2401" i="2"/>
  <c r="Q2402" i="2"/>
  <c r="Q2403" i="2"/>
  <c r="Q2404" i="2"/>
  <c r="Q2405" i="2"/>
  <c r="Q2406" i="2"/>
  <c r="Q2407" i="2"/>
  <c r="Q2408" i="2"/>
  <c r="Q2409" i="2"/>
  <c r="Q2410" i="2"/>
  <c r="Q2411" i="2"/>
  <c r="Q2412" i="2"/>
  <c r="Q2413" i="2"/>
  <c r="Q2414" i="2"/>
  <c r="Q2415" i="2"/>
  <c r="Q2416" i="2"/>
  <c r="Q2417" i="2"/>
  <c r="Q2418" i="2"/>
  <c r="Q2419" i="2"/>
  <c r="Q2420" i="2"/>
  <c r="Q2421" i="2"/>
  <c r="Q2422" i="2"/>
  <c r="Q2423" i="2"/>
  <c r="Q2424" i="2"/>
  <c r="Q2425" i="2"/>
  <c r="Q2426" i="2"/>
  <c r="Q2427" i="2"/>
  <c r="Q2428" i="2"/>
  <c r="Q2429" i="2"/>
  <c r="Q2430" i="2"/>
  <c r="Q2431" i="2"/>
  <c r="Q2432" i="2"/>
  <c r="Q2433" i="2"/>
  <c r="Q2434" i="2"/>
  <c r="Q2435" i="2"/>
  <c r="Q2436" i="2"/>
  <c r="Q2437" i="2"/>
  <c r="Q2438" i="2"/>
  <c r="Q2439" i="2"/>
  <c r="Q2440" i="2"/>
  <c r="Q2441" i="2"/>
  <c r="Q2442" i="2"/>
  <c r="Q2443" i="2"/>
  <c r="Q2444" i="2"/>
  <c r="Q2445" i="2"/>
  <c r="Q2446" i="2"/>
  <c r="Q2447" i="2"/>
  <c r="Q2448" i="2"/>
  <c r="Q2449" i="2"/>
  <c r="Q2450" i="2"/>
  <c r="Q2451" i="2"/>
  <c r="Q2452" i="2"/>
  <c r="Q2453" i="2"/>
  <c r="Q2454" i="2"/>
  <c r="Q2455" i="2"/>
  <c r="Q2456" i="2"/>
  <c r="Q2457" i="2"/>
  <c r="Q2458" i="2"/>
  <c r="Q2459" i="2"/>
  <c r="Q2460" i="2"/>
  <c r="Q2461" i="2"/>
  <c r="Q2462" i="2"/>
  <c r="Q2463" i="2"/>
  <c r="Q2464" i="2"/>
  <c r="Q2465" i="2"/>
  <c r="Q2466" i="2"/>
  <c r="Q2467" i="2"/>
  <c r="Q2468" i="2"/>
  <c r="Q2469" i="2"/>
  <c r="Q2470" i="2"/>
  <c r="Q2471" i="2"/>
  <c r="Q2472" i="2"/>
  <c r="Q2473" i="2"/>
  <c r="Q2474" i="2"/>
  <c r="Q2475" i="2"/>
  <c r="Q2476" i="2"/>
  <c r="Q2477" i="2"/>
  <c r="Q2478" i="2"/>
  <c r="Q2479" i="2"/>
  <c r="Q2480" i="2"/>
  <c r="Q2481" i="2"/>
  <c r="Q2482" i="2"/>
  <c r="Q2483" i="2"/>
  <c r="Q2484" i="2"/>
  <c r="Q2485" i="2"/>
  <c r="Q2486" i="2"/>
  <c r="Q2487" i="2"/>
  <c r="Q2488" i="2"/>
  <c r="Q2489" i="2"/>
  <c r="Q2490" i="2"/>
  <c r="Q2491" i="2"/>
  <c r="Q2492" i="2"/>
  <c r="Q2493" i="2"/>
  <c r="Q2494" i="2"/>
  <c r="Q2495" i="2"/>
  <c r="Q2496" i="2"/>
  <c r="Q2497" i="2"/>
  <c r="Q2498" i="2"/>
  <c r="Q2499" i="2"/>
  <c r="Q2500" i="2"/>
  <c r="Q2501" i="2"/>
  <c r="Q2502" i="2"/>
  <c r="Q2503" i="2"/>
  <c r="Q2504" i="2"/>
  <c r="Q2505" i="2"/>
  <c r="Q2506" i="2"/>
  <c r="Q2507" i="2"/>
  <c r="Q2508" i="2"/>
  <c r="Q2509" i="2"/>
  <c r="Q2510" i="2"/>
  <c r="Q2511" i="2"/>
  <c r="Q2512" i="2"/>
  <c r="Q2513" i="2"/>
  <c r="Q2514" i="2"/>
  <c r="Q2515" i="2"/>
  <c r="Q2516" i="2"/>
  <c r="Q2517" i="2"/>
  <c r="Q2518" i="2"/>
  <c r="Q2519" i="2"/>
  <c r="Q2520" i="2"/>
  <c r="Q2521" i="2"/>
  <c r="Q2522" i="2"/>
  <c r="Q2523" i="2"/>
  <c r="Q2524" i="2"/>
  <c r="Q2525" i="2"/>
  <c r="Q2526" i="2"/>
  <c r="Q2527" i="2"/>
  <c r="Q2528" i="2"/>
  <c r="Q2529" i="2"/>
  <c r="Q2530" i="2"/>
  <c r="Q2531" i="2"/>
  <c r="Q2532" i="2"/>
  <c r="Q2533" i="2"/>
  <c r="Q2534" i="2"/>
  <c r="Q2535" i="2"/>
  <c r="Q2536" i="2"/>
  <c r="Q2537" i="2"/>
  <c r="Q2538" i="2"/>
  <c r="Q2539" i="2"/>
  <c r="Q2540" i="2"/>
  <c r="Q2541" i="2"/>
  <c r="Q2542" i="2"/>
  <c r="Q2543" i="2"/>
  <c r="Q2544" i="2"/>
  <c r="Q2545" i="2"/>
  <c r="Q2546" i="2"/>
  <c r="Q2547" i="2"/>
  <c r="Q2548" i="2"/>
  <c r="Q2549" i="2"/>
  <c r="Q2550" i="2"/>
  <c r="Q2551" i="2"/>
  <c r="Q2552" i="2"/>
  <c r="Q2553" i="2"/>
  <c r="Q2554" i="2"/>
  <c r="Q2555" i="2"/>
  <c r="Q2556" i="2"/>
  <c r="Q2557" i="2"/>
  <c r="Q2558" i="2"/>
  <c r="Q2559" i="2"/>
  <c r="Q2560" i="2"/>
  <c r="Q2561" i="2"/>
  <c r="Q2562" i="2"/>
  <c r="Q2563" i="2"/>
  <c r="Q2564" i="2"/>
  <c r="Q2565" i="2"/>
  <c r="Q2566" i="2"/>
  <c r="Q2567" i="2"/>
  <c r="Q2568" i="2"/>
  <c r="Q2569" i="2"/>
  <c r="Q2570" i="2"/>
  <c r="Q2571" i="2"/>
  <c r="Q2572" i="2"/>
  <c r="Q2573" i="2"/>
  <c r="Q2574" i="2"/>
  <c r="Q2575" i="2"/>
  <c r="Q2576" i="2"/>
  <c r="Q2577" i="2"/>
  <c r="Q2578" i="2"/>
  <c r="Q2579" i="2"/>
  <c r="Q2580" i="2"/>
  <c r="Q2581" i="2"/>
  <c r="Q2582" i="2"/>
  <c r="Q2583" i="2"/>
  <c r="Q2584" i="2"/>
  <c r="Q2585" i="2"/>
  <c r="Q2586" i="2"/>
  <c r="Q2587" i="2"/>
  <c r="Q2588" i="2"/>
  <c r="Q2589" i="2"/>
  <c r="Q2590" i="2"/>
  <c r="Q2591" i="2"/>
  <c r="Q2592" i="2"/>
  <c r="Q2593" i="2"/>
  <c r="Q2594" i="2"/>
  <c r="Q2595" i="2"/>
  <c r="Q2596" i="2"/>
  <c r="Q2597" i="2"/>
  <c r="Q2598" i="2"/>
  <c r="Q2599" i="2"/>
  <c r="Q2600" i="2"/>
  <c r="Q2601" i="2"/>
  <c r="Q2602" i="2"/>
  <c r="Q2603" i="2"/>
  <c r="Q2604" i="2"/>
  <c r="Q2605" i="2"/>
  <c r="Q2606" i="2"/>
  <c r="Q2607" i="2"/>
  <c r="Q2608" i="2"/>
  <c r="Q2609" i="2"/>
  <c r="Q2610" i="2"/>
  <c r="Q2611" i="2"/>
  <c r="Q2612" i="2"/>
  <c r="Q2613" i="2"/>
  <c r="Q2614" i="2"/>
  <c r="Q2615" i="2"/>
  <c r="Q2616" i="2"/>
  <c r="Q2617" i="2"/>
  <c r="Q2618" i="2"/>
  <c r="Q2619" i="2"/>
  <c r="Q2620" i="2"/>
  <c r="Q2621" i="2"/>
  <c r="Q2622" i="2"/>
  <c r="Q2623" i="2"/>
  <c r="Q2624" i="2"/>
  <c r="Q2625" i="2"/>
  <c r="Q2626" i="2"/>
  <c r="Q2627" i="2"/>
  <c r="Q2628" i="2"/>
  <c r="Q2629" i="2"/>
  <c r="Q2630" i="2"/>
  <c r="Q2631" i="2"/>
  <c r="Q2632" i="2"/>
  <c r="Q2633" i="2"/>
  <c r="Q2634" i="2"/>
  <c r="Q2635" i="2"/>
  <c r="Q2636" i="2"/>
  <c r="Q2637" i="2"/>
  <c r="Q2638" i="2"/>
  <c r="Q2639" i="2"/>
  <c r="Q2640" i="2"/>
  <c r="Q2641" i="2"/>
  <c r="Q2642" i="2"/>
  <c r="Q2643" i="2"/>
  <c r="Q2644" i="2"/>
  <c r="Q2645" i="2"/>
  <c r="Q2646" i="2"/>
  <c r="Q2647" i="2"/>
  <c r="Q2648" i="2"/>
  <c r="Q2649" i="2"/>
  <c r="Q2650" i="2"/>
  <c r="Q2651" i="2"/>
  <c r="Q2652" i="2"/>
  <c r="Q2653" i="2"/>
  <c r="Q2654" i="2"/>
  <c r="Q2655" i="2"/>
  <c r="Q2656" i="2"/>
  <c r="Q2657" i="2"/>
  <c r="Q2658" i="2"/>
  <c r="Q2659" i="2"/>
  <c r="Q2660" i="2"/>
  <c r="Q2661" i="2"/>
  <c r="Q2662" i="2"/>
  <c r="Q2663" i="2"/>
  <c r="Q2664" i="2"/>
  <c r="Q2665" i="2"/>
  <c r="Q2666" i="2"/>
  <c r="Q2667" i="2"/>
  <c r="Q2668" i="2"/>
  <c r="Q2669" i="2"/>
  <c r="Q2670" i="2"/>
  <c r="Q2671" i="2"/>
  <c r="Q2672" i="2"/>
  <c r="Q2673" i="2"/>
  <c r="Q2674" i="2"/>
  <c r="Q2675" i="2"/>
  <c r="Q2676" i="2"/>
  <c r="Q2677" i="2"/>
  <c r="Q2678" i="2"/>
  <c r="Q2679" i="2"/>
  <c r="Q2680" i="2"/>
  <c r="Q2681" i="2"/>
  <c r="Q2682" i="2"/>
  <c r="Q2683" i="2"/>
  <c r="Q2684" i="2"/>
  <c r="Q2685" i="2"/>
  <c r="Q2686" i="2"/>
  <c r="Q2687" i="2"/>
  <c r="Q2688" i="2"/>
  <c r="Q2689" i="2"/>
  <c r="Q2690" i="2"/>
  <c r="Q2691" i="2"/>
  <c r="Q2692" i="2"/>
  <c r="Q2693" i="2"/>
  <c r="Q2694" i="2"/>
  <c r="Q2695" i="2"/>
  <c r="Q2696" i="2"/>
  <c r="Q2697" i="2"/>
  <c r="Q2698" i="2"/>
  <c r="Q2699" i="2"/>
  <c r="Q2700" i="2"/>
  <c r="Q2701" i="2"/>
  <c r="Q2702" i="2"/>
  <c r="Q2703" i="2"/>
  <c r="Q2704" i="2"/>
  <c r="Q2705" i="2"/>
  <c r="Q2706" i="2"/>
  <c r="Q2707" i="2"/>
  <c r="Q2708" i="2"/>
  <c r="Q2709" i="2"/>
  <c r="Q2710" i="2"/>
  <c r="Q2711" i="2"/>
  <c r="Q2712" i="2"/>
  <c r="Q2713" i="2"/>
  <c r="Q2714" i="2"/>
  <c r="Q2715" i="2"/>
  <c r="Q2716" i="2"/>
  <c r="Q2717" i="2"/>
  <c r="Q2718" i="2"/>
  <c r="Q2719" i="2"/>
  <c r="Q2720" i="2"/>
  <c r="Q2721" i="2"/>
  <c r="Q2722" i="2"/>
  <c r="Q2723" i="2"/>
  <c r="Q2724" i="2"/>
  <c r="Q2725" i="2"/>
  <c r="Q2726" i="2"/>
  <c r="Q2727" i="2"/>
  <c r="Q2728" i="2"/>
  <c r="Q2729" i="2"/>
  <c r="Q2730" i="2"/>
  <c r="Q2731" i="2"/>
  <c r="Q2732" i="2"/>
  <c r="Q2733" i="2"/>
  <c r="Q2734" i="2"/>
  <c r="Q2735" i="2"/>
  <c r="Q2736" i="2"/>
  <c r="Q2737" i="2"/>
  <c r="Q2738" i="2"/>
  <c r="Q2739" i="2"/>
  <c r="Q2740" i="2"/>
  <c r="Q2741" i="2"/>
  <c r="Q2742" i="2"/>
  <c r="Q2743" i="2"/>
  <c r="Q2744" i="2"/>
  <c r="Q2745" i="2"/>
  <c r="Q2746" i="2"/>
  <c r="Q2747" i="2"/>
  <c r="Q2748" i="2"/>
  <c r="Q2749" i="2"/>
  <c r="Q2750" i="2"/>
  <c r="Q2751" i="2"/>
  <c r="Q2752" i="2"/>
  <c r="Q2753" i="2"/>
  <c r="Q2754" i="2"/>
  <c r="Q2755" i="2"/>
  <c r="Q2756" i="2"/>
  <c r="Q2757" i="2"/>
  <c r="Q2758" i="2"/>
  <c r="Q2759" i="2"/>
  <c r="Q2760" i="2"/>
  <c r="Q2761" i="2"/>
  <c r="Q2762" i="2"/>
  <c r="Q2763" i="2"/>
  <c r="Q2764" i="2"/>
  <c r="Q2765" i="2"/>
  <c r="Q2766" i="2"/>
  <c r="Q2767" i="2"/>
  <c r="Q2768" i="2"/>
  <c r="Q2769" i="2"/>
  <c r="Q2770" i="2"/>
  <c r="Q2771" i="2"/>
  <c r="Q2772" i="2"/>
  <c r="Q2773" i="2"/>
  <c r="Q2774" i="2"/>
  <c r="Q2775" i="2"/>
  <c r="Q2776" i="2"/>
  <c r="Q2777" i="2"/>
  <c r="Q2778" i="2"/>
  <c r="Q2779" i="2"/>
  <c r="Q2780" i="2"/>
  <c r="Q2781" i="2"/>
  <c r="Q2782" i="2"/>
  <c r="Q2783" i="2"/>
  <c r="Q2784" i="2"/>
  <c r="Q2785" i="2"/>
  <c r="Q2786" i="2"/>
  <c r="Q2787" i="2"/>
  <c r="Q2788" i="2"/>
  <c r="Q2789" i="2"/>
  <c r="Q2790" i="2"/>
  <c r="Q2791" i="2"/>
  <c r="Q2792" i="2"/>
  <c r="Q2793" i="2"/>
  <c r="Q2794" i="2"/>
  <c r="Q2795" i="2"/>
  <c r="Q2796" i="2"/>
  <c r="Q2797" i="2"/>
  <c r="Q2798" i="2"/>
  <c r="Q2799" i="2"/>
  <c r="Q2800" i="2"/>
  <c r="Q2801" i="2"/>
  <c r="Q2802" i="2"/>
  <c r="Q2803" i="2"/>
  <c r="Q2804" i="2"/>
  <c r="Q2805" i="2"/>
  <c r="Q2806" i="2"/>
  <c r="Q2807" i="2"/>
  <c r="Q2808" i="2"/>
  <c r="Q2809" i="2"/>
  <c r="Q2810" i="2"/>
  <c r="Q2811" i="2"/>
  <c r="Q2812" i="2"/>
  <c r="Q2813" i="2"/>
  <c r="Q2814" i="2"/>
  <c r="Q2815" i="2"/>
  <c r="Q2816" i="2"/>
  <c r="Q2817" i="2"/>
  <c r="Q2818" i="2"/>
  <c r="Q2819" i="2"/>
  <c r="Q2820" i="2"/>
  <c r="Q2821" i="2"/>
  <c r="Q2822" i="2"/>
  <c r="Q2823" i="2"/>
  <c r="Q2824" i="2"/>
  <c r="Q2825" i="2"/>
  <c r="Q2826" i="2"/>
  <c r="Q2827" i="2"/>
  <c r="Q2828" i="2"/>
  <c r="Q2829" i="2"/>
  <c r="Q2830" i="2"/>
  <c r="Q2831" i="2"/>
  <c r="Q2832" i="2"/>
  <c r="Q2833" i="2"/>
  <c r="Q2834" i="2"/>
  <c r="Q2835" i="2"/>
  <c r="Q2836" i="2"/>
  <c r="Q2837" i="2"/>
  <c r="Q2838" i="2"/>
  <c r="Q2839" i="2"/>
  <c r="Q2840" i="2"/>
  <c r="Q2841" i="2"/>
  <c r="Q2842" i="2"/>
  <c r="Q2843" i="2"/>
  <c r="Q2844" i="2"/>
  <c r="Q2845" i="2"/>
  <c r="Q2846" i="2"/>
  <c r="Q2847" i="2"/>
  <c r="Q2848" i="2"/>
  <c r="Q2849" i="2"/>
  <c r="Q2850" i="2"/>
  <c r="Q2851" i="2"/>
  <c r="Q2852" i="2"/>
  <c r="Q2853" i="2"/>
  <c r="Q2854" i="2"/>
  <c r="Q2855" i="2"/>
  <c r="Q2856" i="2"/>
  <c r="Q2857" i="2"/>
  <c r="Q2858" i="2"/>
  <c r="Q2859" i="2"/>
  <c r="Q2860" i="2"/>
  <c r="Q2861" i="2"/>
  <c r="Q2862" i="2"/>
  <c r="Q2863" i="2"/>
  <c r="Q2864" i="2"/>
  <c r="Q2865" i="2"/>
  <c r="Q2866" i="2"/>
  <c r="Q2867" i="2"/>
  <c r="Q2868" i="2"/>
  <c r="Q2869" i="2"/>
  <c r="Q2870" i="2"/>
  <c r="Q2871" i="2"/>
  <c r="Q2872" i="2"/>
  <c r="Q2873" i="2"/>
  <c r="Q2874" i="2"/>
  <c r="Q2875" i="2"/>
  <c r="Q2876" i="2"/>
  <c r="Q2877" i="2"/>
  <c r="Q2878" i="2"/>
  <c r="Q2879" i="2"/>
  <c r="Q2880" i="2"/>
  <c r="Q2881" i="2"/>
  <c r="Q2882" i="2"/>
  <c r="Q2883" i="2"/>
  <c r="Q2884" i="2"/>
  <c r="Q2885" i="2"/>
  <c r="Q2886" i="2"/>
  <c r="Q2887" i="2"/>
  <c r="Q2888" i="2"/>
  <c r="Q2889" i="2"/>
  <c r="Q2890" i="2"/>
  <c r="Q2891" i="2"/>
  <c r="Q2892" i="2"/>
  <c r="Q2893" i="2"/>
  <c r="Q2894" i="2"/>
  <c r="Q2895" i="2"/>
  <c r="Q2896" i="2"/>
  <c r="Q2897" i="2"/>
  <c r="Q2898" i="2"/>
  <c r="Q2899" i="2"/>
  <c r="Q2900" i="2"/>
  <c r="Q2901" i="2"/>
  <c r="Q2902" i="2"/>
  <c r="Q2903" i="2"/>
  <c r="Q2904" i="2"/>
  <c r="Q2905" i="2"/>
  <c r="Q2906" i="2"/>
  <c r="Q2907" i="2"/>
  <c r="Q2908" i="2"/>
  <c r="Q2909" i="2"/>
  <c r="Q2910" i="2"/>
  <c r="Q2911" i="2"/>
  <c r="Q2912" i="2"/>
  <c r="Q2913" i="2"/>
  <c r="Q2914" i="2"/>
  <c r="Q2915" i="2"/>
  <c r="Q2916" i="2"/>
  <c r="Q2917" i="2"/>
  <c r="Q2918" i="2"/>
  <c r="Q2919" i="2"/>
  <c r="Q2920" i="2"/>
  <c r="Q2921" i="2"/>
  <c r="Q2922" i="2"/>
  <c r="Q2923" i="2"/>
  <c r="Q2924" i="2"/>
  <c r="Q2925" i="2"/>
  <c r="Q2926" i="2"/>
  <c r="Q2927" i="2"/>
  <c r="Q2928" i="2"/>
  <c r="Q2929" i="2"/>
  <c r="Q2930" i="2"/>
  <c r="Q2931" i="2"/>
  <c r="Q2932" i="2"/>
  <c r="Q2933" i="2"/>
  <c r="Q2934" i="2"/>
  <c r="Q2935" i="2"/>
  <c r="Q2936" i="2"/>
  <c r="Q2937" i="2"/>
  <c r="Q2938" i="2"/>
  <c r="Q2939" i="2"/>
  <c r="Q2940" i="2"/>
  <c r="Q2941" i="2"/>
  <c r="Q2942" i="2"/>
  <c r="Q2943" i="2"/>
  <c r="Q2944" i="2"/>
  <c r="Q2945" i="2"/>
  <c r="Q2946" i="2"/>
  <c r="Q2947" i="2"/>
  <c r="Q2948" i="2"/>
  <c r="Q2949" i="2"/>
  <c r="Q2950" i="2"/>
  <c r="Q2951" i="2"/>
  <c r="Q2952" i="2"/>
  <c r="Q2953" i="2"/>
  <c r="Q2954" i="2"/>
  <c r="Q2955" i="2"/>
  <c r="Q2956" i="2"/>
  <c r="Q2957" i="2"/>
  <c r="Q2958" i="2"/>
  <c r="Q2959" i="2"/>
  <c r="Q2960" i="2"/>
  <c r="Q2961" i="2"/>
  <c r="Q2962" i="2"/>
  <c r="Q2963" i="2"/>
  <c r="Q2964" i="2"/>
  <c r="Q2965" i="2"/>
  <c r="Q2966" i="2"/>
  <c r="Q2967" i="2"/>
  <c r="Q2968" i="2"/>
  <c r="Q2969" i="2"/>
  <c r="Q2970" i="2"/>
  <c r="Q2971" i="2"/>
  <c r="Q2972" i="2"/>
  <c r="Q2973" i="2"/>
  <c r="Q2974" i="2"/>
  <c r="Q2975" i="2"/>
  <c r="Q2976" i="2"/>
  <c r="Q2977" i="2"/>
  <c r="Q2978" i="2"/>
  <c r="Q2979" i="2"/>
  <c r="Q2980" i="2"/>
  <c r="Q2981" i="2"/>
  <c r="Q2982" i="2"/>
  <c r="Q2983" i="2"/>
  <c r="Q2984" i="2"/>
  <c r="Q2985" i="2"/>
  <c r="Q2986" i="2"/>
  <c r="Q2987" i="2"/>
  <c r="Q2988" i="2"/>
  <c r="Q2989" i="2"/>
  <c r="Q2990" i="2"/>
  <c r="Q2991" i="2"/>
  <c r="Q2992" i="2"/>
  <c r="Q2993" i="2"/>
  <c r="Q2994" i="2"/>
  <c r="Q2995" i="2"/>
  <c r="Q2996" i="2"/>
  <c r="Q2997" i="2"/>
  <c r="Q2998" i="2"/>
  <c r="Q2999" i="2"/>
  <c r="Q3000" i="2"/>
  <c r="Q3001" i="2"/>
  <c r="Q3002" i="2"/>
  <c r="Q3003" i="2"/>
  <c r="Q3004" i="2"/>
  <c r="Q3005" i="2"/>
  <c r="Q3006" i="2"/>
  <c r="Q3007" i="2"/>
  <c r="Q3008" i="2"/>
  <c r="Q3009" i="2"/>
  <c r="Q3010" i="2"/>
  <c r="Q3011" i="2"/>
  <c r="Q3012" i="2"/>
  <c r="Q3013" i="2"/>
  <c r="Q3014" i="2"/>
  <c r="Q3015" i="2"/>
  <c r="Q3016" i="2"/>
  <c r="Q3017" i="2"/>
  <c r="Q3018" i="2"/>
  <c r="Q3019" i="2"/>
  <c r="Q3020" i="2"/>
  <c r="Q3021" i="2"/>
  <c r="Q3022" i="2"/>
  <c r="Q3023" i="2"/>
  <c r="Q3024" i="2"/>
  <c r="Q3025" i="2"/>
  <c r="Q3026" i="2"/>
  <c r="Q3027" i="2"/>
  <c r="Q3028" i="2"/>
  <c r="Q3029" i="2"/>
  <c r="Q3030" i="2"/>
  <c r="Q3031" i="2"/>
  <c r="Q3032" i="2"/>
  <c r="Q3033" i="2"/>
  <c r="Q3034" i="2"/>
  <c r="Q3035" i="2"/>
  <c r="Q3036" i="2"/>
  <c r="Q3037" i="2"/>
  <c r="Q3038" i="2"/>
  <c r="Q3039" i="2"/>
  <c r="Q3040" i="2"/>
  <c r="Q3041" i="2"/>
  <c r="Q3042" i="2"/>
  <c r="Q3043" i="2"/>
  <c r="Q3044" i="2"/>
  <c r="Q3045" i="2"/>
  <c r="Q3046" i="2"/>
  <c r="Q3047" i="2"/>
  <c r="Q3048" i="2"/>
  <c r="Q3049" i="2"/>
  <c r="Q3050" i="2"/>
  <c r="Q3051" i="2"/>
  <c r="Q3052" i="2"/>
  <c r="Q3053" i="2"/>
  <c r="Q3054" i="2"/>
  <c r="Q3055" i="2"/>
  <c r="Q3056" i="2"/>
  <c r="Q3057" i="2"/>
  <c r="Q3058" i="2"/>
  <c r="Q3059" i="2"/>
  <c r="Q3060" i="2"/>
  <c r="Q3061" i="2"/>
  <c r="Q3062" i="2"/>
  <c r="Q3063" i="2"/>
  <c r="Q3064" i="2"/>
  <c r="Q3065" i="2"/>
  <c r="Q3066" i="2"/>
  <c r="Q3067" i="2"/>
  <c r="Q3068" i="2"/>
  <c r="Q3069" i="2"/>
  <c r="Q3070" i="2"/>
  <c r="Q3071" i="2"/>
  <c r="Q3072" i="2"/>
  <c r="Q3073" i="2"/>
  <c r="Q3074" i="2"/>
  <c r="Q3075" i="2"/>
  <c r="Q3076" i="2"/>
  <c r="Q3077" i="2"/>
  <c r="Q3078" i="2"/>
  <c r="Q3079" i="2"/>
  <c r="Q3080" i="2"/>
  <c r="Q3081" i="2"/>
  <c r="Q3082" i="2"/>
  <c r="Q3083" i="2"/>
  <c r="Q3084" i="2"/>
  <c r="Q3085" i="2"/>
  <c r="Q3086" i="2"/>
  <c r="Q3087" i="2"/>
  <c r="Q3088" i="2"/>
  <c r="Q3089" i="2"/>
  <c r="Q3090" i="2"/>
  <c r="Q3091" i="2"/>
  <c r="Q3092" i="2"/>
  <c r="Q3093" i="2"/>
  <c r="Q3094" i="2"/>
  <c r="Q3095" i="2"/>
  <c r="Q3096" i="2"/>
  <c r="Q3097" i="2"/>
  <c r="Q3098" i="2"/>
  <c r="Q3099" i="2"/>
  <c r="Q3100" i="2"/>
  <c r="Q3101" i="2"/>
  <c r="Q3102" i="2"/>
  <c r="Q3103" i="2"/>
  <c r="Q3104" i="2"/>
  <c r="Q3105" i="2"/>
  <c r="Q3106" i="2"/>
  <c r="Q3107" i="2"/>
  <c r="Q3108" i="2"/>
  <c r="Q3109" i="2"/>
  <c r="Q3110" i="2"/>
  <c r="Q3111" i="2"/>
  <c r="Q3112" i="2"/>
  <c r="Q3113" i="2"/>
  <c r="Q3114" i="2"/>
  <c r="Q3115" i="2"/>
  <c r="Q3116" i="2"/>
  <c r="Q3117" i="2"/>
  <c r="Q3118" i="2"/>
  <c r="Q3119" i="2"/>
  <c r="Q3120" i="2"/>
  <c r="Q3121" i="2"/>
  <c r="Q3122" i="2"/>
  <c r="Q3123" i="2"/>
  <c r="Q3124" i="2"/>
  <c r="Q3125" i="2"/>
  <c r="Q3126" i="2"/>
  <c r="Q3127" i="2"/>
  <c r="Q3128" i="2"/>
  <c r="Q3129" i="2"/>
  <c r="Q3130" i="2"/>
  <c r="Q3131" i="2"/>
  <c r="Q3132" i="2"/>
  <c r="Q3133" i="2"/>
  <c r="Q3134" i="2"/>
  <c r="Q3135" i="2"/>
  <c r="Q3136" i="2"/>
  <c r="Q3137" i="2"/>
  <c r="Q3138" i="2"/>
  <c r="Q3139" i="2"/>
  <c r="Q3140" i="2"/>
  <c r="Q3141" i="2"/>
  <c r="Q3142" i="2"/>
  <c r="Q3143" i="2"/>
  <c r="Q3144" i="2"/>
  <c r="Q3145" i="2"/>
  <c r="Q3146" i="2"/>
  <c r="Q3147" i="2"/>
  <c r="Q3148" i="2"/>
  <c r="Q3149" i="2"/>
  <c r="Q3150" i="2"/>
  <c r="Q3151" i="2"/>
  <c r="Q3152" i="2"/>
  <c r="Q3153" i="2"/>
  <c r="Q3154" i="2"/>
  <c r="Q3155" i="2"/>
  <c r="Q3156" i="2"/>
  <c r="Q3157" i="2"/>
  <c r="Q3158" i="2"/>
  <c r="Q3159" i="2"/>
  <c r="Q3160" i="2"/>
  <c r="Q3161" i="2"/>
  <c r="Q3162" i="2"/>
  <c r="Q3163" i="2"/>
  <c r="Q3164" i="2"/>
  <c r="Q3165" i="2"/>
  <c r="Q3166" i="2"/>
  <c r="Q3167" i="2"/>
  <c r="Q3168" i="2"/>
  <c r="Q3169" i="2"/>
  <c r="Q3170" i="2"/>
  <c r="Q3171" i="2"/>
  <c r="Q3172" i="2"/>
  <c r="Q3173" i="2"/>
  <c r="Q3174" i="2"/>
  <c r="Q3175" i="2"/>
  <c r="Q3176" i="2"/>
  <c r="Q3177" i="2"/>
  <c r="Q3178" i="2"/>
  <c r="Q3179" i="2"/>
  <c r="Q3180" i="2"/>
  <c r="Q3181" i="2"/>
  <c r="Q3182" i="2"/>
  <c r="Q3183" i="2"/>
  <c r="Q3184" i="2"/>
  <c r="Q3185" i="2"/>
  <c r="Q3186" i="2"/>
  <c r="Q3187" i="2"/>
  <c r="Q3188" i="2"/>
  <c r="Q3189" i="2"/>
  <c r="Q3190" i="2"/>
  <c r="Q3191" i="2"/>
  <c r="Q3192" i="2"/>
  <c r="Q3193" i="2"/>
  <c r="Q3194" i="2"/>
  <c r="Q3195" i="2"/>
  <c r="Q3196" i="2"/>
  <c r="Q3197" i="2"/>
  <c r="Q3198" i="2"/>
  <c r="Q3199" i="2"/>
  <c r="Q3200" i="2"/>
  <c r="Q3201" i="2"/>
  <c r="Q3202" i="2"/>
  <c r="Q3203" i="2"/>
  <c r="Q3204" i="2"/>
  <c r="Q3205" i="2"/>
  <c r="Q3206" i="2"/>
  <c r="Q3207" i="2"/>
  <c r="Q3208" i="2"/>
  <c r="Q3209" i="2"/>
  <c r="Q3210" i="2"/>
  <c r="Q3211" i="2"/>
  <c r="Q3212" i="2"/>
  <c r="Q3213" i="2"/>
  <c r="Q3214" i="2"/>
  <c r="Q3215" i="2"/>
  <c r="Q3216" i="2"/>
  <c r="Q3217" i="2"/>
  <c r="Q3218" i="2"/>
  <c r="Q3219" i="2"/>
  <c r="Q3220" i="2"/>
  <c r="Q3221" i="2"/>
  <c r="Q3222" i="2"/>
  <c r="Q3223" i="2"/>
  <c r="Q3224" i="2"/>
  <c r="Q3225" i="2"/>
  <c r="Q3226" i="2"/>
  <c r="Q3227" i="2"/>
  <c r="Q3228" i="2"/>
  <c r="Q3229" i="2"/>
  <c r="Q3230" i="2"/>
  <c r="Q3231" i="2"/>
  <c r="Q3232" i="2"/>
  <c r="Q3233" i="2"/>
  <c r="Q3234" i="2"/>
  <c r="Q3235" i="2"/>
  <c r="Q3236" i="2"/>
  <c r="Q3237" i="2"/>
  <c r="Q3238" i="2"/>
  <c r="Q3239" i="2"/>
  <c r="Q3240" i="2"/>
  <c r="Q3241" i="2"/>
  <c r="Q3242" i="2"/>
  <c r="Q3243" i="2"/>
  <c r="Q3244" i="2"/>
  <c r="Q3245" i="2"/>
  <c r="Q3246" i="2"/>
  <c r="Q3247" i="2"/>
  <c r="Q3248" i="2"/>
  <c r="Q3249" i="2"/>
  <c r="Q3250" i="2"/>
  <c r="Q3251" i="2"/>
  <c r="Q3252" i="2"/>
  <c r="Q3253" i="2"/>
  <c r="Q3254" i="2"/>
  <c r="Q3255" i="2"/>
  <c r="Q3256" i="2"/>
  <c r="Q3257" i="2"/>
  <c r="Q3258" i="2"/>
  <c r="Q3259" i="2"/>
  <c r="Q3260" i="2"/>
  <c r="Q3261" i="2"/>
  <c r="Q3262" i="2"/>
  <c r="Q3263" i="2"/>
  <c r="Q3264" i="2"/>
  <c r="Q3265" i="2"/>
  <c r="Q3266" i="2"/>
  <c r="Q3267" i="2"/>
  <c r="Q3268" i="2"/>
  <c r="Q3269" i="2"/>
  <c r="Q3270" i="2"/>
  <c r="Q3271" i="2"/>
  <c r="Q3272" i="2"/>
  <c r="Q3273" i="2"/>
  <c r="Q3274" i="2"/>
  <c r="Q3275" i="2"/>
  <c r="Q3276" i="2"/>
  <c r="Q3277" i="2"/>
  <c r="Q3278" i="2"/>
  <c r="Q3279" i="2"/>
  <c r="Q3280" i="2"/>
  <c r="Q3281" i="2"/>
  <c r="Q3282" i="2"/>
  <c r="Q3283" i="2"/>
  <c r="Q3284" i="2"/>
  <c r="Q3285" i="2"/>
  <c r="Q3286" i="2"/>
  <c r="Q3287" i="2"/>
  <c r="Q3288" i="2"/>
  <c r="Q3289" i="2"/>
  <c r="Q3290" i="2"/>
  <c r="Q3291" i="2"/>
  <c r="Q3292" i="2"/>
  <c r="Q3293" i="2"/>
  <c r="Q3294" i="2"/>
  <c r="Q3295" i="2"/>
  <c r="Q3296" i="2"/>
  <c r="Q3297" i="2"/>
  <c r="Q3298" i="2"/>
  <c r="Q3299" i="2"/>
  <c r="Q3300" i="2"/>
  <c r="Q3301" i="2"/>
  <c r="Q3302" i="2"/>
  <c r="Q3303" i="2"/>
  <c r="Q3304" i="2"/>
  <c r="Q3305" i="2"/>
  <c r="Q3306" i="2"/>
  <c r="Q3307" i="2"/>
  <c r="Q3308" i="2"/>
  <c r="Q3309" i="2"/>
  <c r="Q3310" i="2"/>
  <c r="Q3311" i="2"/>
  <c r="Q3312" i="2"/>
  <c r="Q3313" i="2"/>
  <c r="Q3314" i="2"/>
  <c r="Q3315" i="2"/>
  <c r="Q3316" i="2"/>
  <c r="Q3317" i="2"/>
  <c r="Q3318" i="2"/>
  <c r="Q3319" i="2"/>
  <c r="Q3320" i="2"/>
  <c r="Q3321" i="2"/>
  <c r="Q3322" i="2"/>
  <c r="Q3323" i="2"/>
  <c r="Q3324" i="2"/>
  <c r="Q3325" i="2"/>
  <c r="Q3326" i="2"/>
  <c r="Q3327" i="2"/>
  <c r="Q3328" i="2"/>
  <c r="Q3329" i="2"/>
  <c r="Q3330" i="2"/>
  <c r="Q3331" i="2"/>
  <c r="Q3332" i="2"/>
  <c r="Q3333" i="2"/>
  <c r="Q3334" i="2"/>
  <c r="Q3335" i="2"/>
  <c r="Q3336" i="2"/>
  <c r="Q3337" i="2"/>
  <c r="Q3338" i="2"/>
  <c r="Q3339" i="2"/>
  <c r="Q3340" i="2"/>
  <c r="Q3341" i="2"/>
  <c r="Q3342" i="2"/>
  <c r="Q3343" i="2"/>
  <c r="Q3344" i="2"/>
  <c r="Q3345" i="2"/>
  <c r="Q3346" i="2"/>
  <c r="Q3347" i="2"/>
  <c r="Q3348" i="2"/>
  <c r="Q3349" i="2"/>
  <c r="Q3350" i="2"/>
  <c r="Q3351" i="2"/>
  <c r="Q3352" i="2"/>
  <c r="Q3353" i="2"/>
  <c r="Q3354" i="2"/>
  <c r="Q3355" i="2"/>
  <c r="Q3356" i="2"/>
  <c r="Q3357" i="2"/>
  <c r="Q3358" i="2"/>
  <c r="Q3359" i="2"/>
  <c r="Q3360" i="2"/>
  <c r="Q3361" i="2"/>
  <c r="Q3362" i="2"/>
  <c r="Q3363" i="2"/>
  <c r="Q3364" i="2"/>
  <c r="Q3365" i="2"/>
  <c r="Q3366" i="2"/>
  <c r="Q3367" i="2"/>
  <c r="Q3368" i="2"/>
  <c r="Q3369" i="2"/>
  <c r="Q3370" i="2"/>
  <c r="Q3371" i="2"/>
  <c r="Q3372" i="2"/>
  <c r="Q3373" i="2"/>
  <c r="Q3374" i="2"/>
  <c r="Q3375" i="2"/>
  <c r="Q3376" i="2"/>
  <c r="Q3377" i="2"/>
  <c r="Q3378" i="2"/>
  <c r="Q3379" i="2"/>
  <c r="Q3380" i="2"/>
  <c r="Q3381" i="2"/>
  <c r="Q3382" i="2"/>
  <c r="Q3383" i="2"/>
  <c r="Q3384" i="2"/>
  <c r="Q3385" i="2"/>
  <c r="Q3386" i="2"/>
  <c r="Q3387" i="2"/>
  <c r="Q3388" i="2"/>
  <c r="Q3389" i="2"/>
  <c r="Q3390" i="2"/>
  <c r="Q3391" i="2"/>
  <c r="Q3392" i="2"/>
  <c r="Q3393" i="2"/>
  <c r="Q3394" i="2"/>
  <c r="Q3395" i="2"/>
  <c r="Q3396" i="2"/>
  <c r="Q3397" i="2"/>
  <c r="Q3398" i="2"/>
  <c r="Q3399" i="2"/>
  <c r="Q3400" i="2"/>
  <c r="Q3401" i="2"/>
  <c r="Q3402" i="2"/>
  <c r="Q3403" i="2"/>
  <c r="Q3404" i="2"/>
  <c r="Q3405" i="2"/>
  <c r="Q3406" i="2"/>
  <c r="Q3407" i="2"/>
  <c r="Q3408" i="2"/>
  <c r="Q3409" i="2"/>
  <c r="Q3410" i="2"/>
  <c r="Q3411" i="2"/>
  <c r="Q3412" i="2"/>
  <c r="Q3413" i="2"/>
  <c r="Q3414" i="2"/>
  <c r="Q3415" i="2"/>
  <c r="Q3416" i="2"/>
  <c r="Q3417" i="2"/>
  <c r="Q3418" i="2"/>
  <c r="Q3419" i="2"/>
  <c r="Q3420" i="2"/>
  <c r="Q3421" i="2"/>
  <c r="Q3422" i="2"/>
  <c r="Q3423" i="2"/>
  <c r="Q3424" i="2"/>
  <c r="Q3425" i="2"/>
  <c r="Q3426" i="2"/>
  <c r="Q3427" i="2"/>
  <c r="Q3428" i="2"/>
  <c r="Q3429" i="2"/>
  <c r="Q3430" i="2"/>
  <c r="Q3431" i="2"/>
  <c r="Q3432" i="2"/>
  <c r="Q3433" i="2"/>
  <c r="Q3434" i="2"/>
  <c r="Q3435" i="2"/>
  <c r="Q3436" i="2"/>
  <c r="Q3437" i="2"/>
  <c r="Q3438" i="2"/>
  <c r="Q3439" i="2"/>
  <c r="Q3440" i="2"/>
  <c r="Q3441" i="2"/>
  <c r="Q3442" i="2"/>
  <c r="Q3443" i="2"/>
  <c r="Q3444" i="2"/>
  <c r="Q3445" i="2"/>
  <c r="Q3446" i="2"/>
  <c r="Q3447" i="2"/>
  <c r="Q3448" i="2"/>
  <c r="Q3449" i="2"/>
  <c r="Q3450" i="2"/>
  <c r="Q3451" i="2"/>
  <c r="Q3452" i="2"/>
  <c r="Q3453" i="2"/>
  <c r="Q3454" i="2"/>
  <c r="Q3455" i="2"/>
  <c r="Q3456" i="2"/>
  <c r="Q3457" i="2"/>
  <c r="Q3458" i="2"/>
  <c r="Q3459" i="2"/>
  <c r="Q3460" i="2"/>
  <c r="Q3461" i="2"/>
  <c r="Q3462" i="2"/>
  <c r="Q3463" i="2"/>
  <c r="Q3464" i="2"/>
  <c r="Q3465" i="2"/>
  <c r="Q3466" i="2"/>
  <c r="Q3467" i="2"/>
  <c r="Q3468" i="2"/>
  <c r="Q3469" i="2"/>
  <c r="Q3470" i="2"/>
  <c r="Q3471" i="2"/>
  <c r="Q3472" i="2"/>
  <c r="Q3473" i="2"/>
  <c r="Q3474" i="2"/>
  <c r="Q3475" i="2"/>
  <c r="Q3476" i="2"/>
  <c r="Q3477" i="2"/>
  <c r="Q3478" i="2"/>
  <c r="Q3479" i="2"/>
  <c r="Q3480" i="2"/>
  <c r="Q3481" i="2"/>
  <c r="Q3482" i="2"/>
  <c r="Q3483" i="2"/>
  <c r="Q3484" i="2"/>
  <c r="Q3485" i="2"/>
  <c r="Q3486" i="2"/>
  <c r="Q3487" i="2"/>
  <c r="Q3488" i="2"/>
  <c r="Q3489" i="2"/>
  <c r="Q3490" i="2"/>
  <c r="Q3491" i="2"/>
  <c r="Q3492" i="2"/>
  <c r="Q3493" i="2"/>
  <c r="Q3494" i="2"/>
  <c r="Q3495" i="2"/>
  <c r="Q3496" i="2"/>
  <c r="Q3497" i="2"/>
  <c r="Q3498" i="2"/>
  <c r="Q3499" i="2"/>
  <c r="Q3500" i="2"/>
  <c r="Q3501" i="2"/>
  <c r="Q3502" i="2"/>
  <c r="Q3503" i="2"/>
  <c r="Q3504" i="2"/>
  <c r="Q3505" i="2"/>
  <c r="Q3506" i="2"/>
  <c r="Q3507" i="2"/>
  <c r="Q3508" i="2"/>
  <c r="Q3509" i="2"/>
  <c r="Q3510" i="2"/>
  <c r="Q3511" i="2"/>
  <c r="Q3512" i="2"/>
  <c r="Q3513" i="2"/>
  <c r="Q3514" i="2"/>
  <c r="Q3515" i="2"/>
  <c r="Q3516" i="2"/>
  <c r="Q3517" i="2"/>
  <c r="Q3518" i="2"/>
  <c r="Q3519" i="2"/>
  <c r="Q3520" i="2"/>
  <c r="Q3521" i="2"/>
  <c r="Q3522" i="2"/>
  <c r="Q3523" i="2"/>
  <c r="Q3524" i="2"/>
  <c r="Q3525" i="2"/>
  <c r="Q3526" i="2"/>
  <c r="Q3527" i="2"/>
  <c r="Q3528" i="2"/>
  <c r="Q3529" i="2"/>
  <c r="Q3530" i="2"/>
  <c r="Q3531" i="2"/>
  <c r="Q3532" i="2"/>
  <c r="Q3533" i="2"/>
  <c r="Q3534" i="2"/>
  <c r="Q3535" i="2"/>
  <c r="Q3536" i="2"/>
  <c r="Q3537" i="2"/>
  <c r="Q3538" i="2"/>
  <c r="Q3539" i="2"/>
  <c r="Q3540" i="2"/>
  <c r="Q3541" i="2"/>
  <c r="Q3542" i="2"/>
  <c r="Q3543" i="2"/>
  <c r="Q3544" i="2"/>
  <c r="Q3545" i="2"/>
  <c r="Q3546" i="2"/>
  <c r="Q3547" i="2"/>
  <c r="Q3548" i="2"/>
  <c r="Q3549" i="2"/>
  <c r="Q3550" i="2"/>
  <c r="Q3551" i="2"/>
  <c r="Q3552" i="2"/>
  <c r="Q3553" i="2"/>
  <c r="Q3554" i="2"/>
  <c r="Q3555" i="2"/>
  <c r="Q3556" i="2"/>
  <c r="Q3557" i="2"/>
  <c r="Q3558" i="2"/>
  <c r="Q3559" i="2"/>
  <c r="Q3560" i="2"/>
  <c r="Q3561" i="2"/>
  <c r="Q3562" i="2"/>
  <c r="Q3563" i="2"/>
  <c r="Q3564" i="2"/>
  <c r="Q3565" i="2"/>
  <c r="Q3566" i="2"/>
  <c r="Q3567" i="2"/>
  <c r="Q3568" i="2"/>
  <c r="Q3569" i="2"/>
  <c r="Q3570" i="2"/>
  <c r="Q3571" i="2"/>
  <c r="Q3572" i="2"/>
  <c r="Q3573" i="2"/>
  <c r="Q3574" i="2"/>
  <c r="Q3575" i="2"/>
  <c r="Q3576" i="2"/>
  <c r="Q3577" i="2"/>
  <c r="Q3578" i="2"/>
  <c r="Q3579" i="2"/>
  <c r="Q3580" i="2"/>
  <c r="Q3581" i="2"/>
  <c r="Q3582" i="2"/>
  <c r="Q3583" i="2"/>
  <c r="Q3584" i="2"/>
  <c r="Q3585" i="2"/>
  <c r="Q3586" i="2"/>
  <c r="Q3587" i="2"/>
  <c r="Q3588" i="2"/>
  <c r="Q3589" i="2"/>
  <c r="Q3590" i="2"/>
  <c r="Q3591" i="2"/>
  <c r="Q3592" i="2"/>
  <c r="Q3593" i="2"/>
  <c r="Q3594" i="2"/>
  <c r="Q3595" i="2"/>
  <c r="Q3596" i="2"/>
  <c r="Q3597" i="2"/>
  <c r="Q3598" i="2"/>
  <c r="Q3599" i="2"/>
  <c r="Q3600" i="2"/>
  <c r="Q3601" i="2"/>
  <c r="Q3602" i="2"/>
  <c r="Q3603" i="2"/>
  <c r="Q3604" i="2"/>
  <c r="Q3605" i="2"/>
  <c r="Q3606" i="2"/>
  <c r="Q3607" i="2"/>
  <c r="Q3608" i="2"/>
  <c r="Q3609" i="2"/>
  <c r="Q3610" i="2"/>
  <c r="Q3611" i="2"/>
  <c r="Q3612" i="2"/>
  <c r="Q3613" i="2"/>
  <c r="Q3614" i="2"/>
  <c r="Q3615" i="2"/>
  <c r="Q3616" i="2"/>
  <c r="Q3617" i="2"/>
  <c r="Q3618" i="2"/>
  <c r="Q3619" i="2"/>
  <c r="Q3620" i="2"/>
  <c r="Q3621" i="2"/>
  <c r="Q3622" i="2"/>
  <c r="Q3623" i="2"/>
  <c r="Q3624" i="2"/>
  <c r="Q3625" i="2"/>
  <c r="Q3626" i="2"/>
  <c r="Q3627" i="2"/>
  <c r="Q3628" i="2"/>
  <c r="Q3629" i="2"/>
  <c r="Q3630" i="2"/>
  <c r="Q3631" i="2"/>
  <c r="Q3632" i="2"/>
  <c r="Q3633" i="2"/>
  <c r="Q3634" i="2"/>
  <c r="Q3635" i="2"/>
  <c r="Q3636" i="2"/>
  <c r="Q3637" i="2"/>
  <c r="Q3638" i="2"/>
  <c r="Q3639" i="2"/>
  <c r="Q3640" i="2"/>
  <c r="Q3641" i="2"/>
  <c r="Q3642" i="2"/>
  <c r="Q3643" i="2"/>
  <c r="Q3644" i="2"/>
  <c r="Q3645" i="2"/>
  <c r="Q3646" i="2"/>
  <c r="Q3647" i="2"/>
  <c r="Q3648" i="2"/>
  <c r="Q3649" i="2"/>
  <c r="Q3650" i="2"/>
  <c r="Q3651" i="2"/>
  <c r="Q3652" i="2"/>
  <c r="Q3653" i="2"/>
  <c r="Q3654" i="2"/>
  <c r="Q3655" i="2"/>
  <c r="Q3656" i="2"/>
  <c r="Q3657" i="2"/>
  <c r="Q3658" i="2"/>
  <c r="Q3659" i="2"/>
  <c r="Q3660" i="2"/>
  <c r="Q3661" i="2"/>
  <c r="Q3662" i="2"/>
  <c r="Q3663" i="2"/>
  <c r="Q3664" i="2"/>
  <c r="Q3665" i="2"/>
  <c r="Q3666" i="2"/>
  <c r="Q3667" i="2"/>
  <c r="Q3668" i="2"/>
  <c r="Q3669" i="2"/>
  <c r="Q3670" i="2"/>
  <c r="Q3671" i="2"/>
  <c r="Q3672" i="2"/>
  <c r="Q3673" i="2"/>
  <c r="Q3674" i="2"/>
  <c r="Q3675" i="2"/>
  <c r="Q3676" i="2"/>
  <c r="Q3677" i="2"/>
  <c r="Q3678" i="2"/>
  <c r="Q3679" i="2"/>
  <c r="Q3680" i="2"/>
  <c r="Q3681" i="2"/>
  <c r="Q3682" i="2"/>
  <c r="Q3683" i="2"/>
  <c r="Q3684" i="2"/>
  <c r="Q3685" i="2"/>
  <c r="Q3686" i="2"/>
  <c r="Q3687" i="2"/>
  <c r="Q3688" i="2"/>
  <c r="Q3689" i="2"/>
  <c r="Q3690" i="2"/>
  <c r="Q3691" i="2"/>
  <c r="Q3692" i="2"/>
  <c r="Q3693" i="2"/>
  <c r="Q3694" i="2"/>
  <c r="Q3695" i="2"/>
  <c r="Q3696" i="2"/>
  <c r="Q3697" i="2"/>
  <c r="Q3698" i="2"/>
  <c r="Q3699" i="2"/>
  <c r="Q3700" i="2"/>
  <c r="Q3701" i="2"/>
  <c r="Q3702" i="2"/>
  <c r="Q3703" i="2"/>
  <c r="Q3704" i="2"/>
  <c r="Q3705" i="2"/>
  <c r="Q3706" i="2"/>
  <c r="Q3707" i="2"/>
  <c r="Q3708" i="2"/>
  <c r="Q3709" i="2"/>
  <c r="Q3710" i="2"/>
  <c r="Q3711" i="2"/>
  <c r="Q3712" i="2"/>
  <c r="Q3713" i="2"/>
  <c r="Q3714" i="2"/>
  <c r="Q3715" i="2"/>
  <c r="Q3716" i="2"/>
  <c r="Q3717" i="2"/>
  <c r="Q3718" i="2"/>
  <c r="Q3719" i="2"/>
  <c r="Q3720" i="2"/>
  <c r="Q3721" i="2"/>
  <c r="Q3722" i="2"/>
  <c r="Q3723" i="2"/>
  <c r="Q3724" i="2"/>
  <c r="Q3725" i="2"/>
  <c r="Q3726" i="2"/>
  <c r="Q3727" i="2"/>
  <c r="Q3728" i="2"/>
  <c r="Q3729" i="2"/>
  <c r="Q3730" i="2"/>
  <c r="Q3731" i="2"/>
  <c r="Q3732" i="2"/>
  <c r="Q3733" i="2"/>
  <c r="Q3734" i="2"/>
  <c r="Q3735" i="2"/>
  <c r="Q3736" i="2"/>
  <c r="Q3737" i="2"/>
  <c r="Q3738" i="2"/>
  <c r="Q3739" i="2"/>
  <c r="Q3740" i="2"/>
  <c r="Q3741" i="2"/>
  <c r="Q3742" i="2"/>
  <c r="Q3743" i="2"/>
  <c r="Q3744" i="2"/>
  <c r="Q3745" i="2"/>
  <c r="Q3746" i="2"/>
  <c r="Q3747" i="2"/>
  <c r="Q3748" i="2"/>
  <c r="Q3749" i="2"/>
  <c r="Q3750" i="2"/>
  <c r="Q3751" i="2"/>
  <c r="Q3752" i="2"/>
  <c r="Q3753" i="2"/>
  <c r="Q3754" i="2"/>
  <c r="Q3755" i="2"/>
  <c r="Q3756" i="2"/>
  <c r="Q3757" i="2"/>
  <c r="Q3758" i="2"/>
  <c r="Q3759" i="2"/>
  <c r="Q3760" i="2"/>
  <c r="Q3761" i="2"/>
  <c r="Q3762" i="2"/>
  <c r="Q3763" i="2"/>
  <c r="Q3764" i="2"/>
  <c r="Q3765" i="2"/>
  <c r="Q3766" i="2"/>
  <c r="Q3767" i="2"/>
  <c r="Q3768" i="2"/>
  <c r="Q3769" i="2"/>
  <c r="Q3770" i="2"/>
  <c r="Q3771" i="2"/>
  <c r="Q3772" i="2"/>
  <c r="Q3773" i="2"/>
  <c r="Q3774" i="2"/>
  <c r="Q3775" i="2"/>
  <c r="Q3776" i="2"/>
  <c r="Q3777" i="2"/>
  <c r="Q3778" i="2"/>
  <c r="Q3779" i="2"/>
  <c r="Q3780" i="2"/>
  <c r="Q3781" i="2"/>
  <c r="Q3782" i="2"/>
  <c r="Q3783" i="2"/>
  <c r="Q3784" i="2"/>
  <c r="Q3785" i="2"/>
  <c r="Q3786" i="2"/>
  <c r="Q3787" i="2"/>
  <c r="Q3788" i="2"/>
  <c r="Q3789" i="2"/>
  <c r="Q3790" i="2"/>
  <c r="Q3791" i="2"/>
  <c r="Q3792" i="2"/>
  <c r="Q3793" i="2"/>
  <c r="Q3794" i="2"/>
  <c r="Q3795" i="2"/>
  <c r="Q3796" i="2"/>
  <c r="Q3797" i="2"/>
  <c r="Q3798" i="2"/>
  <c r="Q3799" i="2"/>
  <c r="Q3800" i="2"/>
  <c r="Q3801" i="2"/>
  <c r="Q3802" i="2"/>
  <c r="Q3803" i="2"/>
  <c r="Q3804" i="2"/>
  <c r="Q3805" i="2"/>
  <c r="Q3806" i="2"/>
  <c r="Q3807" i="2"/>
  <c r="Q3808" i="2"/>
  <c r="Q3809" i="2"/>
  <c r="Q3810" i="2"/>
  <c r="Q3811" i="2"/>
  <c r="Q3812" i="2"/>
  <c r="Q3813" i="2"/>
  <c r="Q3814" i="2"/>
  <c r="Q3815" i="2"/>
  <c r="Q3816" i="2"/>
  <c r="Q3817" i="2"/>
  <c r="Q3818" i="2"/>
  <c r="Q3819" i="2"/>
  <c r="Q3820" i="2"/>
  <c r="Q3821" i="2"/>
  <c r="Q3822" i="2"/>
  <c r="Q3823" i="2"/>
  <c r="Q3824" i="2"/>
  <c r="Q3825" i="2"/>
  <c r="Q3826" i="2"/>
  <c r="Q3827" i="2"/>
  <c r="Q3828" i="2"/>
  <c r="Q3829" i="2"/>
  <c r="Q3830" i="2"/>
  <c r="Q3831" i="2"/>
  <c r="Q3832" i="2"/>
  <c r="Q3833" i="2"/>
  <c r="Q3834" i="2"/>
  <c r="Q3835" i="2"/>
  <c r="Q3836" i="2"/>
  <c r="Q3837" i="2"/>
  <c r="Q3838" i="2"/>
  <c r="Q3839" i="2"/>
  <c r="Q3840" i="2"/>
  <c r="Q3841" i="2"/>
  <c r="Q3842" i="2"/>
  <c r="Q3843" i="2"/>
  <c r="Q3844" i="2"/>
  <c r="Q3845" i="2"/>
  <c r="Q3846" i="2"/>
  <c r="Q3847" i="2"/>
  <c r="Q3848" i="2"/>
  <c r="Q3849" i="2"/>
  <c r="Q3850" i="2"/>
  <c r="Q3851" i="2"/>
  <c r="Q3852" i="2"/>
  <c r="Q3853" i="2"/>
  <c r="Q3854" i="2"/>
  <c r="Q3855" i="2"/>
  <c r="Q3856" i="2"/>
  <c r="Q3857" i="2"/>
  <c r="Q3858" i="2"/>
  <c r="Q3859" i="2"/>
  <c r="Q3860" i="2"/>
  <c r="Q3861" i="2"/>
  <c r="Q3862" i="2"/>
  <c r="Q3863" i="2"/>
  <c r="Q3864" i="2"/>
  <c r="Q3865" i="2"/>
  <c r="Q3866" i="2"/>
  <c r="Q3867" i="2"/>
  <c r="Q3868" i="2"/>
  <c r="Q3869" i="2"/>
  <c r="Q3870" i="2"/>
  <c r="Q3871" i="2"/>
  <c r="Q3872" i="2"/>
  <c r="Q3873" i="2"/>
  <c r="Q3874" i="2"/>
  <c r="Q3875" i="2"/>
  <c r="Q3876" i="2"/>
  <c r="Q3877" i="2"/>
  <c r="Q3878" i="2"/>
  <c r="Q3879" i="2"/>
  <c r="Q3880" i="2"/>
  <c r="Q3881" i="2"/>
  <c r="Q3882" i="2"/>
  <c r="Q3883" i="2"/>
  <c r="Q3884" i="2"/>
  <c r="Q3885" i="2"/>
  <c r="Q3886" i="2"/>
  <c r="Q3887" i="2"/>
  <c r="Q3888" i="2"/>
  <c r="Q3889" i="2"/>
  <c r="Q3890" i="2"/>
  <c r="Q3891" i="2"/>
  <c r="Q3892" i="2"/>
  <c r="Q3893" i="2"/>
  <c r="Q3894" i="2"/>
  <c r="Q3895" i="2"/>
  <c r="Q3896" i="2"/>
  <c r="Q3897" i="2"/>
  <c r="Q3898" i="2"/>
  <c r="Q3899" i="2"/>
  <c r="Q3900" i="2"/>
  <c r="Q3901" i="2"/>
  <c r="Q3902" i="2"/>
  <c r="Q3903" i="2"/>
  <c r="Q3904" i="2"/>
  <c r="Q3905" i="2"/>
  <c r="Q3906" i="2"/>
  <c r="Q3907" i="2"/>
  <c r="Q3908" i="2"/>
  <c r="Q3909" i="2"/>
  <c r="Q3910" i="2"/>
  <c r="Q3911" i="2"/>
  <c r="Q3912" i="2"/>
  <c r="Q3913" i="2"/>
  <c r="Q3914" i="2"/>
  <c r="Q3915" i="2"/>
  <c r="Q3916" i="2"/>
  <c r="Q3917" i="2"/>
  <c r="Q3918" i="2"/>
  <c r="Q3919" i="2"/>
  <c r="Q3920" i="2"/>
  <c r="Q3921" i="2"/>
  <c r="Q3922" i="2"/>
  <c r="Q3923" i="2"/>
  <c r="Q3924" i="2"/>
  <c r="Q3925" i="2"/>
  <c r="Q3926" i="2"/>
  <c r="Q3927" i="2"/>
  <c r="Q3928" i="2"/>
  <c r="Q3929" i="2"/>
  <c r="Q3930" i="2"/>
  <c r="Q3931" i="2"/>
  <c r="Q3932" i="2"/>
  <c r="Q3933" i="2"/>
  <c r="Q3934" i="2"/>
  <c r="Q3935" i="2"/>
  <c r="Q3936" i="2"/>
  <c r="Q3937" i="2"/>
  <c r="Q3938" i="2"/>
  <c r="Q3939" i="2"/>
  <c r="Q3940" i="2"/>
  <c r="Q3941" i="2"/>
  <c r="Q3942" i="2"/>
  <c r="Q3943" i="2"/>
  <c r="Q3944" i="2"/>
  <c r="Q3945" i="2"/>
  <c r="Q3946" i="2"/>
  <c r="Q3947" i="2"/>
  <c r="Q3948" i="2"/>
  <c r="Q3949" i="2"/>
  <c r="Q3950" i="2"/>
  <c r="Q3951" i="2"/>
  <c r="Q3952" i="2"/>
  <c r="Q3953" i="2"/>
  <c r="Q3954" i="2"/>
  <c r="Q3955" i="2"/>
  <c r="Q3956" i="2"/>
  <c r="Q3957" i="2"/>
  <c r="Q3958" i="2"/>
  <c r="Q3959" i="2"/>
  <c r="Q3960" i="2"/>
  <c r="Q3961" i="2"/>
  <c r="Q3962" i="2"/>
  <c r="Q3963" i="2"/>
  <c r="Q3964" i="2"/>
  <c r="Q3965" i="2"/>
  <c r="Q3966" i="2"/>
  <c r="Q3967" i="2"/>
  <c r="Q3968" i="2"/>
  <c r="Q3969" i="2"/>
  <c r="Q3970" i="2"/>
  <c r="Q3971" i="2"/>
  <c r="Q3972" i="2"/>
  <c r="Q3973" i="2"/>
  <c r="Q3974" i="2"/>
  <c r="Q3975" i="2"/>
  <c r="Q3976" i="2"/>
  <c r="Q3977" i="2"/>
  <c r="Q3978" i="2"/>
  <c r="Q3979" i="2"/>
  <c r="Q3980" i="2"/>
  <c r="Q3981" i="2"/>
  <c r="Q3982" i="2"/>
  <c r="Q3983" i="2"/>
  <c r="Q3984" i="2"/>
  <c r="Q3985" i="2"/>
  <c r="Q3986" i="2"/>
  <c r="Q3987" i="2"/>
  <c r="Q3988" i="2"/>
  <c r="Q3989" i="2"/>
  <c r="Q3990" i="2"/>
  <c r="Q3991" i="2"/>
  <c r="Q3992" i="2"/>
  <c r="Q3993" i="2"/>
  <c r="Q3994" i="2"/>
  <c r="Q3995" i="2"/>
  <c r="Q3996" i="2"/>
  <c r="Q3997" i="2"/>
  <c r="Q3998" i="2"/>
  <c r="Q3999" i="2"/>
  <c r="Q4000" i="2"/>
  <c r="Q4001" i="2"/>
  <c r="Q4002" i="2"/>
  <c r="Q4003" i="2"/>
  <c r="Q4004" i="2"/>
  <c r="Q4005" i="2"/>
  <c r="Q4006" i="2"/>
  <c r="Q4007" i="2"/>
  <c r="Q4008" i="2"/>
  <c r="Q4009" i="2"/>
  <c r="Q4010" i="2"/>
  <c r="Q4011" i="2"/>
  <c r="Q4012" i="2"/>
  <c r="Q4013" i="2"/>
  <c r="Q4014" i="2"/>
  <c r="Q4015" i="2"/>
  <c r="Q4016" i="2"/>
  <c r="Q4017" i="2"/>
  <c r="Q4018" i="2"/>
  <c r="Q4019" i="2"/>
  <c r="Q4020" i="2"/>
  <c r="Q4021" i="2"/>
  <c r="Q4022" i="2"/>
  <c r="Q4023" i="2"/>
  <c r="Q4024" i="2"/>
  <c r="Q4025" i="2"/>
  <c r="Q4026" i="2"/>
  <c r="Q4027" i="2"/>
  <c r="Q4028" i="2"/>
  <c r="Q4029" i="2"/>
  <c r="Q4030" i="2"/>
  <c r="Q4031" i="2"/>
  <c r="Q4032" i="2"/>
  <c r="Q4033" i="2"/>
  <c r="Q4034" i="2"/>
  <c r="Q4035" i="2"/>
  <c r="Q4036" i="2"/>
  <c r="Q4037" i="2"/>
  <c r="Q4038" i="2"/>
  <c r="Q4039" i="2"/>
  <c r="Q4040" i="2"/>
  <c r="Q4041" i="2"/>
  <c r="Q4042" i="2"/>
  <c r="Q4043" i="2"/>
  <c r="Q4044" i="2"/>
  <c r="Q4045" i="2"/>
  <c r="Q4046" i="2"/>
  <c r="Q4047" i="2"/>
  <c r="Q4048" i="2"/>
  <c r="Q4049" i="2"/>
  <c r="Q4050" i="2"/>
  <c r="Q4051" i="2"/>
  <c r="Q4052" i="2"/>
  <c r="Q4053" i="2"/>
  <c r="Q4054" i="2"/>
  <c r="Q4055" i="2"/>
  <c r="Q4056" i="2"/>
  <c r="Q4057" i="2"/>
  <c r="Q4058" i="2"/>
  <c r="Q4059" i="2"/>
  <c r="Q4060" i="2"/>
  <c r="Q4061" i="2"/>
  <c r="Q4062" i="2"/>
  <c r="Q4063" i="2"/>
  <c r="Q4064" i="2"/>
  <c r="Q4065" i="2"/>
  <c r="Q4066" i="2"/>
  <c r="Q4067" i="2"/>
  <c r="Q4068" i="2"/>
  <c r="Q4069" i="2"/>
  <c r="M54" i="102"/>
  <c r="K54" i="102"/>
  <c r="T55" i="102"/>
  <c r="I55" i="102"/>
  <c r="P55" i="102" s="1"/>
  <c r="M55" i="102"/>
  <c r="K55" i="102"/>
  <c r="K60" i="102"/>
  <c r="I60" i="102"/>
  <c r="P60" i="102" s="1"/>
  <c r="K59" i="102"/>
  <c r="I59" i="102"/>
  <c r="P59" i="102" s="1"/>
  <c r="K58" i="102"/>
  <c r="I58" i="102"/>
  <c r="P58" i="102" s="1"/>
  <c r="K57" i="102"/>
  <c r="I57" i="102"/>
  <c r="M56" i="102"/>
  <c r="K56" i="102"/>
  <c r="I56" i="102"/>
  <c r="P56" i="102" s="1"/>
  <c r="K53" i="102"/>
  <c r="K5" i="2"/>
  <c r="I53" i="102"/>
  <c r="P53" i="102" s="1"/>
  <c r="K52" i="102"/>
  <c r="I52" i="102"/>
  <c r="P52" i="102" s="1"/>
  <c r="M51" i="102"/>
  <c r="K51" i="102"/>
  <c r="I51" i="102"/>
  <c r="P51" i="102" s="1"/>
  <c r="M50" i="102"/>
  <c r="K50" i="102"/>
  <c r="I50" i="102"/>
  <c r="P50" i="102" s="1"/>
  <c r="M49" i="102"/>
  <c r="K49" i="102"/>
  <c r="I49" i="102"/>
  <c r="P49" i="102" s="1"/>
  <c r="M48" i="102"/>
  <c r="K48" i="102"/>
  <c r="I48" i="102"/>
  <c r="P48" i="102" s="1"/>
  <c r="M47" i="102"/>
  <c r="K47" i="102"/>
  <c r="I47" i="102"/>
  <c r="P47" i="102" s="1"/>
  <c r="T42" i="102"/>
  <c r="K6" i="2"/>
  <c r="I42" i="102"/>
  <c r="P42" i="102" s="1"/>
  <c r="M42" i="102"/>
  <c r="K42" i="102"/>
  <c r="T41" i="102"/>
  <c r="I41" i="102"/>
  <c r="P41" i="102" s="1"/>
  <c r="M41" i="102"/>
  <c r="K41" i="102"/>
  <c r="M46" i="102"/>
  <c r="K46" i="102"/>
  <c r="I46" i="102"/>
  <c r="P46" i="102" s="1"/>
  <c r="M45" i="102"/>
  <c r="K45" i="102"/>
  <c r="I45" i="102"/>
  <c r="P45" i="102" s="1"/>
  <c r="M44" i="102"/>
  <c r="K44" i="102"/>
  <c r="I44" i="102"/>
  <c r="P44" i="102" s="1"/>
  <c r="T43" i="102"/>
  <c r="I43" i="102"/>
  <c r="P43" i="102" s="1"/>
  <c r="M43" i="102"/>
  <c r="K43" i="102"/>
  <c r="T35" i="102"/>
  <c r="I35" i="102"/>
  <c r="M35" i="102"/>
  <c r="K35" i="102"/>
  <c r="T36" i="102"/>
  <c r="I36" i="102"/>
  <c r="M36" i="102"/>
  <c r="K36" i="102"/>
  <c r="I40" i="102"/>
  <c r="P40" i="102" s="1"/>
  <c r="I39" i="102"/>
  <c r="P39" i="102" s="1"/>
  <c r="I38" i="102"/>
  <c r="P38" i="102" s="1"/>
  <c r="K37" i="102"/>
  <c r="I37" i="102"/>
  <c r="P37" i="102" s="1"/>
  <c r="J1" i="102"/>
  <c r="I4" i="102"/>
  <c r="P4" i="102" s="1"/>
  <c r="K4" i="102"/>
  <c r="I5" i="102"/>
  <c r="P5" i="102" s="1"/>
  <c r="K5" i="102"/>
  <c r="I6" i="102"/>
  <c r="P6" i="102" s="1"/>
  <c r="K6" i="102"/>
  <c r="I8" i="102"/>
  <c r="P8" i="102" s="1"/>
  <c r="K8" i="102"/>
  <c r="I9" i="102"/>
  <c r="P9" i="102" s="1"/>
  <c r="K9" i="102"/>
  <c r="I10" i="102"/>
  <c r="P10" i="102" s="1"/>
  <c r="K10" i="102"/>
  <c r="I11" i="102"/>
  <c r="P11" i="102" s="1"/>
  <c r="K11" i="102"/>
  <c r="I12" i="102"/>
  <c r="P12" i="102" s="1"/>
  <c r="K12" i="102"/>
  <c r="I13" i="102"/>
  <c r="P13" i="102" s="1"/>
  <c r="K13" i="102"/>
  <c r="I14" i="102"/>
  <c r="P14" i="102" s="1"/>
  <c r="K14" i="102"/>
  <c r="I15" i="102"/>
  <c r="P15" i="102" s="1"/>
  <c r="K15" i="102"/>
  <c r="I16" i="102"/>
  <c r="P16" i="102" s="1"/>
  <c r="K16" i="102"/>
  <c r="I17" i="102"/>
  <c r="P17" i="102" s="1"/>
  <c r="K17" i="102"/>
  <c r="I18" i="102"/>
  <c r="P18" i="102" s="1"/>
  <c r="K18" i="102"/>
  <c r="I19" i="102"/>
  <c r="P19" i="102" s="1"/>
  <c r="K19" i="102"/>
  <c r="I20" i="102"/>
  <c r="P20" i="102" s="1"/>
  <c r="K20" i="102"/>
  <c r="I21" i="102"/>
  <c r="P21" i="102" s="1"/>
  <c r="K21" i="102"/>
  <c r="I22" i="102"/>
  <c r="P22" i="102" s="1"/>
  <c r="K22" i="102"/>
  <c r="I23" i="102"/>
  <c r="P23" i="102" s="1"/>
  <c r="K23" i="102"/>
  <c r="I24" i="102"/>
  <c r="P24" i="102" s="1"/>
  <c r="K24" i="102"/>
  <c r="I25" i="102"/>
  <c r="P25" i="102" s="1"/>
  <c r="K25" i="102"/>
  <c r="I26" i="102"/>
  <c r="P26" i="102" s="1"/>
  <c r="K26" i="102"/>
  <c r="I27" i="102"/>
  <c r="P27" i="102" s="1"/>
  <c r="K27" i="102"/>
  <c r="I28" i="102"/>
  <c r="P28" i="102" s="1"/>
  <c r="K28" i="102"/>
  <c r="I29" i="102"/>
  <c r="K29" i="102"/>
  <c r="I30" i="102"/>
  <c r="P30" i="102" s="1"/>
  <c r="K30" i="102"/>
  <c r="I31" i="102"/>
  <c r="P31" i="102" s="1"/>
  <c r="K31" i="102"/>
  <c r="I32" i="102"/>
  <c r="P32" i="102" s="1"/>
  <c r="K32" i="102"/>
  <c r="I33" i="102"/>
  <c r="P33" i="102" s="1"/>
  <c r="K33" i="102"/>
  <c r="I34" i="102"/>
  <c r="P34" i="102" s="1"/>
  <c r="K34" i="102"/>
  <c r="K38" i="102"/>
  <c r="K39" i="102"/>
  <c r="K40" i="102"/>
  <c r="I84" i="102"/>
  <c r="M84" i="102" s="1"/>
  <c r="I91" i="102"/>
  <c r="J91" i="102" s="1"/>
  <c r="I92" i="102"/>
  <c r="J92" i="102"/>
  <c r="I93" i="102"/>
  <c r="J93" i="102"/>
  <c r="I94" i="102"/>
  <c r="J94" i="102"/>
  <c r="I95" i="102"/>
  <c r="J95" i="102"/>
  <c r="I96" i="102"/>
  <c r="J96" i="102"/>
  <c r="I97" i="102"/>
  <c r="J97" i="102"/>
  <c r="I98" i="102"/>
  <c r="J98" i="102"/>
  <c r="I99" i="102"/>
  <c r="J99" i="102"/>
  <c r="I100" i="102"/>
  <c r="J100" i="102"/>
  <c r="I101" i="102"/>
  <c r="J101" i="102"/>
  <c r="I102" i="102"/>
  <c r="J102" i="102"/>
  <c r="I103" i="102"/>
  <c r="J103" i="102"/>
  <c r="I104" i="102"/>
  <c r="J104" i="102"/>
  <c r="I105" i="102"/>
  <c r="J105" i="102"/>
  <c r="I106" i="102"/>
  <c r="J106" i="102"/>
  <c r="I107" i="102"/>
  <c r="J107" i="102"/>
  <c r="I108" i="102"/>
  <c r="J108" i="102"/>
  <c r="I109" i="102"/>
  <c r="J109" i="102"/>
  <c r="I110" i="102"/>
  <c r="J110" i="102"/>
  <c r="I111" i="102"/>
  <c r="J111" i="102"/>
  <c r="I112" i="102"/>
  <c r="J112" i="102"/>
  <c r="I113" i="102"/>
  <c r="J113" i="102"/>
  <c r="I114" i="102"/>
  <c r="J114" i="102"/>
  <c r="I115" i="102"/>
  <c r="J115" i="102"/>
  <c r="I116" i="102"/>
  <c r="J116" i="102"/>
  <c r="I117" i="102"/>
  <c r="J117" i="102"/>
  <c r="I118" i="102"/>
  <c r="J118" i="102"/>
  <c r="I119" i="102"/>
  <c r="J119" i="102"/>
  <c r="I120" i="102"/>
  <c r="J120" i="102"/>
  <c r="I121" i="102"/>
  <c r="J121" i="102"/>
  <c r="I122" i="102"/>
  <c r="J122" i="102"/>
  <c r="I123" i="102"/>
  <c r="J123" i="102"/>
  <c r="I124" i="102"/>
  <c r="J124" i="102"/>
  <c r="I125" i="102"/>
  <c r="J125" i="102"/>
  <c r="I126" i="102"/>
  <c r="J126" i="102"/>
  <c r="I127" i="102"/>
  <c r="J127" i="102"/>
  <c r="I128" i="102"/>
  <c r="J128" i="102"/>
  <c r="I129" i="102"/>
  <c r="J129" i="102"/>
  <c r="I130" i="102"/>
  <c r="J130" i="102"/>
  <c r="I131" i="102"/>
  <c r="J131" i="102"/>
  <c r="I132" i="102"/>
  <c r="J132" i="102"/>
  <c r="I133" i="102"/>
  <c r="J133" i="102"/>
  <c r="I134" i="102"/>
  <c r="J134" i="102"/>
  <c r="I135" i="102"/>
  <c r="J135" i="102"/>
  <c r="I136" i="102"/>
  <c r="J136" i="102"/>
  <c r="I137" i="102"/>
  <c r="J137" i="102"/>
  <c r="I138" i="102"/>
  <c r="J138" i="102"/>
  <c r="I139" i="102"/>
  <c r="J139" i="102"/>
  <c r="I140" i="102"/>
  <c r="J140" i="102"/>
  <c r="I141" i="102"/>
  <c r="J141" i="102"/>
  <c r="I142" i="102"/>
  <c r="J142" i="102"/>
  <c r="I143" i="102"/>
  <c r="J143" i="102"/>
  <c r="I144" i="102"/>
  <c r="J144" i="102"/>
  <c r="I145" i="102"/>
  <c r="J145" i="102"/>
  <c r="I146" i="102"/>
  <c r="J146" i="102"/>
  <c r="I147" i="102"/>
  <c r="J147" i="102"/>
  <c r="I148" i="102"/>
  <c r="J148" i="102"/>
  <c r="I149" i="102"/>
  <c r="J149" i="102"/>
  <c r="I150" i="102"/>
  <c r="J150" i="102"/>
  <c r="I151" i="102"/>
  <c r="J151" i="102"/>
  <c r="I152" i="102"/>
  <c r="J152" i="102"/>
  <c r="I153" i="102"/>
  <c r="J153" i="102"/>
  <c r="I154" i="102"/>
  <c r="J154" i="102"/>
  <c r="I155" i="102"/>
  <c r="J155" i="102"/>
  <c r="I156" i="102"/>
  <c r="J156" i="102"/>
  <c r="I157" i="102"/>
  <c r="J157" i="102"/>
  <c r="I158" i="102"/>
  <c r="J158" i="102"/>
  <c r="I159" i="102"/>
  <c r="J159" i="102"/>
  <c r="I160" i="102"/>
  <c r="J160" i="102"/>
  <c r="I161" i="102"/>
  <c r="J161" i="102"/>
  <c r="I162" i="102"/>
  <c r="J162" i="102"/>
  <c r="I163" i="102"/>
  <c r="J163" i="102"/>
  <c r="I164" i="102"/>
  <c r="J164" i="102"/>
  <c r="I165" i="102"/>
  <c r="J165" i="102"/>
  <c r="I166" i="102"/>
  <c r="J166" i="102"/>
  <c r="I167" i="102"/>
  <c r="J167" i="102"/>
  <c r="I168" i="102"/>
  <c r="J168" i="102"/>
  <c r="I169" i="102"/>
  <c r="J169" i="102"/>
  <c r="I170" i="102"/>
  <c r="J170" i="102"/>
  <c r="I171" i="102"/>
  <c r="J171" i="102"/>
  <c r="I172" i="102"/>
  <c r="J172" i="102"/>
  <c r="I173" i="102"/>
  <c r="J173" i="102"/>
  <c r="I174" i="102"/>
  <c r="J174" i="102"/>
  <c r="I175" i="102"/>
  <c r="J175" i="102"/>
  <c r="I176" i="102"/>
  <c r="J176" i="102"/>
  <c r="I177" i="102"/>
  <c r="J177" i="102"/>
  <c r="I178" i="102"/>
  <c r="J178" i="102"/>
  <c r="I179" i="102"/>
  <c r="J179" i="102"/>
  <c r="I180" i="102"/>
  <c r="J180" i="102"/>
  <c r="I181" i="102"/>
  <c r="J181" i="102"/>
  <c r="I182" i="102"/>
  <c r="J182" i="102"/>
  <c r="I183" i="102"/>
  <c r="J183" i="102"/>
  <c r="I184" i="102"/>
  <c r="J184" i="102"/>
  <c r="I185" i="102"/>
  <c r="J185" i="102"/>
  <c r="I186" i="102"/>
  <c r="J186" i="102"/>
  <c r="I187" i="102"/>
  <c r="J187" i="102"/>
  <c r="I188" i="102"/>
  <c r="J188" i="102"/>
  <c r="I189" i="102"/>
  <c r="J189" i="102"/>
  <c r="I190" i="102"/>
  <c r="J190" i="102"/>
  <c r="I191" i="102"/>
  <c r="J191" i="102"/>
  <c r="I192" i="102"/>
  <c r="J192" i="102"/>
  <c r="I193" i="102"/>
  <c r="J193" i="102"/>
  <c r="I194" i="102"/>
  <c r="J194" i="102"/>
  <c r="I195" i="102"/>
  <c r="J195" i="102"/>
  <c r="I196" i="102"/>
  <c r="J196" i="102"/>
  <c r="I197" i="102"/>
  <c r="J197" i="102"/>
  <c r="I198" i="102"/>
  <c r="J198" i="102"/>
  <c r="I199" i="102"/>
  <c r="J199" i="102"/>
  <c r="I200" i="102"/>
  <c r="J200" i="102"/>
  <c r="I201" i="102"/>
  <c r="J201" i="102"/>
  <c r="I202" i="102"/>
  <c r="J202" i="102"/>
  <c r="I203" i="102"/>
  <c r="J203" i="102"/>
  <c r="I204" i="102"/>
  <c r="J204" i="102"/>
  <c r="I205" i="102"/>
  <c r="J205" i="102"/>
  <c r="I206" i="102"/>
  <c r="J206" i="102"/>
  <c r="I207" i="102"/>
  <c r="J207" i="102"/>
  <c r="I208" i="102"/>
  <c r="J208" i="102"/>
  <c r="I209" i="102"/>
  <c r="J209" i="102"/>
  <c r="I210" i="102"/>
  <c r="J210" i="102"/>
  <c r="I211" i="102"/>
  <c r="J211" i="102"/>
  <c r="I212" i="102"/>
  <c r="J212" i="102"/>
  <c r="I213" i="102"/>
  <c r="J213" i="102"/>
  <c r="I214" i="102"/>
  <c r="J214" i="102"/>
  <c r="I215" i="102"/>
  <c r="J215" i="102"/>
  <c r="I216" i="102"/>
  <c r="J216" i="102"/>
  <c r="I217" i="102"/>
  <c r="J217" i="102"/>
  <c r="I218" i="102"/>
  <c r="J218" i="102"/>
  <c r="I219" i="102"/>
  <c r="J219" i="102"/>
  <c r="I220" i="102"/>
  <c r="J220" i="102"/>
  <c r="I221" i="102"/>
  <c r="J221" i="102"/>
  <c r="I222" i="102"/>
  <c r="J222" i="102"/>
  <c r="I223" i="102"/>
  <c r="J223" i="102"/>
  <c r="I224" i="102"/>
  <c r="J224" i="102"/>
  <c r="I225" i="102"/>
  <c r="J225" i="102"/>
  <c r="I226" i="102"/>
  <c r="J226" i="102"/>
  <c r="I227" i="102"/>
  <c r="J227" i="102"/>
  <c r="I228" i="102"/>
  <c r="J228" i="102"/>
  <c r="I229" i="102"/>
  <c r="J229" i="102"/>
  <c r="I230" i="102"/>
  <c r="J230" i="102"/>
  <c r="I231" i="102"/>
  <c r="J231" i="102"/>
  <c r="I232" i="102"/>
  <c r="J232" i="102"/>
  <c r="I233" i="102"/>
  <c r="J233" i="102"/>
  <c r="I234" i="102"/>
  <c r="J234" i="102"/>
  <c r="I235" i="102"/>
  <c r="J235" i="102"/>
  <c r="I236" i="102"/>
  <c r="J236" i="102"/>
  <c r="I237" i="102"/>
  <c r="J237" i="102"/>
  <c r="I238" i="102"/>
  <c r="J238" i="102"/>
  <c r="I239" i="102"/>
  <c r="J239" i="102"/>
  <c r="I240" i="102"/>
  <c r="J240" i="102"/>
  <c r="I241" i="102"/>
  <c r="J241" i="102"/>
  <c r="I242" i="102"/>
  <c r="J242" i="102"/>
  <c r="I243" i="102"/>
  <c r="J243" i="102"/>
  <c r="I244" i="102"/>
  <c r="J244" i="102"/>
  <c r="I245" i="102"/>
  <c r="J245" i="102"/>
  <c r="I246" i="102"/>
  <c r="J246" i="102"/>
  <c r="I247" i="102"/>
  <c r="J247" i="102"/>
  <c r="I248" i="102"/>
  <c r="J248" i="102"/>
  <c r="I249" i="102"/>
  <c r="J249" i="102"/>
  <c r="I250" i="102"/>
  <c r="J250" i="102"/>
  <c r="I251" i="102"/>
  <c r="J251" i="102"/>
  <c r="I252" i="102"/>
  <c r="J252" i="102"/>
  <c r="I253" i="102"/>
  <c r="J253" i="102"/>
  <c r="I254" i="102"/>
  <c r="J254" i="102"/>
  <c r="I255" i="102"/>
  <c r="J255" i="102"/>
  <c r="I256" i="102"/>
  <c r="J256" i="102"/>
  <c r="I257" i="102"/>
  <c r="J257" i="102"/>
  <c r="I258" i="102"/>
  <c r="J258" i="102"/>
  <c r="I259" i="102"/>
  <c r="J259" i="102"/>
  <c r="I260" i="102"/>
  <c r="J260" i="102"/>
  <c r="I261" i="102"/>
  <c r="J261" i="102"/>
  <c r="I262" i="102"/>
  <c r="J262" i="102"/>
  <c r="I263" i="102"/>
  <c r="J263" i="102"/>
  <c r="I264" i="102"/>
  <c r="J264" i="102"/>
  <c r="I265" i="102"/>
  <c r="J265" i="102"/>
  <c r="I266" i="102"/>
  <c r="J266" i="102"/>
  <c r="I267" i="102"/>
  <c r="J267" i="102"/>
  <c r="I268" i="102"/>
  <c r="J268" i="102"/>
  <c r="I269" i="102"/>
  <c r="J269" i="102"/>
  <c r="I270" i="102"/>
  <c r="J270" i="102"/>
  <c r="I271" i="102"/>
  <c r="J271" i="102"/>
  <c r="I272" i="102"/>
  <c r="J272" i="102"/>
  <c r="I273" i="102"/>
  <c r="J273" i="102"/>
  <c r="I274" i="102"/>
  <c r="J274" i="102"/>
  <c r="I275" i="102"/>
  <c r="J275" i="102"/>
  <c r="I276" i="102"/>
  <c r="J276" i="102"/>
  <c r="I277" i="102"/>
  <c r="J277" i="102"/>
  <c r="I278" i="102"/>
  <c r="J278" i="102"/>
  <c r="I279" i="102"/>
  <c r="J279" i="102"/>
  <c r="I280" i="102"/>
  <c r="J280" i="102"/>
  <c r="I281" i="102"/>
  <c r="J281" i="102"/>
  <c r="I282" i="102"/>
  <c r="J282" i="102"/>
  <c r="I283" i="102"/>
  <c r="J283" i="102"/>
  <c r="I284" i="102"/>
  <c r="J284" i="102"/>
  <c r="I285" i="102"/>
  <c r="J285" i="102"/>
  <c r="I286" i="102"/>
  <c r="J286" i="102"/>
  <c r="I287" i="102"/>
  <c r="J287" i="102"/>
  <c r="I288" i="102"/>
  <c r="J288" i="102"/>
  <c r="I289" i="102"/>
  <c r="J289" i="102"/>
  <c r="I290" i="102"/>
  <c r="J290" i="102"/>
  <c r="I291" i="102"/>
  <c r="J291" i="102"/>
  <c r="I292" i="102"/>
  <c r="J292" i="102"/>
  <c r="I293" i="102"/>
  <c r="J293" i="102"/>
  <c r="I294" i="102"/>
  <c r="J294" i="102"/>
  <c r="I295" i="102"/>
  <c r="J295" i="102"/>
  <c r="I296" i="102"/>
  <c r="J296" i="102"/>
  <c r="I297" i="102"/>
  <c r="J297" i="102"/>
  <c r="I298" i="102"/>
  <c r="J298" i="102"/>
  <c r="I299" i="102"/>
  <c r="J299" i="102"/>
  <c r="I300" i="102"/>
  <c r="J300" i="102"/>
  <c r="I301" i="102"/>
  <c r="J301" i="102"/>
  <c r="I302" i="102"/>
  <c r="J302" i="102"/>
  <c r="I303" i="102"/>
  <c r="J303" i="102"/>
  <c r="I304" i="102"/>
  <c r="J304" i="102"/>
  <c r="I305" i="102"/>
  <c r="J305" i="102"/>
  <c r="I306" i="102"/>
  <c r="J306" i="102"/>
  <c r="I307" i="102"/>
  <c r="J307" i="102"/>
  <c r="I308" i="102"/>
  <c r="J308" i="102"/>
  <c r="I309" i="102"/>
  <c r="J309" i="102"/>
  <c r="I310" i="102"/>
  <c r="J310" i="102"/>
  <c r="I311" i="102"/>
  <c r="J311" i="102"/>
  <c r="I312" i="102"/>
  <c r="J312" i="102"/>
  <c r="I313" i="102"/>
  <c r="J313" i="102"/>
  <c r="I314" i="102"/>
  <c r="J314" i="102"/>
  <c r="I315" i="102"/>
  <c r="J315" i="102"/>
  <c r="I316" i="102"/>
  <c r="J316" i="102"/>
  <c r="I317" i="102"/>
  <c r="J317" i="102"/>
  <c r="I318" i="102"/>
  <c r="J318" i="102"/>
  <c r="I319" i="102"/>
  <c r="J319" i="102"/>
  <c r="I320" i="102"/>
  <c r="J320" i="102"/>
  <c r="I321" i="102"/>
  <c r="J321" i="102"/>
  <c r="I322" i="102"/>
  <c r="J322" i="102"/>
  <c r="I323" i="102"/>
  <c r="J323" i="102"/>
  <c r="I324" i="102"/>
  <c r="J324" i="102"/>
  <c r="I325" i="102"/>
  <c r="J325" i="102"/>
  <c r="I326" i="102"/>
  <c r="J326" i="102"/>
  <c r="I327" i="102"/>
  <c r="J327" i="102"/>
  <c r="I328" i="102"/>
  <c r="J328" i="102"/>
  <c r="I329" i="102"/>
  <c r="J329" i="102"/>
  <c r="I330" i="102"/>
  <c r="J330" i="102"/>
  <c r="I331" i="102"/>
  <c r="J331" i="102"/>
  <c r="I332" i="102"/>
  <c r="J332" i="102"/>
  <c r="I333" i="102"/>
  <c r="J333" i="102"/>
  <c r="I334" i="102"/>
  <c r="J334" i="102"/>
  <c r="I335" i="102"/>
  <c r="J335" i="102"/>
  <c r="I336" i="102"/>
  <c r="J336" i="102"/>
  <c r="I337" i="102"/>
  <c r="J337" i="102"/>
  <c r="I338" i="102"/>
  <c r="J338" i="102"/>
  <c r="I339" i="102"/>
  <c r="J339" i="102"/>
  <c r="I340" i="102"/>
  <c r="J340" i="102"/>
  <c r="I341" i="102"/>
  <c r="J341" i="102"/>
  <c r="I342" i="102"/>
  <c r="J342" i="102"/>
  <c r="I343" i="102"/>
  <c r="J343" i="102"/>
  <c r="I344" i="102"/>
  <c r="J344" i="102"/>
  <c r="I345" i="102"/>
  <c r="J345" i="102"/>
  <c r="I346" i="102"/>
  <c r="J346" i="102"/>
  <c r="I347" i="102"/>
  <c r="J347" i="102"/>
  <c r="I348" i="102"/>
  <c r="J348" i="102"/>
  <c r="I349" i="102"/>
  <c r="J349" i="102"/>
  <c r="I350" i="102"/>
  <c r="J350" i="102"/>
  <c r="I351" i="102"/>
  <c r="J351" i="102"/>
  <c r="I352" i="102"/>
  <c r="J352" i="102"/>
  <c r="I353" i="102"/>
  <c r="J353" i="102"/>
  <c r="I354" i="102"/>
  <c r="J354" i="102"/>
  <c r="I355" i="102"/>
  <c r="J355" i="102"/>
  <c r="I356" i="102"/>
  <c r="J356" i="102"/>
  <c r="I357" i="102"/>
  <c r="J357" i="102"/>
  <c r="I358" i="102"/>
  <c r="J358" i="102"/>
  <c r="I359" i="102"/>
  <c r="J359" i="102"/>
  <c r="I360" i="102"/>
  <c r="J360" i="102"/>
  <c r="I361" i="102"/>
  <c r="J361" i="102"/>
  <c r="I362" i="102"/>
  <c r="J362" i="102"/>
  <c r="I363" i="102"/>
  <c r="J363" i="102"/>
  <c r="I364" i="102"/>
  <c r="J364" i="102"/>
  <c r="I365" i="102"/>
  <c r="J365" i="102"/>
  <c r="I366" i="102"/>
  <c r="J366" i="102"/>
  <c r="I367" i="102"/>
  <c r="J367" i="102"/>
  <c r="I368" i="102"/>
  <c r="J368" i="102"/>
  <c r="I369" i="102"/>
  <c r="J369" i="102"/>
  <c r="I370" i="102"/>
  <c r="J370" i="102"/>
  <c r="I371" i="102"/>
  <c r="J371" i="102"/>
  <c r="I372" i="102"/>
  <c r="J372" i="102"/>
  <c r="I373" i="102"/>
  <c r="J373" i="102"/>
  <c r="I374" i="102"/>
  <c r="J374" i="102"/>
  <c r="I375" i="102"/>
  <c r="J375" i="102"/>
  <c r="I376" i="102"/>
  <c r="J376" i="102"/>
  <c r="I377" i="102"/>
  <c r="J377" i="102"/>
  <c r="I378" i="102"/>
  <c r="J378" i="102"/>
  <c r="I379" i="102"/>
  <c r="J379" i="102"/>
  <c r="I380" i="102"/>
  <c r="J380" i="102"/>
  <c r="I381" i="102"/>
  <c r="J381" i="102"/>
  <c r="I382" i="102"/>
  <c r="J382" i="102"/>
  <c r="I383" i="102"/>
  <c r="J383" i="102"/>
  <c r="I384" i="102"/>
  <c r="J384" i="102"/>
  <c r="I385" i="102"/>
  <c r="J385" i="102"/>
  <c r="I386" i="102"/>
  <c r="J386" i="102"/>
  <c r="I387" i="102"/>
  <c r="J387" i="102"/>
  <c r="I388" i="102"/>
  <c r="J388" i="102"/>
  <c r="I389" i="102"/>
  <c r="J389" i="102"/>
  <c r="I390" i="102"/>
  <c r="J390" i="102"/>
  <c r="I391" i="102"/>
  <c r="J391" i="102"/>
  <c r="I392" i="102"/>
  <c r="J392" i="102"/>
  <c r="I393" i="102"/>
  <c r="J393" i="102"/>
  <c r="I394" i="102"/>
  <c r="J394" i="102"/>
  <c r="I395" i="102"/>
  <c r="J395" i="102"/>
  <c r="I396" i="102"/>
  <c r="J396" i="102"/>
  <c r="I397" i="102"/>
  <c r="J397" i="102"/>
  <c r="I398" i="102"/>
  <c r="J398" i="102"/>
  <c r="I399" i="102"/>
  <c r="J399" i="102"/>
  <c r="I400" i="102"/>
  <c r="J400" i="102"/>
  <c r="I401" i="102"/>
  <c r="J401" i="102"/>
  <c r="I402" i="102"/>
  <c r="J402" i="102"/>
  <c r="I403" i="102"/>
  <c r="J403" i="102"/>
  <c r="I404" i="102"/>
  <c r="J404" i="102"/>
  <c r="I405" i="102"/>
  <c r="J405" i="102"/>
  <c r="I406" i="102"/>
  <c r="J406" i="102"/>
  <c r="I407" i="102"/>
  <c r="J407" i="102"/>
  <c r="I408" i="102"/>
  <c r="J408" i="102"/>
  <c r="I409" i="102"/>
  <c r="J409" i="102"/>
  <c r="I410" i="102"/>
  <c r="J410" i="102"/>
  <c r="I411" i="102"/>
  <c r="J411" i="102"/>
  <c r="I412" i="102"/>
  <c r="J412" i="102"/>
  <c r="I413" i="102"/>
  <c r="J413" i="102"/>
  <c r="I414" i="102"/>
  <c r="J414" i="102"/>
  <c r="I415" i="102"/>
  <c r="J415" i="102"/>
  <c r="I416" i="102"/>
  <c r="J416" i="102"/>
  <c r="I417" i="102"/>
  <c r="J417" i="102"/>
  <c r="I418" i="102"/>
  <c r="J418" i="102"/>
  <c r="I419" i="102"/>
  <c r="J419" i="102"/>
  <c r="I420" i="102"/>
  <c r="J420" i="102"/>
  <c r="I421" i="102"/>
  <c r="J421" i="102"/>
  <c r="I422" i="102"/>
  <c r="J422" i="102"/>
  <c r="I423" i="102"/>
  <c r="J423" i="102"/>
  <c r="I424" i="102"/>
  <c r="J424" i="102"/>
  <c r="I425" i="102"/>
  <c r="J425" i="102"/>
  <c r="I426" i="102"/>
  <c r="J426" i="102"/>
  <c r="I427" i="102"/>
  <c r="J427" i="102"/>
  <c r="I428" i="102"/>
  <c r="J428" i="102"/>
  <c r="I429" i="102"/>
  <c r="J429" i="102"/>
  <c r="I430" i="102"/>
  <c r="J430" i="102"/>
  <c r="I431" i="102"/>
  <c r="J431" i="102"/>
  <c r="I432" i="102"/>
  <c r="J432" i="102"/>
  <c r="I433" i="102"/>
  <c r="J433" i="102"/>
  <c r="I434" i="102"/>
  <c r="J434" i="102"/>
  <c r="I435" i="102"/>
  <c r="J435" i="102"/>
  <c r="I436" i="102"/>
  <c r="J436" i="102"/>
  <c r="I437" i="102"/>
  <c r="J437" i="102"/>
  <c r="I438" i="102"/>
  <c r="J438" i="102"/>
  <c r="I439" i="102"/>
  <c r="J439" i="102"/>
  <c r="I440" i="102"/>
  <c r="J440" i="102"/>
  <c r="I441" i="102"/>
  <c r="J441" i="102"/>
  <c r="I442" i="102"/>
  <c r="J442" i="102"/>
  <c r="I443" i="102"/>
  <c r="J443" i="102"/>
  <c r="I444" i="102"/>
  <c r="J444" i="102"/>
  <c r="I445" i="102"/>
  <c r="J445" i="102"/>
  <c r="I446" i="102"/>
  <c r="J446" i="102"/>
  <c r="I447" i="102"/>
  <c r="J447" i="102"/>
  <c r="I448" i="102"/>
  <c r="J448" i="102"/>
  <c r="I449" i="102"/>
  <c r="J449" i="102"/>
  <c r="I450" i="102"/>
  <c r="J450" i="102"/>
  <c r="I451" i="102"/>
  <c r="J451" i="102"/>
  <c r="I452" i="102"/>
  <c r="J452" i="102"/>
  <c r="I453" i="102"/>
  <c r="J453" i="102"/>
  <c r="I454" i="102"/>
  <c r="J454" i="102"/>
  <c r="I455" i="102"/>
  <c r="J455" i="102"/>
  <c r="I456" i="102"/>
  <c r="J456" i="102"/>
  <c r="I457" i="102"/>
  <c r="J457" i="102"/>
  <c r="I458" i="102"/>
  <c r="J458" i="102"/>
  <c r="I459" i="102"/>
  <c r="J459" i="102"/>
  <c r="I460" i="102"/>
  <c r="J460" i="102"/>
  <c r="I461" i="102"/>
  <c r="J461" i="102"/>
  <c r="I462" i="102"/>
  <c r="J462" i="102"/>
  <c r="I463" i="102"/>
  <c r="J463" i="102"/>
  <c r="I464" i="102"/>
  <c r="J464" i="102"/>
  <c r="I465" i="102"/>
  <c r="J465" i="102"/>
  <c r="I466" i="102"/>
  <c r="J466" i="102"/>
  <c r="I467" i="102"/>
  <c r="J467" i="102"/>
  <c r="I468" i="102"/>
  <c r="J468" i="102"/>
  <c r="I469" i="102"/>
  <c r="J469" i="102"/>
  <c r="I470" i="102"/>
  <c r="J470" i="102"/>
  <c r="I471" i="102"/>
  <c r="J471" i="102"/>
  <c r="I472" i="102"/>
  <c r="J472" i="102"/>
  <c r="I473" i="102"/>
  <c r="J473" i="102"/>
  <c r="I474" i="102"/>
  <c r="J474" i="102"/>
  <c r="I475" i="102"/>
  <c r="J475" i="102"/>
  <c r="I476" i="102"/>
  <c r="J476" i="102"/>
  <c r="I477" i="102"/>
  <c r="J477" i="102"/>
  <c r="I478" i="102"/>
  <c r="J478" i="102"/>
  <c r="I479" i="102"/>
  <c r="J479" i="102"/>
  <c r="I480" i="102"/>
  <c r="J480" i="102"/>
  <c r="I481" i="102"/>
  <c r="J481" i="102"/>
  <c r="I482" i="102"/>
  <c r="J482" i="102"/>
  <c r="I483" i="102"/>
  <c r="J483" i="102"/>
  <c r="I484" i="102"/>
  <c r="J484" i="102"/>
  <c r="I485" i="102"/>
  <c r="J485" i="102"/>
  <c r="I486" i="102"/>
  <c r="J486" i="102"/>
  <c r="I487" i="102"/>
  <c r="J487" i="102"/>
  <c r="I488" i="102"/>
  <c r="J488" i="102"/>
  <c r="I489" i="102"/>
  <c r="J489" i="102"/>
  <c r="I490" i="102"/>
  <c r="J490" i="102"/>
  <c r="I491" i="102"/>
  <c r="J491" i="102"/>
  <c r="I492" i="102"/>
  <c r="J492" i="102"/>
  <c r="I493" i="102"/>
  <c r="J493" i="102"/>
  <c r="I494" i="102"/>
  <c r="J494" i="102"/>
  <c r="I495" i="102"/>
  <c r="J495" i="102"/>
  <c r="I496" i="102"/>
  <c r="J496" i="102"/>
  <c r="I497" i="102"/>
  <c r="J497" i="102"/>
  <c r="I498" i="102"/>
  <c r="J498" i="102"/>
  <c r="I499" i="102"/>
  <c r="J499" i="102"/>
  <c r="I500" i="102"/>
  <c r="J500" i="102"/>
  <c r="I501" i="102"/>
  <c r="J501" i="102"/>
  <c r="I502" i="102"/>
  <c r="J502" i="102"/>
  <c r="I503" i="102"/>
  <c r="J503" i="102"/>
  <c r="I504" i="102"/>
  <c r="J504" i="102"/>
  <c r="I505" i="102"/>
  <c r="J505" i="102"/>
  <c r="I506" i="102"/>
  <c r="J506" i="102"/>
  <c r="I507" i="102"/>
  <c r="J507" i="102"/>
  <c r="I508" i="102"/>
  <c r="J508" i="102"/>
  <c r="I509" i="102"/>
  <c r="J509" i="102"/>
  <c r="I510" i="102"/>
  <c r="J510" i="102"/>
  <c r="I511" i="102"/>
  <c r="J511" i="102"/>
  <c r="I512" i="102"/>
  <c r="J512" i="102"/>
  <c r="I513" i="102"/>
  <c r="J513" i="102"/>
  <c r="I514" i="102"/>
  <c r="J514" i="102"/>
  <c r="I515" i="102"/>
  <c r="J515" i="102"/>
  <c r="I516" i="102"/>
  <c r="J516" i="102"/>
  <c r="I517" i="102"/>
  <c r="J517" i="102"/>
  <c r="I518" i="102"/>
  <c r="J518" i="102"/>
  <c r="I519" i="102"/>
  <c r="J519" i="102"/>
  <c r="I520" i="102"/>
  <c r="J520" i="102"/>
  <c r="I521" i="102"/>
  <c r="J521" i="102"/>
  <c r="I522" i="102"/>
  <c r="J522" i="102"/>
  <c r="I523" i="102"/>
  <c r="J523" i="102"/>
  <c r="I524" i="102"/>
  <c r="J524" i="102"/>
  <c r="I525" i="102"/>
  <c r="J525" i="102"/>
  <c r="I526" i="102"/>
  <c r="J526" i="102"/>
  <c r="I527" i="102"/>
  <c r="J527" i="102"/>
  <c r="I528" i="102"/>
  <c r="J528" i="102"/>
  <c r="I529" i="102"/>
  <c r="J529" i="102"/>
  <c r="I530" i="102"/>
  <c r="J530" i="102"/>
  <c r="I531" i="102"/>
  <c r="J531" i="102"/>
  <c r="I532" i="102"/>
  <c r="J532" i="102"/>
  <c r="I533" i="102"/>
  <c r="J533" i="102"/>
  <c r="I534" i="102"/>
  <c r="J534" i="102"/>
  <c r="I535" i="102"/>
  <c r="J535" i="102"/>
  <c r="I536" i="102"/>
  <c r="J536" i="102"/>
  <c r="I537" i="102"/>
  <c r="J537" i="102"/>
  <c r="I538" i="102"/>
  <c r="J538" i="102"/>
  <c r="I539" i="102"/>
  <c r="J539" i="102"/>
  <c r="I540" i="102"/>
  <c r="J540" i="102"/>
  <c r="I541" i="102"/>
  <c r="J541" i="102"/>
  <c r="I542" i="102"/>
  <c r="J542" i="102"/>
  <c r="I543" i="102"/>
  <c r="J543" i="102"/>
  <c r="I544" i="102"/>
  <c r="J544" i="102"/>
  <c r="I545" i="102"/>
  <c r="J545" i="102"/>
  <c r="I546" i="102"/>
  <c r="J546" i="102"/>
  <c r="I547" i="102"/>
  <c r="J547" i="102"/>
  <c r="I548" i="102"/>
  <c r="J548" i="102"/>
  <c r="I549" i="102"/>
  <c r="J549" i="102"/>
  <c r="I550" i="102"/>
  <c r="J550" i="102"/>
  <c r="I551" i="102"/>
  <c r="J551" i="102"/>
  <c r="I552" i="102"/>
  <c r="J552" i="102"/>
  <c r="I553" i="102"/>
  <c r="J553" i="102"/>
  <c r="I554" i="102"/>
  <c r="J554" i="102"/>
  <c r="I555" i="102"/>
  <c r="J555" i="102"/>
  <c r="I556" i="102"/>
  <c r="J556" i="102"/>
  <c r="I557" i="102"/>
  <c r="J557" i="102"/>
  <c r="I558" i="102"/>
  <c r="J558" i="102"/>
  <c r="I559" i="102"/>
  <c r="J559" i="102"/>
  <c r="I560" i="102"/>
  <c r="J560" i="102"/>
  <c r="I561" i="102"/>
  <c r="J561" i="102"/>
  <c r="I562" i="102"/>
  <c r="J562" i="102"/>
  <c r="I563" i="102"/>
  <c r="J563" i="102"/>
  <c r="I564" i="102"/>
  <c r="J564" i="102"/>
  <c r="I565" i="102"/>
  <c r="J565" i="102"/>
  <c r="I566" i="102"/>
  <c r="J566" i="102"/>
  <c r="I567" i="102"/>
  <c r="J567" i="102"/>
  <c r="I568" i="102"/>
  <c r="J568" i="102"/>
  <c r="I569" i="102"/>
  <c r="J569" i="102"/>
  <c r="I570" i="102"/>
  <c r="J570" i="102"/>
  <c r="I571" i="102"/>
  <c r="J571" i="102"/>
  <c r="I572" i="102"/>
  <c r="J572" i="102"/>
  <c r="I573" i="102"/>
  <c r="J573" i="102"/>
  <c r="I574" i="102"/>
  <c r="J574" i="102"/>
  <c r="I575" i="102"/>
  <c r="J575" i="102"/>
  <c r="I576" i="102"/>
  <c r="J576" i="102"/>
  <c r="I577" i="102"/>
  <c r="J577" i="102"/>
  <c r="I578" i="102"/>
  <c r="J578" i="102"/>
  <c r="I579" i="102"/>
  <c r="J579" i="102"/>
  <c r="I580" i="102"/>
  <c r="J580" i="102"/>
  <c r="I581" i="102"/>
  <c r="J581" i="102"/>
  <c r="I582" i="102"/>
  <c r="J582" i="102"/>
  <c r="I583" i="102"/>
  <c r="J583" i="102"/>
  <c r="I584" i="102"/>
  <c r="J584" i="102"/>
  <c r="I585" i="102"/>
  <c r="J585" i="102"/>
  <c r="I586" i="102"/>
  <c r="J586" i="102"/>
  <c r="I587" i="102"/>
  <c r="J587" i="102"/>
  <c r="I588" i="102"/>
  <c r="J588" i="102"/>
  <c r="I589" i="102"/>
  <c r="J589" i="102"/>
  <c r="I590" i="102"/>
  <c r="J590" i="102"/>
  <c r="I591" i="102"/>
  <c r="J591" i="102"/>
  <c r="I592" i="102"/>
  <c r="J592" i="102"/>
  <c r="I593" i="102"/>
  <c r="J593" i="102"/>
  <c r="I594" i="102"/>
  <c r="J594" i="102"/>
  <c r="I595" i="102"/>
  <c r="J595" i="102"/>
  <c r="I596" i="102"/>
  <c r="J596" i="102"/>
  <c r="I597" i="102"/>
  <c r="J597" i="102"/>
  <c r="I598" i="102"/>
  <c r="J598" i="102"/>
  <c r="I599" i="102"/>
  <c r="J599" i="102"/>
  <c r="I600" i="102"/>
  <c r="J600" i="102"/>
  <c r="I601" i="102"/>
  <c r="J601" i="102"/>
  <c r="I602" i="102"/>
  <c r="J602" i="102"/>
  <c r="I603" i="102"/>
  <c r="J603" i="102"/>
  <c r="I604" i="102"/>
  <c r="J604" i="102"/>
  <c r="I605" i="102"/>
  <c r="J605" i="102"/>
  <c r="I606" i="102"/>
  <c r="J606" i="102"/>
  <c r="I607" i="102"/>
  <c r="J607" i="102"/>
  <c r="I608" i="102"/>
  <c r="J608" i="102"/>
  <c r="I609" i="102"/>
  <c r="J609" i="102"/>
  <c r="I610" i="102"/>
  <c r="J610" i="102"/>
  <c r="I611" i="102"/>
  <c r="J611" i="102"/>
  <c r="I612" i="102"/>
  <c r="J612" i="102"/>
  <c r="I613" i="102"/>
  <c r="J613" i="102"/>
  <c r="I614" i="102"/>
  <c r="J614" i="102"/>
  <c r="I615" i="102"/>
  <c r="J615" i="102"/>
  <c r="I616" i="102"/>
  <c r="J616" i="102"/>
  <c r="I617" i="102"/>
  <c r="J617" i="102"/>
  <c r="I618" i="102"/>
  <c r="J618" i="102"/>
  <c r="I619" i="102"/>
  <c r="J619" i="102"/>
  <c r="I620" i="102"/>
  <c r="J620" i="102"/>
  <c r="I621" i="102"/>
  <c r="J621" i="102"/>
  <c r="I622" i="102"/>
  <c r="J622" i="102"/>
  <c r="I623" i="102"/>
  <c r="J623" i="102"/>
  <c r="I624" i="102"/>
  <c r="J624" i="102"/>
  <c r="I625" i="102"/>
  <c r="J625" i="102"/>
  <c r="I626" i="102"/>
  <c r="J626" i="102"/>
  <c r="I627" i="102"/>
  <c r="J627" i="102"/>
  <c r="I628" i="102"/>
  <c r="J628" i="102"/>
  <c r="I629" i="102"/>
  <c r="J629" i="102"/>
  <c r="I630" i="102"/>
  <c r="J630" i="102"/>
  <c r="I631" i="102"/>
  <c r="J631" i="102"/>
  <c r="I632" i="102"/>
  <c r="J632" i="102"/>
  <c r="I633" i="102"/>
  <c r="J633" i="102"/>
  <c r="I634" i="102"/>
  <c r="J634" i="102"/>
  <c r="I635" i="102"/>
  <c r="J635" i="102"/>
  <c r="I636" i="102"/>
  <c r="J636" i="102"/>
  <c r="I637" i="102"/>
  <c r="J637" i="102"/>
  <c r="I638" i="102"/>
  <c r="J638" i="102"/>
  <c r="I639" i="102"/>
  <c r="J639" i="102"/>
  <c r="I640" i="102"/>
  <c r="J640" i="102"/>
  <c r="I641" i="102"/>
  <c r="J641" i="102"/>
  <c r="I642" i="102"/>
  <c r="J642" i="102"/>
  <c r="I643" i="102"/>
  <c r="J643" i="102"/>
  <c r="I644" i="102"/>
  <c r="J644" i="102"/>
  <c r="I645" i="102"/>
  <c r="J645" i="102"/>
  <c r="I646" i="102"/>
  <c r="J646" i="102"/>
  <c r="I647" i="102"/>
  <c r="J647" i="102"/>
  <c r="I648" i="102"/>
  <c r="J648" i="102"/>
  <c r="I649" i="102"/>
  <c r="J649" i="102"/>
  <c r="I650" i="102"/>
  <c r="J650" i="102"/>
  <c r="I651" i="102"/>
  <c r="J651" i="102"/>
  <c r="I652" i="102"/>
  <c r="J652" i="102"/>
  <c r="I653" i="102"/>
  <c r="J653" i="102"/>
  <c r="I654" i="102"/>
  <c r="J654" i="102"/>
  <c r="I655" i="102"/>
  <c r="J655" i="102"/>
  <c r="I656" i="102"/>
  <c r="J656" i="102"/>
  <c r="I657" i="102"/>
  <c r="J657" i="102"/>
  <c r="I658" i="102"/>
  <c r="J658" i="102"/>
  <c r="I659" i="102"/>
  <c r="J659" i="102"/>
  <c r="I660" i="102"/>
  <c r="J660" i="102"/>
  <c r="I661" i="102"/>
  <c r="J661" i="102"/>
  <c r="I662" i="102"/>
  <c r="J662" i="102"/>
  <c r="I663" i="102"/>
  <c r="J663" i="102"/>
  <c r="I664" i="102"/>
  <c r="J664" i="102"/>
  <c r="I665" i="102"/>
  <c r="J665" i="102"/>
  <c r="I666" i="102"/>
  <c r="J666" i="102"/>
  <c r="I667" i="102"/>
  <c r="J667" i="102"/>
  <c r="I668" i="102"/>
  <c r="J668" i="102"/>
  <c r="I669" i="102"/>
  <c r="J669" i="102"/>
  <c r="I670" i="102"/>
  <c r="J670" i="102"/>
  <c r="I671" i="102"/>
  <c r="J671" i="102"/>
  <c r="I672" i="102"/>
  <c r="J672" i="102"/>
  <c r="I673" i="102"/>
  <c r="J673" i="102"/>
  <c r="I674" i="102"/>
  <c r="J674" i="102"/>
  <c r="I675" i="102"/>
  <c r="J675" i="102"/>
  <c r="I676" i="102"/>
  <c r="J676" i="102"/>
  <c r="I677" i="102"/>
  <c r="J677" i="102"/>
  <c r="I678" i="102"/>
  <c r="J678" i="102"/>
  <c r="I679" i="102"/>
  <c r="J679" i="102"/>
  <c r="I680" i="102"/>
  <c r="J680" i="102"/>
  <c r="I681" i="102"/>
  <c r="J681" i="102"/>
  <c r="I682" i="102"/>
  <c r="J682" i="102"/>
  <c r="I683" i="102"/>
  <c r="J683" i="102"/>
  <c r="I684" i="102"/>
  <c r="J684" i="102"/>
  <c r="I685" i="102"/>
  <c r="J685" i="102"/>
  <c r="I686" i="102"/>
  <c r="J686" i="102"/>
  <c r="I687" i="102"/>
  <c r="J687" i="102"/>
  <c r="I688" i="102"/>
  <c r="J688" i="102"/>
  <c r="K688" i="102"/>
  <c r="I689" i="102"/>
  <c r="J689" i="102"/>
  <c r="K689" i="102"/>
  <c r="I690" i="102"/>
  <c r="J690" i="102"/>
  <c r="K690" i="102"/>
  <c r="I691" i="102"/>
  <c r="J691" i="102"/>
  <c r="K691" i="102"/>
  <c r="K65" i="102"/>
  <c r="K66" i="102"/>
  <c r="K67" i="102"/>
  <c r="K68" i="102"/>
  <c r="K69" i="102"/>
  <c r="K70" i="102"/>
  <c r="K71" i="102"/>
  <c r="K72" i="102"/>
  <c r="K73" i="102"/>
  <c r="K74" i="102"/>
  <c r="K75" i="102"/>
  <c r="K76" i="102"/>
  <c r="K77" i="102"/>
  <c r="K78" i="102"/>
  <c r="K79" i="102"/>
  <c r="K80" i="102"/>
  <c r="K81" i="102"/>
  <c r="K82" i="102"/>
  <c r="K83" i="102"/>
  <c r="K84" i="102"/>
  <c r="K91" i="102"/>
  <c r="K92" i="102"/>
  <c r="K93" i="102"/>
  <c r="K94" i="102"/>
  <c r="K95" i="102"/>
  <c r="K96" i="102"/>
  <c r="K97" i="102"/>
  <c r="K98" i="102"/>
  <c r="K99" i="102"/>
  <c r="K100" i="102"/>
  <c r="K101" i="102"/>
  <c r="K102" i="102"/>
  <c r="K103" i="102"/>
  <c r="K104" i="102"/>
  <c r="K105" i="102"/>
  <c r="K106" i="102"/>
  <c r="K107" i="102"/>
  <c r="K108" i="102"/>
  <c r="K109" i="102"/>
  <c r="K110" i="102"/>
  <c r="K111" i="102"/>
  <c r="K112" i="102"/>
  <c r="K113" i="102"/>
  <c r="K114" i="102"/>
  <c r="K115" i="102"/>
  <c r="K116" i="102"/>
  <c r="K117" i="102"/>
  <c r="K118" i="102"/>
  <c r="K119" i="102"/>
  <c r="K120" i="102"/>
  <c r="K121" i="102"/>
  <c r="K122" i="102"/>
  <c r="K123" i="102"/>
  <c r="K124" i="102"/>
  <c r="K125" i="102"/>
  <c r="K126" i="102"/>
  <c r="K127" i="102"/>
  <c r="K128" i="102"/>
  <c r="K129" i="102"/>
  <c r="K130" i="102"/>
  <c r="K131" i="102"/>
  <c r="K132" i="102"/>
  <c r="K133" i="102"/>
  <c r="K134" i="102"/>
  <c r="K135" i="102"/>
  <c r="K136" i="102"/>
  <c r="K137" i="102"/>
  <c r="K138" i="102"/>
  <c r="K139" i="102"/>
  <c r="K140" i="102"/>
  <c r="K141" i="102"/>
  <c r="K142" i="102"/>
  <c r="K143" i="102"/>
  <c r="K144" i="102"/>
  <c r="K145" i="102"/>
  <c r="K146" i="102"/>
  <c r="K147" i="102"/>
  <c r="K148" i="102"/>
  <c r="K149" i="102"/>
  <c r="K150" i="102"/>
  <c r="K151" i="102"/>
  <c r="K152" i="102"/>
  <c r="K153" i="102"/>
  <c r="K154" i="102"/>
  <c r="K155" i="102"/>
  <c r="K156" i="102"/>
  <c r="K157" i="102"/>
  <c r="K158" i="102"/>
  <c r="K159" i="102"/>
  <c r="K160" i="102"/>
  <c r="K161" i="102"/>
  <c r="K162" i="102"/>
  <c r="K163" i="102"/>
  <c r="K164" i="102"/>
  <c r="K165" i="102"/>
  <c r="K166" i="102"/>
  <c r="K167" i="102"/>
  <c r="K168" i="102"/>
  <c r="K169" i="102"/>
  <c r="K170" i="102"/>
  <c r="K171" i="102"/>
  <c r="K172" i="102"/>
  <c r="K173" i="102"/>
  <c r="K174" i="102"/>
  <c r="K175" i="102"/>
  <c r="K176" i="102"/>
  <c r="K177" i="102"/>
  <c r="K178" i="102"/>
  <c r="K179" i="102"/>
  <c r="K180" i="102"/>
  <c r="K181" i="102"/>
  <c r="K182" i="102"/>
  <c r="K183" i="102"/>
  <c r="K184" i="102"/>
  <c r="K185" i="102"/>
  <c r="K186" i="102"/>
  <c r="K187" i="102"/>
  <c r="K188" i="102"/>
  <c r="K189" i="102"/>
  <c r="K190" i="102"/>
  <c r="K191" i="102"/>
  <c r="K192" i="102"/>
  <c r="K193" i="102"/>
  <c r="K194" i="102"/>
  <c r="K195" i="102"/>
  <c r="K196" i="102"/>
  <c r="K197" i="102"/>
  <c r="K198" i="102"/>
  <c r="K199" i="102"/>
  <c r="K200" i="102"/>
  <c r="K201" i="102"/>
  <c r="K202" i="102"/>
  <c r="K203" i="102"/>
  <c r="K204" i="102"/>
  <c r="K205" i="102"/>
  <c r="K206" i="102"/>
  <c r="K207" i="102"/>
  <c r="K208" i="102"/>
  <c r="K209" i="102"/>
  <c r="K210" i="102"/>
  <c r="K211" i="102"/>
  <c r="K212" i="102"/>
  <c r="K213" i="102"/>
  <c r="K214" i="102"/>
  <c r="K215" i="102"/>
  <c r="K216" i="102"/>
  <c r="K217" i="102"/>
  <c r="K218" i="102"/>
  <c r="K219" i="102"/>
  <c r="K220" i="102"/>
  <c r="K221" i="102"/>
  <c r="K222" i="102"/>
  <c r="K223" i="102"/>
  <c r="K224" i="102"/>
  <c r="K225" i="102"/>
  <c r="K226" i="102"/>
  <c r="K227" i="102"/>
  <c r="K228" i="102"/>
  <c r="K229" i="102"/>
  <c r="K230" i="102"/>
  <c r="K231" i="102"/>
  <c r="K232" i="102"/>
  <c r="K233" i="102"/>
  <c r="K234" i="102"/>
  <c r="K235" i="102"/>
  <c r="K236" i="102"/>
  <c r="K237" i="102"/>
  <c r="K238" i="102"/>
  <c r="K239" i="102"/>
  <c r="K240" i="102"/>
  <c r="K241" i="102"/>
  <c r="K242" i="102"/>
  <c r="K243" i="102"/>
  <c r="K244" i="102"/>
  <c r="K245" i="102"/>
  <c r="K246" i="102"/>
  <c r="K247" i="102"/>
  <c r="K248" i="102"/>
  <c r="K249" i="102"/>
  <c r="K250" i="102"/>
  <c r="K251" i="102"/>
  <c r="K252" i="102"/>
  <c r="K253" i="102"/>
  <c r="K254" i="102"/>
  <c r="K255" i="102"/>
  <c r="K256" i="102"/>
  <c r="K257" i="102"/>
  <c r="K258" i="102"/>
  <c r="K259" i="102"/>
  <c r="K260" i="102"/>
  <c r="K261" i="102"/>
  <c r="K262" i="102"/>
  <c r="K263" i="102"/>
  <c r="K264" i="102"/>
  <c r="K265" i="102"/>
  <c r="K266" i="102"/>
  <c r="K267" i="102"/>
  <c r="K268" i="102"/>
  <c r="K269" i="102"/>
  <c r="K270" i="102"/>
  <c r="K271" i="102"/>
  <c r="K272" i="102"/>
  <c r="K273" i="102"/>
  <c r="K274" i="102"/>
  <c r="K275" i="102"/>
  <c r="K276" i="102"/>
  <c r="K277" i="102"/>
  <c r="K278" i="102"/>
  <c r="K279" i="102"/>
  <c r="K280" i="102"/>
  <c r="K281" i="102"/>
  <c r="K282" i="102"/>
  <c r="K283" i="102"/>
  <c r="K284" i="102"/>
  <c r="K285" i="102"/>
  <c r="K286" i="102"/>
  <c r="K287" i="102"/>
  <c r="K288" i="102"/>
  <c r="K289" i="102"/>
  <c r="K290" i="102"/>
  <c r="K291" i="102"/>
  <c r="K292" i="102"/>
  <c r="K293" i="102"/>
  <c r="K294" i="102"/>
  <c r="K295" i="102"/>
  <c r="K296" i="102"/>
  <c r="K297" i="102"/>
  <c r="K298" i="102"/>
  <c r="K299" i="102"/>
  <c r="K300" i="102"/>
  <c r="K301" i="102"/>
  <c r="K302" i="102"/>
  <c r="K303" i="102"/>
  <c r="K304" i="102"/>
  <c r="K305" i="102"/>
  <c r="K306" i="102"/>
  <c r="K307" i="102"/>
  <c r="K308" i="102"/>
  <c r="K309" i="102"/>
  <c r="K310" i="102"/>
  <c r="K311" i="102"/>
  <c r="K312" i="102"/>
  <c r="K313" i="102"/>
  <c r="K314" i="102"/>
  <c r="K315" i="102"/>
  <c r="K316" i="102"/>
  <c r="K317" i="102"/>
  <c r="K318" i="102"/>
  <c r="K319" i="102"/>
  <c r="K320" i="102"/>
  <c r="K321" i="102"/>
  <c r="K322" i="102"/>
  <c r="K323" i="102"/>
  <c r="K324" i="102"/>
  <c r="K325" i="102"/>
  <c r="K326" i="102"/>
  <c r="K327" i="102"/>
  <c r="K328" i="102"/>
  <c r="K329" i="102"/>
  <c r="K330" i="102"/>
  <c r="K331" i="102"/>
  <c r="K332" i="102"/>
  <c r="K333" i="102"/>
  <c r="K334" i="102"/>
  <c r="K335" i="102"/>
  <c r="K336" i="102"/>
  <c r="K337" i="102"/>
  <c r="K338" i="102"/>
  <c r="K339" i="102"/>
  <c r="K340" i="102"/>
  <c r="K341" i="102"/>
  <c r="K342" i="102"/>
  <c r="K343" i="102"/>
  <c r="K344" i="102"/>
  <c r="K345" i="102"/>
  <c r="K346" i="102"/>
  <c r="K347" i="102"/>
  <c r="K348" i="102"/>
  <c r="K349" i="102"/>
  <c r="K350" i="102"/>
  <c r="K351" i="102"/>
  <c r="K352" i="102"/>
  <c r="K353" i="102"/>
  <c r="K354" i="102"/>
  <c r="K355" i="102"/>
  <c r="K356" i="102"/>
  <c r="K357" i="102"/>
  <c r="K358" i="102"/>
  <c r="K359" i="102"/>
  <c r="K360" i="102"/>
  <c r="K361" i="102"/>
  <c r="K362" i="102"/>
  <c r="K363" i="102"/>
  <c r="K364" i="102"/>
  <c r="K365" i="102"/>
  <c r="K366" i="102"/>
  <c r="K367" i="102"/>
  <c r="K368" i="102"/>
  <c r="K369" i="102"/>
  <c r="K370" i="102"/>
  <c r="K371" i="102"/>
  <c r="K372" i="102"/>
  <c r="K373" i="102"/>
  <c r="K374" i="102"/>
  <c r="K375" i="102"/>
  <c r="K376" i="102"/>
  <c r="K377" i="102"/>
  <c r="K378" i="102"/>
  <c r="K379" i="102"/>
  <c r="K380" i="102"/>
  <c r="K381" i="102"/>
  <c r="K382" i="102"/>
  <c r="K383" i="102"/>
  <c r="K384" i="102"/>
  <c r="K385" i="102"/>
  <c r="K386" i="102"/>
  <c r="K387" i="102"/>
  <c r="K388" i="102"/>
  <c r="K389" i="102"/>
  <c r="K390" i="102"/>
  <c r="K391" i="102"/>
  <c r="K392" i="102"/>
  <c r="K393" i="102"/>
  <c r="K394" i="102"/>
  <c r="K395" i="102"/>
  <c r="K396" i="102"/>
  <c r="K397" i="102"/>
  <c r="K398" i="102"/>
  <c r="K399" i="102"/>
  <c r="K400" i="102"/>
  <c r="K401" i="102"/>
  <c r="K402" i="102"/>
  <c r="K403" i="102"/>
  <c r="K404" i="102"/>
  <c r="K405" i="102"/>
  <c r="K406" i="102"/>
  <c r="K407" i="102"/>
  <c r="K408" i="102"/>
  <c r="K409" i="102"/>
  <c r="K410" i="102"/>
  <c r="K411" i="102"/>
  <c r="K412" i="102"/>
  <c r="K413" i="102"/>
  <c r="K414" i="102"/>
  <c r="K415" i="102"/>
  <c r="K416" i="102"/>
  <c r="K417" i="102"/>
  <c r="K418" i="102"/>
  <c r="K419" i="102"/>
  <c r="K420" i="102"/>
  <c r="K421" i="102"/>
  <c r="K422" i="102"/>
  <c r="K423" i="102"/>
  <c r="K424" i="102"/>
  <c r="K425" i="102"/>
  <c r="K426" i="102"/>
  <c r="K427" i="102"/>
  <c r="K428" i="102"/>
  <c r="K429" i="102"/>
  <c r="K430" i="102"/>
  <c r="K431" i="102"/>
  <c r="K432" i="102"/>
  <c r="K433" i="102"/>
  <c r="K434" i="102"/>
  <c r="K435" i="102"/>
  <c r="K436" i="102"/>
  <c r="K437" i="102"/>
  <c r="K438" i="102"/>
  <c r="K439" i="102"/>
  <c r="K440" i="102"/>
  <c r="K441" i="102"/>
  <c r="K442" i="102"/>
  <c r="K443" i="102"/>
  <c r="K444" i="102"/>
  <c r="K445" i="102"/>
  <c r="K446" i="102"/>
  <c r="K447" i="102"/>
  <c r="K448" i="102"/>
  <c r="K449" i="102"/>
  <c r="K450" i="102"/>
  <c r="K451" i="102"/>
  <c r="K452" i="102"/>
  <c r="K453" i="102"/>
  <c r="K454" i="102"/>
  <c r="K455" i="102"/>
  <c r="K456" i="102"/>
  <c r="K457" i="102"/>
  <c r="K458" i="102"/>
  <c r="K459" i="102"/>
  <c r="K460" i="102"/>
  <c r="K461" i="102"/>
  <c r="K462" i="102"/>
  <c r="K463" i="102"/>
  <c r="K464" i="102"/>
  <c r="K465" i="102"/>
  <c r="K466" i="102"/>
  <c r="K467" i="102"/>
  <c r="K468" i="102"/>
  <c r="K469" i="102"/>
  <c r="K470" i="102"/>
  <c r="K471" i="102"/>
  <c r="K472" i="102"/>
  <c r="K473" i="102"/>
  <c r="K474" i="102"/>
  <c r="K475" i="102"/>
  <c r="K476" i="102"/>
  <c r="K477" i="102"/>
  <c r="K478" i="102"/>
  <c r="K479" i="102"/>
  <c r="K480" i="102"/>
  <c r="K481" i="102"/>
  <c r="K482" i="102"/>
  <c r="K483" i="102"/>
  <c r="K484" i="102"/>
  <c r="K485" i="102"/>
  <c r="K486" i="102"/>
  <c r="K487" i="102"/>
  <c r="K488" i="102"/>
  <c r="K489" i="102"/>
  <c r="K490" i="102"/>
  <c r="K491" i="102"/>
  <c r="K492" i="102"/>
  <c r="K493" i="102"/>
  <c r="K494" i="102"/>
  <c r="K495" i="102"/>
  <c r="K496" i="102"/>
  <c r="K497" i="102"/>
  <c r="K498" i="102"/>
  <c r="K499" i="102"/>
  <c r="K500" i="102"/>
  <c r="K501" i="102"/>
  <c r="K502" i="102"/>
  <c r="K503" i="102"/>
  <c r="K504" i="102"/>
  <c r="K505" i="102"/>
  <c r="K506" i="102"/>
  <c r="K507" i="102"/>
  <c r="K508" i="102"/>
  <c r="K509" i="102"/>
  <c r="K510" i="102"/>
  <c r="K511" i="102"/>
  <c r="K512" i="102"/>
  <c r="K513" i="102"/>
  <c r="K514" i="102"/>
  <c r="K515" i="102"/>
  <c r="K516" i="102"/>
  <c r="K517" i="102"/>
  <c r="K518" i="102"/>
  <c r="K519" i="102"/>
  <c r="K520" i="102"/>
  <c r="K521" i="102"/>
  <c r="K522" i="102"/>
  <c r="K523" i="102"/>
  <c r="K524" i="102"/>
  <c r="K525" i="102"/>
  <c r="K526" i="102"/>
  <c r="K527" i="102"/>
  <c r="K528" i="102"/>
  <c r="K529" i="102"/>
  <c r="K530" i="102"/>
  <c r="K531" i="102"/>
  <c r="K532" i="102"/>
  <c r="K533" i="102"/>
  <c r="K534" i="102"/>
  <c r="K535" i="102"/>
  <c r="K536" i="102"/>
  <c r="K537" i="102"/>
  <c r="K538" i="102"/>
  <c r="K539" i="102"/>
  <c r="K540" i="102"/>
  <c r="K541" i="102"/>
  <c r="K542" i="102"/>
  <c r="K543" i="102"/>
  <c r="K544" i="102"/>
  <c r="K545" i="102"/>
  <c r="K546" i="102"/>
  <c r="K547" i="102"/>
  <c r="K548" i="102"/>
  <c r="K549" i="102"/>
  <c r="K550" i="102"/>
  <c r="K551" i="102"/>
  <c r="K552" i="102"/>
  <c r="K553" i="102"/>
  <c r="K554" i="102"/>
  <c r="K555" i="102"/>
  <c r="K556" i="102"/>
  <c r="K557" i="102"/>
  <c r="K558" i="102"/>
  <c r="K559" i="102"/>
  <c r="K560" i="102"/>
  <c r="K561" i="102"/>
  <c r="K562" i="102"/>
  <c r="K563" i="102"/>
  <c r="K564" i="102"/>
  <c r="K565" i="102"/>
  <c r="K566" i="102"/>
  <c r="K567" i="102"/>
  <c r="K568" i="102"/>
  <c r="K569" i="102"/>
  <c r="K570" i="102"/>
  <c r="K571" i="102"/>
  <c r="K572" i="102"/>
  <c r="K573" i="102"/>
  <c r="K574" i="102"/>
  <c r="K575" i="102"/>
  <c r="K576" i="102"/>
  <c r="K577" i="102"/>
  <c r="K578" i="102"/>
  <c r="K579" i="102"/>
  <c r="K580" i="102"/>
  <c r="K581" i="102"/>
  <c r="K582" i="102"/>
  <c r="K583" i="102"/>
  <c r="K584" i="102"/>
  <c r="K585" i="102"/>
  <c r="K586" i="102"/>
  <c r="K587" i="102"/>
  <c r="K588" i="102"/>
  <c r="K589" i="102"/>
  <c r="K590" i="102"/>
  <c r="K591" i="102"/>
  <c r="K592" i="102"/>
  <c r="K593" i="102"/>
  <c r="K594" i="102"/>
  <c r="K595" i="102"/>
  <c r="K596" i="102"/>
  <c r="K597" i="102"/>
  <c r="K598" i="102"/>
  <c r="K599" i="102"/>
  <c r="K600" i="102"/>
  <c r="K601" i="102"/>
  <c r="K602" i="102"/>
  <c r="K603" i="102"/>
  <c r="K604" i="102"/>
  <c r="K605" i="102"/>
  <c r="K606" i="102"/>
  <c r="K607" i="102"/>
  <c r="K608" i="102"/>
  <c r="K609" i="102"/>
  <c r="K610" i="102"/>
  <c r="K611" i="102"/>
  <c r="K612" i="102"/>
  <c r="K613" i="102"/>
  <c r="K614" i="102"/>
  <c r="K615" i="102"/>
  <c r="K616" i="102"/>
  <c r="K617" i="102"/>
  <c r="K618" i="102"/>
  <c r="K619" i="102"/>
  <c r="K620" i="102"/>
  <c r="K621" i="102"/>
  <c r="K622" i="102"/>
  <c r="K623" i="102"/>
  <c r="K624" i="102"/>
  <c r="K625" i="102"/>
  <c r="K626" i="102"/>
  <c r="K627" i="102"/>
  <c r="K628" i="102"/>
  <c r="K629" i="102"/>
  <c r="K630" i="102"/>
  <c r="K631" i="102"/>
  <c r="K632" i="102"/>
  <c r="K633" i="102"/>
  <c r="K634" i="102"/>
  <c r="K635" i="102"/>
  <c r="K636" i="102"/>
  <c r="K637" i="102"/>
  <c r="K638" i="102"/>
  <c r="K639" i="102"/>
  <c r="K640" i="102"/>
  <c r="K641" i="102"/>
  <c r="K642" i="102"/>
  <c r="K643" i="102"/>
  <c r="K644" i="102"/>
  <c r="K645" i="102"/>
  <c r="K646" i="102"/>
  <c r="K647" i="102"/>
  <c r="K648" i="102"/>
  <c r="K649" i="102"/>
  <c r="K650" i="102"/>
  <c r="K651" i="102"/>
  <c r="K652" i="102"/>
  <c r="K653" i="102"/>
  <c r="K654" i="102"/>
  <c r="K655" i="102"/>
  <c r="K656" i="102"/>
  <c r="K657" i="102"/>
  <c r="K658" i="102"/>
  <c r="K659" i="102"/>
  <c r="K660" i="102"/>
  <c r="K661" i="102"/>
  <c r="K662" i="102"/>
  <c r="K663" i="102"/>
  <c r="K664" i="102"/>
  <c r="K665" i="102"/>
  <c r="K666" i="102"/>
  <c r="K667" i="102"/>
  <c r="K668" i="102"/>
  <c r="K669" i="102"/>
  <c r="K670" i="102"/>
  <c r="K671" i="102"/>
  <c r="K672" i="102"/>
  <c r="K673" i="102"/>
  <c r="K674" i="102"/>
  <c r="K675" i="102"/>
  <c r="K676" i="102"/>
  <c r="K677" i="102"/>
  <c r="K678" i="102"/>
  <c r="K679" i="102"/>
  <c r="K680" i="102"/>
  <c r="K681" i="102"/>
  <c r="K682" i="102"/>
  <c r="K683" i="102"/>
  <c r="K684" i="102"/>
  <c r="K685" i="102"/>
  <c r="K686" i="102"/>
  <c r="K687" i="102"/>
  <c r="K4" i="2"/>
  <c r="K7" i="2"/>
  <c r="K8" i="2"/>
  <c r="K9"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T26" i="102"/>
  <c r="M26" i="102"/>
  <c r="T25" i="102"/>
  <c r="M25" i="102"/>
  <c r="T24" i="102"/>
  <c r="M24" i="102"/>
  <c r="T16" i="102"/>
  <c r="M16" i="102"/>
  <c r="T15" i="102"/>
  <c r="M15" i="102"/>
  <c r="T20" i="102"/>
  <c r="M20" i="102"/>
  <c r="T19" i="102"/>
  <c r="M19" i="102"/>
  <c r="T18" i="102"/>
  <c r="M18" i="102"/>
  <c r="M23" i="102"/>
  <c r="M22" i="102"/>
  <c r="T17" i="102"/>
  <c r="M17" i="102"/>
  <c r="T14" i="102"/>
  <c r="M14" i="102"/>
  <c r="T13" i="102"/>
  <c r="M13" i="102"/>
  <c r="T12" i="102"/>
  <c r="M12" i="102"/>
  <c r="T11" i="102"/>
  <c r="M11" i="102"/>
  <c r="M10" i="102"/>
  <c r="M9" i="102"/>
  <c r="T6" i="102"/>
  <c r="T5" i="102"/>
  <c r="M5" i="102"/>
  <c r="M6" i="10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4" i="2"/>
  <c r="N5" i="2"/>
  <c r="AF60" i="122"/>
  <c r="AE60" i="122"/>
  <c r="AD60" i="122"/>
  <c r="S60" i="122"/>
  <c r="Q60" i="122"/>
  <c r="M60" i="122"/>
  <c r="L60" i="122"/>
  <c r="A5" i="122"/>
  <c r="A6" i="122"/>
  <c r="A7" i="122"/>
  <c r="A8" i="122"/>
  <c r="A9" i="122"/>
  <c r="A10" i="122"/>
  <c r="A11" i="122"/>
  <c r="A12" i="122"/>
  <c r="A13" i="122"/>
  <c r="A14" i="122"/>
  <c r="A15" i="122"/>
  <c r="A16" i="122"/>
  <c r="A17" i="122"/>
  <c r="A18" i="122"/>
  <c r="A19" i="122"/>
  <c r="A20" i="122"/>
  <c r="A21" i="122"/>
  <c r="A22" i="122"/>
  <c r="A23" i="122"/>
  <c r="A24" i="122"/>
  <c r="A25" i="122"/>
  <c r="A26" i="122"/>
  <c r="A27" i="122"/>
  <c r="A28" i="122"/>
  <c r="A29" i="122"/>
  <c r="A30" i="122"/>
  <c r="A31" i="122"/>
  <c r="A32" i="122"/>
  <c r="A33" i="122"/>
  <c r="A34" i="122"/>
  <c r="A35" i="122"/>
  <c r="A36" i="122"/>
  <c r="A37" i="122"/>
  <c r="A38" i="122"/>
  <c r="A39" i="122"/>
  <c r="A40" i="122"/>
  <c r="A41" i="122"/>
  <c r="A42" i="122"/>
  <c r="A43" i="122"/>
  <c r="A44" i="122"/>
  <c r="A45" i="122"/>
  <c r="A46" i="122"/>
  <c r="A47" i="122"/>
  <c r="A48" i="122"/>
  <c r="A49" i="122"/>
  <c r="A50" i="122"/>
  <c r="A51" i="122"/>
  <c r="A52" i="122"/>
  <c r="A53" i="122"/>
  <c r="A54" i="122"/>
  <c r="A55" i="122"/>
  <c r="A56" i="122"/>
  <c r="A57" i="122"/>
  <c r="A58" i="122"/>
  <c r="A59" i="122"/>
  <c r="A60" i="122"/>
  <c r="A61" i="122"/>
  <c r="A62" i="122"/>
  <c r="A63" i="122"/>
  <c r="A64" i="122"/>
  <c r="A66" i="122"/>
  <c r="A67" i="122"/>
  <c r="A68" i="122"/>
  <c r="A69" i="122"/>
  <c r="A70" i="122"/>
  <c r="A71" i="122"/>
  <c r="A72" i="122"/>
  <c r="A73" i="122"/>
  <c r="A74" i="122"/>
  <c r="A75" i="122"/>
  <c r="A76" i="122"/>
  <c r="A77" i="122"/>
  <c r="A78" i="122"/>
  <c r="A79" i="122"/>
  <c r="A80" i="122"/>
  <c r="A81" i="122"/>
  <c r="A82" i="122"/>
  <c r="A83" i="122"/>
  <c r="A84" i="122"/>
  <c r="A85" i="122"/>
  <c r="A86" i="122"/>
  <c r="A87" i="122"/>
  <c r="A88" i="122"/>
  <c r="A89" i="122"/>
  <c r="A90" i="122"/>
  <c r="A91" i="122"/>
  <c r="A92" i="122"/>
  <c r="A93" i="122"/>
  <c r="A94" i="122"/>
  <c r="A95" i="122"/>
  <c r="A96" i="122"/>
  <c r="A65" i="122"/>
  <c r="B60" i="122"/>
  <c r="N60" i="122"/>
  <c r="A98" i="122"/>
  <c r="A99" i="122"/>
  <c r="A100" i="122"/>
  <c r="A101" i="122"/>
  <c r="A102" i="122"/>
  <c r="A103" i="122"/>
  <c r="A104" i="122"/>
  <c r="A105" i="122"/>
  <c r="A106" i="122"/>
  <c r="A107" i="122"/>
  <c r="A108" i="122"/>
  <c r="A109" i="122"/>
  <c r="A110" i="122"/>
  <c r="A111" i="122"/>
  <c r="A112" i="122"/>
  <c r="A113" i="122"/>
  <c r="A114" i="122"/>
  <c r="A115" i="122"/>
  <c r="A116" i="122"/>
  <c r="A117" i="122"/>
  <c r="A118" i="122"/>
  <c r="A119" i="122"/>
  <c r="A120" i="122"/>
  <c r="A121" i="122"/>
  <c r="A122" i="122"/>
  <c r="A123" i="122"/>
  <c r="A124" i="122"/>
  <c r="A125" i="122"/>
  <c r="A126" i="122"/>
  <c r="A127" i="122"/>
  <c r="A97" i="122"/>
  <c r="A128" i="122"/>
  <c r="A129" i="122"/>
  <c r="A130" i="122"/>
  <c r="A131" i="122"/>
  <c r="A132" i="122"/>
  <c r="A133" i="122"/>
  <c r="A134" i="122"/>
  <c r="A135" i="122"/>
  <c r="A136" i="122"/>
  <c r="A137" i="122"/>
  <c r="A138" i="122"/>
  <c r="A139" i="122"/>
  <c r="A140" i="122"/>
  <c r="A141" i="122"/>
  <c r="A142" i="122"/>
  <c r="A143" i="122"/>
  <c r="A144" i="122"/>
  <c r="A145" i="122"/>
  <c r="A146" i="122"/>
  <c r="A147" i="122"/>
  <c r="A148" i="122"/>
  <c r="A149" i="122"/>
  <c r="A150" i="122"/>
  <c r="A151" i="122"/>
  <c r="A152" i="122"/>
  <c r="A153" i="122"/>
  <c r="A154" i="122"/>
  <c r="A155" i="122"/>
  <c r="A156" i="122"/>
  <c r="A157" i="122"/>
  <c r="A158" i="122"/>
  <c r="A159" i="122"/>
  <c r="A160" i="122"/>
  <c r="A161" i="122"/>
  <c r="A162" i="122"/>
  <c r="A163" i="122"/>
  <c r="A164" i="122"/>
  <c r="A165" i="122"/>
  <c r="A166" i="122"/>
  <c r="A167" i="122"/>
  <c r="A168" i="122"/>
  <c r="A169" i="122"/>
  <c r="A170" i="122"/>
  <c r="A171" i="122"/>
  <c r="A172" i="122"/>
  <c r="A173" i="122"/>
  <c r="A174" i="122"/>
  <c r="A175" i="122"/>
  <c r="A176" i="122"/>
  <c r="A177" i="122"/>
  <c r="A178" i="122"/>
  <c r="A179" i="122"/>
  <c r="A180" i="122"/>
  <c r="A181" i="122"/>
  <c r="A182" i="122"/>
  <c r="A183" i="122"/>
  <c r="A184" i="122"/>
  <c r="A185" i="122"/>
  <c r="A186" i="122"/>
  <c r="A187" i="122"/>
  <c r="A188" i="122"/>
  <c r="A189" i="122"/>
  <c r="A190" i="122"/>
  <c r="A192" i="122"/>
  <c r="A193" i="122"/>
  <c r="A194" i="122"/>
  <c r="A195" i="122"/>
  <c r="A196" i="122"/>
  <c r="A197" i="122"/>
  <c r="A198" i="122"/>
  <c r="A199" i="122"/>
  <c r="A200" i="122"/>
  <c r="A201" i="122"/>
  <c r="A202" i="122"/>
  <c r="A203" i="122"/>
  <c r="A204" i="122"/>
  <c r="A205" i="122"/>
  <c r="A206" i="122"/>
  <c r="A207" i="122"/>
  <c r="A208" i="122"/>
  <c r="A209" i="122"/>
  <c r="A210" i="122"/>
  <c r="A211" i="122"/>
  <c r="A212" i="122"/>
  <c r="A213" i="122"/>
  <c r="A214" i="122"/>
  <c r="A215" i="122"/>
  <c r="A216" i="122"/>
  <c r="A217" i="122"/>
  <c r="A218" i="122"/>
  <c r="A219" i="122"/>
  <c r="A220" i="122"/>
  <c r="A221" i="122"/>
  <c r="A222" i="122"/>
  <c r="A191" i="122"/>
  <c r="A224" i="122"/>
  <c r="A225" i="122"/>
  <c r="A226" i="122"/>
  <c r="A227" i="122"/>
  <c r="A228" i="122"/>
  <c r="A229" i="122"/>
  <c r="A230" i="122"/>
  <c r="A231" i="122"/>
  <c r="A232" i="122"/>
  <c r="A233" i="122"/>
  <c r="A234" i="122"/>
  <c r="A235" i="122"/>
  <c r="A236" i="122"/>
  <c r="A237" i="122"/>
  <c r="A238" i="122"/>
  <c r="A239" i="122"/>
  <c r="A240" i="122"/>
  <c r="A241" i="122"/>
  <c r="A242" i="122"/>
  <c r="A243" i="122"/>
  <c r="A244" i="122"/>
  <c r="A245" i="122"/>
  <c r="A246" i="122"/>
  <c r="A247" i="122"/>
  <c r="A248" i="122"/>
  <c r="A249" i="122"/>
  <c r="A250" i="122"/>
  <c r="A251" i="122"/>
  <c r="A252" i="122"/>
  <c r="A253" i="122"/>
  <c r="A254" i="122"/>
  <c r="A223" i="122"/>
  <c r="A256" i="122"/>
  <c r="A257" i="122"/>
  <c r="A258" i="122"/>
  <c r="A259" i="122"/>
  <c r="A260" i="122"/>
  <c r="A261" i="122"/>
  <c r="A262" i="122"/>
  <c r="A263" i="122"/>
  <c r="A264" i="122"/>
  <c r="A265" i="122"/>
  <c r="A266" i="122"/>
  <c r="A267" i="122"/>
  <c r="A268" i="122"/>
  <c r="A269" i="122"/>
  <c r="A270" i="122"/>
  <c r="A271" i="122"/>
  <c r="A272" i="122"/>
  <c r="A273" i="122"/>
  <c r="A274" i="122"/>
  <c r="A275" i="122"/>
  <c r="A276" i="122"/>
  <c r="A277" i="122"/>
  <c r="A278" i="122"/>
  <c r="A279" i="122"/>
  <c r="A280" i="122"/>
  <c r="A281" i="122"/>
  <c r="A282" i="122"/>
  <c r="A283" i="122"/>
  <c r="A284" i="122"/>
  <c r="A285" i="122"/>
  <c r="A255" i="122"/>
  <c r="A286" i="122"/>
  <c r="A287" i="122"/>
  <c r="A288" i="122"/>
  <c r="A289" i="122"/>
  <c r="A290" i="122"/>
  <c r="A291" i="122"/>
  <c r="A292" i="122"/>
  <c r="A293" i="122"/>
  <c r="A294" i="122"/>
  <c r="A295" i="122"/>
  <c r="A296" i="122"/>
  <c r="A297" i="122"/>
  <c r="A298" i="122"/>
  <c r="A299" i="122"/>
  <c r="A300" i="122"/>
  <c r="A301" i="122"/>
  <c r="A302" i="122"/>
  <c r="A303" i="122"/>
  <c r="A304" i="122"/>
  <c r="A305" i="122"/>
  <c r="A306" i="122"/>
  <c r="A307" i="122"/>
  <c r="A308" i="122"/>
  <c r="A309" i="122"/>
  <c r="A310" i="122"/>
  <c r="A311" i="122"/>
  <c r="A312" i="122"/>
  <c r="A313" i="122"/>
  <c r="A314" i="122"/>
  <c r="A315" i="122"/>
  <c r="A316" i="122"/>
  <c r="A317" i="122"/>
  <c r="A318" i="122"/>
  <c r="A319" i="122"/>
  <c r="A320" i="122"/>
  <c r="A321" i="122"/>
  <c r="A322" i="122"/>
  <c r="A323" i="122"/>
  <c r="A324" i="122"/>
  <c r="A325" i="122"/>
  <c r="A326" i="122"/>
  <c r="A327" i="122"/>
  <c r="A328" i="122"/>
  <c r="A329" i="122"/>
  <c r="A330" i="122"/>
  <c r="A331" i="122"/>
  <c r="A332" i="122"/>
  <c r="A333" i="122"/>
  <c r="A334" i="122"/>
  <c r="A335" i="122"/>
  <c r="A336" i="122"/>
  <c r="A337" i="122"/>
  <c r="A338" i="122"/>
  <c r="A339" i="122"/>
  <c r="A340" i="122"/>
  <c r="A341" i="122"/>
  <c r="A342" i="122"/>
  <c r="A343" i="122"/>
  <c r="A344" i="122"/>
  <c r="A345" i="122"/>
  <c r="A346" i="122"/>
  <c r="A347" i="122"/>
  <c r="A348" i="122"/>
  <c r="A349" i="122"/>
  <c r="A350" i="122"/>
  <c r="A351" i="122"/>
  <c r="A352" i="122"/>
  <c r="A353" i="122"/>
  <c r="A354" i="122"/>
  <c r="A355" i="122"/>
  <c r="A356" i="122"/>
  <c r="A357" i="122"/>
  <c r="A358" i="122"/>
  <c r="A359" i="122"/>
  <c r="A360" i="122"/>
  <c r="A361" i="122"/>
  <c r="A362" i="122"/>
  <c r="A363" i="122"/>
  <c r="A364" i="122"/>
  <c r="A365" i="122"/>
  <c r="A366" i="122"/>
  <c r="A367" i="122"/>
  <c r="A368" i="122"/>
  <c r="A369" i="122"/>
  <c r="A370" i="122"/>
  <c r="A371" i="122"/>
  <c r="A372" i="122"/>
  <c r="A373" i="122"/>
  <c r="A374" i="122"/>
  <c r="A375" i="122"/>
  <c r="A376" i="122"/>
  <c r="A377" i="122"/>
  <c r="A378" i="122"/>
  <c r="A379" i="122"/>
  <c r="A380" i="122"/>
  <c r="A381" i="122"/>
  <c r="K3" i="2"/>
  <c r="T687" i="102"/>
  <c r="S687" i="102"/>
  <c r="Q687" i="102"/>
  <c r="P687" i="102"/>
  <c r="M687" i="102"/>
  <c r="T686" i="102"/>
  <c r="S686" i="102"/>
  <c r="Q686" i="102"/>
  <c r="P686" i="102"/>
  <c r="M686" i="102"/>
  <c r="T685" i="102"/>
  <c r="S685" i="102"/>
  <c r="Q685" i="102"/>
  <c r="P685" i="102"/>
  <c r="M685" i="102"/>
  <c r="T684" i="102"/>
  <c r="S684" i="102"/>
  <c r="Q684" i="102"/>
  <c r="P684" i="102"/>
  <c r="M684" i="102"/>
  <c r="T683" i="102"/>
  <c r="S683" i="102"/>
  <c r="Q683" i="102"/>
  <c r="P683" i="102"/>
  <c r="M683" i="102"/>
  <c r="T682" i="102"/>
  <c r="S682" i="102"/>
  <c r="Q682" i="102"/>
  <c r="P682" i="102"/>
  <c r="M682" i="102"/>
  <c r="T681" i="102"/>
  <c r="S681" i="102"/>
  <c r="Q681" i="102"/>
  <c r="P681" i="102"/>
  <c r="M681" i="102"/>
  <c r="T680" i="102"/>
  <c r="S680" i="102"/>
  <c r="Q680" i="102"/>
  <c r="P680" i="102"/>
  <c r="M680" i="102"/>
  <c r="T679" i="102"/>
  <c r="S679" i="102"/>
  <c r="Q679" i="102"/>
  <c r="P679" i="102"/>
  <c r="M679" i="102"/>
  <c r="T678" i="102"/>
  <c r="S678" i="102"/>
  <c r="Q678" i="102"/>
  <c r="P678" i="102"/>
  <c r="M678" i="102"/>
  <c r="T677" i="102"/>
  <c r="S677" i="102"/>
  <c r="Q677" i="102"/>
  <c r="P677" i="102"/>
  <c r="M677" i="102"/>
  <c r="T676" i="102"/>
  <c r="S676" i="102"/>
  <c r="Q676" i="102"/>
  <c r="P676" i="102"/>
  <c r="M676" i="102"/>
  <c r="T675" i="102"/>
  <c r="S675" i="102"/>
  <c r="Q675" i="102"/>
  <c r="P675" i="102"/>
  <c r="M675" i="102"/>
  <c r="T674" i="102"/>
  <c r="S674" i="102"/>
  <c r="Q674" i="102"/>
  <c r="P674" i="102"/>
  <c r="M674" i="102"/>
  <c r="T673" i="102"/>
  <c r="S673" i="102"/>
  <c r="Q673" i="102"/>
  <c r="P673" i="102"/>
  <c r="M673" i="102"/>
  <c r="T672" i="102"/>
  <c r="S672" i="102"/>
  <c r="Q672" i="102"/>
  <c r="P672" i="102"/>
  <c r="M672" i="102"/>
  <c r="T671" i="102"/>
  <c r="S671" i="102"/>
  <c r="Q671" i="102"/>
  <c r="P671" i="102"/>
  <c r="M671" i="102"/>
  <c r="T670" i="102"/>
  <c r="S670" i="102"/>
  <c r="Q670" i="102"/>
  <c r="P670" i="102"/>
  <c r="M670" i="102"/>
  <c r="T669" i="102"/>
  <c r="S669" i="102"/>
  <c r="Q669" i="102"/>
  <c r="P669" i="102"/>
  <c r="M669" i="102"/>
  <c r="T668" i="102"/>
  <c r="S668" i="102"/>
  <c r="Q668" i="102"/>
  <c r="P668" i="102"/>
  <c r="M668" i="102"/>
  <c r="T667" i="102"/>
  <c r="S667" i="102"/>
  <c r="Q667" i="102"/>
  <c r="P667" i="102"/>
  <c r="M667" i="102"/>
  <c r="T666" i="102"/>
  <c r="S666" i="102"/>
  <c r="Q666" i="102"/>
  <c r="P666" i="102"/>
  <c r="M666" i="102"/>
  <c r="T665" i="102"/>
  <c r="S665" i="102"/>
  <c r="Q665" i="102"/>
  <c r="P665" i="102"/>
  <c r="M665" i="102"/>
  <c r="T664" i="102"/>
  <c r="S664" i="102"/>
  <c r="Q664" i="102"/>
  <c r="P664" i="102"/>
  <c r="M664" i="102"/>
  <c r="T663" i="102"/>
  <c r="S663" i="102"/>
  <c r="Q663" i="102"/>
  <c r="P663" i="102"/>
  <c r="M663" i="102"/>
  <c r="T662" i="102"/>
  <c r="S662" i="102"/>
  <c r="Q662" i="102"/>
  <c r="P662" i="102"/>
  <c r="M662" i="102"/>
  <c r="T661" i="102"/>
  <c r="S661" i="102"/>
  <c r="Q661" i="102"/>
  <c r="P661" i="102"/>
  <c r="M661" i="102"/>
  <c r="T660" i="102"/>
  <c r="S660" i="102"/>
  <c r="Q660" i="102"/>
  <c r="P660" i="102"/>
  <c r="M660" i="102"/>
  <c r="T659" i="102"/>
  <c r="S659" i="102"/>
  <c r="Q659" i="102"/>
  <c r="P659" i="102"/>
  <c r="M659" i="102"/>
  <c r="T658" i="102"/>
  <c r="S658" i="102"/>
  <c r="Q658" i="102"/>
  <c r="P658" i="102"/>
  <c r="M658" i="102"/>
  <c r="T657" i="102"/>
  <c r="S657" i="102"/>
  <c r="Q657" i="102"/>
  <c r="P657" i="102"/>
  <c r="M657" i="102"/>
  <c r="T656" i="102"/>
  <c r="S656" i="102"/>
  <c r="Q656" i="102"/>
  <c r="P656" i="102"/>
  <c r="M656" i="102"/>
  <c r="T655" i="102"/>
  <c r="S655" i="102"/>
  <c r="Q655" i="102"/>
  <c r="P655" i="102"/>
  <c r="M655" i="102"/>
  <c r="T654" i="102"/>
  <c r="S654" i="102"/>
  <c r="Q654" i="102"/>
  <c r="P654" i="102"/>
  <c r="M654" i="102"/>
  <c r="T653" i="102"/>
  <c r="S653" i="102"/>
  <c r="Q653" i="102"/>
  <c r="P653" i="102"/>
  <c r="M653" i="102"/>
  <c r="T652" i="102"/>
  <c r="S652" i="102"/>
  <c r="Q652" i="102"/>
  <c r="P652" i="102"/>
  <c r="M652" i="102"/>
  <c r="T651" i="102"/>
  <c r="S651" i="102"/>
  <c r="Q651" i="102"/>
  <c r="P651" i="102"/>
  <c r="M651" i="102"/>
  <c r="T650" i="102"/>
  <c r="S650" i="102"/>
  <c r="Q650" i="102"/>
  <c r="P650" i="102"/>
  <c r="M650" i="102"/>
  <c r="T649" i="102"/>
  <c r="S649" i="102"/>
  <c r="Q649" i="102"/>
  <c r="P649" i="102"/>
  <c r="M649" i="102"/>
  <c r="T648" i="102"/>
  <c r="S648" i="102"/>
  <c r="Q648" i="102"/>
  <c r="P648" i="102"/>
  <c r="M648" i="102"/>
  <c r="T647" i="102"/>
  <c r="S647" i="102"/>
  <c r="Q647" i="102"/>
  <c r="P647" i="102"/>
  <c r="M647" i="102"/>
  <c r="T646" i="102"/>
  <c r="S646" i="102"/>
  <c r="Q646" i="102"/>
  <c r="P646" i="102"/>
  <c r="M646" i="102"/>
  <c r="T645" i="102"/>
  <c r="S645" i="102"/>
  <c r="Q645" i="102"/>
  <c r="P645" i="102"/>
  <c r="M645" i="102"/>
  <c r="T644" i="102"/>
  <c r="S644" i="102"/>
  <c r="Q644" i="102"/>
  <c r="P644" i="102"/>
  <c r="M644" i="102"/>
  <c r="T643" i="102"/>
  <c r="S643" i="102"/>
  <c r="Q643" i="102"/>
  <c r="P643" i="102"/>
  <c r="M643" i="102"/>
  <c r="T642" i="102"/>
  <c r="S642" i="102"/>
  <c r="Q642" i="102"/>
  <c r="P642" i="102"/>
  <c r="M642" i="102"/>
  <c r="T641" i="102"/>
  <c r="S641" i="102"/>
  <c r="Q641" i="102"/>
  <c r="P641" i="102"/>
  <c r="M641" i="102"/>
  <c r="T640" i="102"/>
  <c r="S640" i="102"/>
  <c r="Q640" i="102"/>
  <c r="P640" i="102"/>
  <c r="M640" i="102"/>
  <c r="T639" i="102"/>
  <c r="S639" i="102"/>
  <c r="Q639" i="102"/>
  <c r="P639" i="102"/>
  <c r="M639" i="102"/>
  <c r="T638" i="102"/>
  <c r="S638" i="102"/>
  <c r="Q638" i="102"/>
  <c r="P638" i="102"/>
  <c r="M638" i="102"/>
  <c r="T637" i="102"/>
  <c r="S637" i="102"/>
  <c r="Q637" i="102"/>
  <c r="P637" i="102"/>
  <c r="M637" i="102"/>
  <c r="T636" i="102"/>
  <c r="S636" i="102"/>
  <c r="Q636" i="102"/>
  <c r="P636" i="102"/>
  <c r="M636" i="102"/>
  <c r="T635" i="102"/>
  <c r="S635" i="102"/>
  <c r="Q635" i="102"/>
  <c r="P635" i="102"/>
  <c r="M635" i="102"/>
  <c r="T634" i="102"/>
  <c r="S634" i="102"/>
  <c r="Q634" i="102"/>
  <c r="P634" i="102"/>
  <c r="M634" i="102"/>
  <c r="T633" i="102"/>
  <c r="S633" i="102"/>
  <c r="Q633" i="102"/>
  <c r="P633" i="102"/>
  <c r="M633" i="102"/>
  <c r="T632" i="102"/>
  <c r="S632" i="102"/>
  <c r="Q632" i="102"/>
  <c r="P632" i="102"/>
  <c r="M632" i="102"/>
  <c r="T631" i="102"/>
  <c r="S631" i="102"/>
  <c r="Q631" i="102"/>
  <c r="P631" i="102"/>
  <c r="M631" i="102"/>
  <c r="T630" i="102"/>
  <c r="S630" i="102"/>
  <c r="Q630" i="102"/>
  <c r="P630" i="102"/>
  <c r="M630" i="102"/>
  <c r="T629" i="102"/>
  <c r="S629" i="102"/>
  <c r="Q629" i="102"/>
  <c r="P629" i="102"/>
  <c r="M629" i="102"/>
  <c r="T628" i="102"/>
  <c r="S628" i="102"/>
  <c r="Q628" i="102"/>
  <c r="P628" i="102"/>
  <c r="M628" i="102"/>
  <c r="T627" i="102"/>
  <c r="S627" i="102"/>
  <c r="Q627" i="102"/>
  <c r="P627" i="102"/>
  <c r="M627" i="102"/>
  <c r="T626" i="102"/>
  <c r="S626" i="102"/>
  <c r="Q626" i="102"/>
  <c r="P626" i="102"/>
  <c r="M626" i="102"/>
  <c r="T625" i="102"/>
  <c r="S625" i="102"/>
  <c r="Q625" i="102"/>
  <c r="P625" i="102"/>
  <c r="M625" i="102"/>
  <c r="T624" i="102"/>
  <c r="S624" i="102"/>
  <c r="Q624" i="102"/>
  <c r="P624" i="102"/>
  <c r="M624" i="102"/>
  <c r="T623" i="102"/>
  <c r="S623" i="102"/>
  <c r="Q623" i="102"/>
  <c r="P623" i="102"/>
  <c r="M623" i="102"/>
  <c r="T622" i="102"/>
  <c r="S622" i="102"/>
  <c r="Q622" i="102"/>
  <c r="P622" i="102"/>
  <c r="M622" i="102"/>
  <c r="T621" i="102"/>
  <c r="S621" i="102"/>
  <c r="Q621" i="102"/>
  <c r="P621" i="102"/>
  <c r="M621" i="102"/>
  <c r="T620" i="102"/>
  <c r="S620" i="102"/>
  <c r="Q620" i="102"/>
  <c r="P620" i="102"/>
  <c r="M620" i="102"/>
  <c r="T619" i="102"/>
  <c r="S619" i="102"/>
  <c r="Q619" i="102"/>
  <c r="P619" i="102"/>
  <c r="M619" i="102"/>
  <c r="T618" i="102"/>
  <c r="S618" i="102"/>
  <c r="Q618" i="102"/>
  <c r="P618" i="102"/>
  <c r="M618" i="102"/>
  <c r="T617" i="102"/>
  <c r="S617" i="102"/>
  <c r="Q617" i="102"/>
  <c r="P617" i="102"/>
  <c r="M617" i="102"/>
  <c r="T616" i="102"/>
  <c r="S616" i="102"/>
  <c r="Q616" i="102"/>
  <c r="P616" i="102"/>
  <c r="M616" i="102"/>
  <c r="T615" i="102"/>
  <c r="S615" i="102"/>
  <c r="Q615" i="102"/>
  <c r="P615" i="102"/>
  <c r="M615" i="102"/>
  <c r="T614" i="102"/>
  <c r="S614" i="102"/>
  <c r="Q614" i="102"/>
  <c r="P614" i="102"/>
  <c r="M614" i="102"/>
  <c r="T613" i="102"/>
  <c r="S613" i="102"/>
  <c r="Q613" i="102"/>
  <c r="P613" i="102"/>
  <c r="M613" i="102"/>
  <c r="T612" i="102"/>
  <c r="S612" i="102"/>
  <c r="Q612" i="102"/>
  <c r="P612" i="102"/>
  <c r="M612" i="102"/>
  <c r="T611" i="102"/>
  <c r="S611" i="102"/>
  <c r="Q611" i="102"/>
  <c r="P611" i="102"/>
  <c r="M611" i="102"/>
  <c r="T610" i="102"/>
  <c r="S610" i="102"/>
  <c r="Q610" i="102"/>
  <c r="P610" i="102"/>
  <c r="M610" i="102"/>
  <c r="T609" i="102"/>
  <c r="S609" i="102"/>
  <c r="Q609" i="102"/>
  <c r="P609" i="102"/>
  <c r="M609" i="102"/>
  <c r="T608" i="102"/>
  <c r="S608" i="102"/>
  <c r="Q608" i="102"/>
  <c r="P608" i="102"/>
  <c r="M608" i="102"/>
  <c r="T607" i="102"/>
  <c r="S607" i="102"/>
  <c r="Q607" i="102"/>
  <c r="P607" i="102"/>
  <c r="M607" i="102"/>
  <c r="T606" i="102"/>
  <c r="S606" i="102"/>
  <c r="Q606" i="102"/>
  <c r="P606" i="102"/>
  <c r="M606" i="102"/>
  <c r="T605" i="102"/>
  <c r="S605" i="102"/>
  <c r="Q605" i="102"/>
  <c r="P605" i="102"/>
  <c r="M605" i="102"/>
  <c r="T604" i="102"/>
  <c r="S604" i="102"/>
  <c r="Q604" i="102"/>
  <c r="P604" i="102"/>
  <c r="M604" i="102"/>
  <c r="T603" i="102"/>
  <c r="S603" i="102"/>
  <c r="Q603" i="102"/>
  <c r="P603" i="102"/>
  <c r="M603" i="102"/>
  <c r="T602" i="102"/>
  <c r="S602" i="102"/>
  <c r="Q602" i="102"/>
  <c r="P602" i="102"/>
  <c r="M602" i="102"/>
  <c r="T601" i="102"/>
  <c r="S601" i="102"/>
  <c r="Q601" i="102"/>
  <c r="P601" i="102"/>
  <c r="M601" i="102"/>
  <c r="T600" i="102"/>
  <c r="S600" i="102"/>
  <c r="Q600" i="102"/>
  <c r="P600" i="102"/>
  <c r="M600" i="102"/>
  <c r="T599" i="102"/>
  <c r="S599" i="102"/>
  <c r="Q599" i="102"/>
  <c r="P599" i="102"/>
  <c r="M599" i="102"/>
  <c r="T598" i="102"/>
  <c r="S598" i="102"/>
  <c r="Q598" i="102"/>
  <c r="P598" i="102"/>
  <c r="M598" i="102"/>
  <c r="T597" i="102"/>
  <c r="S597" i="102"/>
  <c r="Q597" i="102"/>
  <c r="P597" i="102"/>
  <c r="M597" i="102"/>
  <c r="T596" i="102"/>
  <c r="S596" i="102"/>
  <c r="Q596" i="102"/>
  <c r="P596" i="102"/>
  <c r="M596" i="102"/>
  <c r="T595" i="102"/>
  <c r="S595" i="102"/>
  <c r="Q595" i="102"/>
  <c r="P595" i="102"/>
  <c r="M595" i="102"/>
  <c r="T594" i="102"/>
  <c r="S594" i="102"/>
  <c r="Q594" i="102"/>
  <c r="P594" i="102"/>
  <c r="M594" i="102"/>
  <c r="T593" i="102"/>
  <c r="S593" i="102"/>
  <c r="Q593" i="102"/>
  <c r="P593" i="102"/>
  <c r="M593" i="102"/>
  <c r="T592" i="102"/>
  <c r="S592" i="102"/>
  <c r="Q592" i="102"/>
  <c r="P592" i="102"/>
  <c r="M592" i="102"/>
  <c r="T591" i="102"/>
  <c r="S591" i="102"/>
  <c r="Q591" i="102"/>
  <c r="P591" i="102"/>
  <c r="M591" i="102"/>
  <c r="T590" i="102"/>
  <c r="S590" i="102"/>
  <c r="Q590" i="102"/>
  <c r="P590" i="102"/>
  <c r="M590" i="102"/>
  <c r="T589" i="102"/>
  <c r="S589" i="102"/>
  <c r="Q589" i="102"/>
  <c r="P589" i="102"/>
  <c r="M589" i="102"/>
  <c r="T588" i="102"/>
  <c r="S588" i="102"/>
  <c r="Q588" i="102"/>
  <c r="P588" i="102"/>
  <c r="M588" i="102"/>
  <c r="T587" i="102"/>
  <c r="S587" i="102"/>
  <c r="Q587" i="102"/>
  <c r="P587" i="102"/>
  <c r="M587" i="102"/>
  <c r="T586" i="102"/>
  <c r="S586" i="102"/>
  <c r="Q586" i="102"/>
  <c r="P586" i="102"/>
  <c r="M586" i="102"/>
  <c r="T585" i="102"/>
  <c r="S585" i="102"/>
  <c r="Q585" i="102"/>
  <c r="P585" i="102"/>
  <c r="M585" i="102"/>
  <c r="T584" i="102"/>
  <c r="S584" i="102"/>
  <c r="Q584" i="102"/>
  <c r="P584" i="102"/>
  <c r="M584" i="102"/>
  <c r="T583" i="102"/>
  <c r="S583" i="102"/>
  <c r="Q583" i="102"/>
  <c r="P583" i="102"/>
  <c r="M583" i="102"/>
  <c r="T582" i="102"/>
  <c r="S582" i="102"/>
  <c r="Q582" i="102"/>
  <c r="P582" i="102"/>
  <c r="M582" i="102"/>
  <c r="T581" i="102"/>
  <c r="S581" i="102"/>
  <c r="Q581" i="102"/>
  <c r="P581" i="102"/>
  <c r="M581" i="102"/>
  <c r="T580" i="102"/>
  <c r="S580" i="102"/>
  <c r="Q580" i="102"/>
  <c r="P580" i="102"/>
  <c r="M580" i="102"/>
  <c r="T579" i="102"/>
  <c r="S579" i="102"/>
  <c r="Q579" i="102"/>
  <c r="P579" i="102"/>
  <c r="M579" i="102"/>
  <c r="T578" i="102"/>
  <c r="S578" i="102"/>
  <c r="Q578" i="102"/>
  <c r="P578" i="102"/>
  <c r="M578" i="102"/>
  <c r="T577" i="102"/>
  <c r="S577" i="102"/>
  <c r="Q577" i="102"/>
  <c r="P577" i="102"/>
  <c r="M577" i="102"/>
  <c r="T576" i="102"/>
  <c r="S576" i="102"/>
  <c r="Q576" i="102"/>
  <c r="P576" i="102"/>
  <c r="M576" i="102"/>
  <c r="T575" i="102"/>
  <c r="S575" i="102"/>
  <c r="Q575" i="102"/>
  <c r="P575" i="102"/>
  <c r="M575" i="102"/>
  <c r="T574" i="102"/>
  <c r="S574" i="102"/>
  <c r="Q574" i="102"/>
  <c r="P574" i="102"/>
  <c r="M574" i="102"/>
  <c r="T573" i="102"/>
  <c r="S573" i="102"/>
  <c r="Q573" i="102"/>
  <c r="P573" i="102"/>
  <c r="M573" i="102"/>
  <c r="T572" i="102"/>
  <c r="S572" i="102"/>
  <c r="Q572" i="102"/>
  <c r="P572" i="102"/>
  <c r="M572" i="102"/>
  <c r="T571" i="102"/>
  <c r="S571" i="102"/>
  <c r="Q571" i="102"/>
  <c r="P571" i="102"/>
  <c r="M571" i="102"/>
  <c r="T570" i="102"/>
  <c r="S570" i="102"/>
  <c r="Q570" i="102"/>
  <c r="P570" i="102"/>
  <c r="M570" i="102"/>
  <c r="T569" i="102"/>
  <c r="S569" i="102"/>
  <c r="Q569" i="102"/>
  <c r="P569" i="102"/>
  <c r="M569" i="102"/>
  <c r="T568" i="102"/>
  <c r="S568" i="102"/>
  <c r="Q568" i="102"/>
  <c r="P568" i="102"/>
  <c r="M568" i="102"/>
  <c r="T567" i="102"/>
  <c r="S567" i="102"/>
  <c r="Q567" i="102"/>
  <c r="P567" i="102"/>
  <c r="M567" i="102"/>
  <c r="T566" i="102"/>
  <c r="S566" i="102"/>
  <c r="Q566" i="102"/>
  <c r="P566" i="102"/>
  <c r="M566" i="102"/>
  <c r="T565" i="102"/>
  <c r="S565" i="102"/>
  <c r="Q565" i="102"/>
  <c r="P565" i="102"/>
  <c r="M565" i="102"/>
  <c r="T564" i="102"/>
  <c r="S564" i="102"/>
  <c r="Q564" i="102"/>
  <c r="P564" i="102"/>
  <c r="M564" i="102"/>
  <c r="T563" i="102"/>
  <c r="S563" i="102"/>
  <c r="Q563" i="102"/>
  <c r="P563" i="102"/>
  <c r="M563" i="102"/>
  <c r="T562" i="102"/>
  <c r="S562" i="102"/>
  <c r="Q562" i="102"/>
  <c r="P562" i="102"/>
  <c r="M562" i="102"/>
  <c r="T561" i="102"/>
  <c r="S561" i="102"/>
  <c r="Q561" i="102"/>
  <c r="P561" i="102"/>
  <c r="M561" i="102"/>
  <c r="T560" i="102"/>
  <c r="S560" i="102"/>
  <c r="Q560" i="102"/>
  <c r="P560" i="102"/>
  <c r="M560" i="102"/>
  <c r="T559" i="102"/>
  <c r="S559" i="102"/>
  <c r="Q559" i="102"/>
  <c r="P559" i="102"/>
  <c r="M559" i="102"/>
  <c r="T558" i="102"/>
  <c r="S558" i="102"/>
  <c r="Q558" i="102"/>
  <c r="P558" i="102"/>
  <c r="M558" i="102"/>
  <c r="T557" i="102"/>
  <c r="S557" i="102"/>
  <c r="Q557" i="102"/>
  <c r="P557" i="102"/>
  <c r="M557" i="102"/>
  <c r="T556" i="102"/>
  <c r="S556" i="102"/>
  <c r="Q556" i="102"/>
  <c r="P556" i="102"/>
  <c r="M556" i="102"/>
  <c r="T555" i="102"/>
  <c r="S555" i="102"/>
  <c r="Q555" i="102"/>
  <c r="P555" i="102"/>
  <c r="M555" i="102"/>
  <c r="T554" i="102"/>
  <c r="S554" i="102"/>
  <c r="Q554" i="102"/>
  <c r="P554" i="102"/>
  <c r="M554" i="102"/>
  <c r="T553" i="102"/>
  <c r="S553" i="102"/>
  <c r="Q553" i="102"/>
  <c r="P553" i="102"/>
  <c r="M553" i="102"/>
  <c r="T552" i="102"/>
  <c r="S552" i="102"/>
  <c r="Q552" i="102"/>
  <c r="P552" i="102"/>
  <c r="M552" i="102"/>
  <c r="T551" i="102"/>
  <c r="S551" i="102"/>
  <c r="Q551" i="102"/>
  <c r="P551" i="102"/>
  <c r="M551" i="102"/>
  <c r="T550" i="102"/>
  <c r="S550" i="102"/>
  <c r="Q550" i="102"/>
  <c r="P550" i="102"/>
  <c r="M550" i="102"/>
  <c r="T549" i="102"/>
  <c r="S549" i="102"/>
  <c r="Q549" i="102"/>
  <c r="P549" i="102"/>
  <c r="M549" i="102"/>
  <c r="T548" i="102"/>
  <c r="S548" i="102"/>
  <c r="Q548" i="102"/>
  <c r="P548" i="102"/>
  <c r="M548" i="102"/>
  <c r="T547" i="102"/>
  <c r="S547" i="102"/>
  <c r="Q547" i="102"/>
  <c r="P547" i="102"/>
  <c r="M547" i="102"/>
  <c r="T546" i="102"/>
  <c r="S546" i="102"/>
  <c r="Q546" i="102"/>
  <c r="P546" i="102"/>
  <c r="M546" i="102"/>
  <c r="T545" i="102"/>
  <c r="S545" i="102"/>
  <c r="Q545" i="102"/>
  <c r="P545" i="102"/>
  <c r="M545" i="102"/>
  <c r="T544" i="102"/>
  <c r="S544" i="102"/>
  <c r="Q544" i="102"/>
  <c r="P544" i="102"/>
  <c r="M544" i="102"/>
  <c r="T543" i="102"/>
  <c r="S543" i="102"/>
  <c r="Q543" i="102"/>
  <c r="P543" i="102"/>
  <c r="M543" i="102"/>
  <c r="T542" i="102"/>
  <c r="S542" i="102"/>
  <c r="Q542" i="102"/>
  <c r="P542" i="102"/>
  <c r="M542" i="102"/>
  <c r="T541" i="102"/>
  <c r="S541" i="102"/>
  <c r="Q541" i="102"/>
  <c r="P541" i="102"/>
  <c r="M541" i="102"/>
  <c r="T540" i="102"/>
  <c r="S540" i="102"/>
  <c r="Q540" i="102"/>
  <c r="P540" i="102"/>
  <c r="M540" i="102"/>
  <c r="T539" i="102"/>
  <c r="S539" i="102"/>
  <c r="Q539" i="102"/>
  <c r="P539" i="102"/>
  <c r="M539" i="102"/>
  <c r="T538" i="102"/>
  <c r="S538" i="102"/>
  <c r="Q538" i="102"/>
  <c r="P538" i="102"/>
  <c r="M538" i="102"/>
  <c r="T537" i="102"/>
  <c r="S537" i="102"/>
  <c r="Q537" i="102"/>
  <c r="P537" i="102"/>
  <c r="M537" i="102"/>
  <c r="T536" i="102"/>
  <c r="S536" i="102"/>
  <c r="Q536" i="102"/>
  <c r="P536" i="102"/>
  <c r="M536" i="102"/>
  <c r="T535" i="102"/>
  <c r="S535" i="102"/>
  <c r="Q535" i="102"/>
  <c r="P535" i="102"/>
  <c r="M535" i="102"/>
  <c r="T534" i="102"/>
  <c r="S534" i="102"/>
  <c r="Q534" i="102"/>
  <c r="P534" i="102"/>
  <c r="M534" i="102"/>
  <c r="T533" i="102"/>
  <c r="S533" i="102"/>
  <c r="Q533" i="102"/>
  <c r="P533" i="102"/>
  <c r="M533" i="102"/>
  <c r="T532" i="102"/>
  <c r="S532" i="102"/>
  <c r="Q532" i="102"/>
  <c r="P532" i="102"/>
  <c r="M532" i="102"/>
  <c r="T531" i="102"/>
  <c r="S531" i="102"/>
  <c r="Q531" i="102"/>
  <c r="P531" i="102"/>
  <c r="M531" i="102"/>
  <c r="T530" i="102"/>
  <c r="S530" i="102"/>
  <c r="Q530" i="102"/>
  <c r="P530" i="102"/>
  <c r="M530" i="102"/>
  <c r="T529" i="102"/>
  <c r="S529" i="102"/>
  <c r="Q529" i="102"/>
  <c r="P529" i="102"/>
  <c r="M529" i="102"/>
  <c r="T528" i="102"/>
  <c r="S528" i="102"/>
  <c r="Q528" i="102"/>
  <c r="P528" i="102"/>
  <c r="M528" i="102"/>
  <c r="T527" i="102"/>
  <c r="S527" i="102"/>
  <c r="Q527" i="102"/>
  <c r="P527" i="102"/>
  <c r="M527" i="102"/>
  <c r="T526" i="102"/>
  <c r="S526" i="102"/>
  <c r="Q526" i="102"/>
  <c r="P526" i="102"/>
  <c r="M526" i="102"/>
  <c r="T525" i="102"/>
  <c r="S525" i="102"/>
  <c r="Q525" i="102"/>
  <c r="P525" i="102"/>
  <c r="M525" i="102"/>
  <c r="T524" i="102"/>
  <c r="S524" i="102"/>
  <c r="Q524" i="102"/>
  <c r="P524" i="102"/>
  <c r="M524" i="102"/>
  <c r="T523" i="102"/>
  <c r="S523" i="102"/>
  <c r="Q523" i="102"/>
  <c r="P523" i="102"/>
  <c r="M523" i="102"/>
  <c r="T522" i="102"/>
  <c r="S522" i="102"/>
  <c r="Q522" i="102"/>
  <c r="P522" i="102"/>
  <c r="M522" i="102"/>
  <c r="T521" i="102"/>
  <c r="S521" i="102"/>
  <c r="Q521" i="102"/>
  <c r="P521" i="102"/>
  <c r="M521" i="102"/>
  <c r="T520" i="102"/>
  <c r="S520" i="102"/>
  <c r="Q520" i="102"/>
  <c r="P520" i="102"/>
  <c r="M520" i="102"/>
  <c r="T519" i="102"/>
  <c r="S519" i="102"/>
  <c r="Q519" i="102"/>
  <c r="P519" i="102"/>
  <c r="M519" i="102"/>
  <c r="T518" i="102"/>
  <c r="S518" i="102"/>
  <c r="Q518" i="102"/>
  <c r="P518" i="102"/>
  <c r="M518" i="102"/>
  <c r="T517" i="102"/>
  <c r="S517" i="102"/>
  <c r="Q517" i="102"/>
  <c r="P517" i="102"/>
  <c r="M517" i="102"/>
  <c r="T516" i="102"/>
  <c r="S516" i="102"/>
  <c r="Q516" i="102"/>
  <c r="P516" i="102"/>
  <c r="M516" i="102"/>
  <c r="T515" i="102"/>
  <c r="S515" i="102"/>
  <c r="Q515" i="102"/>
  <c r="P515" i="102"/>
  <c r="M515" i="102"/>
  <c r="T514" i="102"/>
  <c r="S514" i="102"/>
  <c r="Q514" i="102"/>
  <c r="P514" i="102"/>
  <c r="M514" i="102"/>
  <c r="T513" i="102"/>
  <c r="S513" i="102"/>
  <c r="Q513" i="102"/>
  <c r="P513" i="102"/>
  <c r="M513" i="102"/>
  <c r="T512" i="102"/>
  <c r="S512" i="102"/>
  <c r="Q512" i="102"/>
  <c r="P512" i="102"/>
  <c r="M512" i="102"/>
  <c r="T511" i="102"/>
  <c r="S511" i="102"/>
  <c r="Q511" i="102"/>
  <c r="P511" i="102"/>
  <c r="M511" i="102"/>
  <c r="T510" i="102"/>
  <c r="S510" i="102"/>
  <c r="Q510" i="102"/>
  <c r="P510" i="102"/>
  <c r="M510" i="102"/>
  <c r="T509" i="102"/>
  <c r="S509" i="102"/>
  <c r="Q509" i="102"/>
  <c r="P509" i="102"/>
  <c r="M509" i="102"/>
  <c r="T508" i="102"/>
  <c r="S508" i="102"/>
  <c r="Q508" i="102"/>
  <c r="P508" i="102"/>
  <c r="M508" i="102"/>
  <c r="T507" i="102"/>
  <c r="S507" i="102"/>
  <c r="Q507" i="102"/>
  <c r="P507" i="102"/>
  <c r="M507" i="102"/>
  <c r="T506" i="102"/>
  <c r="S506" i="102"/>
  <c r="Q506" i="102"/>
  <c r="P506" i="102"/>
  <c r="M506" i="102"/>
  <c r="T505" i="102"/>
  <c r="S505" i="102"/>
  <c r="Q505" i="102"/>
  <c r="P505" i="102"/>
  <c r="M505" i="102"/>
  <c r="T504" i="102"/>
  <c r="S504" i="102"/>
  <c r="Q504" i="102"/>
  <c r="P504" i="102"/>
  <c r="M504" i="102"/>
  <c r="T503" i="102"/>
  <c r="S503" i="102"/>
  <c r="Q503" i="102"/>
  <c r="P503" i="102"/>
  <c r="M503" i="102"/>
  <c r="T502" i="102"/>
  <c r="S502" i="102"/>
  <c r="Q502" i="102"/>
  <c r="P502" i="102"/>
  <c r="M502" i="102"/>
  <c r="T501" i="102"/>
  <c r="S501" i="102"/>
  <c r="Q501" i="102"/>
  <c r="P501" i="102"/>
  <c r="M501" i="102"/>
  <c r="T500" i="102"/>
  <c r="S500" i="102"/>
  <c r="Q500" i="102"/>
  <c r="P500" i="102"/>
  <c r="M500" i="102"/>
  <c r="T499" i="102"/>
  <c r="S499" i="102"/>
  <c r="Q499" i="102"/>
  <c r="P499" i="102"/>
  <c r="M499" i="102"/>
  <c r="T498" i="102"/>
  <c r="S498" i="102"/>
  <c r="Q498" i="102"/>
  <c r="P498" i="102"/>
  <c r="M498" i="102"/>
  <c r="T497" i="102"/>
  <c r="S497" i="102"/>
  <c r="Q497" i="102"/>
  <c r="P497" i="102"/>
  <c r="M497" i="102"/>
  <c r="T496" i="102"/>
  <c r="S496" i="102"/>
  <c r="Q496" i="102"/>
  <c r="P496" i="102"/>
  <c r="M496" i="102"/>
  <c r="T495" i="102"/>
  <c r="S495" i="102"/>
  <c r="Q495" i="102"/>
  <c r="P495" i="102"/>
  <c r="M495" i="102"/>
  <c r="T494" i="102"/>
  <c r="S494" i="102"/>
  <c r="Q494" i="102"/>
  <c r="P494" i="102"/>
  <c r="M494" i="102"/>
  <c r="T493" i="102"/>
  <c r="S493" i="102"/>
  <c r="Q493" i="102"/>
  <c r="P493" i="102"/>
  <c r="M493" i="102"/>
  <c r="T492" i="102"/>
  <c r="S492" i="102"/>
  <c r="Q492" i="102"/>
  <c r="P492" i="102"/>
  <c r="M492" i="102"/>
  <c r="T491" i="102"/>
  <c r="S491" i="102"/>
  <c r="Q491" i="102"/>
  <c r="P491" i="102"/>
  <c r="M491" i="102"/>
  <c r="T490" i="102"/>
  <c r="S490" i="102"/>
  <c r="Q490" i="102"/>
  <c r="P490" i="102"/>
  <c r="M490" i="102"/>
  <c r="T489" i="102"/>
  <c r="S489" i="102"/>
  <c r="Q489" i="102"/>
  <c r="P489" i="102"/>
  <c r="M489" i="102"/>
  <c r="T488" i="102"/>
  <c r="S488" i="102"/>
  <c r="Q488" i="102"/>
  <c r="P488" i="102"/>
  <c r="M488" i="102"/>
  <c r="T487" i="102"/>
  <c r="S487" i="102"/>
  <c r="Q487" i="102"/>
  <c r="P487" i="102"/>
  <c r="M487" i="102"/>
  <c r="T486" i="102"/>
  <c r="S486" i="102"/>
  <c r="Q486" i="102"/>
  <c r="P486" i="102"/>
  <c r="M486" i="102"/>
  <c r="T485" i="102"/>
  <c r="S485" i="102"/>
  <c r="Q485" i="102"/>
  <c r="P485" i="102"/>
  <c r="M485" i="102"/>
  <c r="T484" i="102"/>
  <c r="S484" i="102"/>
  <c r="Q484" i="102"/>
  <c r="P484" i="102"/>
  <c r="M484" i="102"/>
  <c r="T483" i="102"/>
  <c r="S483" i="102"/>
  <c r="Q483" i="102"/>
  <c r="P483" i="102"/>
  <c r="M483" i="102"/>
  <c r="T482" i="102"/>
  <c r="S482" i="102"/>
  <c r="Q482" i="102"/>
  <c r="P482" i="102"/>
  <c r="M482" i="102"/>
  <c r="T481" i="102"/>
  <c r="S481" i="102"/>
  <c r="Q481" i="102"/>
  <c r="P481" i="102"/>
  <c r="M481" i="102"/>
  <c r="T480" i="102"/>
  <c r="S480" i="102"/>
  <c r="Q480" i="102"/>
  <c r="P480" i="102"/>
  <c r="M480" i="102"/>
  <c r="T479" i="102"/>
  <c r="S479" i="102"/>
  <c r="Q479" i="102"/>
  <c r="P479" i="102"/>
  <c r="M479" i="102"/>
  <c r="T478" i="102"/>
  <c r="S478" i="102"/>
  <c r="Q478" i="102"/>
  <c r="P478" i="102"/>
  <c r="M478" i="102"/>
  <c r="T477" i="102"/>
  <c r="S477" i="102"/>
  <c r="Q477" i="102"/>
  <c r="P477" i="102"/>
  <c r="M477" i="102"/>
  <c r="T476" i="102"/>
  <c r="S476" i="102"/>
  <c r="Q476" i="102"/>
  <c r="P476" i="102"/>
  <c r="M476" i="102"/>
  <c r="T475" i="102"/>
  <c r="S475" i="102"/>
  <c r="Q475" i="102"/>
  <c r="P475" i="102"/>
  <c r="M475" i="102"/>
  <c r="T474" i="102"/>
  <c r="S474" i="102"/>
  <c r="Q474" i="102"/>
  <c r="P474" i="102"/>
  <c r="M474" i="102"/>
  <c r="T473" i="102"/>
  <c r="S473" i="102"/>
  <c r="Q473" i="102"/>
  <c r="P473" i="102"/>
  <c r="M473" i="102"/>
  <c r="T472" i="102"/>
  <c r="S472" i="102"/>
  <c r="Q472" i="102"/>
  <c r="P472" i="102"/>
  <c r="M472" i="102"/>
  <c r="T471" i="102"/>
  <c r="S471" i="102"/>
  <c r="Q471" i="102"/>
  <c r="P471" i="102"/>
  <c r="M471" i="102"/>
  <c r="T470" i="102"/>
  <c r="S470" i="102"/>
  <c r="Q470" i="102"/>
  <c r="P470" i="102"/>
  <c r="M470" i="102"/>
  <c r="T469" i="102"/>
  <c r="S469" i="102"/>
  <c r="Q469" i="102"/>
  <c r="P469" i="102"/>
  <c r="M469" i="102"/>
  <c r="T468" i="102"/>
  <c r="S468" i="102"/>
  <c r="Q468" i="102"/>
  <c r="P468" i="102"/>
  <c r="M468" i="102"/>
  <c r="T467" i="102"/>
  <c r="S467" i="102"/>
  <c r="Q467" i="102"/>
  <c r="P467" i="102"/>
  <c r="M467" i="102"/>
  <c r="T466" i="102"/>
  <c r="S466" i="102"/>
  <c r="Q466" i="102"/>
  <c r="P466" i="102"/>
  <c r="M466" i="102"/>
  <c r="T465" i="102"/>
  <c r="S465" i="102"/>
  <c r="Q465" i="102"/>
  <c r="P465" i="102"/>
  <c r="M465" i="102"/>
  <c r="T464" i="102"/>
  <c r="S464" i="102"/>
  <c r="Q464" i="102"/>
  <c r="P464" i="102"/>
  <c r="M464" i="102"/>
  <c r="T463" i="102"/>
  <c r="S463" i="102"/>
  <c r="Q463" i="102"/>
  <c r="P463" i="102"/>
  <c r="M463" i="102"/>
  <c r="T462" i="102"/>
  <c r="S462" i="102"/>
  <c r="Q462" i="102"/>
  <c r="P462" i="102"/>
  <c r="M462" i="102"/>
  <c r="T461" i="102"/>
  <c r="S461" i="102"/>
  <c r="Q461" i="102"/>
  <c r="P461" i="102"/>
  <c r="M461" i="102"/>
  <c r="T460" i="102"/>
  <c r="S460" i="102"/>
  <c r="Q460" i="102"/>
  <c r="P460" i="102"/>
  <c r="M460" i="102"/>
  <c r="T459" i="102"/>
  <c r="S459" i="102"/>
  <c r="Q459" i="102"/>
  <c r="P459" i="102"/>
  <c r="M459" i="102"/>
  <c r="T458" i="102"/>
  <c r="S458" i="102"/>
  <c r="Q458" i="102"/>
  <c r="P458" i="102"/>
  <c r="M458" i="102"/>
  <c r="T457" i="102"/>
  <c r="S457" i="102"/>
  <c r="Q457" i="102"/>
  <c r="P457" i="102"/>
  <c r="M457" i="102"/>
  <c r="T456" i="102"/>
  <c r="S456" i="102"/>
  <c r="Q456" i="102"/>
  <c r="P456" i="102"/>
  <c r="M456" i="102"/>
  <c r="T455" i="102"/>
  <c r="S455" i="102"/>
  <c r="Q455" i="102"/>
  <c r="P455" i="102"/>
  <c r="M455" i="102"/>
  <c r="T454" i="102"/>
  <c r="S454" i="102"/>
  <c r="Q454" i="102"/>
  <c r="P454" i="102"/>
  <c r="M454" i="102"/>
  <c r="T453" i="102"/>
  <c r="S453" i="102"/>
  <c r="Q453" i="102"/>
  <c r="P453" i="102"/>
  <c r="M453" i="102"/>
  <c r="T452" i="102"/>
  <c r="S452" i="102"/>
  <c r="Q452" i="102"/>
  <c r="P452" i="102"/>
  <c r="M452" i="102"/>
  <c r="T451" i="102"/>
  <c r="S451" i="102"/>
  <c r="Q451" i="102"/>
  <c r="P451" i="102"/>
  <c r="M451" i="102"/>
  <c r="T450" i="102"/>
  <c r="S450" i="102"/>
  <c r="Q450" i="102"/>
  <c r="P450" i="102"/>
  <c r="M450" i="102"/>
  <c r="T449" i="102"/>
  <c r="S449" i="102"/>
  <c r="Q449" i="102"/>
  <c r="P449" i="102"/>
  <c r="M449" i="102"/>
  <c r="T448" i="102"/>
  <c r="S448" i="102"/>
  <c r="Q448" i="102"/>
  <c r="P448" i="102"/>
  <c r="M448" i="102"/>
  <c r="T447" i="102"/>
  <c r="S447" i="102"/>
  <c r="Q447" i="102"/>
  <c r="P447" i="102"/>
  <c r="M447" i="102"/>
  <c r="T446" i="102"/>
  <c r="S446" i="102"/>
  <c r="Q446" i="102"/>
  <c r="P446" i="102"/>
  <c r="M446" i="102"/>
  <c r="T445" i="102"/>
  <c r="S445" i="102"/>
  <c r="Q445" i="102"/>
  <c r="P445" i="102"/>
  <c r="M445" i="102"/>
  <c r="T444" i="102"/>
  <c r="S444" i="102"/>
  <c r="Q444" i="102"/>
  <c r="P444" i="102"/>
  <c r="M444" i="102"/>
  <c r="T443" i="102"/>
  <c r="S443" i="102"/>
  <c r="Q443" i="102"/>
  <c r="P443" i="102"/>
  <c r="M443" i="102"/>
  <c r="T442" i="102"/>
  <c r="S442" i="102"/>
  <c r="Q442" i="102"/>
  <c r="P442" i="102"/>
  <c r="M442" i="102"/>
  <c r="T441" i="102"/>
  <c r="S441" i="102"/>
  <c r="Q441" i="102"/>
  <c r="P441" i="102"/>
  <c r="M441" i="102"/>
  <c r="T440" i="102"/>
  <c r="S440" i="102"/>
  <c r="Q440" i="102"/>
  <c r="P440" i="102"/>
  <c r="M440" i="102"/>
  <c r="T439" i="102"/>
  <c r="S439" i="102"/>
  <c r="Q439" i="102"/>
  <c r="P439" i="102"/>
  <c r="M439" i="102"/>
  <c r="T438" i="102"/>
  <c r="S438" i="102"/>
  <c r="Q438" i="102"/>
  <c r="P438" i="102"/>
  <c r="M438" i="102"/>
  <c r="T437" i="102"/>
  <c r="S437" i="102"/>
  <c r="Q437" i="102"/>
  <c r="P437" i="102"/>
  <c r="M437" i="102"/>
  <c r="T436" i="102"/>
  <c r="S436" i="102"/>
  <c r="Q436" i="102"/>
  <c r="P436" i="102"/>
  <c r="M436" i="102"/>
  <c r="T435" i="102"/>
  <c r="S435" i="102"/>
  <c r="Q435" i="102"/>
  <c r="P435" i="102"/>
  <c r="M435" i="102"/>
  <c r="T434" i="102"/>
  <c r="S434" i="102"/>
  <c r="Q434" i="102"/>
  <c r="P434" i="102"/>
  <c r="M434" i="102"/>
  <c r="T433" i="102"/>
  <c r="S433" i="102"/>
  <c r="Q433" i="102"/>
  <c r="P433" i="102"/>
  <c r="M433" i="102"/>
  <c r="T432" i="102"/>
  <c r="S432" i="102"/>
  <c r="Q432" i="102"/>
  <c r="P432" i="102"/>
  <c r="M432" i="102"/>
  <c r="T431" i="102"/>
  <c r="S431" i="102"/>
  <c r="Q431" i="102"/>
  <c r="P431" i="102"/>
  <c r="M431" i="102"/>
  <c r="T430" i="102"/>
  <c r="S430" i="102"/>
  <c r="Q430" i="102"/>
  <c r="P430" i="102"/>
  <c r="M430" i="102"/>
  <c r="T429" i="102"/>
  <c r="S429" i="102"/>
  <c r="Q429" i="102"/>
  <c r="P429" i="102"/>
  <c r="M429" i="102"/>
  <c r="T428" i="102"/>
  <c r="S428" i="102"/>
  <c r="Q428" i="102"/>
  <c r="P428" i="102"/>
  <c r="M428" i="102"/>
  <c r="T427" i="102"/>
  <c r="S427" i="102"/>
  <c r="Q427" i="102"/>
  <c r="P427" i="102"/>
  <c r="M427" i="102"/>
  <c r="T426" i="102"/>
  <c r="S426" i="102"/>
  <c r="Q426" i="102"/>
  <c r="P426" i="102"/>
  <c r="M426" i="102"/>
  <c r="T425" i="102"/>
  <c r="S425" i="102"/>
  <c r="Q425" i="102"/>
  <c r="P425" i="102"/>
  <c r="M425" i="102"/>
  <c r="T424" i="102"/>
  <c r="S424" i="102"/>
  <c r="Q424" i="102"/>
  <c r="P424" i="102"/>
  <c r="M424" i="102"/>
  <c r="T423" i="102"/>
  <c r="S423" i="102"/>
  <c r="Q423" i="102"/>
  <c r="P423" i="102"/>
  <c r="M423" i="102"/>
  <c r="T422" i="102"/>
  <c r="S422" i="102"/>
  <c r="Q422" i="102"/>
  <c r="P422" i="102"/>
  <c r="M422" i="102"/>
  <c r="T421" i="102"/>
  <c r="S421" i="102"/>
  <c r="Q421" i="102"/>
  <c r="P421" i="102"/>
  <c r="M421" i="102"/>
  <c r="T420" i="102"/>
  <c r="S420" i="102"/>
  <c r="Q420" i="102"/>
  <c r="P420" i="102"/>
  <c r="M420" i="102"/>
  <c r="T419" i="102"/>
  <c r="S419" i="102"/>
  <c r="Q419" i="102"/>
  <c r="P419" i="102"/>
  <c r="M419" i="102"/>
  <c r="T418" i="102"/>
  <c r="S418" i="102"/>
  <c r="Q418" i="102"/>
  <c r="P418" i="102"/>
  <c r="M418" i="102"/>
  <c r="T417" i="102"/>
  <c r="S417" i="102"/>
  <c r="Q417" i="102"/>
  <c r="P417" i="102"/>
  <c r="M417" i="102"/>
  <c r="T416" i="102"/>
  <c r="S416" i="102"/>
  <c r="Q416" i="102"/>
  <c r="P416" i="102"/>
  <c r="M416" i="102"/>
  <c r="T415" i="102"/>
  <c r="S415" i="102"/>
  <c r="Q415" i="102"/>
  <c r="P415" i="102"/>
  <c r="M415" i="102"/>
  <c r="T414" i="102"/>
  <c r="S414" i="102"/>
  <c r="Q414" i="102"/>
  <c r="P414" i="102"/>
  <c r="M414" i="102"/>
  <c r="T413" i="102"/>
  <c r="S413" i="102"/>
  <c r="Q413" i="102"/>
  <c r="P413" i="102"/>
  <c r="M413" i="102"/>
  <c r="T412" i="102"/>
  <c r="S412" i="102"/>
  <c r="Q412" i="102"/>
  <c r="P412" i="102"/>
  <c r="M412" i="102"/>
  <c r="T411" i="102"/>
  <c r="S411" i="102"/>
  <c r="Q411" i="102"/>
  <c r="P411" i="102"/>
  <c r="M411" i="102"/>
  <c r="T410" i="102"/>
  <c r="S410" i="102"/>
  <c r="Q410" i="102"/>
  <c r="P410" i="102"/>
  <c r="M410" i="102"/>
  <c r="T409" i="102"/>
  <c r="S409" i="102"/>
  <c r="Q409" i="102"/>
  <c r="P409" i="102"/>
  <c r="M409" i="102"/>
  <c r="T408" i="102"/>
  <c r="S408" i="102"/>
  <c r="Q408" i="102"/>
  <c r="P408" i="102"/>
  <c r="M408" i="102"/>
  <c r="T407" i="102"/>
  <c r="S407" i="102"/>
  <c r="Q407" i="102"/>
  <c r="P407" i="102"/>
  <c r="M407" i="102"/>
  <c r="T406" i="102"/>
  <c r="S406" i="102"/>
  <c r="Q406" i="102"/>
  <c r="P406" i="102"/>
  <c r="M406" i="102"/>
  <c r="T405" i="102"/>
  <c r="S405" i="102"/>
  <c r="Q405" i="102"/>
  <c r="P405" i="102"/>
  <c r="M405" i="102"/>
  <c r="T404" i="102"/>
  <c r="S404" i="102"/>
  <c r="Q404" i="102"/>
  <c r="P404" i="102"/>
  <c r="M404" i="102"/>
  <c r="T403" i="102"/>
  <c r="S403" i="102"/>
  <c r="Q403" i="102"/>
  <c r="P403" i="102"/>
  <c r="M403" i="102"/>
  <c r="T402" i="102"/>
  <c r="S402" i="102"/>
  <c r="Q402" i="102"/>
  <c r="P402" i="102"/>
  <c r="M402" i="102"/>
  <c r="T401" i="102"/>
  <c r="S401" i="102"/>
  <c r="Q401" i="102"/>
  <c r="P401" i="102"/>
  <c r="M401" i="102"/>
  <c r="T400" i="102"/>
  <c r="S400" i="102"/>
  <c r="Q400" i="102"/>
  <c r="P400" i="102"/>
  <c r="M400" i="102"/>
  <c r="T399" i="102"/>
  <c r="S399" i="102"/>
  <c r="Q399" i="102"/>
  <c r="P399" i="102"/>
  <c r="M399" i="102"/>
  <c r="T398" i="102"/>
  <c r="S398" i="102"/>
  <c r="Q398" i="102"/>
  <c r="P398" i="102"/>
  <c r="M398" i="102"/>
  <c r="T397" i="102"/>
  <c r="S397" i="102"/>
  <c r="Q397" i="102"/>
  <c r="P397" i="102"/>
  <c r="M397" i="102"/>
  <c r="T396" i="102"/>
  <c r="S396" i="102"/>
  <c r="Q396" i="102"/>
  <c r="P396" i="102"/>
  <c r="M396" i="102"/>
  <c r="T395" i="102"/>
  <c r="S395" i="102"/>
  <c r="Q395" i="102"/>
  <c r="P395" i="102"/>
  <c r="M395" i="102"/>
  <c r="T394" i="102"/>
  <c r="S394" i="102"/>
  <c r="Q394" i="102"/>
  <c r="P394" i="102"/>
  <c r="M394" i="102"/>
  <c r="T393" i="102"/>
  <c r="S393" i="102"/>
  <c r="Q393" i="102"/>
  <c r="P393" i="102"/>
  <c r="M393" i="102"/>
  <c r="T392" i="102"/>
  <c r="S392" i="102"/>
  <c r="Q392" i="102"/>
  <c r="P392" i="102"/>
  <c r="M392" i="102"/>
  <c r="T391" i="102"/>
  <c r="S391" i="102"/>
  <c r="Q391" i="102"/>
  <c r="P391" i="102"/>
  <c r="M391" i="102"/>
  <c r="T390" i="102"/>
  <c r="S390" i="102"/>
  <c r="Q390" i="102"/>
  <c r="P390" i="102"/>
  <c r="M390" i="102"/>
  <c r="T389" i="102"/>
  <c r="S389" i="102"/>
  <c r="Q389" i="102"/>
  <c r="P389" i="102"/>
  <c r="M389" i="102"/>
  <c r="T388" i="102"/>
  <c r="S388" i="102"/>
  <c r="Q388" i="102"/>
  <c r="P388" i="102"/>
  <c r="M388" i="102"/>
  <c r="T387" i="102"/>
  <c r="S387" i="102"/>
  <c r="Q387" i="102"/>
  <c r="P387" i="102"/>
  <c r="M387" i="102"/>
  <c r="T386" i="102"/>
  <c r="S386" i="102"/>
  <c r="Q386" i="102"/>
  <c r="P386" i="102"/>
  <c r="M386" i="102"/>
  <c r="T385" i="102"/>
  <c r="S385" i="102"/>
  <c r="Q385" i="102"/>
  <c r="P385" i="102"/>
  <c r="M385" i="102"/>
  <c r="T384" i="102"/>
  <c r="S384" i="102"/>
  <c r="Q384" i="102"/>
  <c r="P384" i="102"/>
  <c r="M384" i="102"/>
  <c r="T383" i="102"/>
  <c r="S383" i="102"/>
  <c r="Q383" i="102"/>
  <c r="P383" i="102"/>
  <c r="M383" i="102"/>
  <c r="T382" i="102"/>
  <c r="S382" i="102"/>
  <c r="Q382" i="102"/>
  <c r="P382" i="102"/>
  <c r="M382" i="102"/>
  <c r="T381" i="102"/>
  <c r="S381" i="102"/>
  <c r="Q381" i="102"/>
  <c r="P381" i="102"/>
  <c r="M381" i="102"/>
  <c r="T380" i="102"/>
  <c r="S380" i="102"/>
  <c r="Q380" i="102"/>
  <c r="P380" i="102"/>
  <c r="M380" i="102"/>
  <c r="T379" i="102"/>
  <c r="S379" i="102"/>
  <c r="Q379" i="102"/>
  <c r="P379" i="102"/>
  <c r="M379" i="102"/>
  <c r="T378" i="102"/>
  <c r="S378" i="102"/>
  <c r="Q378" i="102"/>
  <c r="P378" i="102"/>
  <c r="M378" i="102"/>
  <c r="T377" i="102"/>
  <c r="S377" i="102"/>
  <c r="Q377" i="102"/>
  <c r="P377" i="102"/>
  <c r="M377" i="102"/>
  <c r="T376" i="102"/>
  <c r="S376" i="102"/>
  <c r="Q376" i="102"/>
  <c r="P376" i="102"/>
  <c r="M376" i="102"/>
  <c r="T375" i="102"/>
  <c r="S375" i="102"/>
  <c r="Q375" i="102"/>
  <c r="P375" i="102"/>
  <c r="M375" i="102"/>
  <c r="T374" i="102"/>
  <c r="S374" i="102"/>
  <c r="Q374" i="102"/>
  <c r="P374" i="102"/>
  <c r="M374" i="102"/>
  <c r="T373" i="102"/>
  <c r="S373" i="102"/>
  <c r="Q373" i="102"/>
  <c r="P373" i="102"/>
  <c r="M373" i="102"/>
  <c r="T372" i="102"/>
  <c r="S372" i="102"/>
  <c r="Q372" i="102"/>
  <c r="P372" i="102"/>
  <c r="M372" i="102"/>
  <c r="T371" i="102"/>
  <c r="S371" i="102"/>
  <c r="Q371" i="102"/>
  <c r="P371" i="102"/>
  <c r="M371" i="102"/>
  <c r="T370" i="102"/>
  <c r="S370" i="102"/>
  <c r="Q370" i="102"/>
  <c r="P370" i="102"/>
  <c r="M370" i="102"/>
  <c r="T369" i="102"/>
  <c r="S369" i="102"/>
  <c r="Q369" i="102"/>
  <c r="P369" i="102"/>
  <c r="M369" i="102"/>
  <c r="T368" i="102"/>
  <c r="S368" i="102"/>
  <c r="Q368" i="102"/>
  <c r="P368" i="102"/>
  <c r="M368" i="102"/>
  <c r="T367" i="102"/>
  <c r="S367" i="102"/>
  <c r="Q367" i="102"/>
  <c r="P367" i="102"/>
  <c r="M367" i="102"/>
  <c r="T366" i="102"/>
  <c r="S366" i="102"/>
  <c r="Q366" i="102"/>
  <c r="P366" i="102"/>
  <c r="M366" i="102"/>
  <c r="T365" i="102"/>
  <c r="S365" i="102"/>
  <c r="Q365" i="102"/>
  <c r="P365" i="102"/>
  <c r="M365" i="102"/>
  <c r="T364" i="102"/>
  <c r="S364" i="102"/>
  <c r="Q364" i="102"/>
  <c r="P364" i="102"/>
  <c r="M364" i="102"/>
  <c r="T363" i="102"/>
  <c r="S363" i="102"/>
  <c r="Q363" i="102"/>
  <c r="P363" i="102"/>
  <c r="M363" i="102"/>
  <c r="T362" i="102"/>
  <c r="S362" i="102"/>
  <c r="Q362" i="102"/>
  <c r="P362" i="102"/>
  <c r="M362" i="102"/>
  <c r="T361" i="102"/>
  <c r="S361" i="102"/>
  <c r="Q361" i="102"/>
  <c r="P361" i="102"/>
  <c r="M361" i="102"/>
  <c r="T360" i="102"/>
  <c r="S360" i="102"/>
  <c r="Q360" i="102"/>
  <c r="P360" i="102"/>
  <c r="M360" i="102"/>
  <c r="T359" i="102"/>
  <c r="S359" i="102"/>
  <c r="Q359" i="102"/>
  <c r="P359" i="102"/>
  <c r="M359" i="102"/>
  <c r="T358" i="102"/>
  <c r="S358" i="102"/>
  <c r="Q358" i="102"/>
  <c r="P358" i="102"/>
  <c r="M358" i="102"/>
  <c r="T357" i="102"/>
  <c r="S357" i="102"/>
  <c r="Q357" i="102"/>
  <c r="P357" i="102"/>
  <c r="M357" i="102"/>
  <c r="T356" i="102"/>
  <c r="S356" i="102"/>
  <c r="Q356" i="102"/>
  <c r="P356" i="102"/>
  <c r="M356" i="102"/>
  <c r="T355" i="102"/>
  <c r="S355" i="102"/>
  <c r="Q355" i="102"/>
  <c r="P355" i="102"/>
  <c r="M355" i="102"/>
  <c r="T354" i="102"/>
  <c r="S354" i="102"/>
  <c r="Q354" i="102"/>
  <c r="P354" i="102"/>
  <c r="M354" i="102"/>
  <c r="T353" i="102"/>
  <c r="S353" i="102"/>
  <c r="Q353" i="102"/>
  <c r="P353" i="102"/>
  <c r="M353" i="102"/>
  <c r="T352" i="102"/>
  <c r="S352" i="102"/>
  <c r="Q352" i="102"/>
  <c r="P352" i="102"/>
  <c r="M352" i="102"/>
  <c r="T351" i="102"/>
  <c r="S351" i="102"/>
  <c r="Q351" i="102"/>
  <c r="P351" i="102"/>
  <c r="M351" i="102"/>
  <c r="T350" i="102"/>
  <c r="S350" i="102"/>
  <c r="Q350" i="102"/>
  <c r="P350" i="102"/>
  <c r="M350" i="102"/>
  <c r="T349" i="102"/>
  <c r="S349" i="102"/>
  <c r="Q349" i="102"/>
  <c r="P349" i="102"/>
  <c r="M349" i="102"/>
  <c r="T348" i="102"/>
  <c r="S348" i="102"/>
  <c r="Q348" i="102"/>
  <c r="P348" i="102"/>
  <c r="M348" i="102"/>
  <c r="T347" i="102"/>
  <c r="S347" i="102"/>
  <c r="Q347" i="102"/>
  <c r="P347" i="102"/>
  <c r="M347" i="102"/>
  <c r="T346" i="102"/>
  <c r="S346" i="102"/>
  <c r="Q346" i="102"/>
  <c r="P346" i="102"/>
  <c r="M346" i="102"/>
  <c r="T345" i="102"/>
  <c r="S345" i="102"/>
  <c r="Q345" i="102"/>
  <c r="P345" i="102"/>
  <c r="M345" i="102"/>
  <c r="T344" i="102"/>
  <c r="S344" i="102"/>
  <c r="Q344" i="102"/>
  <c r="P344" i="102"/>
  <c r="M344" i="102"/>
  <c r="T343" i="102"/>
  <c r="S343" i="102"/>
  <c r="Q343" i="102"/>
  <c r="P343" i="102"/>
  <c r="M343" i="102"/>
  <c r="T342" i="102"/>
  <c r="S342" i="102"/>
  <c r="Q342" i="102"/>
  <c r="P342" i="102"/>
  <c r="M342" i="102"/>
  <c r="T341" i="102"/>
  <c r="S341" i="102"/>
  <c r="Q341" i="102"/>
  <c r="P341" i="102"/>
  <c r="M341" i="102"/>
  <c r="T340" i="102"/>
  <c r="S340" i="102"/>
  <c r="Q340" i="102"/>
  <c r="P340" i="102"/>
  <c r="M340" i="102"/>
  <c r="T339" i="102"/>
  <c r="S339" i="102"/>
  <c r="Q339" i="102"/>
  <c r="P339" i="102"/>
  <c r="M339" i="102"/>
  <c r="T338" i="102"/>
  <c r="S338" i="102"/>
  <c r="Q338" i="102"/>
  <c r="P338" i="102"/>
  <c r="M338" i="102"/>
  <c r="T337" i="102"/>
  <c r="S337" i="102"/>
  <c r="Q337" i="102"/>
  <c r="P337" i="102"/>
  <c r="M337" i="102"/>
  <c r="T336" i="102"/>
  <c r="S336" i="102"/>
  <c r="Q336" i="102"/>
  <c r="P336" i="102"/>
  <c r="M336" i="102"/>
  <c r="T335" i="102"/>
  <c r="S335" i="102"/>
  <c r="Q335" i="102"/>
  <c r="P335" i="102"/>
  <c r="M335" i="102"/>
  <c r="T334" i="102"/>
  <c r="S334" i="102"/>
  <c r="Q334" i="102"/>
  <c r="P334" i="102"/>
  <c r="M334" i="102"/>
  <c r="T333" i="102"/>
  <c r="S333" i="102"/>
  <c r="Q333" i="102"/>
  <c r="P333" i="102"/>
  <c r="M333" i="102"/>
  <c r="T332" i="102"/>
  <c r="S332" i="102"/>
  <c r="Q332" i="102"/>
  <c r="P332" i="102"/>
  <c r="M332" i="102"/>
  <c r="T331" i="102"/>
  <c r="S331" i="102"/>
  <c r="Q331" i="102"/>
  <c r="P331" i="102"/>
  <c r="M331" i="102"/>
  <c r="T330" i="102"/>
  <c r="S330" i="102"/>
  <c r="Q330" i="102"/>
  <c r="P330" i="102"/>
  <c r="M330" i="102"/>
  <c r="T329" i="102"/>
  <c r="S329" i="102"/>
  <c r="Q329" i="102"/>
  <c r="P329" i="102"/>
  <c r="M329" i="102"/>
  <c r="T328" i="102"/>
  <c r="S328" i="102"/>
  <c r="Q328" i="102"/>
  <c r="P328" i="102"/>
  <c r="M328" i="102"/>
  <c r="T327" i="102"/>
  <c r="S327" i="102"/>
  <c r="Q327" i="102"/>
  <c r="P327" i="102"/>
  <c r="M327" i="102"/>
  <c r="T326" i="102"/>
  <c r="S326" i="102"/>
  <c r="Q326" i="102"/>
  <c r="P326" i="102"/>
  <c r="M326" i="102"/>
  <c r="T325" i="102"/>
  <c r="S325" i="102"/>
  <c r="Q325" i="102"/>
  <c r="P325" i="102"/>
  <c r="M325" i="102"/>
  <c r="T324" i="102"/>
  <c r="S324" i="102"/>
  <c r="Q324" i="102"/>
  <c r="P324" i="102"/>
  <c r="M324" i="102"/>
  <c r="T323" i="102"/>
  <c r="S323" i="102"/>
  <c r="Q323" i="102"/>
  <c r="P323" i="102"/>
  <c r="M323" i="102"/>
  <c r="T322" i="102"/>
  <c r="S322" i="102"/>
  <c r="Q322" i="102"/>
  <c r="P322" i="102"/>
  <c r="M322" i="102"/>
  <c r="T321" i="102"/>
  <c r="S321" i="102"/>
  <c r="Q321" i="102"/>
  <c r="P321" i="102"/>
  <c r="M321" i="102"/>
  <c r="T320" i="102"/>
  <c r="S320" i="102"/>
  <c r="Q320" i="102"/>
  <c r="P320" i="102"/>
  <c r="M320" i="102"/>
  <c r="T319" i="102"/>
  <c r="S319" i="102"/>
  <c r="Q319" i="102"/>
  <c r="P319" i="102"/>
  <c r="M319" i="102"/>
  <c r="T318" i="102"/>
  <c r="S318" i="102"/>
  <c r="Q318" i="102"/>
  <c r="P318" i="102"/>
  <c r="M318" i="102"/>
  <c r="T317" i="102"/>
  <c r="S317" i="102"/>
  <c r="Q317" i="102"/>
  <c r="P317" i="102"/>
  <c r="M317" i="102"/>
  <c r="T316" i="102"/>
  <c r="S316" i="102"/>
  <c r="Q316" i="102"/>
  <c r="P316" i="102"/>
  <c r="M316" i="102"/>
  <c r="T315" i="102"/>
  <c r="S315" i="102"/>
  <c r="Q315" i="102"/>
  <c r="P315" i="102"/>
  <c r="M315" i="102"/>
  <c r="T314" i="102"/>
  <c r="S314" i="102"/>
  <c r="Q314" i="102"/>
  <c r="P314" i="102"/>
  <c r="M314" i="102"/>
  <c r="T313" i="102"/>
  <c r="S313" i="102"/>
  <c r="Q313" i="102"/>
  <c r="P313" i="102"/>
  <c r="M313" i="102"/>
  <c r="T312" i="102"/>
  <c r="S312" i="102"/>
  <c r="Q312" i="102"/>
  <c r="P312" i="102"/>
  <c r="M312" i="102"/>
  <c r="T311" i="102"/>
  <c r="S311" i="102"/>
  <c r="Q311" i="102"/>
  <c r="P311" i="102"/>
  <c r="M311" i="102"/>
  <c r="T310" i="102"/>
  <c r="S310" i="102"/>
  <c r="Q310" i="102"/>
  <c r="P310" i="102"/>
  <c r="M310" i="102"/>
  <c r="T309" i="102"/>
  <c r="S309" i="102"/>
  <c r="Q309" i="102"/>
  <c r="P309" i="102"/>
  <c r="M309" i="102"/>
  <c r="T308" i="102"/>
  <c r="S308" i="102"/>
  <c r="Q308" i="102"/>
  <c r="P308" i="102"/>
  <c r="M308" i="102"/>
  <c r="T307" i="102"/>
  <c r="S307" i="102"/>
  <c r="Q307" i="102"/>
  <c r="P307" i="102"/>
  <c r="M307" i="102"/>
  <c r="T306" i="102"/>
  <c r="S306" i="102"/>
  <c r="Q306" i="102"/>
  <c r="P306" i="102"/>
  <c r="M306" i="102"/>
  <c r="T305" i="102"/>
  <c r="S305" i="102"/>
  <c r="Q305" i="102"/>
  <c r="P305" i="102"/>
  <c r="M305" i="102"/>
  <c r="T304" i="102"/>
  <c r="S304" i="102"/>
  <c r="Q304" i="102"/>
  <c r="P304" i="102"/>
  <c r="M304" i="102"/>
  <c r="T303" i="102"/>
  <c r="S303" i="102"/>
  <c r="Q303" i="102"/>
  <c r="P303" i="102"/>
  <c r="M303" i="102"/>
  <c r="T302" i="102"/>
  <c r="S302" i="102"/>
  <c r="Q302" i="102"/>
  <c r="P302" i="102"/>
  <c r="M302" i="102"/>
  <c r="T301" i="102"/>
  <c r="S301" i="102"/>
  <c r="Q301" i="102"/>
  <c r="P301" i="102"/>
  <c r="M301" i="102"/>
  <c r="T300" i="102"/>
  <c r="S300" i="102"/>
  <c r="Q300" i="102"/>
  <c r="P300" i="102"/>
  <c r="M300" i="102"/>
  <c r="T299" i="102"/>
  <c r="S299" i="102"/>
  <c r="Q299" i="102"/>
  <c r="P299" i="102"/>
  <c r="M299" i="102"/>
  <c r="T298" i="102"/>
  <c r="S298" i="102"/>
  <c r="Q298" i="102"/>
  <c r="P298" i="102"/>
  <c r="M298" i="102"/>
  <c r="T297" i="102"/>
  <c r="S297" i="102"/>
  <c r="Q297" i="102"/>
  <c r="P297" i="102"/>
  <c r="M297" i="102"/>
  <c r="T296" i="102"/>
  <c r="S296" i="102"/>
  <c r="Q296" i="102"/>
  <c r="P296" i="102"/>
  <c r="M296" i="102"/>
  <c r="T295" i="102"/>
  <c r="S295" i="102"/>
  <c r="Q295" i="102"/>
  <c r="P295" i="102"/>
  <c r="M295" i="102"/>
  <c r="T294" i="102"/>
  <c r="S294" i="102"/>
  <c r="Q294" i="102"/>
  <c r="P294" i="102"/>
  <c r="M294" i="102"/>
  <c r="T293" i="102"/>
  <c r="S293" i="102"/>
  <c r="Q293" i="102"/>
  <c r="P293" i="102"/>
  <c r="M293" i="102"/>
  <c r="T292" i="102"/>
  <c r="S292" i="102"/>
  <c r="Q292" i="102"/>
  <c r="P292" i="102"/>
  <c r="M292" i="102"/>
  <c r="T291" i="102"/>
  <c r="S291" i="102"/>
  <c r="Q291" i="102"/>
  <c r="P291" i="102"/>
  <c r="M291" i="102"/>
  <c r="T290" i="102"/>
  <c r="S290" i="102"/>
  <c r="Q290" i="102"/>
  <c r="P290" i="102"/>
  <c r="M290" i="102"/>
  <c r="T289" i="102"/>
  <c r="S289" i="102"/>
  <c r="Q289" i="102"/>
  <c r="P289" i="102"/>
  <c r="M289" i="102"/>
  <c r="T288" i="102"/>
  <c r="S288" i="102"/>
  <c r="Q288" i="102"/>
  <c r="P288" i="102"/>
  <c r="M288" i="102"/>
  <c r="T287" i="102"/>
  <c r="S287" i="102"/>
  <c r="Q287" i="102"/>
  <c r="P287" i="102"/>
  <c r="M287" i="102"/>
  <c r="T286" i="102"/>
  <c r="S286" i="102"/>
  <c r="Q286" i="102"/>
  <c r="P286" i="102"/>
  <c r="M286" i="102"/>
  <c r="T285" i="102"/>
  <c r="S285" i="102"/>
  <c r="Q285" i="102"/>
  <c r="P285" i="102"/>
  <c r="M285" i="102"/>
  <c r="T284" i="102"/>
  <c r="S284" i="102"/>
  <c r="Q284" i="102"/>
  <c r="P284" i="102"/>
  <c r="M284" i="102"/>
  <c r="T283" i="102"/>
  <c r="S283" i="102"/>
  <c r="Q283" i="102"/>
  <c r="P283" i="102"/>
  <c r="M283" i="102"/>
  <c r="T282" i="102"/>
  <c r="S282" i="102"/>
  <c r="Q282" i="102"/>
  <c r="P282" i="102"/>
  <c r="M282" i="102"/>
  <c r="T281" i="102"/>
  <c r="S281" i="102"/>
  <c r="Q281" i="102"/>
  <c r="P281" i="102"/>
  <c r="M281" i="102"/>
  <c r="T280" i="102"/>
  <c r="S280" i="102"/>
  <c r="Q280" i="102"/>
  <c r="P280" i="102"/>
  <c r="M280" i="102"/>
  <c r="T279" i="102"/>
  <c r="S279" i="102"/>
  <c r="Q279" i="102"/>
  <c r="P279" i="102"/>
  <c r="M279" i="102"/>
  <c r="T278" i="102"/>
  <c r="S278" i="102"/>
  <c r="Q278" i="102"/>
  <c r="P278" i="102"/>
  <c r="M278" i="102"/>
  <c r="T277" i="102"/>
  <c r="S277" i="102"/>
  <c r="Q277" i="102"/>
  <c r="P277" i="102"/>
  <c r="M277" i="102"/>
  <c r="T276" i="102"/>
  <c r="S276" i="102"/>
  <c r="Q276" i="102"/>
  <c r="P276" i="102"/>
  <c r="M276" i="102"/>
  <c r="T275" i="102"/>
  <c r="S275" i="102"/>
  <c r="Q275" i="102"/>
  <c r="P275" i="102"/>
  <c r="M275" i="102"/>
  <c r="T274" i="102"/>
  <c r="S274" i="102"/>
  <c r="Q274" i="102"/>
  <c r="P274" i="102"/>
  <c r="M274" i="102"/>
  <c r="T273" i="102"/>
  <c r="S273" i="102"/>
  <c r="Q273" i="102"/>
  <c r="P273" i="102"/>
  <c r="M273" i="102"/>
  <c r="T272" i="102"/>
  <c r="S272" i="102"/>
  <c r="Q272" i="102"/>
  <c r="P272" i="102"/>
  <c r="M272" i="102"/>
  <c r="T271" i="102"/>
  <c r="S271" i="102"/>
  <c r="Q271" i="102"/>
  <c r="P271" i="102"/>
  <c r="M271" i="102"/>
  <c r="T270" i="102"/>
  <c r="S270" i="102"/>
  <c r="Q270" i="102"/>
  <c r="P270" i="102"/>
  <c r="M270" i="102"/>
  <c r="T269" i="102"/>
  <c r="S269" i="102"/>
  <c r="Q269" i="102"/>
  <c r="P269" i="102"/>
  <c r="M269" i="102"/>
  <c r="T268" i="102"/>
  <c r="S268" i="102"/>
  <c r="Q268" i="102"/>
  <c r="P268" i="102"/>
  <c r="M268" i="102"/>
  <c r="T267" i="102"/>
  <c r="S267" i="102"/>
  <c r="Q267" i="102"/>
  <c r="P267" i="102"/>
  <c r="M267" i="102"/>
  <c r="T266" i="102"/>
  <c r="S266" i="102"/>
  <c r="Q266" i="102"/>
  <c r="P266" i="102"/>
  <c r="M266" i="102"/>
  <c r="T265" i="102"/>
  <c r="S265" i="102"/>
  <c r="Q265" i="102"/>
  <c r="P265" i="102"/>
  <c r="M265" i="102"/>
  <c r="T264" i="102"/>
  <c r="S264" i="102"/>
  <c r="Q264" i="102"/>
  <c r="P264" i="102"/>
  <c r="M264" i="102"/>
  <c r="T263" i="102"/>
  <c r="S263" i="102"/>
  <c r="Q263" i="102"/>
  <c r="P263" i="102"/>
  <c r="M263" i="102"/>
  <c r="T262" i="102"/>
  <c r="S262" i="102"/>
  <c r="Q262" i="102"/>
  <c r="P262" i="102"/>
  <c r="M262" i="102"/>
  <c r="T261" i="102"/>
  <c r="S261" i="102"/>
  <c r="Q261" i="102"/>
  <c r="P261" i="102"/>
  <c r="M261" i="102"/>
  <c r="T260" i="102"/>
  <c r="S260" i="102"/>
  <c r="Q260" i="102"/>
  <c r="P260" i="102"/>
  <c r="M260" i="102"/>
  <c r="T259" i="102"/>
  <c r="S259" i="102"/>
  <c r="Q259" i="102"/>
  <c r="P259" i="102"/>
  <c r="M259" i="102"/>
  <c r="T258" i="102"/>
  <c r="S258" i="102"/>
  <c r="Q258" i="102"/>
  <c r="P258" i="102"/>
  <c r="M258" i="102"/>
  <c r="T257" i="102"/>
  <c r="S257" i="102"/>
  <c r="Q257" i="102"/>
  <c r="P257" i="102"/>
  <c r="M257" i="102"/>
  <c r="T256" i="102"/>
  <c r="S256" i="102"/>
  <c r="Q256" i="102"/>
  <c r="P256" i="102"/>
  <c r="M256" i="102"/>
  <c r="T255" i="102"/>
  <c r="S255" i="102"/>
  <c r="Q255" i="102"/>
  <c r="P255" i="102"/>
  <c r="M255" i="102"/>
  <c r="T254" i="102"/>
  <c r="S254" i="102"/>
  <c r="Q254" i="102"/>
  <c r="P254" i="102"/>
  <c r="M254" i="102"/>
  <c r="T253" i="102"/>
  <c r="S253" i="102"/>
  <c r="Q253" i="102"/>
  <c r="P253" i="102"/>
  <c r="M253" i="102"/>
  <c r="T252" i="102"/>
  <c r="S252" i="102"/>
  <c r="Q252" i="102"/>
  <c r="P252" i="102"/>
  <c r="M252" i="102"/>
  <c r="T251" i="102"/>
  <c r="S251" i="102"/>
  <c r="Q251" i="102"/>
  <c r="P251" i="102"/>
  <c r="M251" i="102"/>
  <c r="T250" i="102"/>
  <c r="S250" i="102"/>
  <c r="Q250" i="102"/>
  <c r="P250" i="102"/>
  <c r="M250" i="102"/>
  <c r="T249" i="102"/>
  <c r="S249" i="102"/>
  <c r="Q249" i="102"/>
  <c r="P249" i="102"/>
  <c r="M249" i="102"/>
  <c r="T248" i="102"/>
  <c r="S248" i="102"/>
  <c r="Q248" i="102"/>
  <c r="P248" i="102"/>
  <c r="M248" i="102"/>
  <c r="T247" i="102"/>
  <c r="S247" i="102"/>
  <c r="Q247" i="102"/>
  <c r="P247" i="102"/>
  <c r="M247" i="102"/>
  <c r="T246" i="102"/>
  <c r="S246" i="102"/>
  <c r="Q246" i="102"/>
  <c r="P246" i="102"/>
  <c r="M246" i="102"/>
  <c r="T245" i="102"/>
  <c r="S245" i="102"/>
  <c r="Q245" i="102"/>
  <c r="P245" i="102"/>
  <c r="M245" i="102"/>
  <c r="T244" i="102"/>
  <c r="S244" i="102"/>
  <c r="Q244" i="102"/>
  <c r="P244" i="102"/>
  <c r="M244" i="102"/>
  <c r="T243" i="102"/>
  <c r="S243" i="102"/>
  <c r="Q243" i="102"/>
  <c r="P243" i="102"/>
  <c r="M243" i="102"/>
  <c r="T242" i="102"/>
  <c r="S242" i="102"/>
  <c r="Q242" i="102"/>
  <c r="P242" i="102"/>
  <c r="M242" i="102"/>
  <c r="T241" i="102"/>
  <c r="S241" i="102"/>
  <c r="Q241" i="102"/>
  <c r="P241" i="102"/>
  <c r="M241" i="102"/>
  <c r="T240" i="102"/>
  <c r="S240" i="102"/>
  <c r="Q240" i="102"/>
  <c r="P240" i="102"/>
  <c r="M240" i="102"/>
  <c r="T239" i="102"/>
  <c r="S239" i="102"/>
  <c r="Q239" i="102"/>
  <c r="P239" i="102"/>
  <c r="M239" i="102"/>
  <c r="T238" i="102"/>
  <c r="S238" i="102"/>
  <c r="Q238" i="102"/>
  <c r="P238" i="102"/>
  <c r="M238" i="102"/>
  <c r="T237" i="102"/>
  <c r="S237" i="102"/>
  <c r="Q237" i="102"/>
  <c r="P237" i="102"/>
  <c r="M237" i="102"/>
  <c r="T236" i="102"/>
  <c r="S236" i="102"/>
  <c r="Q236" i="102"/>
  <c r="P236" i="102"/>
  <c r="M236" i="102"/>
  <c r="T235" i="102"/>
  <c r="S235" i="102"/>
  <c r="Q235" i="102"/>
  <c r="P235" i="102"/>
  <c r="M235" i="102"/>
  <c r="T234" i="102"/>
  <c r="S234" i="102"/>
  <c r="Q234" i="102"/>
  <c r="P234" i="102"/>
  <c r="M234" i="102"/>
  <c r="T233" i="102"/>
  <c r="S233" i="102"/>
  <c r="Q233" i="102"/>
  <c r="P233" i="102"/>
  <c r="M233" i="102"/>
  <c r="T232" i="102"/>
  <c r="S232" i="102"/>
  <c r="Q232" i="102"/>
  <c r="P232" i="102"/>
  <c r="M232" i="102"/>
  <c r="T231" i="102"/>
  <c r="S231" i="102"/>
  <c r="Q231" i="102"/>
  <c r="P231" i="102"/>
  <c r="M231" i="102"/>
  <c r="T230" i="102"/>
  <c r="S230" i="102"/>
  <c r="Q230" i="102"/>
  <c r="P230" i="102"/>
  <c r="M230" i="102"/>
  <c r="T229" i="102"/>
  <c r="S229" i="102"/>
  <c r="Q229" i="102"/>
  <c r="P229" i="102"/>
  <c r="M229" i="102"/>
  <c r="T228" i="102"/>
  <c r="S228" i="102"/>
  <c r="Q228" i="102"/>
  <c r="P228" i="102"/>
  <c r="M228" i="102"/>
  <c r="T227" i="102"/>
  <c r="S227" i="102"/>
  <c r="Q227" i="102"/>
  <c r="P227" i="102"/>
  <c r="M227" i="102"/>
  <c r="T226" i="102"/>
  <c r="S226" i="102"/>
  <c r="Q226" i="102"/>
  <c r="P226" i="102"/>
  <c r="M226" i="102"/>
  <c r="T225" i="102"/>
  <c r="S225" i="102"/>
  <c r="Q225" i="102"/>
  <c r="P225" i="102"/>
  <c r="M225" i="102"/>
  <c r="T224" i="102"/>
  <c r="S224" i="102"/>
  <c r="Q224" i="102"/>
  <c r="P224" i="102"/>
  <c r="M224" i="102"/>
  <c r="T223" i="102"/>
  <c r="S223" i="102"/>
  <c r="Q223" i="102"/>
  <c r="P223" i="102"/>
  <c r="M223" i="102"/>
  <c r="T222" i="102"/>
  <c r="S222" i="102"/>
  <c r="Q222" i="102"/>
  <c r="P222" i="102"/>
  <c r="M222" i="102"/>
  <c r="T221" i="102"/>
  <c r="S221" i="102"/>
  <c r="Q221" i="102"/>
  <c r="P221" i="102"/>
  <c r="M221" i="102"/>
  <c r="T220" i="102"/>
  <c r="S220" i="102"/>
  <c r="Q220" i="102"/>
  <c r="P220" i="102"/>
  <c r="M220" i="102"/>
  <c r="T219" i="102"/>
  <c r="S219" i="102"/>
  <c r="Q219" i="102"/>
  <c r="P219" i="102"/>
  <c r="M219" i="102"/>
  <c r="T218" i="102"/>
  <c r="S218" i="102"/>
  <c r="Q218" i="102"/>
  <c r="P218" i="102"/>
  <c r="M218" i="102"/>
  <c r="T217" i="102"/>
  <c r="S217" i="102"/>
  <c r="Q217" i="102"/>
  <c r="P217" i="102"/>
  <c r="M217" i="102"/>
  <c r="T216" i="102"/>
  <c r="S216" i="102"/>
  <c r="Q216" i="102"/>
  <c r="P216" i="102"/>
  <c r="M216" i="102"/>
  <c r="T215" i="102"/>
  <c r="S215" i="102"/>
  <c r="Q215" i="102"/>
  <c r="P215" i="102"/>
  <c r="M215" i="102"/>
  <c r="T214" i="102"/>
  <c r="S214" i="102"/>
  <c r="Q214" i="102"/>
  <c r="P214" i="102"/>
  <c r="M214" i="102"/>
  <c r="T213" i="102"/>
  <c r="S213" i="102"/>
  <c r="Q213" i="102"/>
  <c r="P213" i="102"/>
  <c r="M213" i="102"/>
  <c r="T212" i="102"/>
  <c r="S212" i="102"/>
  <c r="Q212" i="102"/>
  <c r="P212" i="102"/>
  <c r="M212" i="102"/>
  <c r="T211" i="102"/>
  <c r="S211" i="102"/>
  <c r="Q211" i="102"/>
  <c r="P211" i="102"/>
  <c r="M211" i="102"/>
  <c r="T210" i="102"/>
  <c r="S210" i="102"/>
  <c r="Q210" i="102"/>
  <c r="P210" i="102"/>
  <c r="M210" i="102"/>
  <c r="T209" i="102"/>
  <c r="S209" i="102"/>
  <c r="Q209" i="102"/>
  <c r="P209" i="102"/>
  <c r="M209" i="102"/>
  <c r="T208" i="102"/>
  <c r="S208" i="102"/>
  <c r="Q208" i="102"/>
  <c r="P208" i="102"/>
  <c r="M208" i="102"/>
  <c r="T207" i="102"/>
  <c r="S207" i="102"/>
  <c r="Q207" i="102"/>
  <c r="P207" i="102"/>
  <c r="M207" i="102"/>
  <c r="T206" i="102"/>
  <c r="S206" i="102"/>
  <c r="Q206" i="102"/>
  <c r="P206" i="102"/>
  <c r="M206" i="102"/>
  <c r="T205" i="102"/>
  <c r="S205" i="102"/>
  <c r="Q205" i="102"/>
  <c r="P205" i="102"/>
  <c r="M205" i="102"/>
  <c r="T204" i="102"/>
  <c r="S204" i="102"/>
  <c r="Q204" i="102"/>
  <c r="P204" i="102"/>
  <c r="M204" i="102"/>
  <c r="T203" i="102"/>
  <c r="S203" i="102"/>
  <c r="Q203" i="102"/>
  <c r="P203" i="102"/>
  <c r="M203" i="102"/>
  <c r="T202" i="102"/>
  <c r="S202" i="102"/>
  <c r="Q202" i="102"/>
  <c r="P202" i="102"/>
  <c r="M202" i="102"/>
  <c r="T201" i="102"/>
  <c r="S201" i="102"/>
  <c r="Q201" i="102"/>
  <c r="P201" i="102"/>
  <c r="M201" i="102"/>
  <c r="T200" i="102"/>
  <c r="S200" i="102"/>
  <c r="Q200" i="102"/>
  <c r="P200" i="102"/>
  <c r="M200" i="102"/>
  <c r="T199" i="102"/>
  <c r="S199" i="102"/>
  <c r="Q199" i="102"/>
  <c r="P199" i="102"/>
  <c r="M199" i="102"/>
  <c r="T198" i="102"/>
  <c r="S198" i="102"/>
  <c r="Q198" i="102"/>
  <c r="P198" i="102"/>
  <c r="M198" i="102"/>
  <c r="T197" i="102"/>
  <c r="S197" i="102"/>
  <c r="Q197" i="102"/>
  <c r="P197" i="102"/>
  <c r="M197" i="102"/>
  <c r="T196" i="102"/>
  <c r="S196" i="102"/>
  <c r="Q196" i="102"/>
  <c r="P196" i="102"/>
  <c r="M196" i="102"/>
  <c r="T195" i="102"/>
  <c r="S195" i="102"/>
  <c r="Q195" i="102"/>
  <c r="P195" i="102"/>
  <c r="M195" i="102"/>
  <c r="T194" i="102"/>
  <c r="S194" i="102"/>
  <c r="Q194" i="102"/>
  <c r="P194" i="102"/>
  <c r="M194" i="102"/>
  <c r="T193" i="102"/>
  <c r="S193" i="102"/>
  <c r="Q193" i="102"/>
  <c r="P193" i="102"/>
  <c r="M193" i="102"/>
  <c r="T192" i="102"/>
  <c r="S192" i="102"/>
  <c r="Q192" i="102"/>
  <c r="P192" i="102"/>
  <c r="M192" i="102"/>
  <c r="T191" i="102"/>
  <c r="S191" i="102"/>
  <c r="Q191" i="102"/>
  <c r="P191" i="102"/>
  <c r="M191" i="102"/>
  <c r="T190" i="102"/>
  <c r="S190" i="102"/>
  <c r="Q190" i="102"/>
  <c r="P190" i="102"/>
  <c r="M190" i="102"/>
  <c r="T189" i="102"/>
  <c r="S189" i="102"/>
  <c r="Q189" i="102"/>
  <c r="P189" i="102"/>
  <c r="M189" i="102"/>
  <c r="T188" i="102"/>
  <c r="S188" i="102"/>
  <c r="Q188" i="102"/>
  <c r="P188" i="102"/>
  <c r="M188" i="102"/>
  <c r="T187" i="102"/>
  <c r="S187" i="102"/>
  <c r="Q187" i="102"/>
  <c r="P187" i="102"/>
  <c r="M187" i="102"/>
  <c r="T186" i="102"/>
  <c r="S186" i="102"/>
  <c r="Q186" i="102"/>
  <c r="P186" i="102"/>
  <c r="M186" i="102"/>
  <c r="T185" i="102"/>
  <c r="S185" i="102"/>
  <c r="Q185" i="102"/>
  <c r="P185" i="102"/>
  <c r="M185" i="102"/>
  <c r="T184" i="102"/>
  <c r="S184" i="102"/>
  <c r="Q184" i="102"/>
  <c r="P184" i="102"/>
  <c r="M184" i="102"/>
  <c r="T183" i="102"/>
  <c r="S183" i="102"/>
  <c r="Q183" i="102"/>
  <c r="P183" i="102"/>
  <c r="M183" i="102"/>
  <c r="T182" i="102"/>
  <c r="S182" i="102"/>
  <c r="Q182" i="102"/>
  <c r="P182" i="102"/>
  <c r="M182" i="102"/>
  <c r="T181" i="102"/>
  <c r="S181" i="102"/>
  <c r="Q181" i="102"/>
  <c r="P181" i="102"/>
  <c r="M181" i="102"/>
  <c r="T180" i="102"/>
  <c r="S180" i="102"/>
  <c r="Q180" i="102"/>
  <c r="P180" i="102"/>
  <c r="M180" i="102"/>
  <c r="T179" i="102"/>
  <c r="S179" i="102"/>
  <c r="Q179" i="102"/>
  <c r="P179" i="102"/>
  <c r="M179" i="102"/>
  <c r="T178" i="102"/>
  <c r="S178" i="102"/>
  <c r="Q178" i="102"/>
  <c r="P178" i="102"/>
  <c r="M178" i="102"/>
  <c r="T177" i="102"/>
  <c r="S177" i="102"/>
  <c r="Q177" i="102"/>
  <c r="P177" i="102"/>
  <c r="M177" i="102"/>
  <c r="T176" i="102"/>
  <c r="S176" i="102"/>
  <c r="Q176" i="102"/>
  <c r="P176" i="102"/>
  <c r="M176" i="102"/>
  <c r="T175" i="102"/>
  <c r="S175" i="102"/>
  <c r="Q175" i="102"/>
  <c r="P175" i="102"/>
  <c r="M175" i="102"/>
  <c r="T174" i="102"/>
  <c r="S174" i="102"/>
  <c r="Q174" i="102"/>
  <c r="P174" i="102"/>
  <c r="M174" i="102"/>
  <c r="T173" i="102"/>
  <c r="S173" i="102"/>
  <c r="Q173" i="102"/>
  <c r="P173" i="102"/>
  <c r="M173" i="102"/>
  <c r="T172" i="102"/>
  <c r="S172" i="102"/>
  <c r="Q172" i="102"/>
  <c r="P172" i="102"/>
  <c r="M172" i="102"/>
  <c r="T171" i="102"/>
  <c r="S171" i="102"/>
  <c r="Q171" i="102"/>
  <c r="P171" i="102"/>
  <c r="M171" i="102"/>
  <c r="T170" i="102"/>
  <c r="S170" i="102"/>
  <c r="Q170" i="102"/>
  <c r="P170" i="102"/>
  <c r="M170" i="102"/>
  <c r="T169" i="102"/>
  <c r="S169" i="102"/>
  <c r="Q169" i="102"/>
  <c r="P169" i="102"/>
  <c r="M169" i="102"/>
  <c r="T168" i="102"/>
  <c r="S168" i="102"/>
  <c r="Q168" i="102"/>
  <c r="P168" i="102"/>
  <c r="M168" i="102"/>
  <c r="T167" i="102"/>
  <c r="S167" i="102"/>
  <c r="Q167" i="102"/>
  <c r="P167" i="102"/>
  <c r="M167" i="102"/>
  <c r="T166" i="102"/>
  <c r="S166" i="102"/>
  <c r="Q166" i="102"/>
  <c r="P166" i="102"/>
  <c r="M166" i="102"/>
  <c r="T165" i="102"/>
  <c r="S165" i="102"/>
  <c r="Q165" i="102"/>
  <c r="P165" i="102"/>
  <c r="M165" i="102"/>
  <c r="T164" i="102"/>
  <c r="S164" i="102"/>
  <c r="Q164" i="102"/>
  <c r="P164" i="102"/>
  <c r="M164" i="102"/>
  <c r="T163" i="102"/>
  <c r="S163" i="102"/>
  <c r="Q163" i="102"/>
  <c r="P163" i="102"/>
  <c r="M163" i="102"/>
  <c r="T162" i="102"/>
  <c r="S162" i="102"/>
  <c r="Q162" i="102"/>
  <c r="P162" i="102"/>
  <c r="M162" i="102"/>
  <c r="T161" i="102"/>
  <c r="S161" i="102"/>
  <c r="Q161" i="102"/>
  <c r="P161" i="102"/>
  <c r="M161" i="102"/>
  <c r="T160" i="102"/>
  <c r="S160" i="102"/>
  <c r="Q160" i="102"/>
  <c r="P160" i="102"/>
  <c r="M160" i="102"/>
  <c r="T159" i="102"/>
  <c r="S159" i="102"/>
  <c r="Q159" i="102"/>
  <c r="P159" i="102"/>
  <c r="M159" i="102"/>
  <c r="T158" i="102"/>
  <c r="S158" i="102"/>
  <c r="Q158" i="102"/>
  <c r="P158" i="102"/>
  <c r="M158" i="102"/>
  <c r="T157" i="102"/>
  <c r="S157" i="102"/>
  <c r="Q157" i="102"/>
  <c r="P157" i="102"/>
  <c r="M157" i="102"/>
  <c r="T156" i="102"/>
  <c r="S156" i="102"/>
  <c r="Q156" i="102"/>
  <c r="P156" i="102"/>
  <c r="M156" i="102"/>
  <c r="T155" i="102"/>
  <c r="S155" i="102"/>
  <c r="Q155" i="102"/>
  <c r="P155" i="102"/>
  <c r="M155" i="102"/>
  <c r="T154" i="102"/>
  <c r="S154" i="102"/>
  <c r="Q154" i="102"/>
  <c r="P154" i="102"/>
  <c r="M154" i="102"/>
  <c r="T153" i="102"/>
  <c r="S153" i="102"/>
  <c r="Q153" i="102"/>
  <c r="P153" i="102"/>
  <c r="M153" i="102"/>
  <c r="T152" i="102"/>
  <c r="S152" i="102"/>
  <c r="Q152" i="102"/>
  <c r="P152" i="102"/>
  <c r="M152" i="102"/>
  <c r="T151" i="102"/>
  <c r="S151" i="102"/>
  <c r="Q151" i="102"/>
  <c r="P151" i="102"/>
  <c r="M151" i="102"/>
  <c r="T150" i="102"/>
  <c r="S150" i="102"/>
  <c r="Q150" i="102"/>
  <c r="P150" i="102"/>
  <c r="M150" i="102"/>
  <c r="T149" i="102"/>
  <c r="S149" i="102"/>
  <c r="Q149" i="102"/>
  <c r="P149" i="102"/>
  <c r="M149" i="102"/>
  <c r="T148" i="102"/>
  <c r="S148" i="102"/>
  <c r="Q148" i="102"/>
  <c r="P148" i="102"/>
  <c r="M148" i="102"/>
  <c r="T147" i="102"/>
  <c r="S147" i="102"/>
  <c r="Q147" i="102"/>
  <c r="P147" i="102"/>
  <c r="M147" i="102"/>
  <c r="T146" i="102"/>
  <c r="S146" i="102"/>
  <c r="Q146" i="102"/>
  <c r="P146" i="102"/>
  <c r="M146" i="102"/>
  <c r="T145" i="102"/>
  <c r="S145" i="102"/>
  <c r="Q145" i="102"/>
  <c r="P145" i="102"/>
  <c r="M145" i="102"/>
  <c r="T144" i="102"/>
  <c r="S144" i="102"/>
  <c r="Q144" i="102"/>
  <c r="P144" i="102"/>
  <c r="M144" i="102"/>
  <c r="T143" i="102"/>
  <c r="S143" i="102"/>
  <c r="Q143" i="102"/>
  <c r="P143" i="102"/>
  <c r="M143" i="102"/>
  <c r="T142" i="102"/>
  <c r="S142" i="102"/>
  <c r="Q142" i="102"/>
  <c r="P142" i="102"/>
  <c r="M142" i="102"/>
  <c r="T141" i="102"/>
  <c r="S141" i="102"/>
  <c r="Q141" i="102"/>
  <c r="P141" i="102"/>
  <c r="M141" i="102"/>
  <c r="T140" i="102"/>
  <c r="S140" i="102"/>
  <c r="Q140" i="102"/>
  <c r="P140" i="102"/>
  <c r="M140" i="102"/>
  <c r="T139" i="102"/>
  <c r="S139" i="102"/>
  <c r="Q139" i="102"/>
  <c r="P139" i="102"/>
  <c r="M139" i="102"/>
  <c r="T138" i="102"/>
  <c r="S138" i="102"/>
  <c r="Q138" i="102"/>
  <c r="P138" i="102"/>
  <c r="M138" i="102"/>
  <c r="T137" i="102"/>
  <c r="S137" i="102"/>
  <c r="Q137" i="102"/>
  <c r="P137" i="102"/>
  <c r="M137" i="102"/>
  <c r="T136" i="102"/>
  <c r="S136" i="102"/>
  <c r="Q136" i="102"/>
  <c r="P136" i="102"/>
  <c r="M136" i="102"/>
  <c r="T135" i="102"/>
  <c r="S135" i="102"/>
  <c r="Q135" i="102"/>
  <c r="P135" i="102"/>
  <c r="M135" i="102"/>
  <c r="T134" i="102"/>
  <c r="S134" i="102"/>
  <c r="Q134" i="102"/>
  <c r="P134" i="102"/>
  <c r="M134" i="102"/>
  <c r="T133" i="102"/>
  <c r="S133" i="102"/>
  <c r="Q133" i="102"/>
  <c r="P133" i="102"/>
  <c r="M133" i="102"/>
  <c r="T132" i="102"/>
  <c r="S132" i="102"/>
  <c r="Q132" i="102"/>
  <c r="P132" i="102"/>
  <c r="M132" i="102"/>
  <c r="T131" i="102"/>
  <c r="S131" i="102"/>
  <c r="Q131" i="102"/>
  <c r="P131" i="102"/>
  <c r="M131" i="102"/>
  <c r="T130" i="102"/>
  <c r="S130" i="102"/>
  <c r="Q130" i="102"/>
  <c r="P130" i="102"/>
  <c r="M130" i="102"/>
  <c r="T129" i="102"/>
  <c r="S129" i="102"/>
  <c r="Q129" i="102"/>
  <c r="P129" i="102"/>
  <c r="M129" i="102"/>
  <c r="T128" i="102"/>
  <c r="S128" i="102"/>
  <c r="Q128" i="102"/>
  <c r="P128" i="102"/>
  <c r="M128" i="102"/>
  <c r="T127" i="102"/>
  <c r="S127" i="102"/>
  <c r="Q127" i="102"/>
  <c r="P127" i="102"/>
  <c r="M127" i="102"/>
  <c r="T126" i="102"/>
  <c r="S126" i="102"/>
  <c r="Q126" i="102"/>
  <c r="P126" i="102"/>
  <c r="M126" i="102"/>
  <c r="T125" i="102"/>
  <c r="S125" i="102"/>
  <c r="Q125" i="102"/>
  <c r="P125" i="102"/>
  <c r="M125" i="102"/>
  <c r="T124" i="102"/>
  <c r="S124" i="102"/>
  <c r="Q124" i="102"/>
  <c r="P124" i="102"/>
  <c r="M124" i="102"/>
  <c r="T123" i="102"/>
  <c r="S123" i="102"/>
  <c r="Q123" i="102"/>
  <c r="P123" i="102"/>
  <c r="M123" i="102"/>
  <c r="T122" i="102"/>
  <c r="S122" i="102"/>
  <c r="Q122" i="102"/>
  <c r="P122" i="102"/>
  <c r="M122" i="102"/>
  <c r="T121" i="102"/>
  <c r="S121" i="102"/>
  <c r="Q121" i="102"/>
  <c r="P121" i="102"/>
  <c r="M121" i="102"/>
  <c r="T120" i="102"/>
  <c r="S120" i="102"/>
  <c r="Q120" i="102"/>
  <c r="P120" i="102"/>
  <c r="M120" i="102"/>
  <c r="T119" i="102"/>
  <c r="S119" i="102"/>
  <c r="Q119" i="102"/>
  <c r="P119" i="102"/>
  <c r="M119" i="102"/>
  <c r="T118" i="102"/>
  <c r="S118" i="102"/>
  <c r="Q118" i="102"/>
  <c r="P118" i="102"/>
  <c r="M118" i="102"/>
  <c r="T117" i="102"/>
  <c r="S117" i="102"/>
  <c r="Q117" i="102"/>
  <c r="P117" i="102"/>
  <c r="M117" i="102"/>
  <c r="T116" i="102"/>
  <c r="S116" i="102"/>
  <c r="Q116" i="102"/>
  <c r="P116" i="102"/>
  <c r="M116" i="102"/>
  <c r="T115" i="102"/>
  <c r="S115" i="102"/>
  <c r="Q115" i="102"/>
  <c r="P115" i="102"/>
  <c r="M115" i="102"/>
  <c r="T114" i="102"/>
  <c r="S114" i="102"/>
  <c r="Q114" i="102"/>
  <c r="P114" i="102"/>
  <c r="M114" i="102"/>
  <c r="T113" i="102"/>
  <c r="S113" i="102"/>
  <c r="Q113" i="102"/>
  <c r="P113" i="102"/>
  <c r="M113" i="102"/>
  <c r="T112" i="102"/>
  <c r="S112" i="102"/>
  <c r="Q112" i="102"/>
  <c r="P112" i="102"/>
  <c r="M112" i="102"/>
  <c r="T111" i="102"/>
  <c r="S111" i="102"/>
  <c r="Q111" i="102"/>
  <c r="P111" i="102"/>
  <c r="M111" i="102"/>
  <c r="T110" i="102"/>
  <c r="S110" i="102"/>
  <c r="Q110" i="102"/>
  <c r="P110" i="102"/>
  <c r="M110" i="102"/>
  <c r="T109" i="102"/>
  <c r="S109" i="102"/>
  <c r="Q109" i="102"/>
  <c r="P109" i="102"/>
  <c r="M109" i="102"/>
  <c r="T108" i="102"/>
  <c r="S108" i="102"/>
  <c r="Q108" i="102"/>
  <c r="P108" i="102"/>
  <c r="M108" i="102"/>
  <c r="T107" i="102"/>
  <c r="S107" i="102"/>
  <c r="Q107" i="102"/>
  <c r="P107" i="102"/>
  <c r="M107" i="102"/>
  <c r="T106" i="102"/>
  <c r="S106" i="102"/>
  <c r="Q106" i="102"/>
  <c r="P106" i="102"/>
  <c r="M106" i="102"/>
  <c r="T105" i="102"/>
  <c r="S105" i="102"/>
  <c r="Q105" i="102"/>
  <c r="P105" i="102"/>
  <c r="M105" i="102"/>
  <c r="T104" i="102"/>
  <c r="S104" i="102"/>
  <c r="Q104" i="102"/>
  <c r="P104" i="102"/>
  <c r="M104" i="102"/>
  <c r="T103" i="102"/>
  <c r="S103" i="102"/>
  <c r="Q103" i="102"/>
  <c r="P103" i="102"/>
  <c r="M103" i="102"/>
  <c r="T102" i="102"/>
  <c r="S102" i="102"/>
  <c r="Q102" i="102"/>
  <c r="P102" i="102"/>
  <c r="M102" i="102"/>
  <c r="T101" i="102"/>
  <c r="S101" i="102"/>
  <c r="Q101" i="102"/>
  <c r="P101" i="102"/>
  <c r="M101" i="102"/>
  <c r="T100" i="102"/>
  <c r="S100" i="102"/>
  <c r="Q100" i="102"/>
  <c r="P100" i="102"/>
  <c r="M100" i="102"/>
  <c r="T99" i="102"/>
  <c r="S99" i="102"/>
  <c r="Q99" i="102"/>
  <c r="P99" i="102"/>
  <c r="M99" i="102"/>
  <c r="T98" i="102"/>
  <c r="S98" i="102"/>
  <c r="Q98" i="102"/>
  <c r="P98" i="102"/>
  <c r="M98" i="102"/>
  <c r="T97" i="102"/>
  <c r="S97" i="102"/>
  <c r="Q97" i="102"/>
  <c r="P97" i="102"/>
  <c r="M97" i="102"/>
  <c r="T96" i="102"/>
  <c r="S96" i="102"/>
  <c r="Q96" i="102"/>
  <c r="P96" i="102"/>
  <c r="M96" i="102"/>
  <c r="T95" i="102"/>
  <c r="S95" i="102"/>
  <c r="Q95" i="102"/>
  <c r="P95" i="102"/>
  <c r="M95" i="102"/>
  <c r="T94" i="102"/>
  <c r="S94" i="102"/>
  <c r="Q94" i="102"/>
  <c r="P94" i="102"/>
  <c r="M94" i="102"/>
  <c r="T93" i="102"/>
  <c r="S93" i="102"/>
  <c r="Q93" i="102"/>
  <c r="P93" i="102"/>
  <c r="M93" i="102"/>
  <c r="T92" i="102"/>
  <c r="S92" i="102"/>
  <c r="Q92" i="102"/>
  <c r="P92" i="102"/>
  <c r="M92" i="102"/>
  <c r="T91" i="102"/>
  <c r="AH303" i="122" s="1"/>
  <c r="S91" i="102"/>
  <c r="Q91" i="102"/>
  <c r="P91" i="102"/>
  <c r="M91" i="102"/>
  <c r="T90" i="102"/>
  <c r="S90" i="102"/>
  <c r="Q90" i="102"/>
  <c r="P90" i="102"/>
  <c r="T691" i="102"/>
  <c r="T690" i="102"/>
  <c r="T689" i="102"/>
  <c r="T688" i="102"/>
  <c r="T89" i="102"/>
  <c r="T88" i="102"/>
  <c r="T87" i="102"/>
  <c r="T86" i="102"/>
  <c r="T85" i="102"/>
  <c r="T84" i="102"/>
  <c r="T83" i="102"/>
  <c r="T82" i="102"/>
  <c r="T81" i="102"/>
  <c r="T80" i="102"/>
  <c r="T79" i="102"/>
  <c r="T78" i="102"/>
  <c r="T77" i="102"/>
  <c r="T76" i="102"/>
  <c r="T75" i="102"/>
  <c r="T74" i="102"/>
  <c r="T73" i="102"/>
  <c r="T72" i="102"/>
  <c r="T71" i="102"/>
  <c r="T70" i="102"/>
  <c r="T69" i="102"/>
  <c r="T68" i="102"/>
  <c r="T67" i="102"/>
  <c r="T66" i="102"/>
  <c r="T65" i="102"/>
  <c r="T64" i="102"/>
  <c r="T63" i="102"/>
  <c r="T62" i="102"/>
  <c r="T61" i="102"/>
  <c r="T60" i="102"/>
  <c r="T59" i="102"/>
  <c r="T58" i="102"/>
  <c r="T57" i="102"/>
  <c r="T56" i="102"/>
  <c r="T53" i="102"/>
  <c r="T52" i="102"/>
  <c r="T51" i="102"/>
  <c r="T50" i="102"/>
  <c r="T49" i="102"/>
  <c r="T48" i="102"/>
  <c r="T47" i="102"/>
  <c r="T46" i="102"/>
  <c r="T45" i="102"/>
  <c r="T44" i="102"/>
  <c r="T40" i="102"/>
  <c r="T39" i="102"/>
  <c r="T38" i="102"/>
  <c r="T37" i="102"/>
  <c r="T34" i="102"/>
  <c r="T33" i="102"/>
  <c r="T32" i="102"/>
  <c r="T31" i="102"/>
  <c r="T30" i="102"/>
  <c r="T29" i="102"/>
  <c r="T28" i="102"/>
  <c r="T27" i="102"/>
  <c r="T23" i="102"/>
  <c r="T22" i="102"/>
  <c r="T21" i="102"/>
  <c r="T10" i="102"/>
  <c r="T9" i="102"/>
  <c r="T8" i="102"/>
  <c r="T4" i="102"/>
  <c r="S9" i="122"/>
  <c r="S88" i="133"/>
  <c r="R88" i="133"/>
  <c r="Q88" i="133"/>
  <c r="P88" i="133"/>
  <c r="M88" i="133"/>
  <c r="K88" i="133"/>
  <c r="J88" i="133"/>
  <c r="I88" i="133"/>
  <c r="S87" i="133"/>
  <c r="R87" i="133"/>
  <c r="Q87" i="133"/>
  <c r="P87" i="133"/>
  <c r="M87" i="133"/>
  <c r="K87" i="133"/>
  <c r="J87" i="133"/>
  <c r="I87" i="133"/>
  <c r="S86" i="133"/>
  <c r="R86" i="133"/>
  <c r="Q86" i="133"/>
  <c r="P86" i="133"/>
  <c r="M86" i="133"/>
  <c r="K86" i="133"/>
  <c r="J86" i="133"/>
  <c r="I86" i="133"/>
  <c r="S85" i="133"/>
  <c r="R85" i="133"/>
  <c r="Q85" i="133"/>
  <c r="P85" i="133"/>
  <c r="M85" i="133"/>
  <c r="K85" i="133"/>
  <c r="J85" i="133"/>
  <c r="I85" i="133"/>
  <c r="S84" i="133"/>
  <c r="R84" i="133"/>
  <c r="Q84" i="133"/>
  <c r="P84" i="133"/>
  <c r="M84" i="133"/>
  <c r="K84" i="133"/>
  <c r="J84" i="133"/>
  <c r="I84" i="133"/>
  <c r="S83" i="133"/>
  <c r="R83" i="133"/>
  <c r="Q83" i="133"/>
  <c r="P83" i="133"/>
  <c r="M83" i="133"/>
  <c r="K83" i="133"/>
  <c r="J83" i="133"/>
  <c r="I83" i="133"/>
  <c r="S82" i="133"/>
  <c r="R82" i="133"/>
  <c r="Q82" i="133"/>
  <c r="P82" i="133"/>
  <c r="M82" i="133"/>
  <c r="K82" i="133"/>
  <c r="J82" i="133"/>
  <c r="I82" i="133"/>
  <c r="S81" i="133"/>
  <c r="R81" i="133"/>
  <c r="Q81" i="133"/>
  <c r="P81" i="133"/>
  <c r="M81" i="133"/>
  <c r="K81" i="133"/>
  <c r="J81" i="133"/>
  <c r="I81" i="133"/>
  <c r="S80" i="133"/>
  <c r="R80" i="133"/>
  <c r="Q80" i="133"/>
  <c r="P80" i="133"/>
  <c r="M80" i="133"/>
  <c r="K80" i="133"/>
  <c r="J80" i="133"/>
  <c r="I80" i="133"/>
  <c r="S79" i="133"/>
  <c r="R79" i="133"/>
  <c r="Q79" i="133"/>
  <c r="P79" i="133"/>
  <c r="M79" i="133"/>
  <c r="K79" i="133"/>
  <c r="J79" i="133"/>
  <c r="I79" i="133"/>
  <c r="S78" i="133"/>
  <c r="R78" i="133"/>
  <c r="Q78" i="133"/>
  <c r="P78" i="133"/>
  <c r="M78" i="133"/>
  <c r="K78" i="133"/>
  <c r="J78" i="133"/>
  <c r="I78" i="133"/>
  <c r="S77" i="133"/>
  <c r="R77" i="133"/>
  <c r="Q77" i="133"/>
  <c r="P77" i="133"/>
  <c r="M77" i="133"/>
  <c r="K77" i="133"/>
  <c r="J77" i="133"/>
  <c r="I77" i="133"/>
  <c r="S76" i="133"/>
  <c r="R76" i="133"/>
  <c r="Q76" i="133"/>
  <c r="P76" i="133"/>
  <c r="M76" i="133"/>
  <c r="K76" i="133"/>
  <c r="J76" i="133"/>
  <c r="I76" i="133"/>
  <c r="S75" i="133"/>
  <c r="R75" i="133"/>
  <c r="Q75" i="133"/>
  <c r="P75" i="133"/>
  <c r="M75" i="133"/>
  <c r="K75" i="133"/>
  <c r="J75" i="133"/>
  <c r="I75" i="133"/>
  <c r="S74" i="133"/>
  <c r="R74" i="133"/>
  <c r="Q74" i="133"/>
  <c r="P74" i="133"/>
  <c r="M74" i="133"/>
  <c r="K74" i="133"/>
  <c r="J74" i="133"/>
  <c r="I74" i="133"/>
  <c r="S73" i="133"/>
  <c r="R73" i="133"/>
  <c r="Q73" i="133"/>
  <c r="P73" i="133"/>
  <c r="M73" i="133"/>
  <c r="K73" i="133"/>
  <c r="J73" i="133"/>
  <c r="I73" i="133"/>
  <c r="S72" i="133"/>
  <c r="R72" i="133"/>
  <c r="Q72" i="133"/>
  <c r="P72" i="133"/>
  <c r="M72" i="133"/>
  <c r="K72" i="133"/>
  <c r="J72" i="133"/>
  <c r="I72" i="133"/>
  <c r="S71" i="133"/>
  <c r="R71" i="133"/>
  <c r="Q71" i="133"/>
  <c r="P71" i="133"/>
  <c r="M71" i="133"/>
  <c r="K71" i="133"/>
  <c r="J71" i="133"/>
  <c r="I71" i="133"/>
  <c r="S70" i="133"/>
  <c r="R70" i="133"/>
  <c r="Q70" i="133"/>
  <c r="P70" i="133"/>
  <c r="M70" i="133"/>
  <c r="K70" i="133"/>
  <c r="J70" i="133"/>
  <c r="I70" i="133"/>
  <c r="S69" i="133"/>
  <c r="R69" i="133"/>
  <c r="Q69" i="133"/>
  <c r="P69" i="133"/>
  <c r="M69" i="133"/>
  <c r="K69" i="133"/>
  <c r="J69" i="133"/>
  <c r="I69" i="133"/>
  <c r="S68" i="133"/>
  <c r="R68" i="133"/>
  <c r="Q68" i="133"/>
  <c r="P68" i="133"/>
  <c r="M68" i="133"/>
  <c r="K68" i="133"/>
  <c r="J68" i="133"/>
  <c r="I68" i="133"/>
  <c r="S67" i="133"/>
  <c r="R67" i="133"/>
  <c r="Q67" i="133"/>
  <c r="P67" i="133"/>
  <c r="M67" i="133"/>
  <c r="K67" i="133"/>
  <c r="J67" i="133"/>
  <c r="I67" i="133"/>
  <c r="S66" i="133"/>
  <c r="R66" i="133"/>
  <c r="Q66" i="133"/>
  <c r="P66" i="133"/>
  <c r="M66" i="133"/>
  <c r="K66" i="133"/>
  <c r="J66" i="133"/>
  <c r="I66" i="133"/>
  <c r="S65" i="133"/>
  <c r="R65" i="133"/>
  <c r="Q65" i="133"/>
  <c r="P65" i="133"/>
  <c r="M65" i="133"/>
  <c r="K65" i="133"/>
  <c r="J65" i="133"/>
  <c r="I65" i="133"/>
  <c r="S64" i="133"/>
  <c r="R64" i="133"/>
  <c r="Q64" i="133"/>
  <c r="P64" i="133"/>
  <c r="M64" i="133"/>
  <c r="K64" i="133"/>
  <c r="J64" i="133"/>
  <c r="I64" i="133"/>
  <c r="S63" i="133"/>
  <c r="R63" i="133"/>
  <c r="Q63" i="133"/>
  <c r="P63" i="133"/>
  <c r="M63" i="133"/>
  <c r="K63" i="133"/>
  <c r="J63" i="133"/>
  <c r="I63" i="133"/>
  <c r="S62" i="133"/>
  <c r="R62" i="133"/>
  <c r="Q62" i="133"/>
  <c r="P62" i="133"/>
  <c r="M62" i="133"/>
  <c r="K62" i="133"/>
  <c r="J62" i="133"/>
  <c r="I62" i="133"/>
  <c r="S61" i="133"/>
  <c r="R61" i="133"/>
  <c r="Q61" i="133"/>
  <c r="P61" i="133"/>
  <c r="M61" i="133"/>
  <c r="K61" i="133"/>
  <c r="J61" i="133"/>
  <c r="I61" i="133"/>
  <c r="S60" i="133"/>
  <c r="R60" i="133"/>
  <c r="Q60" i="133"/>
  <c r="P60" i="133"/>
  <c r="M60" i="133"/>
  <c r="K60" i="133"/>
  <c r="J60" i="133"/>
  <c r="I60" i="133"/>
  <c r="S59" i="133"/>
  <c r="R59" i="133"/>
  <c r="Q59" i="133"/>
  <c r="P59" i="133"/>
  <c r="M59" i="133"/>
  <c r="K59" i="133"/>
  <c r="J59" i="133"/>
  <c r="I59" i="133"/>
  <c r="S58" i="133"/>
  <c r="R58" i="133"/>
  <c r="Q58" i="133"/>
  <c r="P58" i="133"/>
  <c r="M58" i="133"/>
  <c r="K58" i="133"/>
  <c r="J58" i="133"/>
  <c r="I58" i="133"/>
  <c r="S57" i="133"/>
  <c r="R57" i="133"/>
  <c r="Q57" i="133"/>
  <c r="P57" i="133"/>
  <c r="M57" i="133"/>
  <c r="K57" i="133"/>
  <c r="J57" i="133"/>
  <c r="I57" i="133"/>
  <c r="S56" i="133"/>
  <c r="R56" i="133"/>
  <c r="Q56" i="133"/>
  <c r="P56" i="133"/>
  <c r="M56" i="133"/>
  <c r="K56" i="133"/>
  <c r="J56" i="133"/>
  <c r="I56" i="133"/>
  <c r="S55" i="133"/>
  <c r="R55" i="133"/>
  <c r="Q55" i="133"/>
  <c r="P55" i="133"/>
  <c r="M55" i="133"/>
  <c r="K55" i="133"/>
  <c r="J55" i="133"/>
  <c r="I55" i="133"/>
  <c r="S54" i="133"/>
  <c r="R54" i="133"/>
  <c r="Q54" i="133"/>
  <c r="P54" i="133"/>
  <c r="M54" i="133"/>
  <c r="K54" i="133"/>
  <c r="J54" i="133"/>
  <c r="I54" i="133"/>
  <c r="S53" i="133"/>
  <c r="R53" i="133"/>
  <c r="Q53" i="133"/>
  <c r="P53" i="133"/>
  <c r="M53" i="133"/>
  <c r="K53" i="133"/>
  <c r="J53" i="133"/>
  <c r="I53" i="133"/>
  <c r="S52" i="133"/>
  <c r="R52" i="133"/>
  <c r="Q52" i="133"/>
  <c r="P52" i="133"/>
  <c r="M52" i="133"/>
  <c r="K52" i="133"/>
  <c r="J52" i="133"/>
  <c r="I52" i="133"/>
  <c r="S51" i="133"/>
  <c r="R51" i="133"/>
  <c r="Q51" i="133"/>
  <c r="P51" i="133"/>
  <c r="M51" i="133"/>
  <c r="K51" i="133"/>
  <c r="J51" i="133"/>
  <c r="I51" i="133"/>
  <c r="S50" i="133"/>
  <c r="R50" i="133"/>
  <c r="Q50" i="133"/>
  <c r="P50" i="133"/>
  <c r="M50" i="133"/>
  <c r="K50" i="133"/>
  <c r="J50" i="133"/>
  <c r="I50" i="133"/>
  <c r="S49" i="133"/>
  <c r="R49" i="133"/>
  <c r="Q49" i="133"/>
  <c r="P49" i="133"/>
  <c r="M49" i="133"/>
  <c r="K49" i="133"/>
  <c r="J49" i="133"/>
  <c r="I49" i="133"/>
  <c r="S48" i="133"/>
  <c r="R48" i="133"/>
  <c r="Q48" i="133"/>
  <c r="P48" i="133"/>
  <c r="M48" i="133"/>
  <c r="K48" i="133"/>
  <c r="J48" i="133"/>
  <c r="I48" i="133"/>
  <c r="S47" i="133"/>
  <c r="R47" i="133"/>
  <c r="Q47" i="133"/>
  <c r="P47" i="133"/>
  <c r="M47" i="133"/>
  <c r="K47" i="133"/>
  <c r="J47" i="133"/>
  <c r="I47" i="133"/>
  <c r="S46" i="133"/>
  <c r="R46" i="133"/>
  <c r="Q46" i="133"/>
  <c r="P46" i="133"/>
  <c r="M46" i="133"/>
  <c r="K46" i="133"/>
  <c r="J46" i="133"/>
  <c r="I46" i="133"/>
  <c r="S45" i="133"/>
  <c r="R45" i="133"/>
  <c r="Q45" i="133"/>
  <c r="P45" i="133"/>
  <c r="M45" i="133"/>
  <c r="K45" i="133"/>
  <c r="J45" i="133"/>
  <c r="I45" i="133"/>
  <c r="S44" i="133"/>
  <c r="R44" i="133"/>
  <c r="Q44" i="133"/>
  <c r="P44" i="133"/>
  <c r="M44" i="133"/>
  <c r="K44" i="133"/>
  <c r="J44" i="133"/>
  <c r="I44" i="133"/>
  <c r="S43" i="133"/>
  <c r="R43" i="133"/>
  <c r="Q43" i="133"/>
  <c r="P43" i="133"/>
  <c r="M43" i="133"/>
  <c r="K43" i="133"/>
  <c r="J43" i="133"/>
  <c r="I43" i="133"/>
  <c r="S42" i="133"/>
  <c r="R42" i="133"/>
  <c r="Q42" i="133"/>
  <c r="P42" i="133"/>
  <c r="M42" i="133"/>
  <c r="K42" i="133"/>
  <c r="J42" i="133"/>
  <c r="I42" i="133"/>
  <c r="S41" i="133"/>
  <c r="R41" i="133"/>
  <c r="Q41" i="133"/>
  <c r="P41" i="133"/>
  <c r="M41" i="133"/>
  <c r="K41" i="133"/>
  <c r="J41" i="133"/>
  <c r="I41" i="133"/>
  <c r="S40" i="133"/>
  <c r="R40" i="133"/>
  <c r="Q40" i="133"/>
  <c r="P40" i="133"/>
  <c r="M40" i="133"/>
  <c r="K40" i="133"/>
  <c r="J40" i="133"/>
  <c r="I40" i="133"/>
  <c r="S39" i="133"/>
  <c r="R39" i="133"/>
  <c r="Q39" i="133"/>
  <c r="P39" i="133"/>
  <c r="M39" i="133"/>
  <c r="K39" i="133"/>
  <c r="J39" i="133"/>
  <c r="I39" i="133"/>
  <c r="S38" i="133"/>
  <c r="R38" i="133"/>
  <c r="Q38" i="133"/>
  <c r="P38" i="133"/>
  <c r="M38" i="133"/>
  <c r="K38" i="133"/>
  <c r="J38" i="133"/>
  <c r="I38" i="133"/>
  <c r="S37" i="133"/>
  <c r="R37" i="133"/>
  <c r="Q37" i="133"/>
  <c r="P37" i="133"/>
  <c r="M37" i="133"/>
  <c r="K37" i="133"/>
  <c r="J37" i="133"/>
  <c r="I37" i="133"/>
  <c r="S36" i="133"/>
  <c r="R36" i="133"/>
  <c r="Q36" i="133"/>
  <c r="P36" i="133"/>
  <c r="M36" i="133"/>
  <c r="K36" i="133"/>
  <c r="J36" i="133"/>
  <c r="I36" i="133"/>
  <c r="S35" i="133"/>
  <c r="R35" i="133"/>
  <c r="Q35" i="133"/>
  <c r="P35" i="133"/>
  <c r="M35" i="133"/>
  <c r="K35" i="133"/>
  <c r="J35" i="133"/>
  <c r="I35" i="133"/>
  <c r="S34" i="133"/>
  <c r="R34" i="133"/>
  <c r="Q34" i="133"/>
  <c r="P34" i="133"/>
  <c r="M34" i="133"/>
  <c r="K34" i="133"/>
  <c r="J34" i="133"/>
  <c r="I34" i="133"/>
  <c r="S33" i="133"/>
  <c r="R33" i="133"/>
  <c r="Q33" i="133"/>
  <c r="P33" i="133"/>
  <c r="M33" i="133"/>
  <c r="K33" i="133"/>
  <c r="J33" i="133"/>
  <c r="I33" i="133"/>
  <c r="S32" i="133"/>
  <c r="R32" i="133"/>
  <c r="Q32" i="133"/>
  <c r="P32" i="133"/>
  <c r="M32" i="133"/>
  <c r="K32" i="133"/>
  <c r="J32" i="133"/>
  <c r="I32" i="133"/>
  <c r="S31" i="133"/>
  <c r="R31" i="133"/>
  <c r="Q31" i="133"/>
  <c r="P31" i="133"/>
  <c r="M31" i="133"/>
  <c r="K31" i="133"/>
  <c r="J31" i="133"/>
  <c r="I31" i="133"/>
  <c r="S30" i="133"/>
  <c r="R30" i="133"/>
  <c r="Q30" i="133"/>
  <c r="P30" i="133"/>
  <c r="M30" i="133"/>
  <c r="K30" i="133"/>
  <c r="J30" i="133"/>
  <c r="I30" i="133"/>
  <c r="S29" i="133"/>
  <c r="R29" i="133"/>
  <c r="Q29" i="133"/>
  <c r="P29" i="133"/>
  <c r="M29" i="133"/>
  <c r="K29" i="133"/>
  <c r="J29" i="133"/>
  <c r="I29" i="133"/>
  <c r="S28" i="133"/>
  <c r="R28" i="133"/>
  <c r="Q28" i="133"/>
  <c r="P28" i="133"/>
  <c r="M28" i="133"/>
  <c r="K28" i="133"/>
  <c r="J28" i="133"/>
  <c r="I28" i="133"/>
  <c r="S27" i="133"/>
  <c r="R27" i="133"/>
  <c r="Q27" i="133"/>
  <c r="P27" i="133"/>
  <c r="M27" i="133"/>
  <c r="K27" i="133"/>
  <c r="J27" i="133"/>
  <c r="I27" i="133"/>
  <c r="S26" i="133"/>
  <c r="R26" i="133"/>
  <c r="Q26" i="133"/>
  <c r="P26" i="133"/>
  <c r="M26" i="133"/>
  <c r="K26" i="133"/>
  <c r="J26" i="133"/>
  <c r="I26" i="133"/>
  <c r="S25" i="133"/>
  <c r="R25" i="133"/>
  <c r="Q25" i="133"/>
  <c r="P25" i="133"/>
  <c r="M25" i="133"/>
  <c r="K25" i="133"/>
  <c r="J25" i="133"/>
  <c r="I25" i="133"/>
  <c r="S24" i="133"/>
  <c r="R24" i="133"/>
  <c r="Q24" i="133"/>
  <c r="P24" i="133"/>
  <c r="M24" i="133"/>
  <c r="K24" i="133"/>
  <c r="J24" i="133"/>
  <c r="I24" i="133"/>
  <c r="S23" i="133"/>
  <c r="R23" i="133"/>
  <c r="Q23" i="133"/>
  <c r="P23" i="133"/>
  <c r="M23" i="133"/>
  <c r="K23" i="133"/>
  <c r="J23" i="133"/>
  <c r="I23" i="133"/>
  <c r="S22" i="133"/>
  <c r="R22" i="133"/>
  <c r="Q22" i="133"/>
  <c r="P22" i="133"/>
  <c r="M22" i="133"/>
  <c r="K22" i="133"/>
  <c r="J22" i="133"/>
  <c r="I22" i="133"/>
  <c r="S21" i="133"/>
  <c r="R21" i="133"/>
  <c r="Q21" i="133"/>
  <c r="P21" i="133"/>
  <c r="M21" i="133"/>
  <c r="K21" i="133"/>
  <c r="J21" i="133"/>
  <c r="I21" i="133"/>
  <c r="S20" i="133"/>
  <c r="R20" i="133"/>
  <c r="Q20" i="133"/>
  <c r="P20" i="133"/>
  <c r="M20" i="133"/>
  <c r="K20" i="133"/>
  <c r="J20" i="133"/>
  <c r="I20" i="133"/>
  <c r="S19" i="133"/>
  <c r="R19" i="133"/>
  <c r="Q19" i="133"/>
  <c r="P19" i="133"/>
  <c r="M19" i="133"/>
  <c r="K19" i="133"/>
  <c r="J19" i="133"/>
  <c r="I19" i="133"/>
  <c r="S18" i="133"/>
  <c r="R18" i="133"/>
  <c r="Q18" i="133"/>
  <c r="P18" i="133"/>
  <c r="M18" i="133"/>
  <c r="K18" i="133"/>
  <c r="J18" i="133"/>
  <c r="I18" i="133"/>
  <c r="S17" i="133"/>
  <c r="R17" i="133"/>
  <c r="Q17" i="133"/>
  <c r="P17" i="133"/>
  <c r="M17" i="133"/>
  <c r="K17" i="133"/>
  <c r="J17" i="133"/>
  <c r="I17" i="133"/>
  <c r="S16" i="133"/>
  <c r="R16" i="133"/>
  <c r="Q16" i="133"/>
  <c r="P16" i="133"/>
  <c r="M16" i="133"/>
  <c r="K16" i="133"/>
  <c r="J16" i="133"/>
  <c r="I16" i="133"/>
  <c r="S15" i="133"/>
  <c r="R15" i="133"/>
  <c r="Q15" i="133"/>
  <c r="P15" i="133"/>
  <c r="M15" i="133"/>
  <c r="K15" i="133"/>
  <c r="J15" i="133"/>
  <c r="I15" i="133"/>
  <c r="S14" i="133"/>
  <c r="R14" i="133"/>
  <c r="Q14" i="133"/>
  <c r="P14" i="133"/>
  <c r="M14" i="133"/>
  <c r="K14" i="133"/>
  <c r="J14" i="133"/>
  <c r="I14" i="133"/>
  <c r="S13" i="133"/>
  <c r="R13" i="133"/>
  <c r="Q13" i="133"/>
  <c r="P13" i="133"/>
  <c r="M13" i="133"/>
  <c r="K13" i="133"/>
  <c r="J13" i="133"/>
  <c r="I13" i="133"/>
  <c r="S12" i="133"/>
  <c r="R12" i="133"/>
  <c r="Q12" i="133"/>
  <c r="P12" i="133"/>
  <c r="M12" i="133"/>
  <c r="K12" i="133"/>
  <c r="J12" i="133"/>
  <c r="I12" i="133"/>
  <c r="S11" i="133"/>
  <c r="R11" i="133"/>
  <c r="Q11" i="133"/>
  <c r="P11" i="133"/>
  <c r="M11" i="133"/>
  <c r="K11" i="133"/>
  <c r="J11" i="133"/>
  <c r="I11" i="133"/>
  <c r="S10" i="133"/>
  <c r="R10" i="133"/>
  <c r="Q10" i="133"/>
  <c r="P10" i="133"/>
  <c r="M10" i="133"/>
  <c r="K10" i="133"/>
  <c r="J10" i="133"/>
  <c r="I10" i="133"/>
  <c r="S9" i="133"/>
  <c r="R9" i="133"/>
  <c r="Q9" i="133"/>
  <c r="P9" i="133"/>
  <c r="M9" i="133"/>
  <c r="K9" i="133"/>
  <c r="J9" i="133"/>
  <c r="I9" i="133"/>
  <c r="R8" i="133"/>
  <c r="J7" i="133"/>
  <c r="R7" i="133"/>
  <c r="J6" i="133"/>
  <c r="R6" i="133"/>
  <c r="R5" i="133"/>
  <c r="J4" i="133"/>
  <c r="E2" i="133"/>
  <c r="S4" i="133" s="1"/>
  <c r="R4" i="133"/>
  <c r="M6" i="133"/>
  <c r="M7" i="133"/>
  <c r="M4" i="133"/>
  <c r="M688" i="102"/>
  <c r="M689" i="102"/>
  <c r="M690" i="102"/>
  <c r="M691" i="102"/>
  <c r="M21" i="102"/>
  <c r="M27" i="102"/>
  <c r="M28" i="102"/>
  <c r="M29" i="102"/>
  <c r="M30" i="102"/>
  <c r="M31" i="102"/>
  <c r="M32" i="102"/>
  <c r="M33" i="102"/>
  <c r="M34" i="102"/>
  <c r="M37" i="102"/>
  <c r="M38" i="102"/>
  <c r="M39" i="102"/>
  <c r="M40" i="102"/>
  <c r="M52" i="102"/>
  <c r="M53" i="102"/>
  <c r="M57" i="102"/>
  <c r="M58" i="102"/>
  <c r="M59" i="102"/>
  <c r="M60" i="102"/>
  <c r="M61" i="102"/>
  <c r="M62" i="102"/>
  <c r="M63" i="102"/>
  <c r="M64" i="102"/>
  <c r="M65" i="102"/>
  <c r="M66" i="102"/>
  <c r="M67" i="102"/>
  <c r="M68" i="102"/>
  <c r="M69" i="102"/>
  <c r="M70" i="102"/>
  <c r="M71" i="102"/>
  <c r="M72" i="102"/>
  <c r="M73" i="102"/>
  <c r="M74" i="102"/>
  <c r="M75" i="102"/>
  <c r="M76" i="102"/>
  <c r="M77" i="102"/>
  <c r="M78" i="102"/>
  <c r="M79" i="102"/>
  <c r="M80" i="102"/>
  <c r="M81" i="102"/>
  <c r="M82" i="102"/>
  <c r="M83" i="102"/>
  <c r="P61" i="102"/>
  <c r="P63" i="102"/>
  <c r="P66" i="102"/>
  <c r="P74" i="102"/>
  <c r="P78" i="102"/>
  <c r="P82" i="102"/>
  <c r="S84" i="102"/>
  <c r="P85" i="102"/>
  <c r="Q85" i="102"/>
  <c r="S85" i="102"/>
  <c r="P86" i="102"/>
  <c r="Q86" i="102"/>
  <c r="S86" i="102"/>
  <c r="P87" i="102"/>
  <c r="Q87" i="102"/>
  <c r="S87" i="102"/>
  <c r="P88" i="102"/>
  <c r="Q88" i="102"/>
  <c r="S88" i="102"/>
  <c r="P89" i="102"/>
  <c r="Q89" i="102"/>
  <c r="S89" i="102"/>
  <c r="P688" i="102"/>
  <c r="Q688" i="102"/>
  <c r="S688" i="102"/>
  <c r="P689" i="102"/>
  <c r="Q689" i="102"/>
  <c r="S689" i="102"/>
  <c r="P690" i="102"/>
  <c r="Q690" i="102"/>
  <c r="S690" i="102"/>
  <c r="P691" i="102"/>
  <c r="Q691" i="102"/>
  <c r="S691" i="102"/>
  <c r="M8" i="133"/>
  <c r="M5" i="133"/>
  <c r="S99" i="122"/>
  <c r="S67" i="122"/>
  <c r="S68" i="122"/>
  <c r="S69" i="122"/>
  <c r="S70" i="122"/>
  <c r="S71" i="122"/>
  <c r="S72" i="122"/>
  <c r="S73" i="122"/>
  <c r="S74" i="122"/>
  <c r="S75" i="122"/>
  <c r="S76" i="122"/>
  <c r="S77" i="122"/>
  <c r="S78" i="122"/>
  <c r="S79" i="122"/>
  <c r="S80" i="122"/>
  <c r="S81" i="122"/>
  <c r="S82" i="122"/>
  <c r="S83" i="122"/>
  <c r="S84" i="122"/>
  <c r="S85" i="122"/>
  <c r="S86" i="122"/>
  <c r="S87" i="122"/>
  <c r="S88" i="122"/>
  <c r="S89" i="122"/>
  <c r="S90" i="122"/>
  <c r="S91" i="122"/>
  <c r="S92" i="122"/>
  <c r="S38" i="122"/>
  <c r="S39" i="122"/>
  <c r="S40" i="122"/>
  <c r="S41" i="122"/>
  <c r="S42" i="122"/>
  <c r="S43" i="122"/>
  <c r="S44" i="122"/>
  <c r="S45" i="122"/>
  <c r="S46" i="122"/>
  <c r="S47" i="122"/>
  <c r="S48" i="122"/>
  <c r="S49" i="122"/>
  <c r="S50" i="122"/>
  <c r="S51" i="122"/>
  <c r="S52" i="122"/>
  <c r="S53" i="122"/>
  <c r="S54" i="122"/>
  <c r="S55" i="122"/>
  <c r="S56" i="122"/>
  <c r="S57" i="122"/>
  <c r="S58" i="122"/>
  <c r="S59" i="122"/>
  <c r="S61" i="122"/>
  <c r="S62" i="122"/>
  <c r="S63" i="122"/>
  <c r="S6" i="122"/>
  <c r="S7" i="122"/>
  <c r="S8" i="122"/>
  <c r="S10" i="122"/>
  <c r="S11" i="122"/>
  <c r="S12" i="122"/>
  <c r="S13" i="122"/>
  <c r="S14" i="122"/>
  <c r="S15" i="122"/>
  <c r="S16" i="122"/>
  <c r="S17" i="122"/>
  <c r="S18" i="122"/>
  <c r="S19" i="122"/>
  <c r="S20" i="122"/>
  <c r="S21" i="122"/>
  <c r="S22" i="122"/>
  <c r="S23" i="122"/>
  <c r="S24" i="122"/>
  <c r="S25" i="122"/>
  <c r="S26" i="122"/>
  <c r="S27" i="122"/>
  <c r="S28" i="122"/>
  <c r="S29" i="122"/>
  <c r="S30" i="122"/>
  <c r="S31" i="122"/>
  <c r="S32" i="122"/>
  <c r="S33" i="122"/>
  <c r="R65" i="122"/>
  <c r="AA349" i="122"/>
  <c r="Z349" i="122"/>
  <c r="Y349" i="122"/>
  <c r="H349" i="122"/>
  <c r="G349" i="122"/>
  <c r="F349" i="122"/>
  <c r="AA286" i="122"/>
  <c r="Z286" i="122"/>
  <c r="Y286" i="122"/>
  <c r="H286" i="122"/>
  <c r="G286" i="122"/>
  <c r="F286" i="122"/>
  <c r="F382" i="122" s="1"/>
  <c r="AA381" i="122"/>
  <c r="Z381" i="122"/>
  <c r="Y381" i="122"/>
  <c r="H381" i="122"/>
  <c r="G381" i="122"/>
  <c r="F381" i="122"/>
  <c r="AA318" i="122"/>
  <c r="Z318" i="122"/>
  <c r="Y318" i="122"/>
  <c r="H318" i="122"/>
  <c r="G318" i="122"/>
  <c r="F318" i="122"/>
  <c r="AA255" i="122"/>
  <c r="Z255" i="122"/>
  <c r="Y255" i="122"/>
  <c r="H255" i="122"/>
  <c r="G255" i="122"/>
  <c r="F255" i="122"/>
  <c r="AA223" i="122"/>
  <c r="Z223" i="122"/>
  <c r="Y223" i="122"/>
  <c r="H223" i="122"/>
  <c r="G223" i="122"/>
  <c r="F223" i="122"/>
  <c r="AA191" i="122"/>
  <c r="Z191" i="122"/>
  <c r="Y191" i="122"/>
  <c r="H191" i="122"/>
  <c r="G191" i="122"/>
  <c r="F191" i="122"/>
  <c r="AA160" i="122"/>
  <c r="Z160" i="122"/>
  <c r="Y160" i="122"/>
  <c r="H160" i="122"/>
  <c r="G160" i="122"/>
  <c r="F160" i="122"/>
  <c r="Y128" i="122"/>
  <c r="Z128" i="122"/>
  <c r="AA128" i="122"/>
  <c r="G128" i="122"/>
  <c r="H128" i="122"/>
  <c r="F128" i="122"/>
  <c r="AA97" i="122"/>
  <c r="Z97" i="122"/>
  <c r="Y97" i="122"/>
  <c r="H97" i="122"/>
  <c r="G97" i="122"/>
  <c r="F97" i="122"/>
  <c r="G65" i="122"/>
  <c r="H65" i="122"/>
  <c r="P65" i="122"/>
  <c r="T65" i="122"/>
  <c r="F65" i="122"/>
  <c r="Z65" i="122"/>
  <c r="AA65" i="122"/>
  <c r="Y65" i="122"/>
  <c r="Z35" i="122"/>
  <c r="AA35" i="122"/>
  <c r="Y35" i="122"/>
  <c r="G35" i="122"/>
  <c r="H35" i="122"/>
  <c r="F35" i="122"/>
  <c r="AF380" i="122"/>
  <c r="G382" i="122"/>
  <c r="Y382" i="122"/>
  <c r="AA382" i="122"/>
  <c r="H382" i="122"/>
  <c r="Z382" i="122"/>
  <c r="S380" i="122"/>
  <c r="Q380" i="122"/>
  <c r="M380" i="122"/>
  <c r="AF379" i="122"/>
  <c r="S379" i="122"/>
  <c r="Q379" i="122"/>
  <c r="M379" i="122"/>
  <c r="AF378" i="122"/>
  <c r="S378" i="122"/>
  <c r="Q378" i="122"/>
  <c r="M378" i="122"/>
  <c r="AF377" i="122"/>
  <c r="S377" i="122"/>
  <c r="Q377" i="122"/>
  <c r="M377" i="122"/>
  <c r="AF376" i="122"/>
  <c r="S376" i="122"/>
  <c r="Q376" i="122"/>
  <c r="M376" i="122"/>
  <c r="AF375" i="122"/>
  <c r="S375" i="122"/>
  <c r="Q375" i="122"/>
  <c r="M375" i="122"/>
  <c r="AF374" i="122"/>
  <c r="S374" i="122"/>
  <c r="Q374" i="122"/>
  <c r="M374" i="122"/>
  <c r="AF373" i="122"/>
  <c r="S373" i="122"/>
  <c r="Q373" i="122"/>
  <c r="M373" i="122"/>
  <c r="AF372" i="122"/>
  <c r="S372" i="122"/>
  <c r="Q372" i="122"/>
  <c r="M372" i="122"/>
  <c r="AF371" i="122"/>
  <c r="S371" i="122"/>
  <c r="Q371" i="122"/>
  <c r="M371" i="122"/>
  <c r="AF370" i="122"/>
  <c r="S370" i="122"/>
  <c r="Q370" i="122"/>
  <c r="M370" i="122"/>
  <c r="AF369" i="122"/>
  <c r="S369" i="122"/>
  <c r="Q369" i="122"/>
  <c r="M369" i="122"/>
  <c r="AF368" i="122"/>
  <c r="S368" i="122"/>
  <c r="Q368" i="122"/>
  <c r="M368" i="122"/>
  <c r="AF367" i="122"/>
  <c r="S367" i="122"/>
  <c r="Q367" i="122"/>
  <c r="M367" i="122"/>
  <c r="AF366" i="122"/>
  <c r="S366" i="122"/>
  <c r="Q366" i="122"/>
  <c r="M366" i="122"/>
  <c r="AF365" i="122"/>
  <c r="S365" i="122"/>
  <c r="Q365" i="122"/>
  <c r="M365" i="122"/>
  <c r="AF364" i="122"/>
  <c r="S364" i="122"/>
  <c r="Q364" i="122"/>
  <c r="M364" i="122"/>
  <c r="AF363" i="122"/>
  <c r="S363" i="122"/>
  <c r="Q363" i="122"/>
  <c r="M363" i="122"/>
  <c r="AF362" i="122"/>
  <c r="S362" i="122"/>
  <c r="Q362" i="122"/>
  <c r="M362" i="122"/>
  <c r="AF361" i="122"/>
  <c r="S361" i="122"/>
  <c r="Q361" i="122"/>
  <c r="M361" i="122"/>
  <c r="AF360" i="122"/>
  <c r="S360" i="122"/>
  <c r="Q360" i="122"/>
  <c r="M360" i="122"/>
  <c r="AF359" i="122"/>
  <c r="S359" i="122"/>
  <c r="Q359" i="122"/>
  <c r="M359" i="122"/>
  <c r="AF358" i="122"/>
  <c r="S358" i="122"/>
  <c r="Q358" i="122"/>
  <c r="M358" i="122"/>
  <c r="AF357" i="122"/>
  <c r="S357" i="122"/>
  <c r="Q357" i="122"/>
  <c r="M357" i="122"/>
  <c r="AF356" i="122"/>
  <c r="S356" i="122"/>
  <c r="Q356" i="122"/>
  <c r="M356" i="122"/>
  <c r="AF355" i="122"/>
  <c r="S355" i="122"/>
  <c r="Q355" i="122"/>
  <c r="M355" i="122"/>
  <c r="AF354" i="122"/>
  <c r="S354" i="122"/>
  <c r="Q354" i="122"/>
  <c r="M354" i="122"/>
  <c r="AF353" i="122"/>
  <c r="S353" i="122"/>
  <c r="Q353" i="122"/>
  <c r="M353" i="122"/>
  <c r="AF352" i="122"/>
  <c r="S352" i="122"/>
  <c r="Q352" i="122"/>
  <c r="M352" i="122"/>
  <c r="AF351" i="122"/>
  <c r="S351" i="122"/>
  <c r="Q351" i="122"/>
  <c r="M351" i="122"/>
  <c r="AF350" i="122"/>
  <c r="S350" i="122"/>
  <c r="Q350" i="122"/>
  <c r="M350" i="122"/>
  <c r="AF348" i="122"/>
  <c r="S348" i="122"/>
  <c r="Q348" i="122"/>
  <c r="M348" i="122"/>
  <c r="AF347" i="122"/>
  <c r="S347" i="122"/>
  <c r="Q347" i="122"/>
  <c r="M347" i="122"/>
  <c r="AF346" i="122"/>
  <c r="S346" i="122"/>
  <c r="Q346" i="122"/>
  <c r="M346" i="122"/>
  <c r="AF345" i="122"/>
  <c r="S345" i="122"/>
  <c r="Q345" i="122"/>
  <c r="M345" i="122"/>
  <c r="AF344" i="122"/>
  <c r="S344" i="122"/>
  <c r="Q344" i="122"/>
  <c r="M344" i="122"/>
  <c r="AF343" i="122"/>
  <c r="S343" i="122"/>
  <c r="Q343" i="122"/>
  <c r="M343" i="122"/>
  <c r="AF342" i="122"/>
  <c r="S342" i="122"/>
  <c r="Q342" i="122"/>
  <c r="M342" i="122"/>
  <c r="AF341" i="122"/>
  <c r="S341" i="122"/>
  <c r="Q341" i="122"/>
  <c r="M341" i="122"/>
  <c r="AF340" i="122"/>
  <c r="S340" i="122"/>
  <c r="Q340" i="122"/>
  <c r="M340" i="122"/>
  <c r="AF339" i="122"/>
  <c r="S339" i="122"/>
  <c r="Q339" i="122"/>
  <c r="M339" i="122"/>
  <c r="AF338" i="122"/>
  <c r="S338" i="122"/>
  <c r="Q338" i="122"/>
  <c r="M338" i="122"/>
  <c r="AF337" i="122"/>
  <c r="S337" i="122"/>
  <c r="Q337" i="122"/>
  <c r="M337" i="122"/>
  <c r="AF336" i="122"/>
  <c r="S336" i="122"/>
  <c r="Q336" i="122"/>
  <c r="M336" i="122"/>
  <c r="AF335" i="122"/>
  <c r="S335" i="122"/>
  <c r="Q335" i="122"/>
  <c r="M335" i="122"/>
  <c r="AF334" i="122"/>
  <c r="S334" i="122"/>
  <c r="Q334" i="122"/>
  <c r="M334" i="122"/>
  <c r="AF333" i="122"/>
  <c r="S333" i="122"/>
  <c r="Q333" i="122"/>
  <c r="M333" i="122"/>
  <c r="AF332" i="122"/>
  <c r="S332" i="122"/>
  <c r="Q332" i="122"/>
  <c r="M332" i="122"/>
  <c r="AF331" i="122"/>
  <c r="S331" i="122"/>
  <c r="Q331" i="122"/>
  <c r="M331" i="122"/>
  <c r="AF330" i="122"/>
  <c r="S330" i="122"/>
  <c r="Q330" i="122"/>
  <c r="M330" i="122"/>
  <c r="AF329" i="122"/>
  <c r="S329" i="122"/>
  <c r="Q329" i="122"/>
  <c r="M329" i="122"/>
  <c r="AF328" i="122"/>
  <c r="S328" i="122"/>
  <c r="Q328" i="122"/>
  <c r="M328" i="122"/>
  <c r="AF327" i="122"/>
  <c r="S327" i="122"/>
  <c r="Q327" i="122"/>
  <c r="M327" i="122"/>
  <c r="AF326" i="122"/>
  <c r="S326" i="122"/>
  <c r="Q326" i="122"/>
  <c r="M326" i="122"/>
  <c r="AF325" i="122"/>
  <c r="S325" i="122"/>
  <c r="Q325" i="122"/>
  <c r="M325" i="122"/>
  <c r="AF324" i="122"/>
  <c r="S324" i="122"/>
  <c r="Q324" i="122"/>
  <c r="M324" i="122"/>
  <c r="AF323" i="122"/>
  <c r="S323" i="122"/>
  <c r="Q323" i="122"/>
  <c r="M323" i="122"/>
  <c r="AF322" i="122"/>
  <c r="S322" i="122"/>
  <c r="Q322" i="122"/>
  <c r="M322" i="122"/>
  <c r="AF321" i="122"/>
  <c r="S321" i="122"/>
  <c r="Q321" i="122"/>
  <c r="M321" i="122"/>
  <c r="AF320" i="122"/>
  <c r="S320" i="122"/>
  <c r="Q320" i="122"/>
  <c r="M320" i="122"/>
  <c r="AF319" i="122"/>
  <c r="S319" i="122"/>
  <c r="Q319" i="122"/>
  <c r="M319" i="122"/>
  <c r="AF317" i="122"/>
  <c r="S317" i="122"/>
  <c r="Q317" i="122"/>
  <c r="M317" i="122"/>
  <c r="AF316" i="122"/>
  <c r="S316" i="122"/>
  <c r="Q316" i="122"/>
  <c r="M316" i="122"/>
  <c r="AF315" i="122"/>
  <c r="S315" i="122"/>
  <c r="Q315" i="122"/>
  <c r="M315" i="122"/>
  <c r="AF314" i="122"/>
  <c r="S314" i="122"/>
  <c r="Q314" i="122"/>
  <c r="M314" i="122"/>
  <c r="AF313" i="122"/>
  <c r="S313" i="122"/>
  <c r="Q313" i="122"/>
  <c r="M313" i="122"/>
  <c r="AF312" i="122"/>
  <c r="S312" i="122"/>
  <c r="Q312" i="122"/>
  <c r="M312" i="122"/>
  <c r="AF311" i="122"/>
  <c r="S311" i="122"/>
  <c r="Q311" i="122"/>
  <c r="M311" i="122"/>
  <c r="AF310" i="122"/>
  <c r="S310" i="122"/>
  <c r="Q310" i="122"/>
  <c r="M310" i="122"/>
  <c r="AF309" i="122"/>
  <c r="S309" i="122"/>
  <c r="Q309" i="122"/>
  <c r="M309" i="122"/>
  <c r="AF308" i="122"/>
  <c r="S308" i="122"/>
  <c r="Q308" i="122"/>
  <c r="M308" i="122"/>
  <c r="AF307" i="122"/>
  <c r="S307" i="122"/>
  <c r="Q307" i="122"/>
  <c r="M307" i="122"/>
  <c r="AF306" i="122"/>
  <c r="S306" i="122"/>
  <c r="Q306" i="122"/>
  <c r="M306" i="122"/>
  <c r="AF305" i="122"/>
  <c r="S305" i="122"/>
  <c r="Q305" i="122"/>
  <c r="M305" i="122"/>
  <c r="AF304" i="122"/>
  <c r="S304" i="122"/>
  <c r="Q304" i="122"/>
  <c r="M304" i="122"/>
  <c r="AF303" i="122"/>
  <c r="S303" i="122"/>
  <c r="Q303" i="122"/>
  <c r="M303" i="122"/>
  <c r="AF302" i="122"/>
  <c r="S302" i="122"/>
  <c r="Q302" i="122"/>
  <c r="M302" i="122"/>
  <c r="AF301" i="122"/>
  <c r="S301" i="122"/>
  <c r="Q301" i="122"/>
  <c r="M301" i="122"/>
  <c r="AF300" i="122"/>
  <c r="S300" i="122"/>
  <c r="Q300" i="122"/>
  <c r="M300" i="122"/>
  <c r="AF299" i="122"/>
  <c r="S299" i="122"/>
  <c r="Q299" i="122"/>
  <c r="M299" i="122"/>
  <c r="AF298" i="122"/>
  <c r="S298" i="122"/>
  <c r="Q298" i="122"/>
  <c r="M298" i="122"/>
  <c r="AF297" i="122"/>
  <c r="S297" i="122"/>
  <c r="Q297" i="122"/>
  <c r="M297" i="122"/>
  <c r="AF296" i="122"/>
  <c r="S296" i="122"/>
  <c r="Q296" i="122"/>
  <c r="M296" i="122"/>
  <c r="AF295" i="122"/>
  <c r="S295" i="122"/>
  <c r="Q295" i="122"/>
  <c r="M295" i="122"/>
  <c r="AF294" i="122"/>
  <c r="S294" i="122"/>
  <c r="Q294" i="122"/>
  <c r="M294" i="122"/>
  <c r="AF293" i="122"/>
  <c r="S293" i="122"/>
  <c r="Q293" i="122"/>
  <c r="M293" i="122"/>
  <c r="AF292" i="122"/>
  <c r="S292" i="122"/>
  <c r="Q292" i="122"/>
  <c r="M292" i="122"/>
  <c r="AF291" i="122"/>
  <c r="S291" i="122"/>
  <c r="Q291" i="122"/>
  <c r="M291" i="122"/>
  <c r="AF290" i="122"/>
  <c r="S290" i="122"/>
  <c r="Q290" i="122"/>
  <c r="M290" i="122"/>
  <c r="AF289" i="122"/>
  <c r="AF318" i="122" s="1"/>
  <c r="S289" i="122"/>
  <c r="Q289" i="122"/>
  <c r="M289" i="122"/>
  <c r="AF288" i="122"/>
  <c r="S288" i="122"/>
  <c r="Q288" i="122"/>
  <c r="M288" i="122"/>
  <c r="M318" i="122" s="1"/>
  <c r="AF287" i="122"/>
  <c r="S287" i="122"/>
  <c r="Q287" i="122"/>
  <c r="M287" i="122"/>
  <c r="AF285" i="122"/>
  <c r="S285" i="122"/>
  <c r="Q285" i="122"/>
  <c r="M285" i="122"/>
  <c r="AF284" i="122"/>
  <c r="S284" i="122"/>
  <c r="Q284" i="122"/>
  <c r="M284" i="122"/>
  <c r="AF283" i="122"/>
  <c r="S283" i="122"/>
  <c r="Q283" i="122"/>
  <c r="M283" i="122"/>
  <c r="AF282" i="122"/>
  <c r="S282" i="122"/>
  <c r="Q282" i="122"/>
  <c r="M282" i="122"/>
  <c r="AF281" i="122"/>
  <c r="S281" i="122"/>
  <c r="Q281" i="122"/>
  <c r="M281" i="122"/>
  <c r="AF280" i="122"/>
  <c r="S280" i="122"/>
  <c r="Q280" i="122"/>
  <c r="M280" i="122"/>
  <c r="AF279" i="122"/>
  <c r="S279" i="122"/>
  <c r="Q279" i="122"/>
  <c r="M279" i="122"/>
  <c r="AF278" i="122"/>
  <c r="S278" i="122"/>
  <c r="Q278" i="122"/>
  <c r="M278" i="122"/>
  <c r="AF277" i="122"/>
  <c r="S277" i="122"/>
  <c r="Q277" i="122"/>
  <c r="M277" i="122"/>
  <c r="AF276" i="122"/>
  <c r="S276" i="122"/>
  <c r="Q276" i="122"/>
  <c r="M276" i="122"/>
  <c r="AF275" i="122"/>
  <c r="S275" i="122"/>
  <c r="Q275" i="122"/>
  <c r="M275" i="122"/>
  <c r="AF274" i="122"/>
  <c r="S274" i="122"/>
  <c r="Q274" i="122"/>
  <c r="M274" i="122"/>
  <c r="AF273" i="122"/>
  <c r="S273" i="122"/>
  <c r="Q273" i="122"/>
  <c r="M273" i="122"/>
  <c r="AF272" i="122"/>
  <c r="S272" i="122"/>
  <c r="Q272" i="122"/>
  <c r="M272" i="122"/>
  <c r="AF271" i="122"/>
  <c r="S271" i="122"/>
  <c r="Q271" i="122"/>
  <c r="M271" i="122"/>
  <c r="AF270" i="122"/>
  <c r="S270" i="122"/>
  <c r="Q270" i="122"/>
  <c r="M270" i="122"/>
  <c r="AF269" i="122"/>
  <c r="S269" i="122"/>
  <c r="Q269" i="122"/>
  <c r="M269" i="122"/>
  <c r="AF268" i="122"/>
  <c r="S268" i="122"/>
  <c r="Q268" i="122"/>
  <c r="M268" i="122"/>
  <c r="AF267" i="122"/>
  <c r="S267" i="122"/>
  <c r="Q267" i="122"/>
  <c r="M267" i="122"/>
  <c r="AF266" i="122"/>
  <c r="S266" i="122"/>
  <c r="Q266" i="122"/>
  <c r="M266" i="122"/>
  <c r="AF265" i="122"/>
  <c r="S265" i="122"/>
  <c r="Q265" i="122"/>
  <c r="M265" i="122"/>
  <c r="AF264" i="122"/>
  <c r="S264" i="122"/>
  <c r="Q264" i="122"/>
  <c r="M264" i="122"/>
  <c r="AF263" i="122"/>
  <c r="S263" i="122"/>
  <c r="Q263" i="122"/>
  <c r="M263" i="122"/>
  <c r="AF262" i="122"/>
  <c r="S262" i="122"/>
  <c r="Q262" i="122"/>
  <c r="M262" i="122"/>
  <c r="AF261" i="122"/>
  <c r="S261" i="122"/>
  <c r="Q261" i="122"/>
  <c r="M261" i="122"/>
  <c r="AF260" i="122"/>
  <c r="S260" i="122"/>
  <c r="Q260" i="122"/>
  <c r="M260" i="122"/>
  <c r="AF259" i="122"/>
  <c r="S259" i="122"/>
  <c r="Q259" i="122"/>
  <c r="M259" i="122"/>
  <c r="AF258" i="122"/>
  <c r="S258" i="122"/>
  <c r="Q258" i="122"/>
  <c r="M258" i="122"/>
  <c r="AF257" i="122"/>
  <c r="S257" i="122"/>
  <c r="Q257" i="122"/>
  <c r="M257" i="122"/>
  <c r="AF256" i="122"/>
  <c r="S256" i="122"/>
  <c r="Q256" i="122"/>
  <c r="M256" i="122"/>
  <c r="AF254" i="122"/>
  <c r="S254" i="122"/>
  <c r="Q254" i="122"/>
  <c r="M254" i="122"/>
  <c r="AF253" i="122"/>
  <c r="S253" i="122"/>
  <c r="Q253" i="122"/>
  <c r="M253" i="122"/>
  <c r="AF252" i="122"/>
  <c r="S252" i="122"/>
  <c r="Q252" i="122"/>
  <c r="M252" i="122"/>
  <c r="AF251" i="122"/>
  <c r="S251" i="122"/>
  <c r="Q251" i="122"/>
  <c r="M251" i="122"/>
  <c r="AF250" i="122"/>
  <c r="S250" i="122"/>
  <c r="Q250" i="122"/>
  <c r="M250" i="122"/>
  <c r="AF249" i="122"/>
  <c r="S249" i="122"/>
  <c r="Q249" i="122"/>
  <c r="M249" i="122"/>
  <c r="AF248" i="122"/>
  <c r="S248" i="122"/>
  <c r="Q248" i="122"/>
  <c r="M248" i="122"/>
  <c r="AF247" i="122"/>
  <c r="S247" i="122"/>
  <c r="Q247" i="122"/>
  <c r="M247" i="122"/>
  <c r="AF246" i="122"/>
  <c r="S246" i="122"/>
  <c r="Q246" i="122"/>
  <c r="M246" i="122"/>
  <c r="AF245" i="122"/>
  <c r="S245" i="122"/>
  <c r="Q245" i="122"/>
  <c r="M245" i="122"/>
  <c r="AF244" i="122"/>
  <c r="S244" i="122"/>
  <c r="Q244" i="122"/>
  <c r="M244" i="122"/>
  <c r="AF243" i="122"/>
  <c r="S243" i="122"/>
  <c r="Q243" i="122"/>
  <c r="M243" i="122"/>
  <c r="AF242" i="122"/>
  <c r="S242" i="122"/>
  <c r="Q242" i="122"/>
  <c r="M242" i="122"/>
  <c r="AF241" i="122"/>
  <c r="S241" i="122"/>
  <c r="Q241" i="122"/>
  <c r="M241" i="122"/>
  <c r="AF240" i="122"/>
  <c r="S240" i="122"/>
  <c r="Q240" i="122"/>
  <c r="M240" i="122"/>
  <c r="AF239" i="122"/>
  <c r="S239" i="122"/>
  <c r="Q239" i="122"/>
  <c r="M239" i="122"/>
  <c r="AF238" i="122"/>
  <c r="S238" i="122"/>
  <c r="Q238" i="122"/>
  <c r="M238" i="122"/>
  <c r="AF237" i="122"/>
  <c r="S237" i="122"/>
  <c r="Q237" i="122"/>
  <c r="M237" i="122"/>
  <c r="AF236" i="122"/>
  <c r="S236" i="122"/>
  <c r="Q236" i="122"/>
  <c r="M236" i="122"/>
  <c r="AF235" i="122"/>
  <c r="S235" i="122"/>
  <c r="Q235" i="122"/>
  <c r="M235" i="122"/>
  <c r="AF234" i="122"/>
  <c r="S234" i="122"/>
  <c r="Q234" i="122"/>
  <c r="M234" i="122"/>
  <c r="AF233" i="122"/>
  <c r="S233" i="122"/>
  <c r="Q233" i="122"/>
  <c r="M233" i="122"/>
  <c r="AF232" i="122"/>
  <c r="S232" i="122"/>
  <c r="Q232" i="122"/>
  <c r="M232" i="122"/>
  <c r="AF231" i="122"/>
  <c r="S231" i="122"/>
  <c r="Q231" i="122"/>
  <c r="M231" i="122"/>
  <c r="AF230" i="122"/>
  <c r="S230" i="122"/>
  <c r="Q230" i="122"/>
  <c r="M230" i="122"/>
  <c r="AF229" i="122"/>
  <c r="S229" i="122"/>
  <c r="Q229" i="122"/>
  <c r="M229" i="122"/>
  <c r="AF228" i="122"/>
  <c r="S228" i="122"/>
  <c r="Q228" i="122"/>
  <c r="M228" i="122"/>
  <c r="AF227" i="122"/>
  <c r="AF255" i="122" s="1"/>
  <c r="S227" i="122"/>
  <c r="Q227" i="122"/>
  <c r="M227" i="122"/>
  <c r="AF226" i="122"/>
  <c r="S226" i="122"/>
  <c r="Q226" i="122"/>
  <c r="M226" i="122"/>
  <c r="AF225" i="122"/>
  <c r="S225" i="122"/>
  <c r="Q225" i="122"/>
  <c r="M225" i="122"/>
  <c r="AF224" i="122"/>
  <c r="S224" i="122"/>
  <c r="Q224" i="122"/>
  <c r="M224" i="122"/>
  <c r="M255" i="122"/>
  <c r="AF222" i="122"/>
  <c r="S222" i="122"/>
  <c r="Q222" i="122"/>
  <c r="M222" i="122"/>
  <c r="AF221" i="122"/>
  <c r="S221" i="122"/>
  <c r="Q221" i="122"/>
  <c r="M221" i="122"/>
  <c r="AF220" i="122"/>
  <c r="S220" i="122"/>
  <c r="Q220" i="122"/>
  <c r="M220" i="122"/>
  <c r="AF219" i="122"/>
  <c r="S219" i="122"/>
  <c r="Q219" i="122"/>
  <c r="M219" i="122"/>
  <c r="AF218" i="122"/>
  <c r="S218" i="122"/>
  <c r="Q218" i="122"/>
  <c r="M218" i="122"/>
  <c r="AF217" i="122"/>
  <c r="S217" i="122"/>
  <c r="Q217" i="122"/>
  <c r="M217" i="122"/>
  <c r="AF216" i="122"/>
  <c r="S216" i="122"/>
  <c r="Q216" i="122"/>
  <c r="M216" i="122"/>
  <c r="AF215" i="122"/>
  <c r="S215" i="122"/>
  <c r="Q215" i="122"/>
  <c r="M215" i="122"/>
  <c r="AF214" i="122"/>
  <c r="S214" i="122"/>
  <c r="Q214" i="122"/>
  <c r="M214" i="122"/>
  <c r="AF213" i="122"/>
  <c r="S213" i="122"/>
  <c r="Q213" i="122"/>
  <c r="M213" i="122"/>
  <c r="AF212" i="122"/>
  <c r="S212" i="122"/>
  <c r="Q212" i="122"/>
  <c r="M212" i="122"/>
  <c r="AF211" i="122"/>
  <c r="S211" i="122"/>
  <c r="Q211" i="122"/>
  <c r="M211" i="122"/>
  <c r="AF210" i="122"/>
  <c r="S210" i="122"/>
  <c r="Q210" i="122"/>
  <c r="M210" i="122"/>
  <c r="AF209" i="122"/>
  <c r="S209" i="122"/>
  <c r="Q209" i="122"/>
  <c r="M209" i="122"/>
  <c r="AF208" i="122"/>
  <c r="S208" i="122"/>
  <c r="Q208" i="122"/>
  <c r="M208" i="122"/>
  <c r="AF207" i="122"/>
  <c r="S207" i="122"/>
  <c r="Q207" i="122"/>
  <c r="M207" i="122"/>
  <c r="AF206" i="122"/>
  <c r="S206" i="122"/>
  <c r="Q206" i="122"/>
  <c r="M206" i="122"/>
  <c r="AF205" i="122"/>
  <c r="S205" i="122"/>
  <c r="Q205" i="122"/>
  <c r="M205" i="122"/>
  <c r="AF204" i="122"/>
  <c r="S204" i="122"/>
  <c r="Q204" i="122"/>
  <c r="M204" i="122"/>
  <c r="AF203" i="122"/>
  <c r="S203" i="122"/>
  <c r="Q203" i="122"/>
  <c r="M203" i="122"/>
  <c r="AF202" i="122"/>
  <c r="S202" i="122"/>
  <c r="Q202" i="122"/>
  <c r="M202" i="122"/>
  <c r="AF201" i="122"/>
  <c r="S201" i="122"/>
  <c r="Q201" i="122"/>
  <c r="M201" i="122"/>
  <c r="AF200" i="122"/>
  <c r="S200" i="122"/>
  <c r="Q200" i="122"/>
  <c r="M200" i="122"/>
  <c r="AF199" i="122"/>
  <c r="S199" i="122"/>
  <c r="Q199" i="122"/>
  <c r="M199" i="122"/>
  <c r="AF198" i="122"/>
  <c r="S198" i="122"/>
  <c r="Q198" i="122"/>
  <c r="M198" i="122"/>
  <c r="AF197" i="122"/>
  <c r="S197" i="122"/>
  <c r="Q197" i="122"/>
  <c r="M197" i="122"/>
  <c r="AF196" i="122"/>
  <c r="S196" i="122"/>
  <c r="Q196" i="122"/>
  <c r="M196" i="122"/>
  <c r="AF195" i="122"/>
  <c r="S195" i="122"/>
  <c r="Q195" i="122"/>
  <c r="M195" i="122"/>
  <c r="AF194" i="122"/>
  <c r="S194" i="122"/>
  <c r="Q194" i="122"/>
  <c r="M194" i="122"/>
  <c r="AF193" i="122"/>
  <c r="S193" i="122"/>
  <c r="Q193" i="122"/>
  <c r="M193" i="122"/>
  <c r="AF192" i="122"/>
  <c r="S192" i="122"/>
  <c r="Q192" i="122"/>
  <c r="M192" i="122"/>
  <c r="AF190" i="122"/>
  <c r="S190" i="122"/>
  <c r="Q190" i="122"/>
  <c r="M190" i="122"/>
  <c r="AF189" i="122"/>
  <c r="S189" i="122"/>
  <c r="Q189" i="122"/>
  <c r="M189" i="122"/>
  <c r="AF188" i="122"/>
  <c r="S188" i="122"/>
  <c r="Q188" i="122"/>
  <c r="M188" i="122"/>
  <c r="AF187" i="122"/>
  <c r="S187" i="122"/>
  <c r="Q187" i="122"/>
  <c r="M187" i="122"/>
  <c r="AF186" i="122"/>
  <c r="S186" i="122"/>
  <c r="Q186" i="122"/>
  <c r="M186" i="122"/>
  <c r="AF185" i="122"/>
  <c r="S185" i="122"/>
  <c r="Q185" i="122"/>
  <c r="M185" i="122"/>
  <c r="AF184" i="122"/>
  <c r="S184" i="122"/>
  <c r="Q184" i="122"/>
  <c r="M184" i="122"/>
  <c r="AF183" i="122"/>
  <c r="S183" i="122"/>
  <c r="Q183" i="122"/>
  <c r="M183" i="122"/>
  <c r="AF182" i="122"/>
  <c r="S182" i="122"/>
  <c r="Q182" i="122"/>
  <c r="M182" i="122"/>
  <c r="AF181" i="122"/>
  <c r="S181" i="122"/>
  <c r="Q181" i="122"/>
  <c r="M181" i="122"/>
  <c r="AF180" i="122"/>
  <c r="S180" i="122"/>
  <c r="Q180" i="122"/>
  <c r="M180" i="122"/>
  <c r="AF179" i="122"/>
  <c r="S179" i="122"/>
  <c r="Q179" i="122"/>
  <c r="M179" i="122"/>
  <c r="AF178" i="122"/>
  <c r="S178" i="122"/>
  <c r="Q178" i="122"/>
  <c r="M178" i="122"/>
  <c r="AF177" i="122"/>
  <c r="S177" i="122"/>
  <c r="Q177" i="122"/>
  <c r="M177" i="122"/>
  <c r="AF176" i="122"/>
  <c r="S176" i="122"/>
  <c r="Q176" i="122"/>
  <c r="M176" i="122"/>
  <c r="AF175" i="122"/>
  <c r="S175" i="122"/>
  <c r="Q175" i="122"/>
  <c r="M175" i="122"/>
  <c r="AF174" i="122"/>
  <c r="S174" i="122"/>
  <c r="Q174" i="122"/>
  <c r="M174" i="122"/>
  <c r="AF173" i="122"/>
  <c r="S173" i="122"/>
  <c r="Q173" i="122"/>
  <c r="M173" i="122"/>
  <c r="AF172" i="122"/>
  <c r="S172" i="122"/>
  <c r="Q172" i="122"/>
  <c r="M172" i="122"/>
  <c r="AF171" i="122"/>
  <c r="S171" i="122"/>
  <c r="Q171" i="122"/>
  <c r="M171" i="122"/>
  <c r="AF170" i="122"/>
  <c r="S170" i="122"/>
  <c r="Q170" i="122"/>
  <c r="M170" i="122"/>
  <c r="AF169" i="122"/>
  <c r="S169" i="122"/>
  <c r="Q169" i="122"/>
  <c r="M169" i="122"/>
  <c r="M191" i="122" s="1"/>
  <c r="AF168" i="122"/>
  <c r="S168" i="122"/>
  <c r="Q168" i="122"/>
  <c r="M168" i="122"/>
  <c r="AF167" i="122"/>
  <c r="S167" i="122"/>
  <c r="Q167" i="122"/>
  <c r="M167" i="122"/>
  <c r="AF166" i="122"/>
  <c r="S166" i="122"/>
  <c r="Q166" i="122"/>
  <c r="M166" i="122"/>
  <c r="AF165" i="122"/>
  <c r="S165" i="122"/>
  <c r="Q165" i="122"/>
  <c r="M165" i="122"/>
  <c r="AF164" i="122"/>
  <c r="S164" i="122"/>
  <c r="Q164" i="122"/>
  <c r="M164" i="122"/>
  <c r="AF163" i="122"/>
  <c r="S163" i="122"/>
  <c r="Q163" i="122"/>
  <c r="M163" i="122"/>
  <c r="AF162" i="122"/>
  <c r="AF191" i="122" s="1"/>
  <c r="S162" i="122"/>
  <c r="Q162" i="122"/>
  <c r="M162" i="122"/>
  <c r="AF161" i="122"/>
  <c r="S161" i="122"/>
  <c r="Q161" i="122"/>
  <c r="M161" i="122"/>
  <c r="AF159" i="122"/>
  <c r="S159" i="122"/>
  <c r="Q159" i="122"/>
  <c r="M159" i="122"/>
  <c r="AF158" i="122"/>
  <c r="S158" i="122"/>
  <c r="Q158" i="122"/>
  <c r="M158" i="122"/>
  <c r="AF157" i="122"/>
  <c r="S157" i="122"/>
  <c r="Q157" i="122"/>
  <c r="M157" i="122"/>
  <c r="AF156" i="122"/>
  <c r="S156" i="122"/>
  <c r="Q156" i="122"/>
  <c r="M156" i="122"/>
  <c r="AF155" i="122"/>
  <c r="S155" i="122"/>
  <c r="Q155" i="122"/>
  <c r="M155" i="122"/>
  <c r="AF154" i="122"/>
  <c r="S154" i="122"/>
  <c r="Q154" i="122"/>
  <c r="M154" i="122"/>
  <c r="AF153" i="122"/>
  <c r="S153" i="122"/>
  <c r="Q153" i="122"/>
  <c r="M153" i="122"/>
  <c r="AF152" i="122"/>
  <c r="S152" i="122"/>
  <c r="Q152" i="122"/>
  <c r="M152" i="122"/>
  <c r="AF151" i="122"/>
  <c r="S151" i="122"/>
  <c r="Q151" i="122"/>
  <c r="M151" i="122"/>
  <c r="AF150" i="122"/>
  <c r="S150" i="122"/>
  <c r="Q150" i="122"/>
  <c r="M150" i="122"/>
  <c r="AF149" i="122"/>
  <c r="S149" i="122"/>
  <c r="Q149" i="122"/>
  <c r="M149" i="122"/>
  <c r="AF148" i="122"/>
  <c r="S148" i="122"/>
  <c r="Q148" i="122"/>
  <c r="M148" i="122"/>
  <c r="AF147" i="122"/>
  <c r="S147" i="122"/>
  <c r="Q147" i="122"/>
  <c r="M147" i="122"/>
  <c r="AF146" i="122"/>
  <c r="S146" i="122"/>
  <c r="Q146" i="122"/>
  <c r="M146" i="122"/>
  <c r="AF145" i="122"/>
  <c r="S145" i="122"/>
  <c r="Q145" i="122"/>
  <c r="M145" i="122"/>
  <c r="AF144" i="122"/>
  <c r="S144" i="122"/>
  <c r="Q144" i="122"/>
  <c r="M144" i="122"/>
  <c r="AF143" i="122"/>
  <c r="S143" i="122"/>
  <c r="Q143" i="122"/>
  <c r="M143" i="122"/>
  <c r="AF142" i="122"/>
  <c r="S142" i="122"/>
  <c r="Q142" i="122"/>
  <c r="M142" i="122"/>
  <c r="AF141" i="122"/>
  <c r="S141" i="122"/>
  <c r="Q141" i="122"/>
  <c r="M141" i="122"/>
  <c r="AF140" i="122"/>
  <c r="S140" i="122"/>
  <c r="Q140" i="122"/>
  <c r="M140" i="122"/>
  <c r="AF139" i="122"/>
  <c r="S139" i="122"/>
  <c r="Q139" i="122"/>
  <c r="M139" i="122"/>
  <c r="AF138" i="122"/>
  <c r="S138" i="122"/>
  <c r="Q138" i="122"/>
  <c r="M138" i="122"/>
  <c r="AF137" i="122"/>
  <c r="S137" i="122"/>
  <c r="Q137" i="122"/>
  <c r="M137" i="122"/>
  <c r="AF136" i="122"/>
  <c r="S136" i="122"/>
  <c r="Q136" i="122"/>
  <c r="M136" i="122"/>
  <c r="AF135" i="122"/>
  <c r="S135" i="122"/>
  <c r="Q135" i="122"/>
  <c r="M135" i="122"/>
  <c r="AF134" i="122"/>
  <c r="S134" i="122"/>
  <c r="Q134" i="122"/>
  <c r="M134" i="122"/>
  <c r="AF133" i="122"/>
  <c r="S133" i="122"/>
  <c r="Q133" i="122"/>
  <c r="M133" i="122"/>
  <c r="AF132" i="122"/>
  <c r="S132" i="122"/>
  <c r="Q132" i="122"/>
  <c r="M132" i="122"/>
  <c r="AF131" i="122"/>
  <c r="S131" i="122"/>
  <c r="Q131" i="122"/>
  <c r="M131" i="122"/>
  <c r="AF130" i="122"/>
  <c r="S130" i="122"/>
  <c r="Q130" i="122"/>
  <c r="M130" i="122"/>
  <c r="AF129" i="122"/>
  <c r="S129" i="122"/>
  <c r="Q129" i="122"/>
  <c r="M129" i="122"/>
  <c r="M99" i="122"/>
  <c r="Q99" i="122"/>
  <c r="AF99" i="122"/>
  <c r="M100" i="122"/>
  <c r="Q100" i="122"/>
  <c r="S100" i="122"/>
  <c r="AF100" i="122"/>
  <c r="M101" i="122"/>
  <c r="Q101" i="122"/>
  <c r="S101" i="122"/>
  <c r="AF101" i="122"/>
  <c r="M102" i="122"/>
  <c r="Q102" i="122"/>
  <c r="S102" i="122"/>
  <c r="AF102" i="122"/>
  <c r="M103" i="122"/>
  <c r="Q103" i="122"/>
  <c r="S103" i="122"/>
  <c r="AF103" i="122"/>
  <c r="M104" i="122"/>
  <c r="Q104" i="122"/>
  <c r="S104" i="122"/>
  <c r="AF104" i="122"/>
  <c r="M105" i="122"/>
  <c r="Q105" i="122"/>
  <c r="S105" i="122"/>
  <c r="AF105" i="122"/>
  <c r="M106" i="122"/>
  <c r="Q106" i="122"/>
  <c r="S106" i="122"/>
  <c r="AF106" i="122"/>
  <c r="M107" i="122"/>
  <c r="Q107" i="122"/>
  <c r="S107" i="122"/>
  <c r="AF107" i="122"/>
  <c r="M108" i="122"/>
  <c r="Q108" i="122"/>
  <c r="S108" i="122"/>
  <c r="AF108" i="122"/>
  <c r="M109" i="122"/>
  <c r="Q109" i="122"/>
  <c r="S109" i="122"/>
  <c r="AF109" i="122"/>
  <c r="M110" i="122"/>
  <c r="Q110" i="122"/>
  <c r="S110" i="122"/>
  <c r="AF110" i="122"/>
  <c r="M111" i="122"/>
  <c r="Q111" i="122"/>
  <c r="S111" i="122"/>
  <c r="AF111" i="122"/>
  <c r="M112" i="122"/>
  <c r="Q112" i="122"/>
  <c r="S112" i="122"/>
  <c r="AF112" i="122"/>
  <c r="M113" i="122"/>
  <c r="Q113" i="122"/>
  <c r="S113" i="122"/>
  <c r="AF113" i="122"/>
  <c r="M114" i="122"/>
  <c r="Q114" i="122"/>
  <c r="S114" i="122"/>
  <c r="AF114" i="122"/>
  <c r="M115" i="122"/>
  <c r="Q115" i="122"/>
  <c r="S115" i="122"/>
  <c r="AF115" i="122"/>
  <c r="M116" i="122"/>
  <c r="Q116" i="122"/>
  <c r="S116" i="122"/>
  <c r="AF116" i="122"/>
  <c r="M117" i="122"/>
  <c r="Q117" i="122"/>
  <c r="S117" i="122"/>
  <c r="AF117" i="122"/>
  <c r="M118" i="122"/>
  <c r="Q118" i="122"/>
  <c r="S118" i="122"/>
  <c r="AF118" i="122"/>
  <c r="M119" i="122"/>
  <c r="Q119" i="122"/>
  <c r="S119" i="122"/>
  <c r="AF119" i="122"/>
  <c r="M120" i="122"/>
  <c r="Q120" i="122"/>
  <c r="S120" i="122"/>
  <c r="AF120" i="122"/>
  <c r="M121" i="122"/>
  <c r="Q121" i="122"/>
  <c r="S121" i="122"/>
  <c r="AF121" i="122"/>
  <c r="M122" i="122"/>
  <c r="Q122" i="122"/>
  <c r="S122" i="122"/>
  <c r="AF122" i="122"/>
  <c r="M123" i="122"/>
  <c r="Q123" i="122"/>
  <c r="S123" i="122"/>
  <c r="AF123" i="122"/>
  <c r="M124" i="122"/>
  <c r="Q124" i="122"/>
  <c r="AF124" i="122"/>
  <c r="M125" i="122"/>
  <c r="Q125" i="122"/>
  <c r="AF125" i="122"/>
  <c r="M126" i="122"/>
  <c r="Q126" i="122"/>
  <c r="S126" i="122"/>
  <c r="AF126" i="122"/>
  <c r="M127" i="122"/>
  <c r="Q127" i="122"/>
  <c r="S127" i="122"/>
  <c r="AF127" i="122"/>
  <c r="AF98" i="122"/>
  <c r="S98" i="122"/>
  <c r="Q98" i="122"/>
  <c r="M98" i="122"/>
  <c r="M128" i="122"/>
  <c r="M67" i="122"/>
  <c r="Q67" i="122"/>
  <c r="AF67" i="122"/>
  <c r="M68" i="122"/>
  <c r="Q68" i="122"/>
  <c r="AF68" i="122"/>
  <c r="M69" i="122"/>
  <c r="Q69" i="122"/>
  <c r="AF69" i="122"/>
  <c r="M70" i="122"/>
  <c r="Q70" i="122"/>
  <c r="AF70" i="122"/>
  <c r="M71" i="122"/>
  <c r="Q71" i="122"/>
  <c r="AF71" i="122"/>
  <c r="M72" i="122"/>
  <c r="Q72" i="122"/>
  <c r="AF72" i="122"/>
  <c r="M73" i="122"/>
  <c r="Q73" i="122"/>
  <c r="AF73" i="122"/>
  <c r="M74" i="122"/>
  <c r="Q74" i="122"/>
  <c r="AF74" i="122"/>
  <c r="M75" i="122"/>
  <c r="Q75" i="122"/>
  <c r="AF75" i="122"/>
  <c r="M76" i="122"/>
  <c r="Q76" i="122"/>
  <c r="AF76" i="122"/>
  <c r="M77" i="122"/>
  <c r="Q77" i="122"/>
  <c r="AF77" i="122"/>
  <c r="M78" i="122"/>
  <c r="Q78" i="122"/>
  <c r="AF78" i="122"/>
  <c r="M79" i="122"/>
  <c r="Q79" i="122"/>
  <c r="AF79" i="122"/>
  <c r="M80" i="122"/>
  <c r="Q80" i="122"/>
  <c r="AF80" i="122"/>
  <c r="M81" i="122"/>
  <c r="Q81" i="122"/>
  <c r="AF81" i="122"/>
  <c r="M82" i="122"/>
  <c r="Q82" i="122"/>
  <c r="AF82" i="122"/>
  <c r="M83" i="122"/>
  <c r="Q83" i="122"/>
  <c r="AF83" i="122"/>
  <c r="M84" i="122"/>
  <c r="Q84" i="122"/>
  <c r="AF84" i="122"/>
  <c r="M85" i="122"/>
  <c r="Q85" i="122"/>
  <c r="AF85" i="122"/>
  <c r="M86" i="122"/>
  <c r="Q86" i="122"/>
  <c r="AF86" i="122"/>
  <c r="M87" i="122"/>
  <c r="Q87" i="122"/>
  <c r="AF87" i="122"/>
  <c r="M88" i="122"/>
  <c r="AF88" i="122"/>
  <c r="M89" i="122"/>
  <c r="AF89" i="122"/>
  <c r="M90" i="122"/>
  <c r="Q90" i="122"/>
  <c r="AF90" i="122"/>
  <c r="M91" i="122"/>
  <c r="Q91" i="122"/>
  <c r="AF91" i="122"/>
  <c r="M92" i="122"/>
  <c r="Q92" i="122"/>
  <c r="AF92" i="122"/>
  <c r="M93" i="122"/>
  <c r="Q93" i="122"/>
  <c r="S93" i="122"/>
  <c r="AF93" i="122"/>
  <c r="M94" i="122"/>
  <c r="Q94" i="122"/>
  <c r="S94" i="122"/>
  <c r="AF94" i="122"/>
  <c r="M95" i="122"/>
  <c r="Q95" i="122"/>
  <c r="S95" i="122"/>
  <c r="AF95" i="122"/>
  <c r="M96" i="122"/>
  <c r="Q96" i="122"/>
  <c r="AF96" i="122"/>
  <c r="AF66" i="122"/>
  <c r="S66" i="122"/>
  <c r="Q66" i="122"/>
  <c r="M66" i="122"/>
  <c r="M97" i="122"/>
  <c r="M37" i="122"/>
  <c r="Q37" i="122"/>
  <c r="S37" i="122"/>
  <c r="AF37" i="122"/>
  <c r="M38" i="122"/>
  <c r="Q38" i="122"/>
  <c r="AF38" i="122"/>
  <c r="M39" i="122"/>
  <c r="Q39" i="122"/>
  <c r="AF39" i="122"/>
  <c r="M40" i="122"/>
  <c r="Q40" i="122"/>
  <c r="AF40" i="122"/>
  <c r="M41" i="122"/>
  <c r="Q41" i="122"/>
  <c r="AF41" i="122"/>
  <c r="M42" i="122"/>
  <c r="Q42" i="122"/>
  <c r="AF42" i="122"/>
  <c r="M43" i="122"/>
  <c r="Q43" i="122"/>
  <c r="AF43" i="122"/>
  <c r="M44" i="122"/>
  <c r="Q44" i="122"/>
  <c r="AF44" i="122"/>
  <c r="M45" i="122"/>
  <c r="Q45" i="122"/>
  <c r="AF45" i="122"/>
  <c r="M46" i="122"/>
  <c r="Q46" i="122"/>
  <c r="AF46" i="122"/>
  <c r="M47" i="122"/>
  <c r="Q47" i="122"/>
  <c r="AF47" i="122"/>
  <c r="M48" i="122"/>
  <c r="Q48" i="122"/>
  <c r="AF48" i="122"/>
  <c r="M49" i="122"/>
  <c r="Q49" i="122"/>
  <c r="AF49" i="122"/>
  <c r="M50" i="122"/>
  <c r="Q50" i="122"/>
  <c r="AF50" i="122"/>
  <c r="M51" i="122"/>
  <c r="Q51" i="122"/>
  <c r="AF51" i="122"/>
  <c r="M52" i="122"/>
  <c r="Q52" i="122"/>
  <c r="AF52" i="122"/>
  <c r="M53" i="122"/>
  <c r="Q53" i="122"/>
  <c r="AF53" i="122"/>
  <c r="M54" i="122"/>
  <c r="Q54" i="122"/>
  <c r="AF54" i="122"/>
  <c r="M55" i="122"/>
  <c r="Q55" i="122"/>
  <c r="AF55" i="122"/>
  <c r="M56" i="122"/>
  <c r="Q56" i="122"/>
  <c r="AF56" i="122"/>
  <c r="M57" i="122"/>
  <c r="Q57" i="122"/>
  <c r="AF57" i="122"/>
  <c r="M58" i="122"/>
  <c r="Q58" i="122"/>
  <c r="AF58" i="122"/>
  <c r="M59" i="122"/>
  <c r="Q59" i="122"/>
  <c r="AF59" i="122"/>
  <c r="M61" i="122"/>
  <c r="Q61" i="122"/>
  <c r="AF61" i="122"/>
  <c r="M62" i="122"/>
  <c r="Q62" i="122"/>
  <c r="AF62" i="122"/>
  <c r="M63" i="122"/>
  <c r="Q63" i="122"/>
  <c r="AF63" i="122"/>
  <c r="M64" i="122"/>
  <c r="Q64" i="122"/>
  <c r="S64" i="122"/>
  <c r="AF64" i="122"/>
  <c r="AF36" i="122"/>
  <c r="AF65" i="122" s="1"/>
  <c r="S36" i="122"/>
  <c r="S65" i="122"/>
  <c r="Q36" i="122"/>
  <c r="Q65" i="122"/>
  <c r="M36" i="122"/>
  <c r="M5" i="122"/>
  <c r="Q5" i="122"/>
  <c r="S5" i="122"/>
  <c r="AF5" i="122"/>
  <c r="M6" i="122"/>
  <c r="Q6" i="122"/>
  <c r="AF6" i="122"/>
  <c r="M7" i="122"/>
  <c r="Q7" i="122"/>
  <c r="AF7" i="122"/>
  <c r="M8" i="122"/>
  <c r="Q8" i="122"/>
  <c r="AF8" i="122"/>
  <c r="Q9" i="122"/>
  <c r="M9" i="122"/>
  <c r="AF9" i="122"/>
  <c r="M10" i="122"/>
  <c r="Q10" i="122"/>
  <c r="AF10" i="122"/>
  <c r="M11" i="122"/>
  <c r="Q11" i="122"/>
  <c r="AF11" i="122"/>
  <c r="M12" i="122"/>
  <c r="Q12" i="122"/>
  <c r="AF12" i="122"/>
  <c r="M13" i="122"/>
  <c r="Q13" i="122"/>
  <c r="AF13" i="122"/>
  <c r="M14" i="122"/>
  <c r="Q14" i="122"/>
  <c r="AF14" i="122"/>
  <c r="M15" i="122"/>
  <c r="Q15" i="122"/>
  <c r="AF15" i="122"/>
  <c r="M16" i="122"/>
  <c r="Q16" i="122"/>
  <c r="AF16" i="122"/>
  <c r="M17" i="122"/>
  <c r="Q17" i="122"/>
  <c r="AF17" i="122"/>
  <c r="M18" i="122"/>
  <c r="Q18" i="122"/>
  <c r="AF18" i="122"/>
  <c r="M19" i="122"/>
  <c r="Q19" i="122"/>
  <c r="AF19" i="122"/>
  <c r="M20" i="122"/>
  <c r="Q20" i="122"/>
  <c r="AF20" i="122"/>
  <c r="M21" i="122"/>
  <c r="Q21" i="122"/>
  <c r="AF21" i="122"/>
  <c r="M22" i="122"/>
  <c r="Q22" i="122"/>
  <c r="AF22" i="122"/>
  <c r="M23" i="122"/>
  <c r="Q23" i="122"/>
  <c r="AF23" i="122"/>
  <c r="M24" i="122"/>
  <c r="Q24" i="122"/>
  <c r="AF24" i="122"/>
  <c r="M25" i="122"/>
  <c r="Q25" i="122"/>
  <c r="AF25" i="122"/>
  <c r="M26" i="122"/>
  <c r="Q26" i="122"/>
  <c r="AF26" i="122"/>
  <c r="M27" i="122"/>
  <c r="Q27" i="122"/>
  <c r="AF27" i="122"/>
  <c r="M28" i="122"/>
  <c r="Q28" i="122"/>
  <c r="AF28" i="122"/>
  <c r="M29" i="122"/>
  <c r="Q29" i="122"/>
  <c r="AF29" i="122"/>
  <c r="Q30" i="122"/>
  <c r="M30" i="122"/>
  <c r="M31" i="122"/>
  <c r="Q31" i="122"/>
  <c r="AF30" i="122"/>
  <c r="AF31" i="122"/>
  <c r="M32" i="122"/>
  <c r="Q32" i="122"/>
  <c r="AF32" i="122"/>
  <c r="M33" i="122"/>
  <c r="Q33" i="122"/>
  <c r="AF33" i="122"/>
  <c r="M34" i="122"/>
  <c r="Q34" i="122"/>
  <c r="S34" i="122"/>
  <c r="AF34" i="122"/>
  <c r="N5" i="122"/>
  <c r="N6" i="122"/>
  <c r="N7" i="122"/>
  <c r="N8" i="122"/>
  <c r="N9" i="122"/>
  <c r="N10" i="122"/>
  <c r="N11" i="122"/>
  <c r="N12" i="122"/>
  <c r="N13" i="122"/>
  <c r="N14" i="122"/>
  <c r="N15" i="122"/>
  <c r="N16" i="122"/>
  <c r="N17" i="122"/>
  <c r="N18" i="122"/>
  <c r="N19" i="122"/>
  <c r="N20" i="122"/>
  <c r="N21" i="122"/>
  <c r="N22" i="122"/>
  <c r="N23" i="122"/>
  <c r="N24" i="122"/>
  <c r="N25" i="122"/>
  <c r="N26" i="122"/>
  <c r="N27" i="122"/>
  <c r="AH29" i="122"/>
  <c r="N28" i="122"/>
  <c r="N29" i="122"/>
  <c r="N30" i="122"/>
  <c r="N31" i="122"/>
  <c r="N32" i="122"/>
  <c r="N33" i="122"/>
  <c r="N34" i="122"/>
  <c r="N36" i="122"/>
  <c r="N37" i="122"/>
  <c r="B37" i="122"/>
  <c r="AD37" i="122"/>
  <c r="K37" i="122"/>
  <c r="N38" i="122"/>
  <c r="B38" i="122"/>
  <c r="AD38" i="122"/>
  <c r="J37" i="122"/>
  <c r="L38" i="122"/>
  <c r="AE38" i="122"/>
  <c r="N39" i="122"/>
  <c r="B39" i="122"/>
  <c r="AD39" i="122"/>
  <c r="N40" i="122"/>
  <c r="B40" i="122"/>
  <c r="AD40" i="122"/>
  <c r="L39" i="122"/>
  <c r="AE39" i="122"/>
  <c r="N41" i="122"/>
  <c r="B41" i="122"/>
  <c r="AD41" i="122"/>
  <c r="L40" i="122"/>
  <c r="AE40" i="122"/>
  <c r="N42" i="122"/>
  <c r="B42" i="122"/>
  <c r="L41" i="122"/>
  <c r="AE41" i="122"/>
  <c r="AD42" i="122"/>
  <c r="N43" i="122"/>
  <c r="B43" i="122"/>
  <c r="AD43" i="122"/>
  <c r="L42" i="122"/>
  <c r="AE42" i="122"/>
  <c r="K43" i="122"/>
  <c r="N44" i="122"/>
  <c r="B44" i="122"/>
  <c r="AD44" i="122"/>
  <c r="J43" i="122"/>
  <c r="K44" i="122"/>
  <c r="N45" i="122"/>
  <c r="B45" i="122"/>
  <c r="AD45" i="122"/>
  <c r="J44" i="122"/>
  <c r="N46" i="122"/>
  <c r="B46" i="122"/>
  <c r="L45" i="122"/>
  <c r="AE45" i="122"/>
  <c r="AD46" i="122"/>
  <c r="K46" i="122"/>
  <c r="N47" i="122"/>
  <c r="B47" i="122"/>
  <c r="AD47" i="122"/>
  <c r="J46" i="122"/>
  <c r="L47" i="122"/>
  <c r="AE47" i="122"/>
  <c r="N48" i="122"/>
  <c r="B48" i="122"/>
  <c r="AD48" i="122"/>
  <c r="L48" i="122"/>
  <c r="AE48" i="122"/>
  <c r="N49" i="122"/>
  <c r="B49" i="122"/>
  <c r="AD49" i="122"/>
  <c r="N50" i="122"/>
  <c r="B50" i="122"/>
  <c r="K50" i="122"/>
  <c r="L49" i="122"/>
  <c r="AE49" i="122"/>
  <c r="AD50" i="122"/>
  <c r="N51" i="122"/>
  <c r="B51" i="122"/>
  <c r="AD51" i="122"/>
  <c r="J50" i="122"/>
  <c r="K51" i="122"/>
  <c r="N52" i="122"/>
  <c r="B52" i="122"/>
  <c r="AD52" i="122"/>
  <c r="J51" i="122"/>
  <c r="L52" i="122"/>
  <c r="AE52" i="122"/>
  <c r="N53" i="122"/>
  <c r="B53" i="122"/>
  <c r="AD53" i="122"/>
  <c r="L53" i="122"/>
  <c r="AE53" i="122"/>
  <c r="N54" i="122"/>
  <c r="B54" i="122"/>
  <c r="AD54" i="122"/>
  <c r="N55" i="122"/>
  <c r="B55" i="122"/>
  <c r="AD55" i="122"/>
  <c r="L54" i="122"/>
  <c r="AE54" i="122"/>
  <c r="L55" i="122"/>
  <c r="AE55" i="122"/>
  <c r="N56" i="122"/>
  <c r="B56" i="122"/>
  <c r="AD56" i="122"/>
  <c r="L56" i="122"/>
  <c r="AE56" i="122"/>
  <c r="N57" i="122"/>
  <c r="B57" i="122"/>
  <c r="K57" i="122"/>
  <c r="AD57" i="122"/>
  <c r="N58" i="122"/>
  <c r="B58" i="122"/>
  <c r="K58" i="122"/>
  <c r="J57" i="122"/>
  <c r="AD58" i="122"/>
  <c r="N59" i="122"/>
  <c r="B59" i="122"/>
  <c r="AD59" i="122"/>
  <c r="J58" i="122"/>
  <c r="K59" i="122"/>
  <c r="N61" i="122"/>
  <c r="B61" i="122"/>
  <c r="J59" i="122"/>
  <c r="AD61" i="122"/>
  <c r="N62" i="122"/>
  <c r="B62" i="122"/>
  <c r="AD62" i="122"/>
  <c r="L61" i="122"/>
  <c r="AE61" i="122"/>
  <c r="N63" i="122"/>
  <c r="B63" i="122"/>
  <c r="L62" i="122"/>
  <c r="AE62" i="122"/>
  <c r="AD63" i="122"/>
  <c r="AE63" i="122"/>
  <c r="L63" i="122"/>
  <c r="N64" i="122"/>
  <c r="B64" i="122"/>
  <c r="AD64" i="122"/>
  <c r="K64" i="122"/>
  <c r="N66" i="122"/>
  <c r="B66" i="122"/>
  <c r="J64" i="122"/>
  <c r="N67" i="122"/>
  <c r="B67" i="122"/>
  <c r="K66" i="122"/>
  <c r="J66" i="122"/>
  <c r="AD67" i="122"/>
  <c r="AD66" i="122"/>
  <c r="L67" i="122"/>
  <c r="AE67" i="122"/>
  <c r="N68" i="122"/>
  <c r="B68" i="122"/>
  <c r="AD68" i="122"/>
  <c r="L68" i="122"/>
  <c r="AE68" i="122"/>
  <c r="N69" i="122"/>
  <c r="B69" i="122"/>
  <c r="B36" i="122"/>
  <c r="B5" i="122"/>
  <c r="B6" i="122"/>
  <c r="B7" i="122"/>
  <c r="AD7" i="122"/>
  <c r="B8" i="122"/>
  <c r="B9" i="122"/>
  <c r="B10" i="122"/>
  <c r="B11" i="122"/>
  <c r="B12" i="122"/>
  <c r="B13" i="122"/>
  <c r="B14" i="122"/>
  <c r="B15" i="122"/>
  <c r="AD15" i="122"/>
  <c r="B16" i="122"/>
  <c r="B17" i="122"/>
  <c r="B18" i="122"/>
  <c r="B19" i="122"/>
  <c r="B20" i="122"/>
  <c r="B21" i="122"/>
  <c r="B22" i="122"/>
  <c r="B23" i="122"/>
  <c r="B24" i="122"/>
  <c r="B25" i="122"/>
  <c r="B26" i="122"/>
  <c r="B27" i="122"/>
  <c r="B28" i="122"/>
  <c r="B29" i="122"/>
  <c r="B30" i="122"/>
  <c r="B31" i="122"/>
  <c r="AD31" i="122"/>
  <c r="B32" i="122"/>
  <c r="B33" i="122"/>
  <c r="B34" i="122"/>
  <c r="B4" i="122"/>
  <c r="AD6" i="122"/>
  <c r="K6" i="122"/>
  <c r="AD14" i="122"/>
  <c r="K14" i="122"/>
  <c r="AD28" i="122"/>
  <c r="K28" i="122"/>
  <c r="AD13" i="122"/>
  <c r="AD16" i="122"/>
  <c r="AD29" i="122"/>
  <c r="AD9" i="122"/>
  <c r="AD22" i="122"/>
  <c r="K20" i="122"/>
  <c r="AD24" i="122"/>
  <c r="AD69" i="122"/>
  <c r="AD27" i="122"/>
  <c r="K8" i="122"/>
  <c r="AD23" i="122"/>
  <c r="AD8" i="122"/>
  <c r="AD20" i="122"/>
  <c r="K22" i="122"/>
  <c r="AD30" i="122"/>
  <c r="AD17" i="122"/>
  <c r="AD21" i="122"/>
  <c r="AD34" i="122"/>
  <c r="AD10" i="122"/>
  <c r="K16" i="122"/>
  <c r="K15" i="122"/>
  <c r="K7" i="122"/>
  <c r="B35" i="122"/>
  <c r="B65" i="122"/>
  <c r="AD33" i="122"/>
  <c r="L33" i="122"/>
  <c r="AE33" i="122"/>
  <c r="L31" i="122"/>
  <c r="AE31" i="122"/>
  <c r="L27" i="122"/>
  <c r="AE27" i="122"/>
  <c r="AD25" i="122"/>
  <c r="L25" i="122"/>
  <c r="AE25" i="122"/>
  <c r="L23" i="122"/>
  <c r="AE23" i="122"/>
  <c r="AD19" i="122"/>
  <c r="L19" i="122"/>
  <c r="AE19" i="122"/>
  <c r="L17" i="122"/>
  <c r="AE17" i="122"/>
  <c r="L13" i="122"/>
  <c r="AE13" i="122"/>
  <c r="L11" i="122"/>
  <c r="AE11" i="122"/>
  <c r="AD11" i="122"/>
  <c r="L9" i="122"/>
  <c r="AE9" i="122"/>
  <c r="K5" i="122"/>
  <c r="AD5" i="122"/>
  <c r="N70" i="122"/>
  <c r="B70" i="122"/>
  <c r="L34" i="122"/>
  <c r="AE34" i="122"/>
  <c r="AD32" i="122"/>
  <c r="L32" i="122"/>
  <c r="AE32" i="122"/>
  <c r="L30" i="122"/>
  <c r="AE30" i="122"/>
  <c r="J28" i="122"/>
  <c r="AD26" i="122"/>
  <c r="L26" i="122"/>
  <c r="AE26" i="122"/>
  <c r="L24" i="122"/>
  <c r="AE24" i="122"/>
  <c r="J22" i="122"/>
  <c r="J20" i="122"/>
  <c r="AE18" i="122"/>
  <c r="L18" i="122"/>
  <c r="AD18" i="122"/>
  <c r="J16" i="122"/>
  <c r="J14" i="122"/>
  <c r="L12" i="122"/>
  <c r="AD12" i="122"/>
  <c r="AE12" i="122"/>
  <c r="L10" i="122"/>
  <c r="AE10" i="122"/>
  <c r="J8" i="122"/>
  <c r="J6" i="122"/>
  <c r="L69" i="122"/>
  <c r="AE69" i="122"/>
  <c r="K36" i="122"/>
  <c r="AD70" i="122"/>
  <c r="AD36" i="122"/>
  <c r="K21" i="122"/>
  <c r="K29" i="122"/>
  <c r="J5" i="122"/>
  <c r="J29" i="122"/>
  <c r="J7" i="122"/>
  <c r="J21" i="122"/>
  <c r="J15" i="122"/>
  <c r="K4" i="122"/>
  <c r="J36" i="122"/>
  <c r="AD4" i="122"/>
  <c r="N71" i="122"/>
  <c r="B71" i="122"/>
  <c r="AD71" i="122"/>
  <c r="L70" i="122"/>
  <c r="AE70" i="122"/>
  <c r="L71" i="122"/>
  <c r="AE71" i="122"/>
  <c r="N72" i="122"/>
  <c r="B72" i="122"/>
  <c r="AD72" i="122"/>
  <c r="K72" i="122"/>
  <c r="N73" i="122"/>
  <c r="B73" i="122"/>
  <c r="K73" i="122"/>
  <c r="J72" i="122"/>
  <c r="J73" i="122"/>
  <c r="N74" i="122"/>
  <c r="B74" i="122"/>
  <c r="AD73" i="122"/>
  <c r="AD74" i="122"/>
  <c r="L74" i="122"/>
  <c r="AE74" i="122"/>
  <c r="N75" i="122"/>
  <c r="B75" i="122"/>
  <c r="AD75" i="122"/>
  <c r="N76" i="122"/>
  <c r="B76" i="122"/>
  <c r="L75" i="122"/>
  <c r="AE75" i="122"/>
  <c r="AD76" i="122"/>
  <c r="N77" i="122"/>
  <c r="B77" i="122"/>
  <c r="AD77" i="122"/>
  <c r="L76" i="122"/>
  <c r="AE76" i="122"/>
  <c r="L77" i="122"/>
  <c r="AE77" i="122"/>
  <c r="N78" i="122"/>
  <c r="B78" i="122"/>
  <c r="AD78" i="122"/>
  <c r="N79" i="122"/>
  <c r="B79" i="122"/>
  <c r="AD79" i="122"/>
  <c r="L78" i="122"/>
  <c r="AE78" i="122"/>
  <c r="K79" i="122"/>
  <c r="N80" i="122"/>
  <c r="B80" i="122"/>
  <c r="AD80" i="122"/>
  <c r="J79" i="122"/>
  <c r="K80" i="122"/>
  <c r="N81" i="122"/>
  <c r="B81" i="122"/>
  <c r="AD81" i="122"/>
  <c r="J80" i="122"/>
  <c r="L81" i="122"/>
  <c r="AE81" i="122"/>
  <c r="N82" i="122"/>
  <c r="B82" i="122"/>
  <c r="AD82" i="122"/>
  <c r="N83" i="122"/>
  <c r="B83" i="122"/>
  <c r="L82" i="122"/>
  <c r="AE82" i="122"/>
  <c r="AD83" i="122"/>
  <c r="L83" i="122"/>
  <c r="AE83" i="122"/>
  <c r="N84" i="122"/>
  <c r="B84" i="122"/>
  <c r="AD84" i="122"/>
  <c r="AE84" i="122"/>
  <c r="L84" i="122"/>
  <c r="N85" i="122"/>
  <c r="B85" i="122"/>
  <c r="AD85" i="122"/>
  <c r="K85" i="122"/>
  <c r="N86" i="122"/>
  <c r="B86" i="122"/>
  <c r="AD86" i="122"/>
  <c r="K86" i="122"/>
  <c r="J85" i="122"/>
  <c r="N87" i="122"/>
  <c r="B87" i="122"/>
  <c r="K87" i="122"/>
  <c r="J86" i="122"/>
  <c r="AD87" i="122"/>
  <c r="N88" i="122"/>
  <c r="B88" i="122"/>
  <c r="K88" i="122"/>
  <c r="J87" i="122"/>
  <c r="AD88" i="122"/>
  <c r="L88" i="122"/>
  <c r="AE88" i="122"/>
  <c r="N89" i="122"/>
  <c r="B89" i="122"/>
  <c r="AD89" i="122"/>
  <c r="N90" i="122"/>
  <c r="B90" i="122"/>
  <c r="L89" i="122"/>
  <c r="AE89" i="122"/>
  <c r="AD90" i="122"/>
  <c r="N91" i="122"/>
  <c r="B91" i="122"/>
  <c r="AD91" i="122"/>
  <c r="L90" i="122"/>
  <c r="AE90" i="122"/>
  <c r="N92" i="122"/>
  <c r="B92" i="122"/>
  <c r="AD92" i="122"/>
  <c r="AE91" i="122"/>
  <c r="L91" i="122"/>
  <c r="AE92" i="122"/>
  <c r="L92" i="122"/>
  <c r="N93" i="122"/>
  <c r="B93" i="122"/>
  <c r="K93" i="122"/>
  <c r="AD93" i="122"/>
  <c r="J93" i="122"/>
  <c r="N94" i="122"/>
  <c r="B94" i="122"/>
  <c r="AD94" i="122"/>
  <c r="K94" i="122"/>
  <c r="N95" i="122"/>
  <c r="B95" i="122"/>
  <c r="AF4" i="122"/>
  <c r="J94" i="122"/>
  <c r="AD95" i="122"/>
  <c r="N96" i="122"/>
  <c r="B96" i="122"/>
  <c r="L95" i="122"/>
  <c r="AE95" i="122"/>
  <c r="AF35" i="122"/>
  <c r="S4" i="122"/>
  <c r="Q4" i="122"/>
  <c r="M4" i="122"/>
  <c r="AE96" i="122"/>
  <c r="B97" i="122"/>
  <c r="N98" i="122"/>
  <c r="B98" i="122"/>
  <c r="N4" i="122"/>
  <c r="AD96" i="122"/>
  <c r="L98" i="122"/>
  <c r="L96" i="122"/>
  <c r="N99" i="122"/>
  <c r="B99" i="122"/>
  <c r="AD99" i="122"/>
  <c r="J4" i="122"/>
  <c r="AE98" i="122"/>
  <c r="L99" i="122"/>
  <c r="AE99" i="122"/>
  <c r="N100" i="122"/>
  <c r="B100" i="122"/>
  <c r="AD98" i="122"/>
  <c r="AD100" i="122"/>
  <c r="N101" i="122"/>
  <c r="B101" i="122"/>
  <c r="AD101" i="122"/>
  <c r="L100" i="122"/>
  <c r="AE100" i="122"/>
  <c r="K101" i="122"/>
  <c r="N102" i="122"/>
  <c r="B102" i="122"/>
  <c r="K102" i="122"/>
  <c r="J101" i="122"/>
  <c r="AD102" i="122"/>
  <c r="N103" i="122"/>
  <c r="B103" i="122"/>
  <c r="AD103" i="122"/>
  <c r="L103" i="122"/>
  <c r="AE103" i="122"/>
  <c r="N104" i="122"/>
  <c r="B104" i="122"/>
  <c r="AD104" i="122"/>
  <c r="J102" i="122"/>
  <c r="L104" i="122"/>
  <c r="AE104" i="122"/>
  <c r="N105" i="122"/>
  <c r="B105" i="122"/>
  <c r="AD105" i="122"/>
  <c r="N106" i="122"/>
  <c r="B106" i="122"/>
  <c r="L105" i="122"/>
  <c r="AE105" i="122"/>
  <c r="AD106" i="122"/>
  <c r="L106" i="122"/>
  <c r="AE106" i="122"/>
  <c r="N107" i="122"/>
  <c r="B107" i="122"/>
  <c r="AD107" i="122"/>
  <c r="N108" i="122"/>
  <c r="B108" i="122"/>
  <c r="K108" i="122"/>
  <c r="L107" i="122"/>
  <c r="AE107" i="122"/>
  <c r="AD108" i="122"/>
  <c r="J108" i="122"/>
  <c r="N109" i="122"/>
  <c r="B109" i="122"/>
  <c r="K109" i="122"/>
  <c r="AD109" i="122"/>
  <c r="N110" i="122"/>
  <c r="B110" i="122"/>
  <c r="J109" i="122"/>
  <c r="AD110" i="122"/>
  <c r="N111" i="122"/>
  <c r="B111" i="122"/>
  <c r="AD111" i="122"/>
  <c r="L110" i="122"/>
  <c r="AE110" i="122"/>
  <c r="N112" i="122"/>
  <c r="B112" i="122"/>
  <c r="AD112" i="122"/>
  <c r="L111" i="122"/>
  <c r="AE111" i="122"/>
  <c r="L112" i="122"/>
  <c r="AE112" i="122"/>
  <c r="N113" i="122"/>
  <c r="B113" i="122"/>
  <c r="AD113" i="122"/>
  <c r="L113" i="122"/>
  <c r="AE113" i="122"/>
  <c r="N114" i="122"/>
  <c r="B114" i="122"/>
  <c r="AD114" i="122"/>
  <c r="N115" i="122"/>
  <c r="B115" i="122"/>
  <c r="K115" i="122"/>
  <c r="L114" i="122"/>
  <c r="AE114" i="122"/>
  <c r="AD115" i="122"/>
  <c r="N116" i="122"/>
  <c r="B116" i="122"/>
  <c r="K116" i="122"/>
  <c r="J115" i="122"/>
  <c r="AD116" i="122"/>
  <c r="J116" i="122"/>
  <c r="N117" i="122"/>
  <c r="B117" i="122"/>
  <c r="AD117" i="122"/>
  <c r="N118" i="122"/>
  <c r="B118" i="122"/>
  <c r="L117" i="122"/>
  <c r="AE117" i="122"/>
  <c r="AD118" i="122"/>
  <c r="N119" i="122"/>
  <c r="B119" i="122"/>
  <c r="AD119" i="122"/>
  <c r="L118" i="122"/>
  <c r="AE118" i="122"/>
  <c r="L119" i="122"/>
  <c r="AE119" i="122"/>
  <c r="N120" i="122"/>
  <c r="B120" i="122"/>
  <c r="AD120" i="122"/>
  <c r="N121" i="122"/>
  <c r="B121" i="122"/>
  <c r="AD121" i="122"/>
  <c r="L120" i="122"/>
  <c r="AE120" i="122"/>
  <c r="L121" i="122"/>
  <c r="AE121" i="122"/>
  <c r="B122" i="122"/>
  <c r="K122" i="122"/>
  <c r="AD122" i="122"/>
  <c r="N123" i="122"/>
  <c r="B123" i="122"/>
  <c r="K123" i="122"/>
  <c r="J122" i="122"/>
  <c r="J123" i="122"/>
  <c r="N124" i="122"/>
  <c r="B124" i="122"/>
  <c r="AD124" i="122"/>
  <c r="AD123" i="122"/>
  <c r="K124" i="122"/>
  <c r="N125" i="122"/>
  <c r="B125" i="122"/>
  <c r="AD125" i="122"/>
  <c r="J124" i="122"/>
  <c r="K125" i="122"/>
  <c r="N126" i="122"/>
  <c r="B126" i="122"/>
  <c r="AD126" i="122"/>
  <c r="K126" i="122"/>
  <c r="J125" i="122"/>
  <c r="N127" i="122"/>
  <c r="B127" i="122"/>
  <c r="L127" i="122"/>
  <c r="B128" i="122"/>
  <c r="J126" i="122"/>
  <c r="B129" i="122"/>
  <c r="N129" i="122"/>
  <c r="AD127" i="122"/>
  <c r="AE127" i="122"/>
  <c r="AE129" i="122"/>
  <c r="B130" i="122"/>
  <c r="K130" i="122"/>
  <c r="N130" i="122"/>
  <c r="AD130" i="122"/>
  <c r="AD129" i="122"/>
  <c r="L129" i="122"/>
  <c r="N131" i="122"/>
  <c r="B131" i="122"/>
  <c r="J130" i="122"/>
  <c r="AD131" i="122"/>
  <c r="K131" i="122"/>
  <c r="B132" i="122"/>
  <c r="N132" i="122"/>
  <c r="J131" i="122"/>
  <c r="AD132" i="122"/>
  <c r="K132" i="122"/>
  <c r="J132" i="122"/>
  <c r="B133" i="122"/>
  <c r="N133" i="122"/>
  <c r="AD133" i="122"/>
  <c r="K133" i="122"/>
  <c r="J133" i="122"/>
  <c r="N134" i="122"/>
  <c r="B134" i="122"/>
  <c r="K134" i="122"/>
  <c r="AD134" i="122"/>
  <c r="J134" i="122"/>
  <c r="B135" i="122"/>
  <c r="N135" i="122"/>
  <c r="AD135" i="122"/>
  <c r="AE135" i="122"/>
  <c r="L135" i="122"/>
  <c r="N136" i="122"/>
  <c r="B136" i="122"/>
  <c r="AD136" i="122"/>
  <c r="L136" i="122"/>
  <c r="AE136" i="122"/>
  <c r="B137" i="122"/>
  <c r="K137" i="122"/>
  <c r="N137" i="122"/>
  <c r="AD137" i="122"/>
  <c r="N138" i="122"/>
  <c r="B138" i="122"/>
  <c r="K138" i="122"/>
  <c r="J137" i="122"/>
  <c r="AD138" i="122"/>
  <c r="J138" i="122"/>
  <c r="B139" i="122"/>
  <c r="AD139" i="122"/>
  <c r="N139" i="122"/>
  <c r="N140" i="122"/>
  <c r="B140" i="122"/>
  <c r="AE139" i="122"/>
  <c r="L139" i="122"/>
  <c r="AD140" i="122"/>
  <c r="AE140" i="122"/>
  <c r="L140" i="122"/>
  <c r="B141" i="122"/>
  <c r="AD141" i="122"/>
  <c r="N141" i="122"/>
  <c r="N142" i="122"/>
  <c r="B142" i="122"/>
  <c r="AD142" i="122"/>
  <c r="AE141" i="122"/>
  <c r="L141" i="122"/>
  <c r="AE142" i="122"/>
  <c r="L142" i="122"/>
  <c r="N143" i="122"/>
  <c r="B143" i="122"/>
  <c r="AD143" i="122"/>
  <c r="L143" i="122"/>
  <c r="AE143" i="122"/>
  <c r="B144" i="122"/>
  <c r="AD144" i="122"/>
  <c r="N144" i="122"/>
  <c r="K144" i="122"/>
  <c r="B145" i="122"/>
  <c r="AD145" i="122"/>
  <c r="N145" i="122"/>
  <c r="J144" i="122"/>
  <c r="K145" i="122"/>
  <c r="N146" i="122"/>
  <c r="B146" i="122"/>
  <c r="AD146" i="122"/>
  <c r="J145" i="122"/>
  <c r="L146" i="122"/>
  <c r="AE146" i="122"/>
  <c r="N147" i="122"/>
  <c r="B147" i="122"/>
  <c r="AD147" i="122"/>
  <c r="L147" i="122"/>
  <c r="AE147" i="122"/>
  <c r="B148" i="122"/>
  <c r="N148" i="122"/>
  <c r="AD148" i="122"/>
  <c r="AE148" i="122"/>
  <c r="L148" i="122"/>
  <c r="B149" i="122"/>
  <c r="N149" i="122"/>
  <c r="AD149" i="122"/>
  <c r="B150" i="122"/>
  <c r="K150" i="122"/>
  <c r="N150" i="122"/>
  <c r="L149" i="122"/>
  <c r="AE149" i="122"/>
  <c r="AD150" i="122"/>
  <c r="N151" i="122"/>
  <c r="B151" i="122"/>
  <c r="AD151" i="122"/>
  <c r="J150" i="122"/>
  <c r="K151" i="122"/>
  <c r="N152" i="122"/>
  <c r="B152" i="122"/>
  <c r="AD152" i="122"/>
  <c r="J151" i="122"/>
  <c r="K152" i="122"/>
  <c r="N153" i="122"/>
  <c r="B153" i="122"/>
  <c r="AD153" i="122"/>
  <c r="J152" i="122"/>
  <c r="AE153" i="122"/>
  <c r="L153" i="122"/>
  <c r="B154" i="122"/>
  <c r="N154" i="122"/>
  <c r="AD154" i="122"/>
  <c r="N155" i="122"/>
  <c r="B155" i="122"/>
  <c r="AE154" i="122"/>
  <c r="L154" i="122"/>
  <c r="AD155" i="122"/>
  <c r="AE155" i="122"/>
  <c r="L155" i="122"/>
  <c r="B156" i="122"/>
  <c r="K156" i="122"/>
  <c r="N156" i="122"/>
  <c r="AD156" i="122"/>
  <c r="N157" i="122"/>
  <c r="B157" i="122"/>
  <c r="AE156" i="122"/>
  <c r="L156" i="122"/>
  <c r="AD157" i="122"/>
  <c r="L157" i="122"/>
  <c r="AE157" i="122"/>
  <c r="B158" i="122"/>
  <c r="K158" i="122"/>
  <c r="N158" i="122"/>
  <c r="AD158" i="122"/>
  <c r="J158" i="122"/>
  <c r="N159" i="122"/>
  <c r="B159" i="122"/>
  <c r="AD159" i="122"/>
  <c r="B160" i="122"/>
  <c r="N161" i="122"/>
  <c r="B161" i="122"/>
  <c r="K159" i="122"/>
  <c r="AE161" i="122"/>
  <c r="N162" i="122"/>
  <c r="B162" i="122"/>
  <c r="J159" i="122"/>
  <c r="L161" i="122"/>
  <c r="AE162" i="122"/>
  <c r="L162" i="122"/>
  <c r="AH164" i="122"/>
  <c r="B163" i="122"/>
  <c r="N163" i="122"/>
  <c r="AD162" i="122"/>
  <c r="AD161" i="122"/>
  <c r="AD163" i="122"/>
  <c r="N164" i="122"/>
  <c r="B164" i="122"/>
  <c r="AD164" i="122"/>
  <c r="AE163" i="122"/>
  <c r="L163" i="122"/>
  <c r="L164" i="122"/>
  <c r="AE164" i="122"/>
  <c r="B165" i="122"/>
  <c r="N165" i="122"/>
  <c r="AD165" i="122"/>
  <c r="B166" i="122"/>
  <c r="AD166" i="122"/>
  <c r="N166" i="122"/>
  <c r="L165" i="122"/>
  <c r="AE165" i="122"/>
  <c r="K166" i="122"/>
  <c r="B167" i="122"/>
  <c r="AD167" i="122"/>
  <c r="N167" i="122"/>
  <c r="J166" i="122"/>
  <c r="K167" i="122"/>
  <c r="B168" i="122"/>
  <c r="N168" i="122"/>
  <c r="J167" i="122"/>
  <c r="AD168" i="122"/>
  <c r="B169" i="122"/>
  <c r="AD169" i="122"/>
  <c r="N169" i="122"/>
  <c r="AE168" i="122"/>
  <c r="L168" i="122"/>
  <c r="N170" i="122"/>
  <c r="B170" i="122"/>
  <c r="AD170" i="122"/>
  <c r="AE169" i="122"/>
  <c r="L169" i="122"/>
  <c r="L170" i="122"/>
  <c r="AE170" i="122"/>
  <c r="N171" i="122"/>
  <c r="B171" i="122"/>
  <c r="AD171" i="122"/>
  <c r="L171" i="122"/>
  <c r="AE171" i="122"/>
  <c r="B172" i="122"/>
  <c r="AD172" i="122"/>
  <c r="N172" i="122"/>
  <c r="AE172" i="122"/>
  <c r="L172" i="122"/>
  <c r="N173" i="122"/>
  <c r="B173" i="122"/>
  <c r="AD173" i="122"/>
  <c r="K173" i="122"/>
  <c r="B174" i="122"/>
  <c r="N174" i="122"/>
  <c r="K174" i="122"/>
  <c r="AD174" i="122"/>
  <c r="J173" i="122"/>
  <c r="N175" i="122"/>
  <c r="B175" i="122"/>
  <c r="AD175" i="122"/>
  <c r="J174" i="122"/>
  <c r="L175" i="122"/>
  <c r="AE175" i="122"/>
  <c r="B176" i="122"/>
  <c r="AD176" i="122"/>
  <c r="N176" i="122"/>
  <c r="L176" i="122"/>
  <c r="AE176" i="122"/>
  <c r="B177" i="122"/>
  <c r="N177" i="122"/>
  <c r="AD177" i="122"/>
  <c r="L177" i="122"/>
  <c r="AE177" i="122"/>
  <c r="N178" i="122"/>
  <c r="B178" i="122"/>
  <c r="AD178" i="122"/>
  <c r="K178" i="122"/>
  <c r="L178" i="122"/>
  <c r="AE178" i="122"/>
  <c r="B179" i="122"/>
  <c r="AD179" i="122"/>
  <c r="N179" i="122"/>
  <c r="L179" i="122"/>
  <c r="AE179" i="122"/>
  <c r="B180" i="122"/>
  <c r="AD180" i="122"/>
  <c r="N180" i="122"/>
  <c r="K180" i="122"/>
  <c r="N181" i="122"/>
  <c r="B181" i="122"/>
  <c r="AD181" i="122"/>
  <c r="J180" i="122"/>
  <c r="K181" i="122"/>
  <c r="N182" i="122"/>
  <c r="B182" i="122"/>
  <c r="AD182" i="122"/>
  <c r="J181" i="122"/>
  <c r="AE182" i="122"/>
  <c r="L182" i="122"/>
  <c r="B183" i="122"/>
  <c r="N183" i="122"/>
  <c r="AD183" i="122"/>
  <c r="N184" i="122"/>
  <c r="B184" i="122"/>
  <c r="AD184" i="122"/>
  <c r="L183" i="122"/>
  <c r="AE183" i="122"/>
  <c r="L184" i="122"/>
  <c r="AE184" i="122"/>
  <c r="N185" i="122"/>
  <c r="B185" i="122"/>
  <c r="AD185" i="122"/>
  <c r="AE185" i="122"/>
  <c r="L185" i="122"/>
  <c r="N186" i="122"/>
  <c r="B186" i="122"/>
  <c r="AD186" i="122"/>
  <c r="B187" i="122"/>
  <c r="AD187" i="122"/>
  <c r="N187" i="122"/>
  <c r="L186" i="122"/>
  <c r="AE186" i="122"/>
  <c r="K187" i="122"/>
  <c r="N188" i="122"/>
  <c r="B188" i="122"/>
  <c r="AD188" i="122"/>
  <c r="J187" i="122"/>
  <c r="K188" i="122"/>
  <c r="B189" i="122"/>
  <c r="N189" i="122"/>
  <c r="AD189" i="122"/>
  <c r="J188" i="122"/>
  <c r="L189" i="122"/>
  <c r="AE189" i="122"/>
  <c r="B190" i="122"/>
  <c r="N190" i="122"/>
  <c r="AE190" i="122"/>
  <c r="B191" i="122"/>
  <c r="N192" i="122"/>
  <c r="B192" i="122"/>
  <c r="L190" i="122"/>
  <c r="AD190" i="122"/>
  <c r="L192" i="122"/>
  <c r="B193" i="122"/>
  <c r="AD193" i="122"/>
  <c r="N193" i="122"/>
  <c r="AD192" i="122"/>
  <c r="AE192" i="122"/>
  <c r="B194" i="122"/>
  <c r="N194" i="122"/>
  <c r="L193" i="122"/>
  <c r="AE193" i="122"/>
  <c r="AD194" i="122"/>
  <c r="N195" i="122"/>
  <c r="B195" i="122"/>
  <c r="AD195" i="122"/>
  <c r="AE194" i="122"/>
  <c r="L194" i="122"/>
  <c r="K195" i="122"/>
  <c r="B196" i="122"/>
  <c r="K196" i="122"/>
  <c r="N196" i="122"/>
  <c r="J195" i="122"/>
  <c r="AD196" i="122"/>
  <c r="N197" i="122"/>
  <c r="B197" i="122"/>
  <c r="AD197" i="122"/>
  <c r="J196" i="122"/>
  <c r="L197" i="122"/>
  <c r="AE197" i="122"/>
  <c r="B198" i="122"/>
  <c r="N198" i="122"/>
  <c r="AD198" i="122"/>
  <c r="L198" i="122"/>
  <c r="AE198" i="122"/>
  <c r="N199" i="122"/>
  <c r="B199" i="122"/>
  <c r="L199" i="122"/>
  <c r="AE199" i="122"/>
  <c r="B200" i="122"/>
  <c r="N200" i="122"/>
  <c r="AD199" i="122"/>
  <c r="AD200" i="122"/>
  <c r="L200" i="122"/>
  <c r="AE200" i="122"/>
  <c r="B201" i="122"/>
  <c r="N201" i="122"/>
  <c r="AD201" i="122"/>
  <c r="AE201" i="122"/>
  <c r="L201" i="122"/>
  <c r="N202" i="122"/>
  <c r="B202" i="122"/>
  <c r="AD202" i="122"/>
  <c r="K202" i="122"/>
  <c r="N203" i="122"/>
  <c r="B203" i="122"/>
  <c r="K203" i="122"/>
  <c r="J202" i="122"/>
  <c r="J203" i="122"/>
  <c r="B204" i="122"/>
  <c r="AD204" i="122"/>
  <c r="N204" i="122"/>
  <c r="AD203" i="122"/>
  <c r="L204" i="122"/>
  <c r="AE204" i="122"/>
  <c r="N205" i="122"/>
  <c r="B205" i="122"/>
  <c r="AD205" i="122"/>
  <c r="L205" i="122"/>
  <c r="AE205" i="122"/>
  <c r="B206" i="122"/>
  <c r="N206" i="122"/>
  <c r="AD206" i="122"/>
  <c r="L206" i="122"/>
  <c r="AE206" i="122"/>
  <c r="N207" i="122"/>
  <c r="B207" i="122"/>
  <c r="AD207" i="122"/>
  <c r="L207" i="122"/>
  <c r="AE207" i="122"/>
  <c r="B208" i="122"/>
  <c r="K208" i="122"/>
  <c r="N208" i="122"/>
  <c r="AD208" i="122"/>
  <c r="N209" i="122"/>
  <c r="B209" i="122"/>
  <c r="AE208" i="122"/>
  <c r="L208" i="122"/>
  <c r="AD209" i="122"/>
  <c r="K209" i="122"/>
  <c r="J209" i="122"/>
  <c r="B210" i="122"/>
  <c r="K210" i="122"/>
  <c r="N210" i="122"/>
  <c r="AD210" i="122"/>
  <c r="J210" i="122"/>
  <c r="B211" i="122"/>
  <c r="AD211" i="122"/>
  <c r="N211" i="122"/>
  <c r="B212" i="122"/>
  <c r="AD212" i="122"/>
  <c r="N212" i="122"/>
  <c r="L211" i="122"/>
  <c r="AE211" i="122"/>
  <c r="N213" i="122"/>
  <c r="B213" i="122"/>
  <c r="L212" i="122"/>
  <c r="AE212" i="122"/>
  <c r="L213" i="122"/>
  <c r="AE213" i="122"/>
  <c r="B214" i="122"/>
  <c r="K214" i="122"/>
  <c r="N214" i="122"/>
  <c r="AD213" i="122"/>
  <c r="AD214" i="122"/>
  <c r="J214" i="122"/>
  <c r="B215" i="122"/>
  <c r="AD215" i="122"/>
  <c r="N215" i="122"/>
  <c r="K215" i="122"/>
  <c r="N216" i="122"/>
  <c r="B216" i="122"/>
  <c r="K216" i="122"/>
  <c r="J215" i="122"/>
  <c r="J216" i="122"/>
  <c r="N217" i="122"/>
  <c r="B217" i="122"/>
  <c r="K217" i="122"/>
  <c r="AD216" i="122"/>
  <c r="AD217" i="122"/>
  <c r="J217" i="122"/>
  <c r="N218" i="122"/>
  <c r="B218" i="122"/>
  <c r="L218" i="122"/>
  <c r="AE218" i="122"/>
  <c r="B219" i="122"/>
  <c r="N219" i="122"/>
  <c r="AD218" i="122"/>
  <c r="AD219" i="122"/>
  <c r="N220" i="122"/>
  <c r="B220" i="122"/>
  <c r="L219" i="122"/>
  <c r="AE219" i="122"/>
  <c r="B221" i="122"/>
  <c r="N221" i="122"/>
  <c r="L220" i="122"/>
  <c r="AE220" i="122"/>
  <c r="AD220" i="122"/>
  <c r="AD221" i="122"/>
  <c r="L221" i="122"/>
  <c r="AE221" i="122"/>
  <c r="B222" i="122"/>
  <c r="N222" i="122"/>
  <c r="AE222" i="122"/>
  <c r="B223" i="122"/>
  <c r="B224" i="122"/>
  <c r="N224" i="122"/>
  <c r="L222" i="122"/>
  <c r="AD222" i="122"/>
  <c r="N225" i="122"/>
  <c r="B225" i="122"/>
  <c r="K225" i="122"/>
  <c r="AD224" i="122"/>
  <c r="K224" i="122"/>
  <c r="AD225" i="122"/>
  <c r="J224" i="122"/>
  <c r="B226" i="122"/>
  <c r="N226" i="122"/>
  <c r="J225" i="122"/>
  <c r="AD226" i="122"/>
  <c r="AE226" i="122"/>
  <c r="L226" i="122"/>
  <c r="B227" i="122"/>
  <c r="N227" i="122"/>
  <c r="AE227" i="122"/>
  <c r="N228" i="122"/>
  <c r="B228" i="122"/>
  <c r="AD228" i="122"/>
  <c r="L227" i="122"/>
  <c r="AD227" i="122"/>
  <c r="B229" i="122"/>
  <c r="N229" i="122"/>
  <c r="L228" i="122"/>
  <c r="AE228" i="122"/>
  <c r="AD229" i="122"/>
  <c r="L229" i="122"/>
  <c r="AE229" i="122"/>
  <c r="B230" i="122"/>
  <c r="N230" i="122"/>
  <c r="AD230" i="122"/>
  <c r="N231" i="122"/>
  <c r="B231" i="122"/>
  <c r="AD231" i="122"/>
  <c r="AE230" i="122"/>
  <c r="L230" i="122"/>
  <c r="K231" i="122"/>
  <c r="N232" i="122"/>
  <c r="B232" i="122"/>
  <c r="K232" i="122"/>
  <c r="J231" i="122"/>
  <c r="B233" i="122"/>
  <c r="AD233" i="122"/>
  <c r="N233" i="122"/>
  <c r="J232" i="122"/>
  <c r="AD232" i="122"/>
  <c r="K233" i="122"/>
  <c r="B234" i="122"/>
  <c r="AD234" i="122"/>
  <c r="N234" i="122"/>
  <c r="J233" i="122"/>
  <c r="N235" i="122"/>
  <c r="B235" i="122"/>
  <c r="L234" i="122"/>
  <c r="AE234" i="122"/>
  <c r="L235" i="122"/>
  <c r="AE235" i="122"/>
  <c r="B236" i="122"/>
  <c r="N236" i="122"/>
  <c r="AD235" i="122"/>
  <c r="AD236" i="122"/>
  <c r="L236" i="122"/>
  <c r="AE236" i="122"/>
  <c r="B237" i="122"/>
  <c r="K237" i="122"/>
  <c r="N237" i="122"/>
  <c r="AD237" i="122"/>
  <c r="L237" i="122"/>
  <c r="AE237" i="122"/>
  <c r="B238" i="122"/>
  <c r="AD238" i="122"/>
  <c r="N238" i="122"/>
  <c r="K238" i="122"/>
  <c r="B239" i="122"/>
  <c r="K239" i="122"/>
  <c r="N239" i="122"/>
  <c r="J238" i="122"/>
  <c r="AD239" i="122"/>
  <c r="N240" i="122"/>
  <c r="B240" i="122"/>
  <c r="AD240" i="122"/>
  <c r="J239" i="122"/>
  <c r="AE240" i="122"/>
  <c r="L240" i="122"/>
  <c r="B241" i="122"/>
  <c r="AD241" i="122"/>
  <c r="N241" i="122"/>
  <c r="N242" i="122"/>
  <c r="B242" i="122"/>
  <c r="AE241" i="122"/>
  <c r="L241" i="122"/>
  <c r="AE242" i="122"/>
  <c r="L242" i="122"/>
  <c r="B243" i="122"/>
  <c r="N243" i="122"/>
  <c r="AD242" i="122"/>
  <c r="AD243" i="122"/>
  <c r="N244" i="122"/>
  <c r="B244" i="122"/>
  <c r="AE243" i="122"/>
  <c r="L243" i="122"/>
  <c r="AD244" i="122"/>
  <c r="L244" i="122"/>
  <c r="AE244" i="122"/>
  <c r="B245" i="122"/>
  <c r="AD245" i="122"/>
  <c r="N245" i="122"/>
  <c r="K245" i="122"/>
  <c r="N246" i="122"/>
  <c r="B246" i="122"/>
  <c r="K246" i="122"/>
  <c r="J245" i="122"/>
  <c r="J246" i="122"/>
  <c r="B247" i="122"/>
  <c r="N247" i="122"/>
  <c r="AD247" i="122"/>
  <c r="AD246" i="122"/>
  <c r="N248" i="122"/>
  <c r="B248" i="122"/>
  <c r="AD248" i="122"/>
  <c r="AE247" i="122"/>
  <c r="L247" i="122"/>
  <c r="AE248" i="122"/>
  <c r="L248" i="122"/>
  <c r="B249" i="122"/>
  <c r="AD249" i="122"/>
  <c r="N249" i="122"/>
  <c r="N250" i="122"/>
  <c r="B250" i="122"/>
  <c r="AD250" i="122"/>
  <c r="AE249" i="122"/>
  <c r="L249" i="122"/>
  <c r="AE250" i="122"/>
  <c r="L250" i="122"/>
  <c r="N251" i="122"/>
  <c r="B251" i="122"/>
  <c r="AD251" i="122"/>
  <c r="L251" i="122"/>
  <c r="AE251" i="122"/>
  <c r="B252" i="122"/>
  <c r="K252" i="122"/>
  <c r="N252" i="122"/>
  <c r="AD252" i="122"/>
  <c r="J252" i="122"/>
  <c r="N253" i="122"/>
  <c r="B253" i="122"/>
  <c r="AD253" i="122"/>
  <c r="N254" i="122"/>
  <c r="B254" i="122"/>
  <c r="B255" i="122"/>
  <c r="B256" i="122"/>
  <c r="K253" i="122"/>
  <c r="N256" i="122"/>
  <c r="AE254" i="122"/>
  <c r="J253" i="122"/>
  <c r="AE256" i="122"/>
  <c r="L256" i="122"/>
  <c r="AD257" i="122"/>
  <c r="L254" i="122"/>
  <c r="L257" i="122"/>
  <c r="AE257" i="122"/>
  <c r="AD256" i="122"/>
  <c r="AD254" i="122"/>
  <c r="N257" i="122"/>
  <c r="N258" i="122"/>
  <c r="B258" i="122"/>
  <c r="B257" i="122"/>
  <c r="AD258" i="122"/>
  <c r="L258" i="122"/>
  <c r="AE258" i="122"/>
  <c r="B259" i="122"/>
  <c r="AD259" i="122"/>
  <c r="N259" i="122"/>
  <c r="K259" i="122"/>
  <c r="N260" i="122"/>
  <c r="B260" i="122"/>
  <c r="K260" i="122"/>
  <c r="AE259" i="122"/>
  <c r="L259" i="122"/>
  <c r="AD260" i="122"/>
  <c r="J260" i="122"/>
  <c r="N261" i="122"/>
  <c r="B261" i="122"/>
  <c r="K261" i="122"/>
  <c r="J261" i="122"/>
  <c r="B262" i="122"/>
  <c r="AD262" i="122"/>
  <c r="N262" i="122"/>
  <c r="AD261" i="122"/>
  <c r="K262" i="122"/>
  <c r="B263" i="122"/>
  <c r="N263" i="122"/>
  <c r="AE262" i="122"/>
  <c r="L262" i="122"/>
  <c r="AD263" i="122"/>
  <c r="N264" i="122"/>
  <c r="B264" i="122"/>
  <c r="L263" i="122"/>
  <c r="AE263" i="122"/>
  <c r="AD264" i="122"/>
  <c r="L264" i="122"/>
  <c r="AE264" i="122"/>
  <c r="N265" i="122"/>
  <c r="B265" i="122"/>
  <c r="AD265" i="122"/>
  <c r="L265" i="122"/>
  <c r="AE265" i="122"/>
  <c r="N266" i="122"/>
  <c r="B266" i="122"/>
  <c r="AD266" i="122"/>
  <c r="N267" i="122"/>
  <c r="B267" i="122"/>
  <c r="AD267" i="122"/>
  <c r="AE266" i="122"/>
  <c r="L266" i="122"/>
  <c r="K267" i="122"/>
  <c r="N268" i="122"/>
  <c r="B268" i="122"/>
  <c r="K268" i="122"/>
  <c r="J267" i="122"/>
  <c r="J268" i="122"/>
  <c r="N269" i="122"/>
  <c r="B269" i="122"/>
  <c r="AD269" i="122"/>
  <c r="AD268" i="122"/>
  <c r="L269" i="122"/>
  <c r="AE269" i="122"/>
  <c r="N270" i="122"/>
  <c r="B270" i="122"/>
  <c r="AD270" i="122"/>
  <c r="L270" i="122"/>
  <c r="AE270" i="122"/>
  <c r="N271" i="122"/>
  <c r="B271" i="122"/>
  <c r="AD271" i="122"/>
  <c r="L271" i="122"/>
  <c r="AE271" i="122"/>
  <c r="N272" i="122"/>
  <c r="B272" i="122"/>
  <c r="AD272" i="122"/>
  <c r="L272" i="122"/>
  <c r="AE272" i="122"/>
  <c r="B273" i="122"/>
  <c r="N273" i="122"/>
  <c r="AD273" i="122"/>
  <c r="B274" i="122"/>
  <c r="N274" i="122"/>
  <c r="L273" i="122"/>
  <c r="AE273" i="122"/>
  <c r="AD274" i="122"/>
  <c r="K274" i="122"/>
  <c r="B275" i="122"/>
  <c r="K275" i="122"/>
  <c r="N275" i="122"/>
  <c r="AD275" i="122"/>
  <c r="J274" i="122"/>
  <c r="N276" i="122"/>
  <c r="B276" i="122"/>
  <c r="AD276" i="122"/>
  <c r="J275" i="122"/>
  <c r="K276" i="122"/>
  <c r="N277" i="122"/>
  <c r="B277" i="122"/>
  <c r="K277" i="122"/>
  <c r="J276" i="122"/>
  <c r="J277" i="122"/>
  <c r="N278" i="122"/>
  <c r="B278" i="122"/>
  <c r="AD278" i="122"/>
  <c r="AD277" i="122"/>
  <c r="L278" i="122"/>
  <c r="AE278" i="122"/>
  <c r="N279" i="122"/>
  <c r="B279" i="122"/>
  <c r="AD279" i="122"/>
  <c r="L279" i="122"/>
  <c r="AE279" i="122"/>
  <c r="B280" i="122"/>
  <c r="N280" i="122"/>
  <c r="AD280" i="122"/>
  <c r="AE280" i="122"/>
  <c r="L280" i="122"/>
  <c r="N281" i="122"/>
  <c r="B281" i="122"/>
  <c r="AD281" i="122"/>
  <c r="K281" i="122"/>
  <c r="B282" i="122"/>
  <c r="K282" i="122"/>
  <c r="N282" i="122"/>
  <c r="AD282" i="122"/>
  <c r="J281" i="122"/>
  <c r="J282" i="122"/>
  <c r="B283" i="122"/>
  <c r="AD283" i="122"/>
  <c r="N283" i="122"/>
  <c r="B284" i="122"/>
  <c r="N284" i="122"/>
  <c r="AE283" i="122"/>
  <c r="L283" i="122"/>
  <c r="AD284" i="122"/>
  <c r="B285" i="122"/>
  <c r="N285" i="122"/>
  <c r="AE284" i="122"/>
  <c r="L284" i="122"/>
  <c r="AE285" i="122"/>
  <c r="B286" i="122"/>
  <c r="N287" i="122"/>
  <c r="B287" i="122"/>
  <c r="AD285" i="122"/>
  <c r="L285" i="122"/>
  <c r="AE287" i="122"/>
  <c r="N288" i="122"/>
  <c r="B288" i="122"/>
  <c r="K288" i="122"/>
  <c r="K287" i="122"/>
  <c r="AD288" i="122"/>
  <c r="AD287" i="122"/>
  <c r="L287" i="122"/>
  <c r="B289" i="122"/>
  <c r="AD289" i="122"/>
  <c r="N289" i="122"/>
  <c r="L288" i="122"/>
  <c r="AE288" i="122"/>
  <c r="K289" i="122"/>
  <c r="N290" i="122"/>
  <c r="B290" i="122"/>
  <c r="AD290" i="122"/>
  <c r="J289" i="122"/>
  <c r="K290" i="122"/>
  <c r="B291" i="122"/>
  <c r="AD291" i="122"/>
  <c r="N291" i="122"/>
  <c r="K291" i="122"/>
  <c r="K318" i="122" s="1"/>
  <c r="J290" i="122"/>
  <c r="L291" i="122"/>
  <c r="AE291" i="122"/>
  <c r="N292" i="122"/>
  <c r="B292" i="122"/>
  <c r="AD292" i="122"/>
  <c r="K292" i="122"/>
  <c r="AE292" i="122"/>
  <c r="L292" i="122"/>
  <c r="N293" i="122"/>
  <c r="B293" i="122"/>
  <c r="AD293" i="122"/>
  <c r="K293" i="122"/>
  <c r="L293" i="122"/>
  <c r="AE293" i="122"/>
  <c r="B294" i="122"/>
  <c r="AD294" i="122"/>
  <c r="N294" i="122"/>
  <c r="K294" i="122"/>
  <c r="B295" i="122"/>
  <c r="AD295" i="122"/>
  <c r="N295" i="122"/>
  <c r="L294" i="122"/>
  <c r="AE294" i="122"/>
  <c r="K295" i="122"/>
  <c r="N296" i="122"/>
  <c r="B296" i="122"/>
  <c r="AE295" i="122"/>
  <c r="L295" i="122"/>
  <c r="AD296" i="122"/>
  <c r="K296" i="122"/>
  <c r="N297" i="122"/>
  <c r="B297" i="122"/>
  <c r="AD297" i="122"/>
  <c r="K297" i="122"/>
  <c r="J296" i="122"/>
  <c r="N298" i="122"/>
  <c r="B298" i="122"/>
  <c r="AD298" i="122"/>
  <c r="AD318" i="122" s="1"/>
  <c r="J297" i="122"/>
  <c r="K298" i="122"/>
  <c r="L298" i="122"/>
  <c r="AE298" i="122"/>
  <c r="N299" i="122"/>
  <c r="B299" i="122"/>
  <c r="AD299" i="122"/>
  <c r="K299" i="122"/>
  <c r="L299" i="122"/>
  <c r="AE299" i="122"/>
  <c r="N300" i="122"/>
  <c r="B300" i="122"/>
  <c r="AD300" i="122"/>
  <c r="K300" i="122"/>
  <c r="L300" i="122"/>
  <c r="AE300" i="122"/>
  <c r="N301" i="122"/>
  <c r="B301" i="122"/>
  <c r="K301" i="122"/>
  <c r="AD301" i="122"/>
  <c r="L301" i="122"/>
  <c r="AE301" i="122"/>
  <c r="B302" i="122"/>
  <c r="K302" i="122"/>
  <c r="N302" i="122"/>
  <c r="AD302" i="122"/>
  <c r="N303" i="122"/>
  <c r="B303" i="122"/>
  <c r="K303" i="122"/>
  <c r="AE302" i="122"/>
  <c r="L302" i="122"/>
  <c r="J303" i="122"/>
  <c r="B304" i="122"/>
  <c r="K304" i="122"/>
  <c r="N304" i="122"/>
  <c r="AD303" i="122"/>
  <c r="AD304" i="122"/>
  <c r="N305" i="122"/>
  <c r="B305" i="122"/>
  <c r="AD305" i="122"/>
  <c r="J304" i="122"/>
  <c r="K305" i="122"/>
  <c r="L305" i="122"/>
  <c r="AE305" i="122"/>
  <c r="B306" i="122"/>
  <c r="AD306" i="122"/>
  <c r="N306" i="122"/>
  <c r="K306" i="122"/>
  <c r="L306" i="122"/>
  <c r="AE306" i="122"/>
  <c r="B307" i="122"/>
  <c r="AD307" i="122"/>
  <c r="N307" i="122"/>
  <c r="K307" i="122"/>
  <c r="N308" i="122"/>
  <c r="B308" i="122"/>
  <c r="AD308" i="122"/>
  <c r="L307" i="122"/>
  <c r="AE307" i="122"/>
  <c r="K308" i="122"/>
  <c r="L308" i="122"/>
  <c r="AE308" i="122"/>
  <c r="B309" i="122"/>
  <c r="AD309" i="122"/>
  <c r="N309" i="122"/>
  <c r="K309" i="122"/>
  <c r="N310" i="122"/>
  <c r="B310" i="122"/>
  <c r="K310" i="122"/>
  <c r="AE309" i="122"/>
  <c r="L309" i="122"/>
  <c r="J310" i="122"/>
  <c r="N311" i="122"/>
  <c r="B311" i="122"/>
  <c r="K311" i="122"/>
  <c r="AD310" i="122"/>
  <c r="J311" i="122"/>
  <c r="N312" i="122"/>
  <c r="B312" i="122"/>
  <c r="K312" i="122"/>
  <c r="AD311" i="122"/>
  <c r="L312" i="122"/>
  <c r="AE312" i="122"/>
  <c r="B313" i="122"/>
  <c r="K313" i="122"/>
  <c r="N313" i="122"/>
  <c r="AD312" i="122"/>
  <c r="AD313" i="122"/>
  <c r="B314" i="122"/>
  <c r="AD314" i="122"/>
  <c r="N314" i="122"/>
  <c r="L313" i="122"/>
  <c r="AE313" i="122"/>
  <c r="K314" i="122"/>
  <c r="N315" i="122"/>
  <c r="B315" i="122"/>
  <c r="K315" i="122"/>
  <c r="L314" i="122"/>
  <c r="AE314" i="122"/>
  <c r="AD315" i="122"/>
  <c r="L315" i="122"/>
  <c r="AE315" i="122"/>
  <c r="B316" i="122"/>
  <c r="AD316" i="122"/>
  <c r="N316" i="122"/>
  <c r="K316" i="122"/>
  <c r="AE316" i="122"/>
  <c r="L316" i="122"/>
  <c r="B317" i="122"/>
  <c r="N317" i="122"/>
  <c r="B318" i="122"/>
  <c r="B319" i="122"/>
  <c r="N319" i="122"/>
  <c r="AD317" i="122"/>
  <c r="K317" i="122"/>
  <c r="N320" i="122"/>
  <c r="B320" i="122"/>
  <c r="K320" i="122"/>
  <c r="K349" i="122" s="1"/>
  <c r="J317" i="122"/>
  <c r="K319" i="122"/>
  <c r="AE320" i="122"/>
  <c r="L320" i="122"/>
  <c r="N321" i="122"/>
  <c r="B321" i="122"/>
  <c r="AD321" i="122"/>
  <c r="K321" i="122"/>
  <c r="AD319" i="122"/>
  <c r="AD320" i="122"/>
  <c r="J319" i="122"/>
  <c r="N322" i="122"/>
  <c r="B322" i="122"/>
  <c r="AD322" i="122"/>
  <c r="K322" i="122"/>
  <c r="J321" i="122"/>
  <c r="L322" i="122"/>
  <c r="AE322" i="122"/>
  <c r="N323" i="122"/>
  <c r="B323" i="122"/>
  <c r="K323" i="122"/>
  <c r="AD323" i="122"/>
  <c r="L323" i="122"/>
  <c r="AE323" i="122"/>
  <c r="B324" i="122"/>
  <c r="K324" i="122"/>
  <c r="N324" i="122"/>
  <c r="AD324" i="122"/>
  <c r="AE324" i="122"/>
  <c r="L324" i="122"/>
  <c r="N325" i="122"/>
  <c r="B325" i="122"/>
  <c r="K325" i="122"/>
  <c r="AD325" i="122"/>
  <c r="B326" i="122"/>
  <c r="AD326" i="122"/>
  <c r="N326" i="122"/>
  <c r="J325" i="122"/>
  <c r="K326" i="122"/>
  <c r="N327" i="122"/>
  <c r="B327" i="122"/>
  <c r="AD327" i="122"/>
  <c r="J326" i="122"/>
  <c r="K327" i="122"/>
  <c r="L327" i="122"/>
  <c r="AE327" i="122"/>
  <c r="B328" i="122"/>
  <c r="AD328" i="122"/>
  <c r="N328" i="122"/>
  <c r="K328" i="122"/>
  <c r="L328" i="122"/>
  <c r="AE328" i="122"/>
  <c r="N329" i="122"/>
  <c r="B329" i="122"/>
  <c r="AD329" i="122"/>
  <c r="K329" i="122"/>
  <c r="L329" i="122"/>
  <c r="AE329" i="122"/>
  <c r="B330" i="122"/>
  <c r="K330" i="122"/>
  <c r="N330" i="122"/>
  <c r="AD330" i="122"/>
  <c r="AE330" i="122"/>
  <c r="L330" i="122"/>
  <c r="N331" i="122"/>
  <c r="B331" i="122"/>
  <c r="AD331" i="122"/>
  <c r="K331" i="122"/>
  <c r="N332" i="122"/>
  <c r="B332" i="122"/>
  <c r="K332" i="122"/>
  <c r="AE331" i="122"/>
  <c r="L331" i="122"/>
  <c r="AD332" i="122"/>
  <c r="J332" i="122"/>
  <c r="N333" i="122"/>
  <c r="B333" i="122"/>
  <c r="AD333" i="122"/>
  <c r="K333" i="122"/>
  <c r="B334" i="122"/>
  <c r="AD334" i="122"/>
  <c r="N334" i="122"/>
  <c r="K334" i="122"/>
  <c r="J333" i="122"/>
  <c r="L334" i="122"/>
  <c r="AE334" i="122"/>
  <c r="N335" i="122"/>
  <c r="B335" i="122"/>
  <c r="AD335" i="122"/>
  <c r="K335" i="122"/>
  <c r="L335" i="122"/>
  <c r="AE335" i="122"/>
  <c r="B336" i="122"/>
  <c r="K336" i="122"/>
  <c r="N336" i="122"/>
  <c r="AD336" i="122"/>
  <c r="L336" i="122"/>
  <c r="AE336" i="122"/>
  <c r="N337" i="122"/>
  <c r="B337" i="122"/>
  <c r="AD337" i="122"/>
  <c r="K337" i="122"/>
  <c r="L337" i="122"/>
  <c r="AE337" i="122"/>
  <c r="B338" i="122"/>
  <c r="K338" i="122"/>
  <c r="N338" i="122"/>
  <c r="AD338" i="122"/>
  <c r="N339" i="122"/>
  <c r="B339" i="122"/>
  <c r="K339" i="122"/>
  <c r="AE338" i="122"/>
  <c r="L338" i="122"/>
  <c r="AD339" i="122"/>
  <c r="J339" i="122"/>
  <c r="N340" i="122"/>
  <c r="B340" i="122"/>
  <c r="AD340" i="122"/>
  <c r="K340" i="122"/>
  <c r="B341" i="122"/>
  <c r="N341" i="122"/>
  <c r="AD341" i="122"/>
  <c r="K341" i="122"/>
  <c r="J340" i="122"/>
  <c r="B342" i="122"/>
  <c r="AD342" i="122"/>
  <c r="N342" i="122"/>
  <c r="J341" i="122"/>
  <c r="K342" i="122"/>
  <c r="N343" i="122"/>
  <c r="B343" i="122"/>
  <c r="AD343" i="122"/>
  <c r="L342" i="122"/>
  <c r="AE342" i="122"/>
  <c r="K343" i="122"/>
  <c r="L343" i="122"/>
  <c r="AE343" i="122"/>
  <c r="B344" i="122"/>
  <c r="K344" i="122"/>
  <c r="N344" i="122"/>
  <c r="AD344" i="122"/>
  <c r="L344" i="122"/>
  <c r="AE344" i="122"/>
  <c r="B345" i="122"/>
  <c r="K345" i="122"/>
  <c r="N345" i="122"/>
  <c r="AD345" i="122"/>
  <c r="AE345" i="122"/>
  <c r="L345" i="122"/>
  <c r="N346" i="122"/>
  <c r="B346" i="122"/>
  <c r="K346" i="122"/>
  <c r="AD346" i="122"/>
  <c r="B347" i="122"/>
  <c r="AD347" i="122"/>
  <c r="N347" i="122"/>
  <c r="J346" i="122"/>
  <c r="K347" i="122"/>
  <c r="B348" i="122"/>
  <c r="N348" i="122"/>
  <c r="J347" i="122"/>
  <c r="K348" i="122"/>
  <c r="B349" i="122"/>
  <c r="B350" i="122"/>
  <c r="N350" i="122"/>
  <c r="AD348" i="122"/>
  <c r="AE348" i="122"/>
  <c r="L348" i="122"/>
  <c r="L350" i="122"/>
  <c r="N351" i="122"/>
  <c r="B351" i="122"/>
  <c r="K351" i="122"/>
  <c r="K381" i="122" s="1"/>
  <c r="AE350" i="122"/>
  <c r="K350" i="122"/>
  <c r="AD350" i="122"/>
  <c r="AD351" i="122"/>
  <c r="L351" i="122"/>
  <c r="AE351" i="122"/>
  <c r="N352" i="122"/>
  <c r="B352" i="122"/>
  <c r="AD352" i="122"/>
  <c r="K352" i="122"/>
  <c r="AE352" i="122"/>
  <c r="L352" i="122"/>
  <c r="N353" i="122"/>
  <c r="B353" i="122"/>
  <c r="AD353" i="122"/>
  <c r="AD381" i="122" s="1"/>
  <c r="K353" i="122"/>
  <c r="B354" i="122"/>
  <c r="AD354" i="122"/>
  <c r="N354" i="122"/>
  <c r="L353" i="122"/>
  <c r="AE353" i="122"/>
  <c r="K354" i="122"/>
  <c r="N355" i="122"/>
  <c r="B355" i="122"/>
  <c r="K355" i="122"/>
  <c r="J354" i="122"/>
  <c r="AD355" i="122"/>
  <c r="J355" i="122"/>
  <c r="N356" i="122"/>
  <c r="B356" i="122"/>
  <c r="AD356" i="122"/>
  <c r="K356" i="122"/>
  <c r="AE356" i="122"/>
  <c r="L356" i="122"/>
  <c r="B357" i="122"/>
  <c r="K357" i="122"/>
  <c r="N357" i="122"/>
  <c r="AD357" i="122"/>
  <c r="B358" i="122"/>
  <c r="AD358" i="122"/>
  <c r="N358" i="122"/>
  <c r="L357" i="122"/>
  <c r="AE357" i="122"/>
  <c r="K358" i="122"/>
  <c r="N359" i="122"/>
  <c r="B359" i="122"/>
  <c r="AD359" i="122"/>
  <c r="AE358" i="122"/>
  <c r="L358" i="122"/>
  <c r="K359" i="122"/>
  <c r="L359" i="122"/>
  <c r="AE359" i="122"/>
  <c r="N360" i="122"/>
  <c r="B360" i="122"/>
  <c r="AD360" i="122"/>
  <c r="K360" i="122"/>
  <c r="AE360" i="122"/>
  <c r="L360" i="122"/>
  <c r="N361" i="122"/>
  <c r="B361" i="122"/>
  <c r="AD361" i="122"/>
  <c r="K361" i="122"/>
  <c r="N362" i="122"/>
  <c r="B362" i="122"/>
  <c r="AD362" i="122"/>
  <c r="J361" i="122"/>
  <c r="K362" i="122"/>
  <c r="B363" i="122"/>
  <c r="AD363" i="122"/>
  <c r="N363" i="122"/>
  <c r="K363" i="122"/>
  <c r="J362" i="122"/>
  <c r="N364" i="122"/>
  <c r="B364" i="122"/>
  <c r="AD364" i="122"/>
  <c r="L363" i="122"/>
  <c r="AE363" i="122"/>
  <c r="K364" i="122"/>
  <c r="L364" i="122"/>
  <c r="AE364" i="122"/>
  <c r="N365" i="122"/>
  <c r="AH366" i="122"/>
  <c r="B365" i="122"/>
  <c r="AD365" i="122"/>
  <c r="K365" i="122"/>
  <c r="L365" i="122"/>
  <c r="AE365" i="122"/>
  <c r="N366" i="122"/>
  <c r="B366" i="122"/>
  <c r="AD366" i="122"/>
  <c r="K366" i="122"/>
  <c r="L366" i="122"/>
  <c r="AE366" i="122"/>
  <c r="B367" i="122"/>
  <c r="K367" i="122"/>
  <c r="N367" i="122"/>
  <c r="AD367" i="122"/>
  <c r="L367" i="122"/>
  <c r="AE367" i="122"/>
  <c r="B368" i="122"/>
  <c r="AD368" i="122"/>
  <c r="N368" i="122"/>
  <c r="K368" i="122"/>
  <c r="B369" i="122"/>
  <c r="K369" i="122"/>
  <c r="N369" i="122"/>
  <c r="J368" i="122"/>
  <c r="AD369" i="122"/>
  <c r="N370" i="122"/>
  <c r="B370" i="122"/>
  <c r="AD370" i="122"/>
  <c r="J369" i="122"/>
  <c r="K370" i="122"/>
  <c r="L370" i="122"/>
  <c r="AE370" i="122"/>
  <c r="B371" i="122"/>
  <c r="AD371" i="122"/>
  <c r="N371" i="122"/>
  <c r="K371" i="122"/>
  <c r="N372" i="122"/>
  <c r="B372" i="122"/>
  <c r="L371" i="122"/>
  <c r="AE371" i="122"/>
  <c r="AD372" i="122"/>
  <c r="K372" i="122"/>
  <c r="L372" i="122"/>
  <c r="AE372" i="122"/>
  <c r="B373" i="122"/>
  <c r="AD373" i="122"/>
  <c r="N373" i="122"/>
  <c r="K373" i="122"/>
  <c r="AH375" i="122"/>
  <c r="B374" i="122"/>
  <c r="AD374" i="122"/>
  <c r="N374" i="122"/>
  <c r="L373" i="122"/>
  <c r="AE373" i="122"/>
  <c r="K374" i="122"/>
  <c r="N375" i="122"/>
  <c r="B375" i="122"/>
  <c r="K375" i="122"/>
  <c r="AE374" i="122"/>
  <c r="L374" i="122"/>
  <c r="AD375" i="122"/>
  <c r="N376" i="122"/>
  <c r="B376" i="122"/>
  <c r="AD376" i="122"/>
  <c r="J375" i="122"/>
  <c r="K376" i="122"/>
  <c r="N377" i="122"/>
  <c r="B377" i="122"/>
  <c r="AD377" i="122"/>
  <c r="J376" i="122"/>
  <c r="K377" i="122"/>
  <c r="N378" i="122"/>
  <c r="B378" i="122"/>
  <c r="AD378" i="122"/>
  <c r="L377" i="122"/>
  <c r="AE377" i="122"/>
  <c r="K378" i="122"/>
  <c r="L378" i="122"/>
  <c r="AE378" i="122"/>
  <c r="B379" i="122"/>
  <c r="N379" i="122"/>
  <c r="AD379" i="122"/>
  <c r="K379" i="122"/>
  <c r="B380" i="122"/>
  <c r="N380" i="122"/>
  <c r="L379" i="122"/>
  <c r="AE379" i="122"/>
  <c r="AE380" i="122"/>
  <c r="B381" i="122"/>
  <c r="L380" i="122"/>
  <c r="K380" i="122"/>
  <c r="AD380" i="122"/>
  <c r="M8" i="102"/>
  <c r="K8" i="133"/>
  <c r="K7" i="133"/>
  <c r="K6" i="133"/>
  <c r="I5" i="133"/>
  <c r="I4" i="133"/>
  <c r="P4" i="133" s="1"/>
  <c r="K5" i="133"/>
  <c r="I8" i="133"/>
  <c r="I6" i="133"/>
  <c r="P6" i="133" s="1"/>
  <c r="I7" i="133"/>
  <c r="K4" i="133"/>
  <c r="M4" i="102"/>
  <c r="I365" i="122"/>
  <c r="I353" i="122"/>
  <c r="I340" i="122"/>
  <c r="I343" i="122"/>
  <c r="I344" i="122"/>
  <c r="I327" i="122"/>
  <c r="I319" i="122"/>
  <c r="I368" i="122"/>
  <c r="I324" i="122"/>
  <c r="I346" i="122"/>
  <c r="I376" i="122"/>
  <c r="I374" i="122"/>
  <c r="I322" i="122"/>
  <c r="I332" i="122"/>
  <c r="I338" i="122"/>
  <c r="I355" i="122"/>
  <c r="I13" i="122"/>
  <c r="I113" i="122"/>
  <c r="I25" i="122"/>
  <c r="I111" i="122"/>
  <c r="I112" i="122"/>
  <c r="I18" i="122"/>
  <c r="I43" i="122"/>
  <c r="I64" i="122"/>
  <c r="I57" i="122"/>
  <c r="I121" i="122"/>
  <c r="I122" i="122"/>
  <c r="I32" i="122"/>
  <c r="I41" i="122"/>
  <c r="I62" i="122"/>
  <c r="I68" i="122"/>
  <c r="I71" i="122"/>
  <c r="I82" i="122"/>
  <c r="AB376" i="122"/>
  <c r="AB368" i="122"/>
  <c r="AB360" i="122"/>
  <c r="AB352" i="122"/>
  <c r="AB347" i="122"/>
  <c r="AB339" i="122"/>
  <c r="AB331" i="122"/>
  <c r="AB323" i="122"/>
  <c r="I287" i="122"/>
  <c r="I281" i="122"/>
  <c r="I277" i="122"/>
  <c r="AB264" i="122"/>
  <c r="I261" i="122"/>
  <c r="K60" i="122"/>
  <c r="I348" i="122"/>
  <c r="I357" i="122"/>
  <c r="I334" i="122"/>
  <c r="I370" i="122"/>
  <c r="I330" i="122"/>
  <c r="I377" i="122"/>
  <c r="I375" i="122"/>
  <c r="I73" i="122"/>
  <c r="I58" i="122"/>
  <c r="I39" i="122"/>
  <c r="I123" i="122"/>
  <c r="I87" i="122"/>
  <c r="I12" i="122"/>
  <c r="I50" i="122"/>
  <c r="I16" i="122"/>
  <c r="I120" i="122"/>
  <c r="I17" i="122"/>
  <c r="I99" i="122"/>
  <c r="AB13" i="122"/>
  <c r="I49" i="122"/>
  <c r="I55" i="122"/>
  <c r="I96" i="122"/>
  <c r="I76" i="122"/>
  <c r="AB374" i="122"/>
  <c r="AB366" i="122"/>
  <c r="AB358" i="122"/>
  <c r="AB345" i="122"/>
  <c r="AB337" i="122"/>
  <c r="AB329" i="122"/>
  <c r="AB321" i="122"/>
  <c r="AB287" i="122"/>
  <c r="AB281" i="122"/>
  <c r="AB277" i="122"/>
  <c r="AB273" i="122"/>
  <c r="AB261" i="122"/>
  <c r="AB257" i="122"/>
  <c r="AB219" i="122"/>
  <c r="I216" i="122"/>
  <c r="I212" i="122"/>
  <c r="I208" i="122"/>
  <c r="I204" i="122"/>
  <c r="AB199" i="122"/>
  <c r="I196" i="122"/>
  <c r="AB157" i="122"/>
  <c r="I154" i="122"/>
  <c r="AB149" i="122"/>
  <c r="AB145" i="122"/>
  <c r="AB141" i="122"/>
  <c r="AB137" i="122"/>
  <c r="I134" i="122"/>
  <c r="I130" i="122"/>
  <c r="I129" i="122"/>
  <c r="AB103" i="122"/>
  <c r="AB111" i="122"/>
  <c r="AB119" i="122"/>
  <c r="AB124" i="122"/>
  <c r="AB96" i="122"/>
  <c r="AB34" i="122"/>
  <c r="K39" i="122"/>
  <c r="K45" i="122"/>
  <c r="K47" i="122"/>
  <c r="K62" i="122"/>
  <c r="K68" i="122"/>
  <c r="K18" i="122"/>
  <c r="K23" i="122"/>
  <c r="I345" i="122"/>
  <c r="I336" i="122"/>
  <c r="I360" i="122"/>
  <c r="I361" i="122"/>
  <c r="I363" i="122"/>
  <c r="I367" i="122"/>
  <c r="I373" i="122"/>
  <c r="I331" i="122"/>
  <c r="I326" i="122"/>
  <c r="I364" i="122"/>
  <c r="I352" i="122"/>
  <c r="I380" i="122"/>
  <c r="I369" i="122"/>
  <c r="I339" i="122"/>
  <c r="I321" i="122"/>
  <c r="I354" i="122"/>
  <c r="I323" i="122"/>
  <c r="I337" i="122"/>
  <c r="I320" i="122"/>
  <c r="I341" i="122"/>
  <c r="I362" i="122"/>
  <c r="AB5" i="122"/>
  <c r="I100" i="122"/>
  <c r="AB379" i="122"/>
  <c r="AB15" i="122"/>
  <c r="I114" i="122"/>
  <c r="AB11" i="122"/>
  <c r="I11" i="122"/>
  <c r="I22" i="122"/>
  <c r="I14" i="122"/>
  <c r="I40" i="122"/>
  <c r="I52" i="122"/>
  <c r="I90" i="122"/>
  <c r="I81" i="122"/>
  <c r="AB369" i="122"/>
  <c r="AB357" i="122"/>
  <c r="AB343" i="122"/>
  <c r="AB338" i="122"/>
  <c r="AB333" i="122"/>
  <c r="AB316" i="122"/>
  <c r="I314" i="122"/>
  <c r="AB312" i="122"/>
  <c r="I310" i="122"/>
  <c r="AB308" i="122"/>
  <c r="I306" i="122"/>
  <c r="AB304" i="122"/>
  <c r="I302" i="122"/>
  <c r="AB300" i="122"/>
  <c r="I298" i="122"/>
  <c r="AB296" i="122"/>
  <c r="I294" i="122"/>
  <c r="AB292" i="122"/>
  <c r="I290" i="122"/>
  <c r="AB288" i="122"/>
  <c r="I274" i="122"/>
  <c r="AB270" i="122"/>
  <c r="I268" i="122"/>
  <c r="I224" i="122"/>
  <c r="I218" i="122"/>
  <c r="I215" i="122"/>
  <c r="AB210" i="122"/>
  <c r="AB203" i="122"/>
  <c r="I197" i="122"/>
  <c r="AB192" i="122"/>
  <c r="AB189" i="122"/>
  <c r="I187" i="122"/>
  <c r="AB185" i="122"/>
  <c r="I183" i="122"/>
  <c r="AB181" i="122"/>
  <c r="I179" i="122"/>
  <c r="AB177" i="122"/>
  <c r="I175" i="122"/>
  <c r="AB173" i="122"/>
  <c r="I171" i="122"/>
  <c r="AB169" i="122"/>
  <c r="I167" i="122"/>
  <c r="AB165" i="122"/>
  <c r="I163" i="122"/>
  <c r="AB161" i="122"/>
  <c r="AB158" i="122"/>
  <c r="AB155" i="122"/>
  <c r="AB151" i="122"/>
  <c r="I149" i="122"/>
  <c r="AB144" i="122"/>
  <c r="I138" i="122"/>
  <c r="I131" i="122"/>
  <c r="AB99" i="122"/>
  <c r="AB104" i="122"/>
  <c r="AB117" i="122"/>
  <c r="AB122" i="122"/>
  <c r="AB89" i="122"/>
  <c r="AB91" i="122"/>
  <c r="AB38" i="122"/>
  <c r="AB40" i="122"/>
  <c r="AB42" i="122"/>
  <c r="AB44" i="122"/>
  <c r="AB46" i="122"/>
  <c r="AB47" i="122"/>
  <c r="AB50" i="122"/>
  <c r="AB52" i="122"/>
  <c r="AB54" i="122"/>
  <c r="AB56" i="122"/>
  <c r="AB58" i="122"/>
  <c r="AB61" i="122"/>
  <c r="AB63" i="122"/>
  <c r="AB36" i="122"/>
  <c r="I60" i="122"/>
  <c r="I333" i="122"/>
  <c r="I328" i="122"/>
  <c r="I85" i="122"/>
  <c r="I33" i="122"/>
  <c r="I20" i="122"/>
  <c r="AB6" i="122"/>
  <c r="I94" i="122"/>
  <c r="I126" i="122"/>
  <c r="AB380" i="122"/>
  <c r="I101" i="122"/>
  <c r="I24" i="122"/>
  <c r="I47" i="122"/>
  <c r="I70" i="122"/>
  <c r="I77" i="122"/>
  <c r="AB377" i="122"/>
  <c r="AB365" i="122"/>
  <c r="AB355" i="122"/>
  <c r="AB350" i="122"/>
  <c r="AB346" i="122"/>
  <c r="AB341" i="122"/>
  <c r="AB317" i="122"/>
  <c r="I315" i="122"/>
  <c r="AB313" i="122"/>
  <c r="I311" i="122"/>
  <c r="AB309" i="122"/>
  <c r="I307" i="122"/>
  <c r="AB305" i="122"/>
  <c r="I303" i="122"/>
  <c r="AB301" i="122"/>
  <c r="I299" i="122"/>
  <c r="AB297" i="122"/>
  <c r="I295" i="122"/>
  <c r="AB293" i="122"/>
  <c r="I291" i="122"/>
  <c r="AB289" i="122"/>
  <c r="AB274" i="122"/>
  <c r="I262" i="122"/>
  <c r="I259" i="122"/>
  <c r="AB224" i="122"/>
  <c r="AB218" i="122"/>
  <c r="AB211" i="122"/>
  <c r="AB204" i="122"/>
  <c r="AB200" i="122"/>
  <c r="AB197" i="122"/>
  <c r="AB193" i="122"/>
  <c r="AB190" i="122"/>
  <c r="I188" i="122"/>
  <c r="AB186" i="122"/>
  <c r="I184" i="122"/>
  <c r="AB182" i="122"/>
  <c r="I180" i="122"/>
  <c r="AB178" i="122"/>
  <c r="I176" i="122"/>
  <c r="AB174" i="122"/>
  <c r="I172" i="122"/>
  <c r="AB170" i="122"/>
  <c r="I168" i="122"/>
  <c r="AB166" i="122"/>
  <c r="I164" i="122"/>
  <c r="AB162" i="122"/>
  <c r="AB159" i="122"/>
  <c r="AB156" i="122"/>
  <c r="AB152" i="122"/>
  <c r="I146" i="122"/>
  <c r="I139" i="122"/>
  <c r="AB134" i="122"/>
  <c r="I132" i="122"/>
  <c r="AB101" i="122"/>
  <c r="AB106" i="122"/>
  <c r="AB67" i="122"/>
  <c r="AB69" i="122"/>
  <c r="AB71" i="122"/>
  <c r="AB73" i="122"/>
  <c r="AB75" i="122"/>
  <c r="AB77" i="122"/>
  <c r="AB79" i="122"/>
  <c r="AB81" i="122"/>
  <c r="AB83" i="122"/>
  <c r="AB85" i="122"/>
  <c r="AB87" i="122"/>
  <c r="I358" i="122"/>
  <c r="I356" i="122"/>
  <c r="I329" i="122"/>
  <c r="I342" i="122"/>
  <c r="I372" i="122"/>
  <c r="I371" i="122"/>
  <c r="AB9" i="122"/>
  <c r="AB4" i="122"/>
  <c r="I110" i="122"/>
  <c r="I107" i="122"/>
  <c r="AB8" i="122"/>
  <c r="I80" i="122"/>
  <c r="I26" i="122"/>
  <c r="I118" i="122"/>
  <c r="I4" i="122"/>
  <c r="AB14" i="122"/>
  <c r="I54" i="122"/>
  <c r="I67" i="122"/>
  <c r="I74" i="122"/>
  <c r="AB373" i="122"/>
  <c r="AB363" i="122"/>
  <c r="AB353" i="122"/>
  <c r="AB327" i="122"/>
  <c r="AB322" i="122"/>
  <c r="I316" i="122"/>
  <c r="AB314" i="122"/>
  <c r="I312" i="122"/>
  <c r="AB310" i="122"/>
  <c r="I308" i="122"/>
  <c r="AB306" i="122"/>
  <c r="I304" i="122"/>
  <c r="AB302" i="122"/>
  <c r="I300" i="122"/>
  <c r="AB298" i="122"/>
  <c r="I296" i="122"/>
  <c r="AB294" i="122"/>
  <c r="I292" i="122"/>
  <c r="AB290" i="122"/>
  <c r="I288" i="122"/>
  <c r="I282" i="122"/>
  <c r="AB275" i="122"/>
  <c r="AB265" i="122"/>
  <c r="AB262" i="122"/>
  <c r="I260" i="122"/>
  <c r="I220" i="122"/>
  <c r="AB212" i="122"/>
  <c r="AB208" i="122"/>
  <c r="AB205" i="122"/>
  <c r="I202" i="122"/>
  <c r="I199" i="122"/>
  <c r="AB194" i="122"/>
  <c r="I189" i="122"/>
  <c r="AB187" i="122"/>
  <c r="I185" i="122"/>
  <c r="AB183" i="122"/>
  <c r="I181" i="122"/>
  <c r="AB179" i="122"/>
  <c r="I177" i="122"/>
  <c r="AB175" i="122"/>
  <c r="I173" i="122"/>
  <c r="AB171" i="122"/>
  <c r="I169" i="122"/>
  <c r="AB167" i="122"/>
  <c r="I165" i="122"/>
  <c r="AB163" i="122"/>
  <c r="AB153" i="122"/>
  <c r="AB146" i="122"/>
  <c r="I143" i="122"/>
  <c r="AB139" i="122"/>
  <c r="I136" i="122"/>
  <c r="AB132" i="122"/>
  <c r="AB108" i="122"/>
  <c r="AB113" i="122"/>
  <c r="AB125" i="122"/>
  <c r="AB90" i="122"/>
  <c r="AB92" i="122"/>
  <c r="AB37" i="122"/>
  <c r="AB39" i="122"/>
  <c r="AB41" i="122"/>
  <c r="AB43" i="122"/>
  <c r="AB45" i="122"/>
  <c r="AB49" i="122"/>
  <c r="AB51" i="122"/>
  <c r="AB53" i="122"/>
  <c r="AB55" i="122"/>
  <c r="AB57" i="122"/>
  <c r="AB59" i="122"/>
  <c r="AB62" i="122"/>
  <c r="K52" i="122"/>
  <c r="K10" i="122"/>
  <c r="K33" i="122"/>
  <c r="I359" i="122"/>
  <c r="I335" i="122"/>
  <c r="I347" i="122"/>
  <c r="I23" i="122"/>
  <c r="I5" i="122"/>
  <c r="I104" i="122"/>
  <c r="I108" i="122"/>
  <c r="I46" i="122"/>
  <c r="I125" i="122"/>
  <c r="I124" i="122"/>
  <c r="I19" i="122"/>
  <c r="I72" i="122"/>
  <c r="I31" i="122"/>
  <c r="I56" i="122"/>
  <c r="I92" i="122"/>
  <c r="I84" i="122"/>
  <c r="AB371" i="122"/>
  <c r="AB361" i="122"/>
  <c r="I366" i="122"/>
  <c r="I127" i="122"/>
  <c r="I88" i="122"/>
  <c r="I119" i="122"/>
  <c r="I102" i="122"/>
  <c r="I93" i="122"/>
  <c r="I63" i="122"/>
  <c r="I78" i="122"/>
  <c r="AB372" i="122"/>
  <c r="AB344" i="122"/>
  <c r="AB335" i="122"/>
  <c r="AB328" i="122"/>
  <c r="AB278" i="122"/>
  <c r="AB268" i="122"/>
  <c r="AB260" i="122"/>
  <c r="AB253" i="122"/>
  <c r="I251" i="122"/>
  <c r="AB249" i="122"/>
  <c r="I247" i="122"/>
  <c r="AB245" i="122"/>
  <c r="I243" i="122"/>
  <c r="AB241" i="122"/>
  <c r="I239" i="122"/>
  <c r="AB237" i="122"/>
  <c r="I235" i="122"/>
  <c r="AB233" i="122"/>
  <c r="I231" i="122"/>
  <c r="AB229" i="122"/>
  <c r="I227" i="122"/>
  <c r="AB225" i="122"/>
  <c r="AB217" i="122"/>
  <c r="AB214" i="122"/>
  <c r="I201" i="122"/>
  <c r="I193" i="122"/>
  <c r="I161" i="122"/>
  <c r="I157" i="122"/>
  <c r="AB142" i="122"/>
  <c r="I140" i="122"/>
  <c r="AB131" i="122"/>
  <c r="AB118" i="122"/>
  <c r="AB78" i="122"/>
  <c r="K48" i="122"/>
  <c r="K63" i="122"/>
  <c r="K69" i="122"/>
  <c r="K9" i="122"/>
  <c r="K26" i="122"/>
  <c r="K78" i="122"/>
  <c r="K83" i="122"/>
  <c r="K117" i="122"/>
  <c r="I325" i="122"/>
  <c r="I66" i="122"/>
  <c r="I51" i="122"/>
  <c r="AB16" i="122"/>
  <c r="I38" i="122"/>
  <c r="I115" i="122"/>
  <c r="I61" i="122"/>
  <c r="AB340" i="122"/>
  <c r="AB279" i="122"/>
  <c r="I267" i="122"/>
  <c r="AB258" i="122"/>
  <c r="AB254" i="122"/>
  <c r="I252" i="122"/>
  <c r="AB250" i="122"/>
  <c r="I248" i="122"/>
  <c r="AB246" i="122"/>
  <c r="I244" i="122"/>
  <c r="AB242" i="122"/>
  <c r="I240" i="122"/>
  <c r="AB238" i="122"/>
  <c r="I236" i="122"/>
  <c r="AB234" i="122"/>
  <c r="I232" i="122"/>
  <c r="AB230" i="122"/>
  <c r="I228" i="122"/>
  <c r="AB226" i="122"/>
  <c r="I222" i="122"/>
  <c r="I221" i="122"/>
  <c r="I210" i="122"/>
  <c r="I207" i="122"/>
  <c r="AB198" i="122"/>
  <c r="AB154" i="122"/>
  <c r="AB143" i="122"/>
  <c r="I141" i="122"/>
  <c r="AB129" i="122"/>
  <c r="AB115" i="122"/>
  <c r="AB126" i="122"/>
  <c r="AB98" i="122"/>
  <c r="AB74" i="122"/>
  <c r="AB88" i="122"/>
  <c r="AB93" i="122"/>
  <c r="AB66" i="122"/>
  <c r="K41" i="122"/>
  <c r="K49" i="122"/>
  <c r="K53" i="122"/>
  <c r="K61" i="122"/>
  <c r="K11" i="122"/>
  <c r="K70" i="122"/>
  <c r="I379" i="122"/>
  <c r="I378" i="122"/>
  <c r="I6" i="122"/>
  <c r="I105" i="122"/>
  <c r="AB7" i="122"/>
  <c r="I44" i="122"/>
  <c r="I116" i="122"/>
  <c r="I95" i="122"/>
  <c r="AB362" i="122"/>
  <c r="AB351" i="122"/>
  <c r="AB320" i="122"/>
  <c r="AB285" i="122"/>
  <c r="AB282" i="122"/>
  <c r="AB272" i="122"/>
  <c r="I253" i="122"/>
  <c r="AB251" i="122"/>
  <c r="I249" i="122"/>
  <c r="AB247" i="122"/>
  <c r="I245" i="122"/>
  <c r="AB243" i="122"/>
  <c r="I241" i="122"/>
  <c r="AB239" i="122"/>
  <c r="I237" i="122"/>
  <c r="AB235" i="122"/>
  <c r="I233" i="122"/>
  <c r="AB231" i="122"/>
  <c r="I229" i="122"/>
  <c r="AB227" i="122"/>
  <c r="I225" i="122"/>
  <c r="AB221" i="122"/>
  <c r="I211" i="122"/>
  <c r="AB207" i="122"/>
  <c r="I205" i="122"/>
  <c r="AB196" i="122"/>
  <c r="I153" i="122"/>
  <c r="I150" i="122"/>
  <c r="I147" i="122"/>
  <c r="AB135" i="122"/>
  <c r="AB105" i="122"/>
  <c r="AB112" i="122"/>
  <c r="AB86" i="122"/>
  <c r="AB95" i="122"/>
  <c r="K55" i="122"/>
  <c r="K13" i="122"/>
  <c r="K31" i="122"/>
  <c r="K84" i="122"/>
  <c r="K95" i="122"/>
  <c r="K98" i="122"/>
  <c r="K107" i="122"/>
  <c r="K112" i="122"/>
  <c r="K119" i="122"/>
  <c r="K129" i="122"/>
  <c r="I21" i="122"/>
  <c r="I27" i="122"/>
  <c r="I15" i="122"/>
  <c r="I10" i="122"/>
  <c r="I48" i="122"/>
  <c r="I89" i="122"/>
  <c r="AB378" i="122"/>
  <c r="AB367" i="122"/>
  <c r="AB356" i="122"/>
  <c r="AB332" i="122"/>
  <c r="AB325" i="122"/>
  <c r="AB283" i="122"/>
  <c r="I276" i="122"/>
  <c r="I254" i="122"/>
  <c r="AB252" i="122"/>
  <c r="I250" i="122"/>
  <c r="AB248" i="122"/>
  <c r="I246" i="122"/>
  <c r="AB244" i="122"/>
  <c r="I242" i="122"/>
  <c r="AB240" i="122"/>
  <c r="I238" i="122"/>
  <c r="AB236" i="122"/>
  <c r="I234" i="122"/>
  <c r="AB232" i="122"/>
  <c r="I230" i="122"/>
  <c r="AB228" i="122"/>
  <c r="I226" i="122"/>
  <c r="AB222" i="122"/>
  <c r="I217" i="122"/>
  <c r="I214" i="122"/>
  <c r="AB202" i="122"/>
  <c r="I195" i="122"/>
  <c r="I192" i="122"/>
  <c r="I151" i="122"/>
  <c r="AB147" i="122"/>
  <c r="AB136" i="122"/>
  <c r="AB133" i="122"/>
  <c r="AB100" i="122"/>
  <c r="AB109" i="122"/>
  <c r="AB121" i="122"/>
  <c r="AB82" i="122"/>
  <c r="K38" i="122"/>
  <c r="K30" i="122"/>
  <c r="K12" i="122"/>
  <c r="K75" i="122"/>
  <c r="K76" i="122"/>
  <c r="K90" i="122"/>
  <c r="I350" i="122"/>
  <c r="I109" i="122"/>
  <c r="I8" i="122"/>
  <c r="I53" i="122"/>
  <c r="AB359" i="122"/>
  <c r="AB330" i="122"/>
  <c r="AB276" i="122"/>
  <c r="AB267" i="122"/>
  <c r="AB127" i="122"/>
  <c r="AB76" i="122"/>
  <c r="AB18" i="122"/>
  <c r="AB20" i="122"/>
  <c r="AB22" i="122"/>
  <c r="AB24" i="122"/>
  <c r="AB26" i="122"/>
  <c r="AB28" i="122"/>
  <c r="AB30" i="122"/>
  <c r="AB32" i="122"/>
  <c r="K54" i="122"/>
  <c r="AB60" i="122"/>
  <c r="I351" i="122"/>
  <c r="I37" i="122"/>
  <c r="I36" i="122"/>
  <c r="I91" i="122"/>
  <c r="AB370" i="122"/>
  <c r="AB324" i="122"/>
  <c r="AB263" i="122"/>
  <c r="I155" i="122"/>
  <c r="I148" i="122"/>
  <c r="AB140" i="122"/>
  <c r="AB114" i="122"/>
  <c r="AB84" i="122"/>
  <c r="K34" i="122"/>
  <c r="I28" i="122"/>
  <c r="I106" i="122"/>
  <c r="I79" i="122"/>
  <c r="I83" i="122"/>
  <c r="AB348" i="122"/>
  <c r="AB284" i="122"/>
  <c r="AB259" i="122"/>
  <c r="AB220" i="122"/>
  <c r="AB213" i="122"/>
  <c r="AB206" i="122"/>
  <c r="I200" i="122"/>
  <c r="I158" i="122"/>
  <c r="AB150" i="122"/>
  <c r="I144" i="122"/>
  <c r="I137" i="122"/>
  <c r="AB107" i="122"/>
  <c r="AB120" i="122"/>
  <c r="AB17" i="122"/>
  <c r="AB19" i="122"/>
  <c r="AB21" i="122"/>
  <c r="AB23" i="122"/>
  <c r="AB25" i="122"/>
  <c r="AB27" i="122"/>
  <c r="AB29" i="122"/>
  <c r="AB31" i="122"/>
  <c r="AB33" i="122"/>
  <c r="K17" i="122"/>
  <c r="K74" i="122"/>
  <c r="K106" i="122"/>
  <c r="K110" i="122"/>
  <c r="K163" i="122"/>
  <c r="K169" i="122"/>
  <c r="K175" i="122"/>
  <c r="K182" i="122"/>
  <c r="K190" i="122"/>
  <c r="K200" i="122"/>
  <c r="K204" i="122"/>
  <c r="K211" i="122"/>
  <c r="I103" i="122"/>
  <c r="I98" i="122"/>
  <c r="I42" i="122"/>
  <c r="AB336" i="122"/>
  <c r="AB280" i="122"/>
  <c r="AB271" i="122"/>
  <c r="AB216" i="122"/>
  <c r="AB209" i="122"/>
  <c r="I203" i="122"/>
  <c r="AB195" i="122"/>
  <c r="I159" i="122"/>
  <c r="I133" i="122"/>
  <c r="K40" i="122"/>
  <c r="K56" i="122"/>
  <c r="K67" i="122"/>
  <c r="K32" i="122"/>
  <c r="K71" i="122"/>
  <c r="K139" i="122"/>
  <c r="K148" i="122"/>
  <c r="K154" i="122"/>
  <c r="K184" i="122"/>
  <c r="K192" i="122"/>
  <c r="K201" i="122"/>
  <c r="K205" i="122"/>
  <c r="I29" i="122"/>
  <c r="AB319" i="122"/>
  <c r="I317" i="122"/>
  <c r="AB311" i="122"/>
  <c r="I301" i="122"/>
  <c r="AB295" i="122"/>
  <c r="I209" i="122"/>
  <c r="I194" i="122"/>
  <c r="I182" i="122"/>
  <c r="AB176" i="122"/>
  <c r="I166" i="122"/>
  <c r="AB148" i="122"/>
  <c r="K24" i="122"/>
  <c r="K149" i="122"/>
  <c r="K165" i="122"/>
  <c r="K193" i="122"/>
  <c r="K230" i="122"/>
  <c r="K234" i="122"/>
  <c r="I7" i="122"/>
  <c r="I86" i="122"/>
  <c r="AB342" i="122"/>
  <c r="AB266" i="122"/>
  <c r="I145" i="122"/>
  <c r="AB64" i="122"/>
  <c r="K96" i="122"/>
  <c r="K99" i="122"/>
  <c r="K111" i="122"/>
  <c r="K118" i="122"/>
  <c r="AB12" i="122"/>
  <c r="I117" i="122"/>
  <c r="AB334" i="122"/>
  <c r="I313" i="122"/>
  <c r="AB307" i="122"/>
  <c r="I297" i="122"/>
  <c r="AB291" i="122"/>
  <c r="AB215" i="122"/>
  <c r="AB188" i="122"/>
  <c r="I178" i="122"/>
  <c r="AB172" i="122"/>
  <c r="I162" i="122"/>
  <c r="I156" i="122"/>
  <c r="AB123" i="122"/>
  <c r="K82" i="122"/>
  <c r="K92" i="122"/>
  <c r="K100" i="122"/>
  <c r="K141" i="122"/>
  <c r="K162" i="122"/>
  <c r="K164" i="122"/>
  <c r="K198" i="122"/>
  <c r="I9" i="122"/>
  <c r="I69" i="122"/>
  <c r="AB354" i="122"/>
  <c r="I309" i="122"/>
  <c r="AB303" i="122"/>
  <c r="I293" i="122"/>
  <c r="AB269" i="122"/>
  <c r="I190" i="122"/>
  <c r="AB184" i="122"/>
  <c r="I174" i="122"/>
  <c r="AB168" i="122"/>
  <c r="I135" i="122"/>
  <c r="AB110" i="122"/>
  <c r="AB80" i="122"/>
  <c r="K42" i="122"/>
  <c r="K25" i="122"/>
  <c r="K81" i="122"/>
  <c r="K91" i="122"/>
  <c r="K140" i="122"/>
  <c r="K194" i="122"/>
  <c r="K199" i="122"/>
  <c r="K219" i="122"/>
  <c r="K220" i="122"/>
  <c r="K221" i="122"/>
  <c r="K227" i="122"/>
  <c r="I59" i="122"/>
  <c r="I75" i="122"/>
  <c r="I219" i="122"/>
  <c r="I206" i="122"/>
  <c r="AB130" i="122"/>
  <c r="AB116" i="122"/>
  <c r="AB68" i="122"/>
  <c r="K19" i="122"/>
  <c r="K105" i="122"/>
  <c r="K121" i="122"/>
  <c r="K127" i="122"/>
  <c r="K135" i="122"/>
  <c r="K153" i="122"/>
  <c r="K155" i="122"/>
  <c r="K183" i="122"/>
  <c r="K197" i="122"/>
  <c r="AB10" i="122"/>
  <c r="AB375" i="122"/>
  <c r="AB315" i="122"/>
  <c r="I305" i="122"/>
  <c r="AB299" i="122"/>
  <c r="I289" i="122"/>
  <c r="AB201" i="122"/>
  <c r="I186" i="122"/>
  <c r="AB180" i="122"/>
  <c r="I170" i="122"/>
  <c r="AB164" i="122"/>
  <c r="I142" i="122"/>
  <c r="K89" i="122"/>
  <c r="K104" i="122"/>
  <c r="K113" i="122"/>
  <c r="K168" i="122"/>
  <c r="K170" i="122"/>
  <c r="K171" i="122"/>
  <c r="K177" i="122"/>
  <c r="K213" i="122"/>
  <c r="AB364" i="122"/>
  <c r="K136" i="122"/>
  <c r="K176" i="122"/>
  <c r="K218" i="122"/>
  <c r="K228" i="122"/>
  <c r="K244" i="122"/>
  <c r="K254" i="122"/>
  <c r="I30" i="122"/>
  <c r="I213" i="122"/>
  <c r="AB94" i="122"/>
  <c r="K157" i="122"/>
  <c r="K207" i="122"/>
  <c r="K235" i="122"/>
  <c r="K241" i="122"/>
  <c r="K243" i="122"/>
  <c r="I34" i="122"/>
  <c r="AB102" i="122"/>
  <c r="AB70" i="122"/>
  <c r="K161" i="122"/>
  <c r="K212" i="122"/>
  <c r="K249" i="122"/>
  <c r="K251" i="122"/>
  <c r="AB138" i="122"/>
  <c r="AB48" i="122"/>
  <c r="K27" i="122"/>
  <c r="K143" i="122"/>
  <c r="K186" i="122"/>
  <c r="K222" i="122"/>
  <c r="K250" i="122"/>
  <c r="AB326" i="122"/>
  <c r="K103" i="122"/>
  <c r="K114" i="122"/>
  <c r="K142" i="122"/>
  <c r="K147" i="122"/>
  <c r="I275" i="122"/>
  <c r="I198" i="122"/>
  <c r="AB72" i="122"/>
  <c r="K77" i="122"/>
  <c r="K172" i="122"/>
  <c r="K179" i="122"/>
  <c r="K189" i="122"/>
  <c r="K226" i="122"/>
  <c r="K229" i="122"/>
  <c r="K242" i="122"/>
  <c r="K247" i="122"/>
  <c r="I152" i="122"/>
  <c r="K120" i="122"/>
  <c r="K185" i="122"/>
  <c r="I45" i="122"/>
  <c r="K206" i="122"/>
  <c r="AB256" i="122"/>
  <c r="K146" i="122"/>
  <c r="K240" i="122"/>
  <c r="K236" i="122"/>
  <c r="K248" i="122"/>
  <c r="K258" i="122"/>
  <c r="I258" i="122"/>
  <c r="K256" i="122"/>
  <c r="I256" i="122"/>
  <c r="I257" i="122"/>
  <c r="K257" i="122"/>
  <c r="K285" i="122"/>
  <c r="I283" i="122"/>
  <c r="K284" i="122"/>
  <c r="I285" i="122"/>
  <c r="K283" i="122"/>
  <c r="I284" i="122"/>
  <c r="I279" i="122"/>
  <c r="I280" i="122"/>
  <c r="K278" i="122"/>
  <c r="K279" i="122"/>
  <c r="K280" i="122"/>
  <c r="I278" i="122"/>
  <c r="K269" i="122"/>
  <c r="K271" i="122"/>
  <c r="I272" i="122"/>
  <c r="K272" i="122"/>
  <c r="I271" i="122"/>
  <c r="I269" i="122"/>
  <c r="K270" i="122"/>
  <c r="K273" i="122"/>
  <c r="I273" i="122"/>
  <c r="I270" i="122"/>
  <c r="K264" i="122"/>
  <c r="K265" i="122"/>
  <c r="K266" i="122"/>
  <c r="I265" i="122"/>
  <c r="I266" i="122"/>
  <c r="I264" i="122"/>
  <c r="K263" i="122"/>
  <c r="I263" i="122"/>
  <c r="AH353" i="122" l="1"/>
  <c r="AH343" i="122"/>
  <c r="AH378" i="122"/>
  <c r="AH372" i="122"/>
  <c r="AH331" i="122"/>
  <c r="AH312" i="122"/>
  <c r="AH259" i="122"/>
  <c r="Q754" i="2"/>
  <c r="Q749" i="2"/>
  <c r="Q743" i="2"/>
  <c r="Q738" i="2"/>
  <c r="Q733" i="2"/>
  <c r="Q727" i="2"/>
  <c r="Q722" i="2"/>
  <c r="Q717" i="2"/>
  <c r="Q711" i="2"/>
  <c r="Q706" i="2"/>
  <c r="Q701" i="2"/>
  <c r="Q695" i="2"/>
  <c r="Q690" i="2"/>
  <c r="Q685" i="2"/>
  <c r="Q679" i="2"/>
  <c r="Q674" i="2"/>
  <c r="Q669" i="2"/>
  <c r="Q663" i="2"/>
  <c r="Q658" i="2"/>
  <c r="Q653" i="2"/>
  <c r="Q647" i="2"/>
  <c r="Q639" i="2"/>
  <c r="Q631" i="2"/>
  <c r="Q620" i="2"/>
  <c r="Q604" i="2"/>
  <c r="Q574" i="2"/>
  <c r="Q537" i="2"/>
  <c r="Q427" i="2"/>
  <c r="AH380" i="122"/>
  <c r="AH379" i="122"/>
  <c r="AH377" i="122"/>
  <c r="AH370" i="122"/>
  <c r="AH336" i="122"/>
  <c r="Q628" i="2"/>
  <c r="Q618" i="2"/>
  <c r="Q598" i="2"/>
  <c r="Q566" i="2"/>
  <c r="Q516" i="2"/>
  <c r="Q345" i="2"/>
  <c r="AH284" i="122"/>
  <c r="AH277" i="122"/>
  <c r="AH161" i="122"/>
  <c r="AH363" i="122"/>
  <c r="AH323" i="122"/>
  <c r="AH292" i="122"/>
  <c r="AH290" i="122"/>
  <c r="Q778" i="2"/>
  <c r="Q773" i="2"/>
  <c r="Q767" i="2"/>
  <c r="Q762" i="2"/>
  <c r="Q757" i="2"/>
  <c r="Q751" i="2"/>
  <c r="Q746" i="2"/>
  <c r="Q741" i="2"/>
  <c r="Q735" i="2"/>
  <c r="Q730" i="2"/>
  <c r="Q725" i="2"/>
  <c r="Q719" i="2"/>
  <c r="Q714" i="2"/>
  <c r="Q709" i="2"/>
  <c r="Q703" i="2"/>
  <c r="Q698" i="2"/>
  <c r="Q693" i="2"/>
  <c r="Q687" i="2"/>
  <c r="Q682" i="2"/>
  <c r="Q677" i="2"/>
  <c r="Q671" i="2"/>
  <c r="Q666" i="2"/>
  <c r="Q661" i="2"/>
  <c r="Q655" i="2"/>
  <c r="Q650" i="2"/>
  <c r="Q643" i="2"/>
  <c r="Q635" i="2"/>
  <c r="Q626" i="2"/>
  <c r="Q615" i="2"/>
  <c r="Q590" i="2"/>
  <c r="Q558" i="2"/>
  <c r="Q495" i="2"/>
  <c r="Q412" i="2"/>
  <c r="Q646" i="2"/>
  <c r="Q642" i="2"/>
  <c r="Q638" i="2"/>
  <c r="Q634" i="2"/>
  <c r="Q630" i="2"/>
  <c r="Q624" i="2"/>
  <c r="Q619" i="2"/>
  <c r="Q614" i="2"/>
  <c r="Q608" i="2"/>
  <c r="Q603" i="2"/>
  <c r="Q596" i="2"/>
  <c r="Q588" i="2"/>
  <c r="Q580" i="2"/>
  <c r="Q572" i="2"/>
  <c r="Q564" i="2"/>
  <c r="Q556" i="2"/>
  <c r="Q548" i="2"/>
  <c r="Q532" i="2"/>
  <c r="Q511" i="2"/>
  <c r="Q487" i="2"/>
  <c r="Q459" i="2"/>
  <c r="Q415" i="2"/>
  <c r="Q293" i="2"/>
  <c r="Q612" i="2"/>
  <c r="Q607" i="2"/>
  <c r="Q602" i="2"/>
  <c r="Q594" i="2"/>
  <c r="Q586" i="2"/>
  <c r="Q578" i="2"/>
  <c r="Q570" i="2"/>
  <c r="Q562" i="2"/>
  <c r="Q554" i="2"/>
  <c r="Q545" i="2"/>
  <c r="Q527" i="2"/>
  <c r="Q505" i="2"/>
  <c r="Q481" i="2"/>
  <c r="Q449" i="2"/>
  <c r="Q394" i="2"/>
  <c r="Q201" i="2"/>
  <c r="Q277" i="2"/>
  <c r="Q836" i="2"/>
  <c r="Q832" i="2"/>
  <c r="Q828" i="2"/>
  <c r="Q824" i="2"/>
  <c r="Q820" i="2"/>
  <c r="Q816" i="2"/>
  <c r="Q812" i="2"/>
  <c r="Q808" i="2"/>
  <c r="Q804" i="2"/>
  <c r="Q800" i="2"/>
  <c r="Q796" i="2"/>
  <c r="Q792" i="2"/>
  <c r="Q788" i="2"/>
  <c r="Q784" i="2"/>
  <c r="Q780" i="2"/>
  <c r="Q776" i="2"/>
  <c r="Q772" i="2"/>
  <c r="Q768" i="2"/>
  <c r="Q764" i="2"/>
  <c r="Q760" i="2"/>
  <c r="Q756" i="2"/>
  <c r="Q752" i="2"/>
  <c r="Q748" i="2"/>
  <c r="Q744" i="2"/>
  <c r="Q740" i="2"/>
  <c r="Q736" i="2"/>
  <c r="Q732" i="2"/>
  <c r="Q728" i="2"/>
  <c r="Q724" i="2"/>
  <c r="Q720" i="2"/>
  <c r="Q716" i="2"/>
  <c r="Q712" i="2"/>
  <c r="Q708" i="2"/>
  <c r="Q704" i="2"/>
  <c r="Q700" i="2"/>
  <c r="Q696" i="2"/>
  <c r="Q692" i="2"/>
  <c r="Q688" i="2"/>
  <c r="Q684" i="2"/>
  <c r="Q680" i="2"/>
  <c r="Q676" i="2"/>
  <c r="Q672" i="2"/>
  <c r="Q668" i="2"/>
  <c r="Q664" i="2"/>
  <c r="Q660" i="2"/>
  <c r="Q656" i="2"/>
  <c r="Q652" i="2"/>
  <c r="Q648" i="2"/>
  <c r="Q644" i="2"/>
  <c r="Q640" i="2"/>
  <c r="Q636" i="2"/>
  <c r="Q632" i="2"/>
  <c r="Q627" i="2"/>
  <c r="Q622" i="2"/>
  <c r="Q616" i="2"/>
  <c r="Q611" i="2"/>
  <c r="Q606" i="2"/>
  <c r="Q600" i="2"/>
  <c r="Q592" i="2"/>
  <c r="Q584" i="2"/>
  <c r="Q576" i="2"/>
  <c r="Q568" i="2"/>
  <c r="Q560" i="2"/>
  <c r="Q552" i="2"/>
  <c r="Q541" i="2"/>
  <c r="Q521" i="2"/>
  <c r="Q500" i="2"/>
  <c r="Q474" i="2"/>
  <c r="Q438" i="2"/>
  <c r="AH17" i="122"/>
  <c r="AI17" i="122" s="1"/>
  <c r="AH121" i="122"/>
  <c r="Q599" i="2"/>
  <c r="Q595" i="2"/>
  <c r="Q591" i="2"/>
  <c r="Q587" i="2"/>
  <c r="Q583" i="2"/>
  <c r="Q579" i="2"/>
  <c r="Q575" i="2"/>
  <c r="Q571" i="2"/>
  <c r="Q567" i="2"/>
  <c r="Q563" i="2"/>
  <c r="Q559" i="2"/>
  <c r="Q555" i="2"/>
  <c r="Q551" i="2"/>
  <c r="Q547" i="2"/>
  <c r="Q539" i="2"/>
  <c r="Q529" i="2"/>
  <c r="Q519" i="2"/>
  <c r="Q508" i="2"/>
  <c r="Q497" i="2"/>
  <c r="Q485" i="2"/>
  <c r="Q470" i="2"/>
  <c r="Q454" i="2"/>
  <c r="Q433" i="2"/>
  <c r="Q405" i="2"/>
  <c r="Q362" i="2"/>
  <c r="Q261" i="2"/>
  <c r="Q629" i="2"/>
  <c r="Q625" i="2"/>
  <c r="Q621" i="2"/>
  <c r="Q617" i="2"/>
  <c r="Q613" i="2"/>
  <c r="Q609" i="2"/>
  <c r="Q605" i="2"/>
  <c r="Q601" i="2"/>
  <c r="Q597" i="2"/>
  <c r="Q593" i="2"/>
  <c r="Q589" i="2"/>
  <c r="Q585" i="2"/>
  <c r="Q581" i="2"/>
  <c r="Q577" i="2"/>
  <c r="Q573" i="2"/>
  <c r="Q569" i="2"/>
  <c r="Q565" i="2"/>
  <c r="Q561" i="2"/>
  <c r="Q557" i="2"/>
  <c r="Q553" i="2"/>
  <c r="Q549" i="2"/>
  <c r="Q543" i="2"/>
  <c r="Q535" i="2"/>
  <c r="Q524" i="2"/>
  <c r="Q513" i="2"/>
  <c r="Q503" i="2"/>
  <c r="Q491" i="2"/>
  <c r="Q477" i="2"/>
  <c r="Q463" i="2"/>
  <c r="Q443" i="2"/>
  <c r="Q422" i="2"/>
  <c r="Q383" i="2"/>
  <c r="Q323" i="2"/>
  <c r="AI331" i="122"/>
  <c r="AH222" i="122"/>
  <c r="AI222" i="122" s="1"/>
  <c r="AH221" i="122"/>
  <c r="AI221" i="122" s="1"/>
  <c r="AH187" i="122"/>
  <c r="AI187" i="122" s="1"/>
  <c r="AH178" i="122"/>
  <c r="Q546" i="2"/>
  <c r="Q542" i="2"/>
  <c r="Q538" i="2"/>
  <c r="Q533" i="2"/>
  <c r="Q528" i="2"/>
  <c r="Q523" i="2"/>
  <c r="Q517" i="2"/>
  <c r="Q512" i="2"/>
  <c r="Q507" i="2"/>
  <c r="Q501" i="2"/>
  <c r="Q496" i="2"/>
  <c r="Q490" i="2"/>
  <c r="Q482" i="2"/>
  <c r="Q475" i="2"/>
  <c r="Q469" i="2"/>
  <c r="Q461" i="2"/>
  <c r="Q453" i="2"/>
  <c r="Q442" i="2"/>
  <c r="Q431" i="2"/>
  <c r="Q421" i="2"/>
  <c r="Q399" i="2"/>
  <c r="Q378" i="2"/>
  <c r="Q355" i="2"/>
  <c r="Q309" i="2"/>
  <c r="Q239" i="2"/>
  <c r="AH251" i="122"/>
  <c r="AH248" i="122"/>
  <c r="AI248" i="122" s="1"/>
  <c r="AH197" i="122"/>
  <c r="AH189" i="122"/>
  <c r="Q544" i="2"/>
  <c r="Q540" i="2"/>
  <c r="Q536" i="2"/>
  <c r="Q531" i="2"/>
  <c r="Q525" i="2"/>
  <c r="Q520" i="2"/>
  <c r="Q515" i="2"/>
  <c r="Q509" i="2"/>
  <c r="Q504" i="2"/>
  <c r="Q499" i="2"/>
  <c r="Q493" i="2"/>
  <c r="Q486" i="2"/>
  <c r="Q479" i="2"/>
  <c r="Q471" i="2"/>
  <c r="Q465" i="2"/>
  <c r="Q458" i="2"/>
  <c r="Q447" i="2"/>
  <c r="Q437" i="2"/>
  <c r="Q426" i="2"/>
  <c r="Q410" i="2"/>
  <c r="Q389" i="2"/>
  <c r="Q367" i="2"/>
  <c r="Q334" i="2"/>
  <c r="AI323" i="122"/>
  <c r="AH374" i="122"/>
  <c r="AH371" i="122"/>
  <c r="AH364" i="122"/>
  <c r="AH359" i="122"/>
  <c r="AI359" i="122" s="1"/>
  <c r="AH355" i="122"/>
  <c r="AH327" i="122"/>
  <c r="AH326" i="122"/>
  <c r="AH325" i="122"/>
  <c r="AH299" i="122"/>
  <c r="AI299" i="122" s="1"/>
  <c r="AH270" i="122"/>
  <c r="AI270" i="122" s="1"/>
  <c r="AH261" i="122"/>
  <c r="AH171" i="122"/>
  <c r="AH158" i="122"/>
  <c r="AI158" i="122" s="1"/>
  <c r="AH156" i="122"/>
  <c r="AI156" i="122" s="1"/>
  <c r="AH149" i="122"/>
  <c r="AH126" i="122"/>
  <c r="AH83" i="122"/>
  <c r="AH54" i="122"/>
  <c r="AH33" i="122"/>
  <c r="AH19" i="122"/>
  <c r="AH60" i="122"/>
  <c r="AI60" i="122" s="1"/>
  <c r="AH256" i="122"/>
  <c r="AI256" i="122" s="1"/>
  <c r="AI336" i="122"/>
  <c r="AI189" i="122"/>
  <c r="Q534" i="2"/>
  <c r="Q530" i="2"/>
  <c r="Q526" i="2"/>
  <c r="Q522" i="2"/>
  <c r="Q518" i="2"/>
  <c r="Q514" i="2"/>
  <c r="Q510" i="2"/>
  <c r="Q506" i="2"/>
  <c r="Q502" i="2"/>
  <c r="Q498" i="2"/>
  <c r="Q494" i="2"/>
  <c r="Q489" i="2"/>
  <c r="Q483" i="2"/>
  <c r="Q478" i="2"/>
  <c r="Q473" i="2"/>
  <c r="Q467" i="2"/>
  <c r="Q462" i="2"/>
  <c r="Q457" i="2"/>
  <c r="Q451" i="2"/>
  <c r="Q446" i="2"/>
  <c r="Q441" i="2"/>
  <c r="Q435" i="2"/>
  <c r="Q430" i="2"/>
  <c r="Q425" i="2"/>
  <c r="Q419" i="2"/>
  <c r="Q414" i="2"/>
  <c r="Q409" i="2"/>
  <c r="Q403" i="2"/>
  <c r="Q398" i="2"/>
  <c r="Q393" i="2"/>
  <c r="Q387" i="2"/>
  <c r="Q382" i="2"/>
  <c r="Q377" i="2"/>
  <c r="Q371" i="2"/>
  <c r="Q366" i="2"/>
  <c r="Q361" i="2"/>
  <c r="Q353" i="2"/>
  <c r="Q342" i="2"/>
  <c r="Q331" i="2"/>
  <c r="Q321" i="2"/>
  <c r="Q305" i="2"/>
  <c r="Q289" i="2"/>
  <c r="Q273" i="2"/>
  <c r="Q255" i="2"/>
  <c r="Q232" i="2"/>
  <c r="Q180" i="2"/>
  <c r="Q193" i="2"/>
  <c r="AH362" i="122"/>
  <c r="AH357" i="122"/>
  <c r="AH354" i="122"/>
  <c r="AH298" i="122"/>
  <c r="AI298" i="122" s="1"/>
  <c r="AH289" i="122"/>
  <c r="AH276" i="122"/>
  <c r="AI276" i="122" s="1"/>
  <c r="AH150" i="122"/>
  <c r="AH112" i="122"/>
  <c r="AI112" i="122" s="1"/>
  <c r="AH47" i="122"/>
  <c r="Q455" i="2"/>
  <c r="Q450" i="2"/>
  <c r="Q445" i="2"/>
  <c r="Q439" i="2"/>
  <c r="Q434" i="2"/>
  <c r="Q429" i="2"/>
  <c r="Q423" i="2"/>
  <c r="Q418" i="2"/>
  <c r="Q413" i="2"/>
  <c r="Q407" i="2"/>
  <c r="Q402" i="2"/>
  <c r="Q397" i="2"/>
  <c r="Q391" i="2"/>
  <c r="Q386" i="2"/>
  <c r="Q381" i="2"/>
  <c r="Q375" i="2"/>
  <c r="Q370" i="2"/>
  <c r="Q365" i="2"/>
  <c r="Q358" i="2"/>
  <c r="Q350" i="2"/>
  <c r="Q339" i="2"/>
  <c r="Q329" i="2"/>
  <c r="Q317" i="2"/>
  <c r="Q301" i="2"/>
  <c r="Q285" i="2"/>
  <c r="Q269" i="2"/>
  <c r="Q250" i="2"/>
  <c r="Q225" i="2"/>
  <c r="Q3" i="2"/>
  <c r="Q4" i="2"/>
  <c r="Q417" i="2"/>
  <c r="Q411" i="2"/>
  <c r="Q406" i="2"/>
  <c r="Q401" i="2"/>
  <c r="Q395" i="2"/>
  <c r="Q390" i="2"/>
  <c r="Q385" i="2"/>
  <c r="Q379" i="2"/>
  <c r="Q374" i="2"/>
  <c r="Q369" i="2"/>
  <c r="Q363" i="2"/>
  <c r="Q357" i="2"/>
  <c r="Q347" i="2"/>
  <c r="Q337" i="2"/>
  <c r="Q326" i="2"/>
  <c r="Q313" i="2"/>
  <c r="Q297" i="2"/>
  <c r="Q281" i="2"/>
  <c r="Q265" i="2"/>
  <c r="Q245" i="2"/>
  <c r="Q213" i="2"/>
  <c r="AI380" i="122"/>
  <c r="AI366" i="122"/>
  <c r="AI277" i="122"/>
  <c r="AI259" i="122"/>
  <c r="AI171" i="122"/>
  <c r="AI126" i="122"/>
  <c r="Q351" i="2"/>
  <c r="Q346" i="2"/>
  <c r="Q341" i="2"/>
  <c r="Q335" i="2"/>
  <c r="Q330" i="2"/>
  <c r="Q325" i="2"/>
  <c r="Q319" i="2"/>
  <c r="Q311" i="2"/>
  <c r="Q303" i="2"/>
  <c r="Q295" i="2"/>
  <c r="Q287" i="2"/>
  <c r="Q279" i="2"/>
  <c r="Q271" i="2"/>
  <c r="Q263" i="2"/>
  <c r="Q253" i="2"/>
  <c r="Q242" i="2"/>
  <c r="Q228" i="2"/>
  <c r="Q209" i="2"/>
  <c r="Q149" i="2"/>
  <c r="AH317" i="122"/>
  <c r="AI317" i="122" s="1"/>
  <c r="AH208" i="122"/>
  <c r="AI208" i="122" s="1"/>
  <c r="AH192" i="122"/>
  <c r="AI192" i="122" s="1"/>
  <c r="AH159" i="122"/>
  <c r="AH146" i="122"/>
  <c r="AI146" i="122" s="1"/>
  <c r="AH143" i="122"/>
  <c r="AH129" i="122"/>
  <c r="AI129" i="122" s="1"/>
  <c r="AH116" i="122"/>
  <c r="AH91" i="122"/>
  <c r="AI91" i="122" s="1"/>
  <c r="AH87" i="122"/>
  <c r="AH25" i="122"/>
  <c r="Q492" i="2"/>
  <c r="Q488" i="2"/>
  <c r="Q484" i="2"/>
  <c r="Q480" i="2"/>
  <c r="Q476" i="2"/>
  <c r="Q472" i="2"/>
  <c r="Q468" i="2"/>
  <c r="Q464" i="2"/>
  <c r="Q460" i="2"/>
  <c r="Q456" i="2"/>
  <c r="Q452" i="2"/>
  <c r="Q448" i="2"/>
  <c r="Q444" i="2"/>
  <c r="Q440" i="2"/>
  <c r="Q436" i="2"/>
  <c r="Q432" i="2"/>
  <c r="Q428" i="2"/>
  <c r="Q424" i="2"/>
  <c r="Q420" i="2"/>
  <c r="Q416" i="2"/>
  <c r="Q408" i="2"/>
  <c r="Q404" i="2"/>
  <c r="Q400" i="2"/>
  <c r="Q396" i="2"/>
  <c r="Q392" i="2"/>
  <c r="Q388" i="2"/>
  <c r="Q384" i="2"/>
  <c r="Q380" i="2"/>
  <c r="Q376" i="2"/>
  <c r="Q372" i="2"/>
  <c r="Q368" i="2"/>
  <c r="Q364" i="2"/>
  <c r="Q359" i="2"/>
  <c r="Q354" i="2"/>
  <c r="Q349" i="2"/>
  <c r="Q343" i="2"/>
  <c r="Q338" i="2"/>
  <c r="Q333" i="2"/>
  <c r="Q327" i="2"/>
  <c r="Q322" i="2"/>
  <c r="Q315" i="2"/>
  <c r="Q307" i="2"/>
  <c r="Q299" i="2"/>
  <c r="Q291" i="2"/>
  <c r="Q283" i="2"/>
  <c r="Q275" i="2"/>
  <c r="Q267" i="2"/>
  <c r="Q258" i="2"/>
  <c r="Q247" i="2"/>
  <c r="Q236" i="2"/>
  <c r="Q219" i="2"/>
  <c r="P84" i="102"/>
  <c r="AI378" i="122"/>
  <c r="AI375" i="122"/>
  <c r="AI362" i="122"/>
  <c r="AI149" i="122"/>
  <c r="AI371" i="122"/>
  <c r="AI353" i="122"/>
  <c r="AI343" i="122"/>
  <c r="AI289" i="122"/>
  <c r="AI116" i="122"/>
  <c r="AI87" i="122"/>
  <c r="N65" i="122"/>
  <c r="N382" i="122" s="1"/>
  <c r="AI379" i="122"/>
  <c r="AI377" i="122"/>
  <c r="AI372" i="122"/>
  <c r="AI364" i="122"/>
  <c r="AI164" i="122"/>
  <c r="AI161" i="122"/>
  <c r="AI121" i="122"/>
  <c r="Q318" i="2"/>
  <c r="Q314" i="2"/>
  <c r="Q310" i="2"/>
  <c r="Q306" i="2"/>
  <c r="Q302" i="2"/>
  <c r="Q298" i="2"/>
  <c r="Q294" i="2"/>
  <c r="Q290" i="2"/>
  <c r="Q286" i="2"/>
  <c r="Q282" i="2"/>
  <c r="Q278" i="2"/>
  <c r="Q274" i="2"/>
  <c r="Q270" i="2"/>
  <c r="Q266" i="2"/>
  <c r="Q262" i="2"/>
  <c r="Q257" i="2"/>
  <c r="Q251" i="2"/>
  <c r="Q246" i="2"/>
  <c r="Q241" i="2"/>
  <c r="Q233" i="2"/>
  <c r="Q227" i="2"/>
  <c r="Q217" i="2"/>
  <c r="Q205" i="2"/>
  <c r="Q189" i="2"/>
  <c r="Q107" i="2"/>
  <c r="Q360" i="2"/>
  <c r="Q356" i="2"/>
  <c r="Q352" i="2"/>
  <c r="Q348" i="2"/>
  <c r="Q344" i="2"/>
  <c r="Q340" i="2"/>
  <c r="Q336" i="2"/>
  <c r="Q332" i="2"/>
  <c r="Q328" i="2"/>
  <c r="Q324" i="2"/>
  <c r="Q320" i="2"/>
  <c r="Q316" i="2"/>
  <c r="Q312" i="2"/>
  <c r="Q308" i="2"/>
  <c r="Q304" i="2"/>
  <c r="Q300" i="2"/>
  <c r="Q296" i="2"/>
  <c r="Q292" i="2"/>
  <c r="Q288" i="2"/>
  <c r="Q284" i="2"/>
  <c r="Q280" i="2"/>
  <c r="Q276" i="2"/>
  <c r="Q272" i="2"/>
  <c r="Q268" i="2"/>
  <c r="Q264" i="2"/>
  <c r="Q259" i="2"/>
  <c r="Q254" i="2"/>
  <c r="Q249" i="2"/>
  <c r="Q243" i="2"/>
  <c r="Q237" i="2"/>
  <c r="Q231" i="2"/>
  <c r="Q221" i="2"/>
  <c r="Q211" i="2"/>
  <c r="Q199" i="2"/>
  <c r="Q165" i="2"/>
  <c r="AI370" i="122"/>
  <c r="AI197" i="122"/>
  <c r="AI150" i="122"/>
  <c r="AI29" i="122"/>
  <c r="AI374" i="122"/>
  <c r="AI357" i="122"/>
  <c r="AI354" i="122"/>
  <c r="AI261" i="122"/>
  <c r="AI83" i="122"/>
  <c r="AI47" i="122"/>
  <c r="Q260" i="2"/>
  <c r="Q256" i="2"/>
  <c r="Q252" i="2"/>
  <c r="Q248" i="2"/>
  <c r="Q244" i="2"/>
  <c r="Q240" i="2"/>
  <c r="Q235" i="2"/>
  <c r="Q229" i="2"/>
  <c r="Q223" i="2"/>
  <c r="Q215" i="2"/>
  <c r="Q207" i="2"/>
  <c r="Q197" i="2"/>
  <c r="Q183" i="2"/>
  <c r="Q153" i="2"/>
  <c r="Q51" i="2"/>
  <c r="AI363" i="122"/>
  <c r="AI355" i="122"/>
  <c r="AI327" i="122"/>
  <c r="AI326" i="122"/>
  <c r="AI325" i="122"/>
  <c r="AI312" i="122"/>
  <c r="AI303" i="122"/>
  <c r="AI292" i="122"/>
  <c r="AI290" i="122"/>
  <c r="AI284" i="122"/>
  <c r="AI251" i="122"/>
  <c r="AI178" i="122"/>
  <c r="AI159" i="122"/>
  <c r="AI143" i="122"/>
  <c r="AI54" i="122"/>
  <c r="AI33" i="122"/>
  <c r="AI19" i="122"/>
  <c r="Q84" i="102"/>
  <c r="AI25" i="122"/>
  <c r="Q191" i="2"/>
  <c r="Q169" i="2"/>
  <c r="Q123" i="2"/>
  <c r="Q57" i="102"/>
  <c r="Q238" i="2"/>
  <c r="Q230" i="2"/>
  <c r="Q222" i="2"/>
  <c r="Q214" i="2"/>
  <c r="Q206" i="2"/>
  <c r="Q198" i="2"/>
  <c r="Q190" i="2"/>
  <c r="Q181" i="2"/>
  <c r="Q167" i="2"/>
  <c r="Q151" i="2"/>
  <c r="Q115" i="2"/>
  <c r="Q27" i="2"/>
  <c r="Q68" i="102"/>
  <c r="Q220" i="2"/>
  <c r="Q212" i="2"/>
  <c r="Q204" i="2"/>
  <c r="Q196" i="2"/>
  <c r="Q188" i="2"/>
  <c r="Q179" i="2"/>
  <c r="Q163" i="2"/>
  <c r="Q147" i="2"/>
  <c r="Q103" i="2"/>
  <c r="Q203" i="2"/>
  <c r="Q195" i="2"/>
  <c r="Q187" i="2"/>
  <c r="Q177" i="2"/>
  <c r="Q161" i="2"/>
  <c r="Q143" i="2"/>
  <c r="Q99" i="2"/>
  <c r="Q234" i="2"/>
  <c r="Q226" i="2"/>
  <c r="Q218" i="2"/>
  <c r="Q210" i="2"/>
  <c r="Q202" i="2"/>
  <c r="Q194" i="2"/>
  <c r="Q186" i="2"/>
  <c r="Q175" i="2"/>
  <c r="Q159" i="2"/>
  <c r="Q139" i="2"/>
  <c r="Q83" i="2"/>
  <c r="Q185" i="2"/>
  <c r="Q173" i="2"/>
  <c r="Q157" i="2"/>
  <c r="Q135" i="2"/>
  <c r="Q75" i="2"/>
  <c r="Q224" i="2"/>
  <c r="Q216" i="2"/>
  <c r="Q208" i="2"/>
  <c r="Q200" i="2"/>
  <c r="Q192" i="2"/>
  <c r="Q184" i="2"/>
  <c r="Q171" i="2"/>
  <c r="Q155" i="2"/>
  <c r="Q131" i="2"/>
  <c r="Q71" i="2"/>
  <c r="AB286" i="122"/>
  <c r="AC256" i="122"/>
  <c r="J45" i="122"/>
  <c r="O45" i="122" s="1"/>
  <c r="L152" i="122"/>
  <c r="AE72" i="122"/>
  <c r="AC72" i="122"/>
  <c r="J198" i="122"/>
  <c r="O198" i="122" s="1"/>
  <c r="L275" i="122"/>
  <c r="O275" i="122" s="1"/>
  <c r="AE326" i="122"/>
  <c r="AC326" i="122" s="1"/>
  <c r="AC48" i="122"/>
  <c r="AE138" i="122"/>
  <c r="AC138" i="122"/>
  <c r="K191" i="122"/>
  <c r="AC70" i="122"/>
  <c r="AE102" i="122"/>
  <c r="AC102" i="122" s="1"/>
  <c r="J34" i="122"/>
  <c r="O34" i="122" s="1"/>
  <c r="AC94" i="122"/>
  <c r="AE94" i="122"/>
  <c r="J213" i="122"/>
  <c r="O213" i="122" s="1"/>
  <c r="J30" i="122"/>
  <c r="O30" i="122" s="1"/>
  <c r="AC364" i="122"/>
  <c r="J142" i="122"/>
  <c r="O142" i="122" s="1"/>
  <c r="AC164" i="122"/>
  <c r="J170" i="122"/>
  <c r="O170" i="122" s="1"/>
  <c r="AC180" i="122"/>
  <c r="AE180" i="122"/>
  <c r="J186" i="122"/>
  <c r="O186" i="122" s="1"/>
  <c r="AC201" i="122"/>
  <c r="L289" i="122"/>
  <c r="O289" i="122" s="1"/>
  <c r="AC299" i="122"/>
  <c r="J305" i="122"/>
  <c r="O305" i="122" s="1"/>
  <c r="AC315" i="122"/>
  <c r="AC375" i="122"/>
  <c r="AE375" i="122"/>
  <c r="AC10" i="122"/>
  <c r="AC68" i="122"/>
  <c r="AE116" i="122"/>
  <c r="AC116" i="122" s="1"/>
  <c r="AE130" i="122"/>
  <c r="AC130" i="122" s="1"/>
  <c r="J206" i="122"/>
  <c r="O206" i="122" s="1"/>
  <c r="J219" i="122"/>
  <c r="O219" i="122" s="1"/>
  <c r="J283" i="122"/>
  <c r="O283" i="122" s="1"/>
  <c r="J75" i="122"/>
  <c r="O75" i="122" s="1"/>
  <c r="L59" i="122"/>
  <c r="AE80" i="122"/>
  <c r="AC80" i="122"/>
  <c r="AC110" i="122"/>
  <c r="J135" i="122"/>
  <c r="O135" i="122" s="1"/>
  <c r="AC168" i="122"/>
  <c r="L174" i="122"/>
  <c r="AC184" i="122"/>
  <c r="J190" i="122"/>
  <c r="O190" i="122" s="1"/>
  <c r="AC269" i="122"/>
  <c r="J293" i="122"/>
  <c r="O293" i="122" s="1"/>
  <c r="AE303" i="122"/>
  <c r="AC303" i="122" s="1"/>
  <c r="J309" i="122"/>
  <c r="O309" i="122" s="1"/>
  <c r="AE354" i="122"/>
  <c r="AC354" i="122"/>
  <c r="J69" i="122"/>
  <c r="O69" i="122" s="1"/>
  <c r="J9" i="122"/>
  <c r="AC123" i="122"/>
  <c r="AE123" i="122"/>
  <c r="J156" i="122"/>
  <c r="O156" i="122" s="1"/>
  <c r="J162" i="122"/>
  <c r="O162" i="122" s="1"/>
  <c r="AC172" i="122"/>
  <c r="J178" i="122"/>
  <c r="O178" i="122" s="1"/>
  <c r="AC188" i="122"/>
  <c r="AE188" i="122"/>
  <c r="AE215" i="122"/>
  <c r="AC215" i="122" s="1"/>
  <c r="J263" i="122"/>
  <c r="O263" i="122" s="1"/>
  <c r="J280" i="122"/>
  <c r="O280" i="122" s="1"/>
  <c r="AC291" i="122"/>
  <c r="L297" i="122"/>
  <c r="O297" i="122" s="1"/>
  <c r="AC307" i="122"/>
  <c r="J313" i="122"/>
  <c r="O313" i="122" s="1"/>
  <c r="AC334" i="122"/>
  <c r="J117" i="122"/>
  <c r="O117" i="122" s="1"/>
  <c r="AC12" i="122"/>
  <c r="AE64" i="122"/>
  <c r="AC64" i="122" s="1"/>
  <c r="L145" i="122"/>
  <c r="AC266" i="122"/>
  <c r="AC342" i="122"/>
  <c r="L86" i="122"/>
  <c r="O86" i="122" s="1"/>
  <c r="L7" i="122"/>
  <c r="O7" i="122" s="1"/>
  <c r="AC148" i="122"/>
  <c r="L166" i="122"/>
  <c r="AC176" i="122"/>
  <c r="J182" i="122"/>
  <c r="O182" i="122" s="1"/>
  <c r="J194" i="122"/>
  <c r="O194" i="122" s="1"/>
  <c r="L209" i="122"/>
  <c r="AC295" i="122"/>
  <c r="J301" i="122"/>
  <c r="O301" i="122" s="1"/>
  <c r="AE311" i="122"/>
  <c r="AC311" i="122" s="1"/>
  <c r="L317" i="122"/>
  <c r="O317" i="122" s="1"/>
  <c r="AB349" i="122"/>
  <c r="AC319" i="122"/>
  <c r="AE319" i="122"/>
  <c r="L29" i="122"/>
  <c r="K223" i="122"/>
  <c r="K97" i="122"/>
  <c r="L133" i="122"/>
  <c r="L159" i="122"/>
  <c r="AE195" i="122"/>
  <c r="AC195" i="122"/>
  <c r="L203" i="122"/>
  <c r="AE209" i="122"/>
  <c r="AC209" i="122" s="1"/>
  <c r="AC216" i="122"/>
  <c r="AE216" i="122"/>
  <c r="AC271" i="122"/>
  <c r="AC280" i="122"/>
  <c r="AC336" i="122"/>
  <c r="J42" i="122"/>
  <c r="O42" i="122" s="1"/>
  <c r="I128" i="122"/>
  <c r="J98" i="122"/>
  <c r="J103" i="122"/>
  <c r="O103" i="122" s="1"/>
  <c r="AC33" i="122"/>
  <c r="AC31" i="122"/>
  <c r="AE29" i="122"/>
  <c r="AC29" i="122" s="1"/>
  <c r="AC27" i="122"/>
  <c r="AC25" i="122"/>
  <c r="AC23" i="122"/>
  <c r="AE21" i="122"/>
  <c r="AC21" i="122" s="1"/>
  <c r="AC19" i="122"/>
  <c r="AC17" i="122"/>
  <c r="AC120" i="122"/>
  <c r="AC107" i="122"/>
  <c r="L137" i="122"/>
  <c r="O137" i="122" s="1"/>
  <c r="L144" i="122"/>
  <c r="AC150" i="122"/>
  <c r="AE150" i="122"/>
  <c r="L158" i="122"/>
  <c r="J200" i="122"/>
  <c r="O200" i="122" s="1"/>
  <c r="AC206" i="122"/>
  <c r="AC213" i="122"/>
  <c r="AC220" i="122"/>
  <c r="AC259" i="122"/>
  <c r="AC284" i="122"/>
  <c r="AC348" i="122"/>
  <c r="J83" i="122"/>
  <c r="O83" i="122" s="1"/>
  <c r="L79" i="122"/>
  <c r="J106" i="122"/>
  <c r="O106" i="122" s="1"/>
  <c r="L28" i="122"/>
  <c r="AC84" i="122"/>
  <c r="AC114" i="122"/>
  <c r="AC140" i="122"/>
  <c r="J148" i="122"/>
  <c r="O148" i="122" s="1"/>
  <c r="J155" i="122"/>
  <c r="O155" i="122" s="1"/>
  <c r="AC263" i="122"/>
  <c r="AC324" i="122"/>
  <c r="AC370" i="122"/>
  <c r="J91" i="122"/>
  <c r="O91" i="122" s="1"/>
  <c r="L36" i="122"/>
  <c r="I65" i="122"/>
  <c r="L37" i="122"/>
  <c r="J351" i="122"/>
  <c r="O351" i="122" s="1"/>
  <c r="AC60" i="122"/>
  <c r="AC32" i="122"/>
  <c r="AC30" i="122"/>
  <c r="AC28" i="122"/>
  <c r="AE28" i="122"/>
  <c r="AC26" i="122"/>
  <c r="AC24" i="122"/>
  <c r="AE22" i="122"/>
  <c r="AC22" i="122"/>
  <c r="AE20" i="122"/>
  <c r="AC20" i="122" s="1"/>
  <c r="AC18" i="122"/>
  <c r="AC76" i="122"/>
  <c r="AC127" i="122"/>
  <c r="AE267" i="122"/>
  <c r="AC267" i="122"/>
  <c r="AE276" i="122"/>
  <c r="AC276" i="122" s="1"/>
  <c r="AC330" i="122"/>
  <c r="AC359" i="122"/>
  <c r="J53" i="122"/>
  <c r="O53" i="122" s="1"/>
  <c r="L8" i="122"/>
  <c r="L109" i="122"/>
  <c r="I381" i="122"/>
  <c r="J350" i="122"/>
  <c r="K65" i="122"/>
  <c r="AC82" i="122"/>
  <c r="AC121" i="122"/>
  <c r="AE109" i="122"/>
  <c r="AC109" i="122" s="1"/>
  <c r="AC100" i="122"/>
  <c r="AE133" i="122"/>
  <c r="AC133" i="122"/>
  <c r="AC136" i="122"/>
  <c r="AC147" i="122"/>
  <c r="L151" i="122"/>
  <c r="I223" i="122"/>
  <c r="J192" i="122"/>
  <c r="L195" i="122"/>
  <c r="AE202" i="122"/>
  <c r="AC202" i="122" s="1"/>
  <c r="L214" i="122"/>
  <c r="O214" i="122" s="1"/>
  <c r="L217" i="122"/>
  <c r="AC222" i="122"/>
  <c r="J226" i="122"/>
  <c r="AC228" i="122"/>
  <c r="J230" i="122"/>
  <c r="O230" i="122" s="1"/>
  <c r="AE232" i="122"/>
  <c r="AC232" i="122" s="1"/>
  <c r="J234" i="122"/>
  <c r="O234" i="122" s="1"/>
  <c r="AC236" i="122"/>
  <c r="L238" i="122"/>
  <c r="O238" i="122" s="1"/>
  <c r="AC240" i="122"/>
  <c r="J242" i="122"/>
  <c r="O242" i="122" s="1"/>
  <c r="AC244" i="122"/>
  <c r="L246" i="122"/>
  <c r="O246" i="122" s="1"/>
  <c r="AC248" i="122"/>
  <c r="J250" i="122"/>
  <c r="O250" i="122" s="1"/>
  <c r="AE252" i="122"/>
  <c r="AC252" i="122" s="1"/>
  <c r="J254" i="122"/>
  <c r="O254" i="122" s="1"/>
  <c r="J271" i="122"/>
  <c r="O271" i="122" s="1"/>
  <c r="L276" i="122"/>
  <c r="AC283" i="122"/>
  <c r="AE325" i="122"/>
  <c r="AC325" i="122" s="1"/>
  <c r="AE332" i="122"/>
  <c r="AC332" i="122" s="1"/>
  <c r="AC356" i="122"/>
  <c r="AC367" i="122"/>
  <c r="AC378" i="122"/>
  <c r="J89" i="122"/>
  <c r="O89" i="122" s="1"/>
  <c r="J48" i="122"/>
  <c r="O48" i="122" s="1"/>
  <c r="J10" i="122"/>
  <c r="O10" i="122" s="1"/>
  <c r="L15" i="122"/>
  <c r="J27" i="122"/>
  <c r="O27" i="122" s="1"/>
  <c r="L21" i="122"/>
  <c r="K160" i="122"/>
  <c r="K128" i="122"/>
  <c r="AC95" i="122"/>
  <c r="AE86" i="122"/>
  <c r="AC86" i="122"/>
  <c r="AC112" i="122"/>
  <c r="AC105" i="122"/>
  <c r="AC135" i="122"/>
  <c r="J147" i="122"/>
  <c r="O147" i="122" s="1"/>
  <c r="L150" i="122"/>
  <c r="O150" i="122" s="1"/>
  <c r="J153" i="122"/>
  <c r="O153" i="122" s="1"/>
  <c r="AE196" i="122"/>
  <c r="AC196" i="122" s="1"/>
  <c r="J205" i="122"/>
  <c r="O205" i="122" s="1"/>
  <c r="AC207" i="122"/>
  <c r="J211" i="122"/>
  <c r="O211" i="122" s="1"/>
  <c r="AC221" i="122"/>
  <c r="L225" i="122"/>
  <c r="O225" i="122" s="1"/>
  <c r="AC227" i="122"/>
  <c r="J229" i="122"/>
  <c r="O229" i="122" s="1"/>
  <c r="AC231" i="122"/>
  <c r="AE231" i="122"/>
  <c r="L233" i="122"/>
  <c r="AC235" i="122"/>
  <c r="J237" i="122"/>
  <c r="O237" i="122" s="1"/>
  <c r="AE239" i="122"/>
  <c r="AC239" i="122" s="1"/>
  <c r="J241" i="122"/>
  <c r="O241" i="122" s="1"/>
  <c r="AC243" i="122"/>
  <c r="L245" i="122"/>
  <c r="O245" i="122" s="1"/>
  <c r="AC247" i="122"/>
  <c r="J249" i="122"/>
  <c r="O249" i="122" s="1"/>
  <c r="AC251" i="122"/>
  <c r="L253" i="122"/>
  <c r="O253" i="122" s="1"/>
  <c r="J265" i="122"/>
  <c r="O265" i="122" s="1"/>
  <c r="AC272" i="122"/>
  <c r="AC282" i="122"/>
  <c r="AE282" i="122"/>
  <c r="AC285" i="122"/>
  <c r="AC320" i="122"/>
  <c r="AC351" i="122"/>
  <c r="AE362" i="122"/>
  <c r="AC362" i="122"/>
  <c r="J95" i="122"/>
  <c r="O95" i="122" s="1"/>
  <c r="L116" i="122"/>
  <c r="L44" i="122"/>
  <c r="O44" i="122" s="1"/>
  <c r="AE7" i="122"/>
  <c r="AC7" i="122" s="1"/>
  <c r="J105" i="122"/>
  <c r="O105" i="122" s="1"/>
  <c r="L6" i="122"/>
  <c r="O6" i="122" s="1"/>
  <c r="J378" i="122"/>
  <c r="O378" i="122" s="1"/>
  <c r="J379" i="122"/>
  <c r="O379" i="122" s="1"/>
  <c r="AE66" i="122"/>
  <c r="AC66" i="122" s="1"/>
  <c r="AC97" i="122" s="1"/>
  <c r="AB97" i="122"/>
  <c r="AE93" i="122"/>
  <c r="AC93" i="122" s="1"/>
  <c r="AC88" i="122"/>
  <c r="AC74" i="122"/>
  <c r="AC98" i="122"/>
  <c r="AB128" i="122"/>
  <c r="AE126" i="122"/>
  <c r="AC126" i="122"/>
  <c r="AE115" i="122"/>
  <c r="AC115" i="122" s="1"/>
  <c r="AB160" i="122"/>
  <c r="AC129" i="122"/>
  <c r="J141" i="122"/>
  <c r="O141" i="122" s="1"/>
  <c r="AC143" i="122"/>
  <c r="AC154" i="122"/>
  <c r="AC198" i="122"/>
  <c r="J207" i="122"/>
  <c r="O207" i="122" s="1"/>
  <c r="L210" i="122"/>
  <c r="J221" i="122"/>
  <c r="O221" i="122" s="1"/>
  <c r="J222" i="122"/>
  <c r="O222" i="122" s="1"/>
  <c r="AC226" i="122"/>
  <c r="J228" i="122"/>
  <c r="O228" i="122" s="1"/>
  <c r="AC230" i="122"/>
  <c r="L232" i="122"/>
  <c r="O232" i="122" s="1"/>
  <c r="AC234" i="122"/>
  <c r="J236" i="122"/>
  <c r="O236" i="122" s="1"/>
  <c r="AE238" i="122"/>
  <c r="AC238" i="122"/>
  <c r="J240" i="122"/>
  <c r="O240" i="122" s="1"/>
  <c r="AC242" i="122"/>
  <c r="J244" i="122"/>
  <c r="O244" i="122" s="1"/>
  <c r="AE246" i="122"/>
  <c r="AC246" i="122" s="1"/>
  <c r="J248" i="122"/>
  <c r="O248" i="122" s="1"/>
  <c r="AC250" i="122"/>
  <c r="L252" i="122"/>
  <c r="AC254" i="122"/>
  <c r="AC258" i="122"/>
  <c r="J264" i="122"/>
  <c r="O264" i="122" s="1"/>
  <c r="L267" i="122"/>
  <c r="O267" i="122" s="1"/>
  <c r="AC279" i="122"/>
  <c r="AE340" i="122"/>
  <c r="AC340" i="122" s="1"/>
  <c r="J61" i="122"/>
  <c r="O61" i="122" s="1"/>
  <c r="L115" i="122"/>
  <c r="J38" i="122"/>
  <c r="O38" i="122" s="1"/>
  <c r="AE16" i="122"/>
  <c r="AC16" i="122" s="1"/>
  <c r="L51" i="122"/>
  <c r="I97" i="122"/>
  <c r="L66" i="122"/>
  <c r="L325" i="122"/>
  <c r="AC78" i="122"/>
  <c r="AC118" i="122"/>
  <c r="AE131" i="122"/>
  <c r="AC131" i="122"/>
  <c r="J140" i="122"/>
  <c r="O140" i="122" s="1"/>
  <c r="AC142" i="122"/>
  <c r="J157" i="122"/>
  <c r="O157" i="122" s="1"/>
  <c r="I191" i="122"/>
  <c r="J161" i="122"/>
  <c r="J193" i="122"/>
  <c r="O193" i="122" s="1"/>
  <c r="J201" i="122"/>
  <c r="O201" i="122" s="1"/>
  <c r="AE214" i="122"/>
  <c r="AC214" i="122" s="1"/>
  <c r="AE217" i="122"/>
  <c r="AC217" i="122" s="1"/>
  <c r="AE225" i="122"/>
  <c r="AC225" i="122" s="1"/>
  <c r="J227" i="122"/>
  <c r="O227" i="122" s="1"/>
  <c r="AC229" i="122"/>
  <c r="L231" i="122"/>
  <c r="AE233" i="122"/>
  <c r="AC233" i="122" s="1"/>
  <c r="J235" i="122"/>
  <c r="O235" i="122" s="1"/>
  <c r="AC237" i="122"/>
  <c r="L239" i="122"/>
  <c r="O239" i="122" s="1"/>
  <c r="AC241" i="122"/>
  <c r="J243" i="122"/>
  <c r="O243" i="122" s="1"/>
  <c r="AE245" i="122"/>
  <c r="AC245" i="122" s="1"/>
  <c r="J247" i="122"/>
  <c r="O247" i="122" s="1"/>
  <c r="AC249" i="122"/>
  <c r="J251" i="122"/>
  <c r="O251" i="122" s="1"/>
  <c r="AE253" i="122"/>
  <c r="AC253" i="122" s="1"/>
  <c r="AE260" i="122"/>
  <c r="AC260" i="122"/>
  <c r="AE268" i="122"/>
  <c r="AC268" i="122" s="1"/>
  <c r="AC278" i="122"/>
  <c r="AC328" i="122"/>
  <c r="AC335" i="122"/>
  <c r="AC344" i="122"/>
  <c r="AC372" i="122"/>
  <c r="J78" i="122"/>
  <c r="O78" i="122" s="1"/>
  <c r="J63" i="122"/>
  <c r="O63" i="122" s="1"/>
  <c r="L93" i="122"/>
  <c r="L102" i="122"/>
  <c r="O102" i="122" s="1"/>
  <c r="J119" i="122"/>
  <c r="O119" i="122" s="1"/>
  <c r="J88" i="122"/>
  <c r="O88" i="122" s="1"/>
  <c r="J127" i="122"/>
  <c r="O127" i="122" s="1"/>
  <c r="J366" i="122"/>
  <c r="O366" i="122" s="1"/>
  <c r="AC361" i="122"/>
  <c r="AE361" i="122"/>
  <c r="AC371" i="122"/>
  <c r="J84" i="122"/>
  <c r="O84" i="122" s="1"/>
  <c r="J92" i="122"/>
  <c r="O92" i="122" s="1"/>
  <c r="J56" i="122"/>
  <c r="O56" i="122" s="1"/>
  <c r="J31" i="122"/>
  <c r="O31" i="122" s="1"/>
  <c r="L72" i="122"/>
  <c r="J19" i="122"/>
  <c r="O19" i="122" s="1"/>
  <c r="L124" i="122"/>
  <c r="L125" i="122"/>
  <c r="O125" i="122" s="1"/>
  <c r="L46" i="122"/>
  <c r="L108" i="122"/>
  <c r="J104" i="122"/>
  <c r="O104" i="122" s="1"/>
  <c r="L5" i="122"/>
  <c r="J23" i="122"/>
  <c r="O23" i="122" s="1"/>
  <c r="L347" i="122"/>
  <c r="J335" i="122"/>
  <c r="O335" i="122" s="1"/>
  <c r="J359" i="122"/>
  <c r="O359" i="122" s="1"/>
  <c r="AC62" i="122"/>
  <c r="AE59" i="122"/>
  <c r="AC59" i="122" s="1"/>
  <c r="AE57" i="122"/>
  <c r="AC57" i="122" s="1"/>
  <c r="AC55" i="122"/>
  <c r="AC53" i="122"/>
  <c r="AC51" i="122"/>
  <c r="AE51" i="122"/>
  <c r="AC49" i="122"/>
  <c r="AC45" i="122"/>
  <c r="AE43" i="122"/>
  <c r="AC43" i="122" s="1"/>
  <c r="AC41" i="122"/>
  <c r="AC39" i="122"/>
  <c r="AC37" i="122"/>
  <c r="AE37" i="122"/>
  <c r="AC92" i="122"/>
  <c r="AC90" i="122"/>
  <c r="AC125" i="122"/>
  <c r="AE125" i="122"/>
  <c r="AC113" i="122"/>
  <c r="AE108" i="122"/>
  <c r="AC108" i="122" s="1"/>
  <c r="AE132" i="122"/>
  <c r="AC132" i="122"/>
  <c r="J136" i="122"/>
  <c r="O136" i="122" s="1"/>
  <c r="AC139" i="122"/>
  <c r="J143" i="122"/>
  <c r="O143" i="122" s="1"/>
  <c r="AC146" i="122"/>
  <c r="AC153" i="122"/>
  <c r="AC163" i="122"/>
  <c r="J165" i="122"/>
  <c r="O165" i="122" s="1"/>
  <c r="AE167" i="122"/>
  <c r="AC167" i="122"/>
  <c r="J169" i="122"/>
  <c r="O169" i="122" s="1"/>
  <c r="AC171" i="122"/>
  <c r="L173" i="122"/>
  <c r="AC175" i="122"/>
  <c r="J177" i="122"/>
  <c r="O177" i="122" s="1"/>
  <c r="AC179" i="122"/>
  <c r="L181" i="122"/>
  <c r="AC183" i="122"/>
  <c r="J185" i="122"/>
  <c r="O185" i="122" s="1"/>
  <c r="AE187" i="122"/>
  <c r="AC187" i="122" s="1"/>
  <c r="J189" i="122"/>
  <c r="O189" i="122" s="1"/>
  <c r="AC194" i="122"/>
  <c r="J199" i="122"/>
  <c r="O199" i="122" s="1"/>
  <c r="L202" i="122"/>
  <c r="AC205" i="122"/>
  <c r="AC208" i="122"/>
  <c r="AC212" i="122"/>
  <c r="J220" i="122"/>
  <c r="O220" i="122" s="1"/>
  <c r="L260" i="122"/>
  <c r="O260" i="122" s="1"/>
  <c r="AC262" i="122"/>
  <c r="AC265" i="122"/>
  <c r="AE275" i="122"/>
  <c r="AC275" i="122"/>
  <c r="J279" i="122"/>
  <c r="O279" i="122" s="1"/>
  <c r="L282" i="122"/>
  <c r="J288" i="122"/>
  <c r="O288" i="122" s="1"/>
  <c r="AE290" i="122"/>
  <c r="AC290" i="122" s="1"/>
  <c r="J292" i="122"/>
  <c r="O292" i="122" s="1"/>
  <c r="AC294" i="122"/>
  <c r="L296" i="122"/>
  <c r="O296" i="122" s="1"/>
  <c r="AC298" i="122"/>
  <c r="J300" i="122"/>
  <c r="O300" i="122" s="1"/>
  <c r="AC302" i="122"/>
  <c r="L304" i="122"/>
  <c r="AC306" i="122"/>
  <c r="J308" i="122"/>
  <c r="O308" i="122" s="1"/>
  <c r="AE310" i="122"/>
  <c r="AC310" i="122" s="1"/>
  <c r="J312" i="122"/>
  <c r="O312" i="122" s="1"/>
  <c r="AC314" i="122"/>
  <c r="J316" i="122"/>
  <c r="O316" i="122" s="1"/>
  <c r="AC322" i="122"/>
  <c r="AC327" i="122"/>
  <c r="AC353" i="122"/>
  <c r="AC363" i="122"/>
  <c r="AC373" i="122"/>
  <c r="J74" i="122"/>
  <c r="O74" i="122" s="1"/>
  <c r="J67" i="122"/>
  <c r="O67" i="122" s="1"/>
  <c r="J54" i="122"/>
  <c r="O54" i="122" s="1"/>
  <c r="AE14" i="122"/>
  <c r="AC14" i="122" s="1"/>
  <c r="I35" i="122"/>
  <c r="L4" i="122"/>
  <c r="J118" i="122"/>
  <c r="O118" i="122" s="1"/>
  <c r="J26" i="122"/>
  <c r="O26" i="122" s="1"/>
  <c r="L80" i="122"/>
  <c r="O80" i="122" s="1"/>
  <c r="AE8" i="122"/>
  <c r="AC8" i="122" s="1"/>
  <c r="J107" i="122"/>
  <c r="O107" i="122" s="1"/>
  <c r="J110" i="122"/>
  <c r="O110" i="122" s="1"/>
  <c r="AB35" i="122"/>
  <c r="AE4" i="122"/>
  <c r="AC9" i="122"/>
  <c r="J371" i="122"/>
  <c r="O371" i="122" s="1"/>
  <c r="J372" i="122"/>
  <c r="O372" i="122" s="1"/>
  <c r="J342" i="122"/>
  <c r="O342" i="122" s="1"/>
  <c r="J329" i="122"/>
  <c r="O329" i="122" s="1"/>
  <c r="J356" i="122"/>
  <c r="O356" i="122" s="1"/>
  <c r="J358" i="122"/>
  <c r="O358" i="122" s="1"/>
  <c r="AC87" i="122"/>
  <c r="AE87" i="122"/>
  <c r="AC85" i="122"/>
  <c r="AE85" i="122"/>
  <c r="AC83" i="122"/>
  <c r="AC81" i="122"/>
  <c r="AE79" i="122"/>
  <c r="AC79" i="122"/>
  <c r="AC77" i="122"/>
  <c r="AC75" i="122"/>
  <c r="AE73" i="122"/>
  <c r="AC73" i="122" s="1"/>
  <c r="AC71" i="122"/>
  <c r="AC69" i="122"/>
  <c r="AC67" i="122"/>
  <c r="AC106" i="122"/>
  <c r="AE101" i="122"/>
  <c r="AC101" i="122" s="1"/>
  <c r="L132" i="122"/>
  <c r="AE134" i="122"/>
  <c r="AC134" i="122"/>
  <c r="J139" i="122"/>
  <c r="O139" i="122" s="1"/>
  <c r="J146" i="122"/>
  <c r="O146" i="122" s="1"/>
  <c r="AE152" i="122"/>
  <c r="AC152" i="122" s="1"/>
  <c r="AC156" i="122"/>
  <c r="AE159" i="122"/>
  <c r="AC159" i="122" s="1"/>
  <c r="AC162" i="122"/>
  <c r="J164" i="122"/>
  <c r="O164" i="122" s="1"/>
  <c r="AE166" i="122"/>
  <c r="AC166" i="122"/>
  <c r="J168" i="122"/>
  <c r="O168" i="122" s="1"/>
  <c r="AC170" i="122"/>
  <c r="J172" i="122"/>
  <c r="O172" i="122" s="1"/>
  <c r="AE174" i="122"/>
  <c r="AC174" i="122" s="1"/>
  <c r="J176" i="122"/>
  <c r="O176" i="122" s="1"/>
  <c r="AC178" i="122"/>
  <c r="L180" i="122"/>
  <c r="O180" i="122" s="1"/>
  <c r="AC182" i="122"/>
  <c r="J184" i="122"/>
  <c r="O184" i="122" s="1"/>
  <c r="AC186" i="122"/>
  <c r="L188" i="122"/>
  <c r="AC190" i="122"/>
  <c r="AC193" i="122"/>
  <c r="AC197" i="122"/>
  <c r="AC200" i="122"/>
  <c r="AC204" i="122"/>
  <c r="AC211" i="122"/>
  <c r="AC218" i="122"/>
  <c r="AB255" i="122"/>
  <c r="AE224" i="122"/>
  <c r="AE255" i="122" s="1"/>
  <c r="J259" i="122"/>
  <c r="O259" i="122" s="1"/>
  <c r="J262" i="122"/>
  <c r="O262" i="122" s="1"/>
  <c r="J272" i="122"/>
  <c r="O272" i="122" s="1"/>
  <c r="AE274" i="122"/>
  <c r="AC274" i="122"/>
  <c r="J278" i="122"/>
  <c r="O278" i="122" s="1"/>
  <c r="AC289" i="122"/>
  <c r="AE289" i="122"/>
  <c r="J291" i="122"/>
  <c r="O291" i="122" s="1"/>
  <c r="AC293" i="122"/>
  <c r="J295" i="122"/>
  <c r="O295" i="122" s="1"/>
  <c r="AE297" i="122"/>
  <c r="AC297" i="122"/>
  <c r="J299" i="122"/>
  <c r="O299" i="122" s="1"/>
  <c r="AC301" i="122"/>
  <c r="L303" i="122"/>
  <c r="AC305" i="122"/>
  <c r="J307" i="122"/>
  <c r="O307" i="122" s="1"/>
  <c r="AC309" i="122"/>
  <c r="L311" i="122"/>
  <c r="AC313" i="122"/>
  <c r="J315" i="122"/>
  <c r="O315" i="122" s="1"/>
  <c r="AE317" i="122"/>
  <c r="AC317" i="122" s="1"/>
  <c r="AE341" i="122"/>
  <c r="AC341" i="122"/>
  <c r="AC346" i="122"/>
  <c r="AE346" i="122"/>
  <c r="AB381" i="122"/>
  <c r="AC350" i="122"/>
  <c r="AE355" i="122"/>
  <c r="AC355" i="122" s="1"/>
  <c r="AC365" i="122"/>
  <c r="AC377" i="122"/>
  <c r="J77" i="122"/>
  <c r="O77" i="122" s="1"/>
  <c r="J70" i="122"/>
  <c r="O70" i="122" s="1"/>
  <c r="J47" i="122"/>
  <c r="O47" i="122" s="1"/>
  <c r="J24" i="122"/>
  <c r="O24" i="122" s="1"/>
  <c r="L101" i="122"/>
  <c r="AC380" i="122"/>
  <c r="L126" i="122"/>
  <c r="L94" i="122"/>
  <c r="AE6" i="122"/>
  <c r="AC6" i="122" s="1"/>
  <c r="L20" i="122"/>
  <c r="J33" i="122"/>
  <c r="O33" i="122" s="1"/>
  <c r="L85" i="122"/>
  <c r="O85" i="122" s="1"/>
  <c r="J328" i="122"/>
  <c r="O328" i="122" s="1"/>
  <c r="L333" i="122"/>
  <c r="O333" i="122" s="1"/>
  <c r="J60" i="122"/>
  <c r="O60" i="122" s="1"/>
  <c r="AB65" i="122"/>
  <c r="AE36" i="122"/>
  <c r="AC36" i="122"/>
  <c r="AC63" i="122"/>
  <c r="AC61" i="122"/>
  <c r="AE58" i="122"/>
  <c r="AC58" i="122" s="1"/>
  <c r="AC56" i="122"/>
  <c r="AC54" i="122"/>
  <c r="AC52" i="122"/>
  <c r="AC50" i="122"/>
  <c r="AE50" i="122"/>
  <c r="AC47" i="122"/>
  <c r="AE46" i="122"/>
  <c r="AC46" i="122" s="1"/>
  <c r="AE44" i="122"/>
  <c r="AC44" i="122" s="1"/>
  <c r="AC42" i="122"/>
  <c r="AC40" i="122"/>
  <c r="AC38" i="122"/>
  <c r="AC91" i="122"/>
  <c r="AC89" i="122"/>
  <c r="AE122" i="122"/>
  <c r="AC122" i="122"/>
  <c r="AC117" i="122"/>
  <c r="AC104" i="122"/>
  <c r="AC99" i="122"/>
  <c r="L131" i="122"/>
  <c r="O131" i="122" s="1"/>
  <c r="L138" i="122"/>
  <c r="O138" i="122" s="1"/>
  <c r="AE144" i="122"/>
  <c r="AC144" i="122" s="1"/>
  <c r="J149" i="122"/>
  <c r="O149" i="122" s="1"/>
  <c r="AC151" i="122"/>
  <c r="AE151" i="122"/>
  <c r="AC155" i="122"/>
  <c r="AE158" i="122"/>
  <c r="AC158" i="122" s="1"/>
  <c r="AB191" i="122"/>
  <c r="AC161" i="122"/>
  <c r="J163" i="122"/>
  <c r="O163" i="122" s="1"/>
  <c r="AC165" i="122"/>
  <c r="L167" i="122"/>
  <c r="AC169" i="122"/>
  <c r="J171" i="122"/>
  <c r="O171" i="122" s="1"/>
  <c r="AE173" i="122"/>
  <c r="AC173" i="122" s="1"/>
  <c r="J175" i="122"/>
  <c r="O175" i="122" s="1"/>
  <c r="AC177" i="122"/>
  <c r="J179" i="122"/>
  <c r="O179" i="122" s="1"/>
  <c r="AE181" i="122"/>
  <c r="AC181" i="122" s="1"/>
  <c r="J183" i="122"/>
  <c r="O183" i="122" s="1"/>
  <c r="AC185" i="122"/>
  <c r="L187" i="122"/>
  <c r="AC189" i="122"/>
  <c r="AB223" i="122"/>
  <c r="AC192" i="122"/>
  <c r="J197" i="122"/>
  <c r="O197" i="122" s="1"/>
  <c r="AC203" i="122"/>
  <c r="AE203" i="122"/>
  <c r="AE210" i="122"/>
  <c r="AC210" i="122" s="1"/>
  <c r="L215" i="122"/>
  <c r="O215" i="122" s="1"/>
  <c r="J218" i="122"/>
  <c r="O218" i="122" s="1"/>
  <c r="I255" i="122"/>
  <c r="L224" i="122"/>
  <c r="L255" i="122" s="1"/>
  <c r="J258" i="122"/>
  <c r="O258" i="122" s="1"/>
  <c r="L268" i="122"/>
  <c r="O268" i="122" s="1"/>
  <c r="AC270" i="122"/>
  <c r="L274" i="122"/>
  <c r="O274" i="122" s="1"/>
  <c r="J284" i="122"/>
  <c r="O284" i="122" s="1"/>
  <c r="AC288" i="122"/>
  <c r="L290" i="122"/>
  <c r="O290" i="122" s="1"/>
  <c r="AC292" i="122"/>
  <c r="J294" i="122"/>
  <c r="O294" i="122" s="1"/>
  <c r="AE296" i="122"/>
  <c r="AC296" i="122" s="1"/>
  <c r="J298" i="122"/>
  <c r="O298" i="122" s="1"/>
  <c r="AC300" i="122"/>
  <c r="J302" i="122"/>
  <c r="O302" i="122" s="1"/>
  <c r="AE304" i="122"/>
  <c r="AC304" i="122" s="1"/>
  <c r="J306" i="122"/>
  <c r="O306" i="122" s="1"/>
  <c r="AC308" i="122"/>
  <c r="L310" i="122"/>
  <c r="AC312" i="122"/>
  <c r="J314" i="122"/>
  <c r="O314" i="122" s="1"/>
  <c r="AC316" i="122"/>
  <c r="AE333" i="122"/>
  <c r="AC333" i="122" s="1"/>
  <c r="AC338" i="122"/>
  <c r="AC343" i="122"/>
  <c r="AC357" i="122"/>
  <c r="AE369" i="122"/>
  <c r="AC369" i="122"/>
  <c r="J81" i="122"/>
  <c r="O81" i="122" s="1"/>
  <c r="J90" i="122"/>
  <c r="O90" i="122" s="1"/>
  <c r="J52" i="122"/>
  <c r="O52" i="122" s="1"/>
  <c r="J40" i="122"/>
  <c r="O40" i="122" s="1"/>
  <c r="L14" i="122"/>
  <c r="L22" i="122"/>
  <c r="J11" i="122"/>
  <c r="O11" i="122" s="1"/>
  <c r="AC11" i="122"/>
  <c r="J114" i="122"/>
  <c r="O114" i="122" s="1"/>
  <c r="AC15" i="122"/>
  <c r="AE15" i="122"/>
  <c r="AC379" i="122"/>
  <c r="J100" i="122"/>
  <c r="O100" i="122" s="1"/>
  <c r="AE5" i="122"/>
  <c r="AC5" i="122" s="1"/>
  <c r="L362" i="122"/>
  <c r="L341" i="122"/>
  <c r="O341" i="122" s="1"/>
  <c r="J320" i="122"/>
  <c r="O320" i="122" s="1"/>
  <c r="J337" i="122"/>
  <c r="O337" i="122" s="1"/>
  <c r="J323" i="122"/>
  <c r="O323" i="122" s="1"/>
  <c r="L354" i="122"/>
  <c r="L321" i="122"/>
  <c r="O321" i="122" s="1"/>
  <c r="L339" i="122"/>
  <c r="L369" i="122"/>
  <c r="J380" i="122"/>
  <c r="O380" i="122" s="1"/>
  <c r="J352" i="122"/>
  <c r="O352" i="122" s="1"/>
  <c r="J364" i="122"/>
  <c r="O364" i="122" s="1"/>
  <c r="L326" i="122"/>
  <c r="O326" i="122" s="1"/>
  <c r="J331" i="122"/>
  <c r="O331" i="122" s="1"/>
  <c r="J373" i="122"/>
  <c r="O373" i="122" s="1"/>
  <c r="J367" i="122"/>
  <c r="O367" i="122" s="1"/>
  <c r="J363" i="122"/>
  <c r="O363" i="122" s="1"/>
  <c r="L361" i="122"/>
  <c r="O361" i="122" s="1"/>
  <c r="J360" i="122"/>
  <c r="O360" i="122" s="1"/>
  <c r="J336" i="122"/>
  <c r="O336" i="122" s="1"/>
  <c r="J345" i="122"/>
  <c r="O345" i="122" s="1"/>
  <c r="AC34" i="122"/>
  <c r="AC96" i="122"/>
  <c r="AE124" i="122"/>
  <c r="AC124" i="122" s="1"/>
  <c r="AC119" i="122"/>
  <c r="AC111" i="122"/>
  <c r="AC103" i="122"/>
  <c r="I160" i="122"/>
  <c r="J129" i="122"/>
  <c r="L130" i="122"/>
  <c r="O130" i="122" s="1"/>
  <c r="L134" i="122"/>
  <c r="AE137" i="122"/>
  <c r="AC137" i="122"/>
  <c r="AC141" i="122"/>
  <c r="AE145" i="122"/>
  <c r="AC145" i="122"/>
  <c r="AC149" i="122"/>
  <c r="J154" i="122"/>
  <c r="O154" i="122" s="1"/>
  <c r="AC157" i="122"/>
  <c r="L196" i="122"/>
  <c r="AC199" i="122"/>
  <c r="J204" i="122"/>
  <c r="O204" i="122" s="1"/>
  <c r="J208" i="122"/>
  <c r="O208" i="122" s="1"/>
  <c r="J212" i="122"/>
  <c r="O212" i="122" s="1"/>
  <c r="L216" i="122"/>
  <c r="AC219" i="122"/>
  <c r="J257" i="122"/>
  <c r="O257" i="122" s="1"/>
  <c r="AC257" i="122"/>
  <c r="AE261" i="122"/>
  <c r="AC261" i="122" s="1"/>
  <c r="J266" i="122"/>
  <c r="O266" i="122" s="1"/>
  <c r="J270" i="122"/>
  <c r="O270" i="122" s="1"/>
  <c r="AC273" i="122"/>
  <c r="AE277" i="122"/>
  <c r="AC277" i="122" s="1"/>
  <c r="AE281" i="122"/>
  <c r="AC281" i="122" s="1"/>
  <c r="AB318" i="122"/>
  <c r="AC287" i="122"/>
  <c r="AE321" i="122"/>
  <c r="AC321" i="122" s="1"/>
  <c r="AC329" i="122"/>
  <c r="AC337" i="122"/>
  <c r="AC345" i="122"/>
  <c r="AC358" i="122"/>
  <c r="AC366" i="122"/>
  <c r="AC374" i="122"/>
  <c r="J76" i="122"/>
  <c r="O76" i="122" s="1"/>
  <c r="J96" i="122"/>
  <c r="O96" i="122" s="1"/>
  <c r="J55" i="122"/>
  <c r="O55" i="122" s="1"/>
  <c r="J49" i="122"/>
  <c r="O49" i="122" s="1"/>
  <c r="AC13" i="122"/>
  <c r="J99" i="122"/>
  <c r="O99" i="122" s="1"/>
  <c r="J17" i="122"/>
  <c r="O17" i="122" s="1"/>
  <c r="J120" i="122"/>
  <c r="O120" i="122" s="1"/>
  <c r="L16" i="122"/>
  <c r="O16" i="122" s="1"/>
  <c r="L50" i="122"/>
  <c r="O50" i="122" s="1"/>
  <c r="J12" i="122"/>
  <c r="O12" i="122" s="1"/>
  <c r="L87" i="122"/>
  <c r="L123" i="122"/>
  <c r="O123" i="122" s="1"/>
  <c r="J39" i="122"/>
  <c r="O39" i="122" s="1"/>
  <c r="L58" i="122"/>
  <c r="L73" i="122"/>
  <c r="O73" i="122" s="1"/>
  <c r="L375" i="122"/>
  <c r="O375" i="122" s="1"/>
  <c r="J377" i="122"/>
  <c r="O377" i="122" s="1"/>
  <c r="J330" i="122"/>
  <c r="O330" i="122" s="1"/>
  <c r="J370" i="122"/>
  <c r="O370" i="122" s="1"/>
  <c r="J334" i="122"/>
  <c r="O334" i="122" s="1"/>
  <c r="J357" i="122"/>
  <c r="O357" i="122" s="1"/>
  <c r="J348" i="122"/>
  <c r="O348" i="122" s="1"/>
  <c r="I286" i="122"/>
  <c r="J256" i="122"/>
  <c r="L261" i="122"/>
  <c r="O261" i="122" s="1"/>
  <c r="AC264" i="122"/>
  <c r="J269" i="122"/>
  <c r="O269" i="122" s="1"/>
  <c r="J273" i="122"/>
  <c r="O273" i="122" s="1"/>
  <c r="L277" i="122"/>
  <c r="O277" i="122" s="1"/>
  <c r="L281" i="122"/>
  <c r="O281" i="122" s="1"/>
  <c r="J285" i="122"/>
  <c r="O285" i="122" s="1"/>
  <c r="I318" i="122"/>
  <c r="J287" i="122"/>
  <c r="AC323" i="122"/>
  <c r="AC331" i="122"/>
  <c r="AE339" i="122"/>
  <c r="AC339" i="122" s="1"/>
  <c r="AC347" i="122"/>
  <c r="AE347" i="122"/>
  <c r="AC352" i="122"/>
  <c r="AC360" i="122"/>
  <c r="AE368" i="122"/>
  <c r="AC368" i="122" s="1"/>
  <c r="AE376" i="122"/>
  <c r="AC376" i="122"/>
  <c r="J82" i="122"/>
  <c r="O82" i="122" s="1"/>
  <c r="J71" i="122"/>
  <c r="O71" i="122" s="1"/>
  <c r="J68" i="122"/>
  <c r="O68" i="122" s="1"/>
  <c r="J62" i="122"/>
  <c r="O62" i="122" s="1"/>
  <c r="J41" i="122"/>
  <c r="O41" i="122" s="1"/>
  <c r="J32" i="122"/>
  <c r="O32" i="122" s="1"/>
  <c r="L122" i="122"/>
  <c r="O122" i="122" s="1"/>
  <c r="J121" i="122"/>
  <c r="O121" i="122" s="1"/>
  <c r="L57" i="122"/>
  <c r="O57" i="122" s="1"/>
  <c r="L64" i="122"/>
  <c r="L43" i="122"/>
  <c r="O43" i="122" s="1"/>
  <c r="J18" i="122"/>
  <c r="O18" i="122" s="1"/>
  <c r="J112" i="122"/>
  <c r="O112" i="122" s="1"/>
  <c r="J111" i="122"/>
  <c r="O111" i="122" s="1"/>
  <c r="J25" i="122"/>
  <c r="O25" i="122" s="1"/>
  <c r="J113" i="122"/>
  <c r="O113" i="122" s="1"/>
  <c r="J13" i="122"/>
  <c r="O13" i="122" s="1"/>
  <c r="L355" i="122"/>
  <c r="J338" i="122"/>
  <c r="O338" i="122" s="1"/>
  <c r="L332" i="122"/>
  <c r="J322" i="122"/>
  <c r="O322" i="122" s="1"/>
  <c r="J374" i="122"/>
  <c r="O374" i="122" s="1"/>
  <c r="L376" i="122"/>
  <c r="O376" i="122" s="1"/>
  <c r="L346" i="122"/>
  <c r="O346" i="122" s="1"/>
  <c r="J324" i="122"/>
  <c r="O324" i="122" s="1"/>
  <c r="L368" i="122"/>
  <c r="I349" i="122"/>
  <c r="L319" i="122"/>
  <c r="J327" i="122"/>
  <c r="O327" i="122" s="1"/>
  <c r="J344" i="122"/>
  <c r="O344" i="122" s="1"/>
  <c r="J343" i="122"/>
  <c r="O343" i="122" s="1"/>
  <c r="L340" i="122"/>
  <c r="O340" i="122" s="1"/>
  <c r="J353" i="122"/>
  <c r="O353" i="122" s="1"/>
  <c r="J365" i="122"/>
  <c r="O365" i="122" s="1"/>
  <c r="L381" i="122"/>
  <c r="O362" i="122"/>
  <c r="O332" i="122"/>
  <c r="O319" i="122"/>
  <c r="AE191" i="122"/>
  <c r="O325" i="122"/>
  <c r="O339" i="122"/>
  <c r="O368" i="122"/>
  <c r="O354" i="122"/>
  <c r="O369" i="122"/>
  <c r="O355" i="122"/>
  <c r="AD255" i="122"/>
  <c r="K255" i="122"/>
  <c r="O167" i="122"/>
  <c r="O276" i="122"/>
  <c r="O347" i="122"/>
  <c r="AD349" i="122"/>
  <c r="AD382" i="122" s="1"/>
  <c r="O252" i="122"/>
  <c r="O195" i="122"/>
  <c r="O181" i="122"/>
  <c r="L318" i="122"/>
  <c r="K286" i="122"/>
  <c r="K382" i="122" s="1"/>
  <c r="AD286" i="122"/>
  <c r="O310" i="122"/>
  <c r="O233" i="122"/>
  <c r="AD223" i="122"/>
  <c r="O134" i="122"/>
  <c r="O303" i="122"/>
  <c r="O282" i="122"/>
  <c r="O224" i="122"/>
  <c r="L286" i="122"/>
  <c r="O152" i="122"/>
  <c r="O124" i="122"/>
  <c r="O311" i="122"/>
  <c r="O304" i="122"/>
  <c r="O231" i="122"/>
  <c r="O210" i="122"/>
  <c r="O202" i="122"/>
  <c r="AD191" i="122"/>
  <c r="O166" i="122"/>
  <c r="L191" i="122"/>
  <c r="O108" i="122"/>
  <c r="O87" i="122"/>
  <c r="O217" i="122"/>
  <c r="O216" i="122"/>
  <c r="O196" i="122"/>
  <c r="O159" i="122"/>
  <c r="O151" i="122"/>
  <c r="O109" i="122"/>
  <c r="O173" i="122"/>
  <c r="O158" i="122"/>
  <c r="O72" i="122"/>
  <c r="O209" i="122"/>
  <c r="O187" i="122"/>
  <c r="AD160" i="122"/>
  <c r="O126" i="122"/>
  <c r="AD128" i="122"/>
  <c r="L223" i="122"/>
  <c r="O133" i="122"/>
  <c r="O174" i="122"/>
  <c r="O144" i="122"/>
  <c r="O203" i="122"/>
  <c r="O94" i="122"/>
  <c r="O4" i="122"/>
  <c r="K35" i="122"/>
  <c r="O29" i="122"/>
  <c r="O8" i="122"/>
  <c r="M223" i="122"/>
  <c r="O132" i="122"/>
  <c r="O22" i="122"/>
  <c r="O188" i="122"/>
  <c r="O101" i="122"/>
  <c r="O93" i="122"/>
  <c r="AF223" i="122"/>
  <c r="O116" i="122"/>
  <c r="O5" i="122"/>
  <c r="L160" i="122"/>
  <c r="O20" i="122"/>
  <c r="O46" i="122"/>
  <c r="AF160" i="122"/>
  <c r="O145" i="122"/>
  <c r="AD65" i="122"/>
  <c r="O115" i="122"/>
  <c r="O21" i="122"/>
  <c r="M35" i="122"/>
  <c r="O15" i="122"/>
  <c r="O51" i="122"/>
  <c r="M286" i="122"/>
  <c r="AD35" i="122"/>
  <c r="O66" i="122"/>
  <c r="O59" i="122"/>
  <c r="M160" i="122"/>
  <c r="J65" i="122"/>
  <c r="O14" i="122"/>
  <c r="M65" i="122"/>
  <c r="M349" i="122"/>
  <c r="O28" i="122"/>
  <c r="AD97" i="122"/>
  <c r="O58" i="122"/>
  <c r="AF97" i="122"/>
  <c r="AF128" i="122"/>
  <c r="O79" i="122"/>
  <c r="O64" i="122"/>
  <c r="AF349" i="122"/>
  <c r="AF381" i="122"/>
  <c r="M381" i="122"/>
  <c r="O37" i="122"/>
  <c r="AF286" i="122"/>
  <c r="S32" i="102"/>
  <c r="Q5" i="133"/>
  <c r="S78" i="102"/>
  <c r="Q73" i="102"/>
  <c r="P68" i="102"/>
  <c r="S13" i="102"/>
  <c r="S5" i="133"/>
  <c r="Q39" i="102"/>
  <c r="S45" i="102"/>
  <c r="S57" i="102"/>
  <c r="S6" i="133"/>
  <c r="S81" i="102"/>
  <c r="Q76" i="102"/>
  <c r="S65" i="102"/>
  <c r="S52" i="102"/>
  <c r="Q81" i="102"/>
  <c r="S70" i="102"/>
  <c r="Q65" i="102"/>
  <c r="Q21" i="102"/>
  <c r="S47" i="102"/>
  <c r="S44" i="102"/>
  <c r="S24" i="102"/>
  <c r="S10" i="102"/>
  <c r="S4" i="102"/>
  <c r="S21" i="102"/>
  <c r="S31" i="102"/>
  <c r="S73" i="102"/>
  <c r="S8" i="133"/>
  <c r="S7" i="133"/>
  <c r="Q67" i="2"/>
  <c r="Q15" i="2"/>
  <c r="P5" i="133"/>
  <c r="Q119" i="2"/>
  <c r="Q43" i="2"/>
  <c r="Q111" i="2"/>
  <c r="Q91" i="2"/>
  <c r="Q6" i="133"/>
  <c r="Q4" i="102"/>
  <c r="Q127" i="2"/>
  <c r="Q95" i="2"/>
  <c r="Q35" i="2"/>
  <c r="Q87" i="2"/>
  <c r="Q47" i="2"/>
  <c r="Q19" i="2"/>
  <c r="Q79" i="2"/>
  <c r="Q59" i="2"/>
  <c r="Q11" i="2"/>
  <c r="Q40" i="102"/>
  <c r="P57" i="102"/>
  <c r="Q39" i="2"/>
  <c r="Q7" i="2"/>
  <c r="Q50" i="102"/>
  <c r="Q63" i="2"/>
  <c r="Q31" i="2"/>
  <c r="Q30" i="102"/>
  <c r="Q55" i="2"/>
  <c r="Q23" i="2"/>
  <c r="Q60" i="102"/>
  <c r="Q182" i="2"/>
  <c r="Q178" i="2"/>
  <c r="Q174" i="2"/>
  <c r="Q170" i="2"/>
  <c r="Q166" i="2"/>
  <c r="Q162" i="2"/>
  <c r="Q158" i="2"/>
  <c r="Q154" i="2"/>
  <c r="Q150" i="2"/>
  <c r="Q146" i="2"/>
  <c r="Q142" i="2"/>
  <c r="Q138" i="2"/>
  <c r="Q134" i="2"/>
  <c r="Q130" i="2"/>
  <c r="Q126" i="2"/>
  <c r="Q122" i="2"/>
  <c r="Q118" i="2"/>
  <c r="Q114" i="2"/>
  <c r="Q110" i="2"/>
  <c r="Q106" i="2"/>
  <c r="Q102" i="2"/>
  <c r="Q98" i="2"/>
  <c r="Q94" i="2"/>
  <c r="Q90" i="2"/>
  <c r="Q86" i="2"/>
  <c r="Q82" i="2"/>
  <c r="Q78" i="2"/>
  <c r="Q74" i="2"/>
  <c r="Q70" i="2"/>
  <c r="Q66" i="2"/>
  <c r="Q62" i="2"/>
  <c r="Q58" i="2"/>
  <c r="Q54" i="2"/>
  <c r="Q50" i="2"/>
  <c r="Q46" i="2"/>
  <c r="Q42" i="2"/>
  <c r="Q38" i="2"/>
  <c r="Q34" i="2"/>
  <c r="Q30" i="2"/>
  <c r="Q26" i="2"/>
  <c r="Q22" i="2"/>
  <c r="Q18" i="2"/>
  <c r="Q14" i="2"/>
  <c r="Q10" i="2"/>
  <c r="Q6" i="2"/>
  <c r="Q145" i="2"/>
  <c r="Q141" i="2"/>
  <c r="Q137" i="2"/>
  <c r="Q133" i="2"/>
  <c r="Q129" i="2"/>
  <c r="Q125" i="2"/>
  <c r="Q121" i="2"/>
  <c r="Q117" i="2"/>
  <c r="Q113" i="2"/>
  <c r="Q109" i="2"/>
  <c r="Q105" i="2"/>
  <c r="Q101" i="2"/>
  <c r="Q97" i="2"/>
  <c r="Q93" i="2"/>
  <c r="Q89" i="2"/>
  <c r="Q85" i="2"/>
  <c r="Q81" i="2"/>
  <c r="Q77" i="2"/>
  <c r="Q73" i="2"/>
  <c r="Q69" i="2"/>
  <c r="Q65" i="2"/>
  <c r="Q61" i="2"/>
  <c r="Q57" i="2"/>
  <c r="Q53" i="2"/>
  <c r="Q49" i="2"/>
  <c r="Q45" i="2"/>
  <c r="Q41" i="2"/>
  <c r="Q37" i="2"/>
  <c r="Q33" i="2"/>
  <c r="Q29" i="2"/>
  <c r="Q25" i="2"/>
  <c r="Q21" i="2"/>
  <c r="Q17" i="2"/>
  <c r="Q13" i="2"/>
  <c r="Q9" i="2"/>
  <c r="Q5" i="2"/>
  <c r="Q176" i="2"/>
  <c r="Q172" i="2"/>
  <c r="Q168" i="2"/>
  <c r="Q164" i="2"/>
  <c r="Q160" i="2"/>
  <c r="Q156" i="2"/>
  <c r="Q152" i="2"/>
  <c r="Q148" i="2"/>
  <c r="Q144" i="2"/>
  <c r="Q140" i="2"/>
  <c r="Q136" i="2"/>
  <c r="Q132" i="2"/>
  <c r="Q128" i="2"/>
  <c r="Q124" i="2"/>
  <c r="Q120" i="2"/>
  <c r="Q116" i="2"/>
  <c r="Q112" i="2"/>
  <c r="Q108" i="2"/>
  <c r="Q104" i="2"/>
  <c r="Q100" i="2"/>
  <c r="Q96" i="2"/>
  <c r="Q92" i="2"/>
  <c r="Q88" i="2"/>
  <c r="Q84" i="2"/>
  <c r="Q80" i="2"/>
  <c r="Q76" i="2"/>
  <c r="Q72" i="2"/>
  <c r="Q68" i="2"/>
  <c r="Q64" i="2"/>
  <c r="Q60" i="2"/>
  <c r="Q56" i="2"/>
  <c r="Q52" i="2"/>
  <c r="Q48" i="2"/>
  <c r="Q44" i="2"/>
  <c r="Q40" i="2"/>
  <c r="Q36" i="2"/>
  <c r="Q32" i="2"/>
  <c r="Q28" i="2"/>
  <c r="Q24" i="2"/>
  <c r="Q20" i="2"/>
  <c r="Q16" i="2"/>
  <c r="Q12" i="2"/>
  <c r="Q8" i="2"/>
  <c r="Q47" i="102"/>
  <c r="AH249" i="122"/>
  <c r="AI249" i="122" s="1"/>
  <c r="AH239" i="122"/>
  <c r="AI239" i="122" s="1"/>
  <c r="AH231" i="122"/>
  <c r="AI231" i="122" s="1"/>
  <c r="AH230" i="122"/>
  <c r="AI230" i="122" s="1"/>
  <c r="AH203" i="122"/>
  <c r="AI203" i="122" s="1"/>
  <c r="AH145" i="122"/>
  <c r="AI145" i="122" s="1"/>
  <c r="AH67" i="122"/>
  <c r="AI67" i="122" s="1"/>
  <c r="AH51" i="122"/>
  <c r="AI51" i="122" s="1"/>
  <c r="AH21" i="122"/>
  <c r="AI21" i="122" s="1"/>
  <c r="AH11" i="122"/>
  <c r="AI11" i="122" s="1"/>
  <c r="Q7" i="133"/>
  <c r="P7" i="133"/>
  <c r="AH356" i="122"/>
  <c r="AI356" i="122" s="1"/>
  <c r="AH328" i="122"/>
  <c r="AI328" i="122" s="1"/>
  <c r="AH296" i="122"/>
  <c r="AI296" i="122" s="1"/>
  <c r="AH294" i="122"/>
  <c r="AI294" i="122" s="1"/>
  <c r="AH273" i="122"/>
  <c r="AI273" i="122" s="1"/>
  <c r="AH264" i="122"/>
  <c r="AI264" i="122" s="1"/>
  <c r="AH235" i="122"/>
  <c r="AI235" i="122" s="1"/>
  <c r="AH215" i="122"/>
  <c r="AI215" i="122" s="1"/>
  <c r="AH193" i="122"/>
  <c r="AI193" i="122" s="1"/>
  <c r="AH173" i="122"/>
  <c r="AI173" i="122" s="1"/>
  <c r="AH107" i="122"/>
  <c r="AI107" i="122" s="1"/>
  <c r="AH88" i="122"/>
  <c r="AI88" i="122" s="1"/>
  <c r="AH86" i="122"/>
  <c r="AI86" i="122" s="1"/>
  <c r="AH36" i="122"/>
  <c r="AI36" i="122" s="1"/>
  <c r="P8" i="133"/>
  <c r="Q8" i="133"/>
  <c r="AH12" i="122"/>
  <c r="AI12" i="122" s="1"/>
  <c r="AH20" i="122"/>
  <c r="AI20" i="122" s="1"/>
  <c r="AH28" i="122"/>
  <c r="AI28" i="122" s="1"/>
  <c r="AH37" i="122"/>
  <c r="AI37" i="122" s="1"/>
  <c r="AH39" i="122"/>
  <c r="AI39" i="122" s="1"/>
  <c r="AH46" i="122"/>
  <c r="AI46" i="122" s="1"/>
  <c r="AH50" i="122"/>
  <c r="AI50" i="122" s="1"/>
  <c r="AH63" i="122"/>
  <c r="AI63" i="122" s="1"/>
  <c r="AH76" i="122"/>
  <c r="AI76" i="122" s="1"/>
  <c r="AH101" i="122"/>
  <c r="AI101" i="122" s="1"/>
  <c r="AH113" i="122"/>
  <c r="AI113" i="122" s="1"/>
  <c r="AH114" i="122"/>
  <c r="AI114" i="122" s="1"/>
  <c r="AH123" i="122"/>
  <c r="AI123" i="122" s="1"/>
  <c r="AH124" i="122"/>
  <c r="AI124" i="122" s="1"/>
  <c r="AH130" i="122"/>
  <c r="AI130" i="122" s="1"/>
  <c r="AH135" i="122"/>
  <c r="AI135" i="122" s="1"/>
  <c r="AH141" i="122"/>
  <c r="AI141" i="122" s="1"/>
  <c r="AH148" i="122"/>
  <c r="AI148" i="122" s="1"/>
  <c r="AH188" i="122"/>
  <c r="AI188" i="122" s="1"/>
  <c r="AH190" i="122"/>
  <c r="AI190" i="122" s="1"/>
  <c r="AH194" i="122"/>
  <c r="AI194" i="122" s="1"/>
  <c r="AH199" i="122"/>
  <c r="AI199" i="122" s="1"/>
  <c r="AH206" i="122"/>
  <c r="AI206" i="122" s="1"/>
  <c r="AH207" i="122"/>
  <c r="AI207" i="122" s="1"/>
  <c r="AH209" i="122"/>
  <c r="AI209" i="122" s="1"/>
  <c r="AH213" i="122"/>
  <c r="AI213" i="122" s="1"/>
  <c r="AH219" i="122"/>
  <c r="AI219" i="122" s="1"/>
  <c r="AH220" i="122"/>
  <c r="AI220" i="122" s="1"/>
  <c r="AH225" i="122"/>
  <c r="AI225" i="122" s="1"/>
  <c r="AH232" i="122"/>
  <c r="AI232" i="122" s="1"/>
  <c r="AH237" i="122"/>
  <c r="AI237" i="122" s="1"/>
  <c r="AH10" i="122"/>
  <c r="AI10" i="122" s="1"/>
  <c r="AH18" i="122"/>
  <c r="AI18" i="122" s="1"/>
  <c r="AH26" i="122"/>
  <c r="AI26" i="122" s="1"/>
  <c r="AH34" i="122"/>
  <c r="AI34" i="122" s="1"/>
  <c r="AH40" i="122"/>
  <c r="AI40" i="122" s="1"/>
  <c r="AH41" i="122"/>
  <c r="AI41" i="122" s="1"/>
  <c r="AH45" i="122"/>
  <c r="AI45" i="122" s="1"/>
  <c r="AH58" i="122"/>
  <c r="AI58" i="122" s="1"/>
  <c r="AH64" i="122"/>
  <c r="AI64" i="122" s="1"/>
  <c r="AH84" i="122"/>
  <c r="AI84" i="122" s="1"/>
  <c r="AH89" i="122"/>
  <c r="AI89" i="122" s="1"/>
  <c r="AH96" i="122"/>
  <c r="AI96" i="122" s="1"/>
  <c r="AH105" i="122"/>
  <c r="AI105" i="122" s="1"/>
  <c r="AH119" i="122"/>
  <c r="AI119" i="122" s="1"/>
  <c r="AH131" i="122"/>
  <c r="AI131" i="122" s="1"/>
  <c r="AH132" i="122"/>
  <c r="AI132" i="122" s="1"/>
  <c r="AH147" i="122"/>
  <c r="AI147" i="122" s="1"/>
  <c r="AH157" i="122"/>
  <c r="AI157" i="122" s="1"/>
  <c r="AH163" i="122"/>
  <c r="AI163" i="122" s="1"/>
  <c r="AH170" i="122"/>
  <c r="AI170" i="122" s="1"/>
  <c r="AH8" i="122"/>
  <c r="AI8" i="122" s="1"/>
  <c r="AH16" i="122"/>
  <c r="AI16" i="122" s="1"/>
  <c r="AH24" i="122"/>
  <c r="AI24" i="122" s="1"/>
  <c r="AH32" i="122"/>
  <c r="AI32" i="122" s="1"/>
  <c r="AH44" i="122"/>
  <c r="AI44" i="122" s="1"/>
  <c r="AH52" i="122"/>
  <c r="AI52" i="122" s="1"/>
  <c r="AH57" i="122"/>
  <c r="AI57" i="122" s="1"/>
  <c r="AH61" i="122"/>
  <c r="AI61" i="122" s="1"/>
  <c r="AH69" i="122"/>
  <c r="AI69" i="122" s="1"/>
  <c r="AH72" i="122"/>
  <c r="AI72" i="122" s="1"/>
  <c r="AH75" i="122"/>
  <c r="AI75" i="122" s="1"/>
  <c r="AH81" i="122"/>
  <c r="AI81" i="122" s="1"/>
  <c r="AH111" i="122"/>
  <c r="AI111" i="122" s="1"/>
  <c r="AH127" i="122"/>
  <c r="AI127" i="122" s="1"/>
  <c r="AH144" i="122"/>
  <c r="AI144" i="122" s="1"/>
  <c r="AH151" i="122"/>
  <c r="AI151" i="122" s="1"/>
  <c r="AH155" i="122"/>
  <c r="AI155" i="122" s="1"/>
  <c r="AH165" i="122"/>
  <c r="AI165" i="122" s="1"/>
  <c r="AH198" i="122"/>
  <c r="AI198" i="122" s="1"/>
  <c r="AH218" i="122"/>
  <c r="AI218" i="122" s="1"/>
  <c r="AH236" i="122"/>
  <c r="AI236" i="122" s="1"/>
  <c r="AH246" i="122"/>
  <c r="AI246" i="122" s="1"/>
  <c r="AH274" i="122"/>
  <c r="AI274" i="122" s="1"/>
  <c r="AH275" i="122"/>
  <c r="AI275" i="122" s="1"/>
  <c r="AH297" i="122"/>
  <c r="AI297" i="122" s="1"/>
  <c r="AH301" i="122"/>
  <c r="AI301" i="122" s="1"/>
  <c r="AH307" i="122"/>
  <c r="AI307" i="122" s="1"/>
  <c r="AH319" i="122"/>
  <c r="AI319" i="122" s="1"/>
  <c r="AH324" i="122"/>
  <c r="AI324" i="122" s="1"/>
  <c r="AH360" i="122"/>
  <c r="AI360" i="122" s="1"/>
  <c r="AH23" i="122"/>
  <c r="AI23" i="122" s="1"/>
  <c r="AH30" i="122"/>
  <c r="AI30" i="122" s="1"/>
  <c r="AH38" i="122"/>
  <c r="AI38" i="122" s="1"/>
  <c r="AH62" i="122"/>
  <c r="AI62" i="122" s="1"/>
  <c r="AH108" i="122"/>
  <c r="AI108" i="122" s="1"/>
  <c r="AH117" i="122"/>
  <c r="AI117" i="122" s="1"/>
  <c r="AH162" i="122"/>
  <c r="AI162" i="122" s="1"/>
  <c r="AH185" i="122"/>
  <c r="AI185" i="122" s="1"/>
  <c r="AH228" i="122"/>
  <c r="AI228" i="122" s="1"/>
  <c r="AH238" i="122"/>
  <c r="AI238" i="122" s="1"/>
  <c r="AH241" i="122"/>
  <c r="AI241" i="122" s="1"/>
  <c r="AH254" i="122"/>
  <c r="AI254" i="122" s="1"/>
  <c r="AH257" i="122"/>
  <c r="AI257" i="122" s="1"/>
  <c r="AH285" i="122"/>
  <c r="AI285" i="122" s="1"/>
  <c r="AH287" i="122"/>
  <c r="AI287" i="122" s="1"/>
  <c r="AH291" i="122"/>
  <c r="AI291" i="122" s="1"/>
  <c r="AH293" i="122"/>
  <c r="AI293" i="122" s="1"/>
  <c r="AH302" i="122"/>
  <c r="AI302" i="122" s="1"/>
  <c r="AH306" i="122"/>
  <c r="AI306" i="122" s="1"/>
  <c r="AH309" i="122"/>
  <c r="AI309" i="122" s="1"/>
  <c r="AH321" i="122"/>
  <c r="AI321" i="122" s="1"/>
  <c r="AH334" i="122"/>
  <c r="AI334" i="122" s="1"/>
  <c r="AH335" i="122"/>
  <c r="AI335" i="122" s="1"/>
  <c r="AH347" i="122"/>
  <c r="AI347" i="122" s="1"/>
  <c r="AH5" i="122"/>
  <c r="AI5" i="122" s="1"/>
  <c r="AH9" i="122"/>
  <c r="AI9" i="122" s="1"/>
  <c r="AH13" i="122"/>
  <c r="AI13" i="122" s="1"/>
  <c r="AH27" i="122"/>
  <c r="AI27" i="122" s="1"/>
  <c r="AH55" i="122"/>
  <c r="AI55" i="122" s="1"/>
  <c r="AH71" i="122"/>
  <c r="AI71" i="122" s="1"/>
  <c r="AH79" i="122"/>
  <c r="AI79" i="122" s="1"/>
  <c r="AH80" i="122"/>
  <c r="AI80" i="122" s="1"/>
  <c r="AH93" i="122"/>
  <c r="AI93" i="122" s="1"/>
  <c r="AH125" i="122"/>
  <c r="AI125" i="122" s="1"/>
  <c r="AH137" i="122"/>
  <c r="AI137" i="122" s="1"/>
  <c r="AH140" i="122"/>
  <c r="AI140" i="122" s="1"/>
  <c r="AH153" i="122"/>
  <c r="AI153" i="122" s="1"/>
  <c r="AH6" i="122"/>
  <c r="AI6" i="122" s="1"/>
  <c r="AH31" i="122"/>
  <c r="AI31" i="122" s="1"/>
  <c r="AH70" i="122"/>
  <c r="AI70" i="122" s="1"/>
  <c r="AH77" i="122"/>
  <c r="AI77" i="122" s="1"/>
  <c r="AH85" i="122"/>
  <c r="AI85" i="122" s="1"/>
  <c r="AH95" i="122"/>
  <c r="AI95" i="122" s="1"/>
  <c r="AH99" i="122"/>
  <c r="AI99" i="122" s="1"/>
  <c r="AH106" i="122"/>
  <c r="AI106" i="122" s="1"/>
  <c r="AH122" i="122"/>
  <c r="AI122" i="122" s="1"/>
  <c r="AH134" i="122"/>
  <c r="AI134" i="122" s="1"/>
  <c r="AH138" i="122"/>
  <c r="AI138" i="122" s="1"/>
  <c r="AH154" i="122"/>
  <c r="AI154" i="122" s="1"/>
  <c r="AH169" i="122"/>
  <c r="AI169" i="122" s="1"/>
  <c r="AH175" i="122"/>
  <c r="AI175" i="122" s="1"/>
  <c r="AH177" i="122"/>
  <c r="AI177" i="122" s="1"/>
  <c r="AH182" i="122"/>
  <c r="AI182" i="122" s="1"/>
  <c r="AH200" i="122"/>
  <c r="AI200" i="122" s="1"/>
  <c r="AH201" i="122"/>
  <c r="AI201" i="122" s="1"/>
  <c r="AH211" i="122"/>
  <c r="AI211" i="122" s="1"/>
  <c r="AH217" i="122"/>
  <c r="AI217" i="122" s="1"/>
  <c r="AH226" i="122"/>
  <c r="AI226" i="122" s="1"/>
  <c r="AH244" i="122"/>
  <c r="AI244" i="122" s="1"/>
  <c r="AH258" i="122"/>
  <c r="AI258" i="122" s="1"/>
  <c r="AH260" i="122"/>
  <c r="AI260" i="122" s="1"/>
  <c r="AH265" i="122"/>
  <c r="AI265" i="122" s="1"/>
  <c r="AH266" i="122"/>
  <c r="AI266" i="122" s="1"/>
  <c r="AH269" i="122"/>
  <c r="AI269" i="122" s="1"/>
  <c r="AH272" i="122"/>
  <c r="AI272" i="122" s="1"/>
  <c r="AH278" i="122"/>
  <c r="AI278" i="122" s="1"/>
  <c r="AH304" i="122"/>
  <c r="AI304" i="122" s="1"/>
  <c r="AH332" i="122"/>
  <c r="AI332" i="122" s="1"/>
  <c r="AH333" i="122"/>
  <c r="AI333" i="122" s="1"/>
  <c r="AH344" i="122"/>
  <c r="AI344" i="122" s="1"/>
  <c r="AH346" i="122"/>
  <c r="AI346" i="122" s="1"/>
  <c r="AH367" i="122"/>
  <c r="AI367" i="122" s="1"/>
  <c r="AH7" i="122"/>
  <c r="AI7" i="122" s="1"/>
  <c r="AH14" i="122"/>
  <c r="AI14" i="122" s="1"/>
  <c r="AH42" i="122"/>
  <c r="AI42" i="122" s="1"/>
  <c r="AH48" i="122"/>
  <c r="AI48" i="122" s="1"/>
  <c r="AH68" i="122"/>
  <c r="AI68" i="122" s="1"/>
  <c r="AH78" i="122"/>
  <c r="AI78" i="122" s="1"/>
  <c r="AH109" i="122"/>
  <c r="AI109" i="122" s="1"/>
  <c r="AH152" i="122"/>
  <c r="AI152" i="122" s="1"/>
  <c r="AH166" i="122"/>
  <c r="AI166" i="122" s="1"/>
  <c r="AH167" i="122"/>
  <c r="AI167" i="122" s="1"/>
  <c r="AH174" i="122"/>
  <c r="AI174" i="122" s="1"/>
  <c r="AH204" i="122"/>
  <c r="AI204" i="122" s="1"/>
  <c r="AH242" i="122"/>
  <c r="AI242" i="122" s="1"/>
  <c r="AH245" i="122"/>
  <c r="AI245" i="122" s="1"/>
  <c r="AH247" i="122"/>
  <c r="AI247" i="122" s="1"/>
  <c r="AH253" i="122"/>
  <c r="AI253" i="122" s="1"/>
  <c r="AH263" i="122"/>
  <c r="AI263" i="122" s="1"/>
  <c r="AH267" i="122"/>
  <c r="AI267" i="122" s="1"/>
  <c r="AH268" i="122"/>
  <c r="AI268" i="122" s="1"/>
  <c r="AH279" i="122"/>
  <c r="AI279" i="122" s="1"/>
  <c r="AH282" i="122"/>
  <c r="AI282" i="122" s="1"/>
  <c r="AH283" i="122"/>
  <c r="AI283" i="122" s="1"/>
  <c r="AH295" i="122"/>
  <c r="AI295" i="122" s="1"/>
  <c r="AH310" i="122"/>
  <c r="AI310" i="122" s="1"/>
  <c r="AH316" i="122"/>
  <c r="AI316" i="122" s="1"/>
  <c r="AH320" i="122"/>
  <c r="AI320" i="122" s="1"/>
  <c r="AH330" i="122"/>
  <c r="AI330" i="122" s="1"/>
  <c r="AH338" i="122"/>
  <c r="AI338" i="122" s="1"/>
  <c r="AH339" i="122"/>
  <c r="AI339" i="122" s="1"/>
  <c r="AH348" i="122"/>
  <c r="AI348" i="122" s="1"/>
  <c r="AH376" i="122"/>
  <c r="AI376" i="122" s="1"/>
  <c r="AH4" i="122"/>
  <c r="AI4" i="122" s="1"/>
  <c r="AH15" i="122"/>
  <c r="AI15" i="122" s="1"/>
  <c r="AH22" i="122"/>
  <c r="AI22" i="122" s="1"/>
  <c r="AH43" i="122"/>
  <c r="AI43" i="122" s="1"/>
  <c r="AH49" i="122"/>
  <c r="AI49" i="122" s="1"/>
  <c r="AH56" i="122"/>
  <c r="AI56" i="122" s="1"/>
  <c r="AH66" i="122"/>
  <c r="AI66" i="122" s="1"/>
  <c r="AH73" i="122"/>
  <c r="AI73" i="122" s="1"/>
  <c r="AH82" i="122"/>
  <c r="AI82" i="122" s="1"/>
  <c r="AH92" i="122"/>
  <c r="AI92" i="122" s="1"/>
  <c r="AH94" i="122"/>
  <c r="AI94" i="122" s="1"/>
  <c r="AH100" i="122"/>
  <c r="AI100" i="122" s="1"/>
  <c r="AH103" i="122"/>
  <c r="AI103" i="122" s="1"/>
  <c r="AH104" i="122"/>
  <c r="AI104" i="122" s="1"/>
  <c r="AH115" i="122"/>
  <c r="AI115" i="122" s="1"/>
  <c r="AH118" i="122"/>
  <c r="AI118" i="122" s="1"/>
  <c r="AH120" i="122"/>
  <c r="AI120" i="122" s="1"/>
  <c r="AH136" i="122"/>
  <c r="AI136" i="122" s="1"/>
  <c r="AH142" i="122"/>
  <c r="AI142" i="122" s="1"/>
  <c r="AH168" i="122"/>
  <c r="AI168" i="122" s="1"/>
  <c r="AH172" i="122"/>
  <c r="AI172" i="122" s="1"/>
  <c r="AH176" i="122"/>
  <c r="AI176" i="122" s="1"/>
  <c r="AH181" i="122"/>
  <c r="AI181" i="122" s="1"/>
  <c r="AH183" i="122"/>
  <c r="AI183" i="122" s="1"/>
  <c r="AH184" i="122"/>
  <c r="AI184" i="122" s="1"/>
  <c r="AH186" i="122"/>
  <c r="AI186" i="122" s="1"/>
  <c r="AH195" i="122"/>
  <c r="AI195" i="122" s="1"/>
  <c r="AH196" i="122"/>
  <c r="AI196" i="122" s="1"/>
  <c r="AH202" i="122"/>
  <c r="AI202" i="122" s="1"/>
  <c r="AH205" i="122"/>
  <c r="AI205" i="122" s="1"/>
  <c r="AH210" i="122"/>
  <c r="AI210" i="122" s="1"/>
  <c r="AH212" i="122"/>
  <c r="AI212" i="122" s="1"/>
  <c r="AH224" i="122"/>
  <c r="AI224" i="122" s="1"/>
  <c r="AH227" i="122"/>
  <c r="AI227" i="122" s="1"/>
  <c r="AH229" i="122"/>
  <c r="AI229" i="122" s="1"/>
  <c r="AH233" i="122"/>
  <c r="AI233" i="122" s="1"/>
  <c r="AH240" i="122"/>
  <c r="AI240" i="122" s="1"/>
  <c r="AH243" i="122"/>
  <c r="AI243" i="122" s="1"/>
  <c r="AH262" i="122"/>
  <c r="AI262" i="122" s="1"/>
  <c r="AH280" i="122"/>
  <c r="AI280" i="122" s="1"/>
  <c r="AH288" i="122"/>
  <c r="AI288" i="122" s="1"/>
  <c r="AH308" i="122"/>
  <c r="AI308" i="122" s="1"/>
  <c r="AH311" i="122"/>
  <c r="AI311" i="122" s="1"/>
  <c r="AH313" i="122"/>
  <c r="AI313" i="122" s="1"/>
  <c r="AH322" i="122"/>
  <c r="AI322" i="122" s="1"/>
  <c r="AH337" i="122"/>
  <c r="AI337" i="122" s="1"/>
  <c r="AH340" i="122"/>
  <c r="AI340" i="122" s="1"/>
  <c r="AH345" i="122"/>
  <c r="AI345" i="122" s="1"/>
  <c r="AH350" i="122"/>
  <c r="AI350" i="122" s="1"/>
  <c r="AH352" i="122"/>
  <c r="AI352" i="122" s="1"/>
  <c r="AH358" i="122"/>
  <c r="AI358" i="122" s="1"/>
  <c r="AH369" i="122"/>
  <c r="AI369" i="122" s="1"/>
  <c r="AH373" i="122"/>
  <c r="AI373" i="122" s="1"/>
  <c r="AH361" i="122"/>
  <c r="AI361" i="122" s="1"/>
  <c r="AH351" i="122"/>
  <c r="AI351" i="122" s="1"/>
  <c r="AH315" i="122"/>
  <c r="AI315" i="122" s="1"/>
  <c r="AH314" i="122"/>
  <c r="AI314" i="122" s="1"/>
  <c r="AH281" i="122"/>
  <c r="AI281" i="122" s="1"/>
  <c r="AH250" i="122"/>
  <c r="AI250" i="122" s="1"/>
  <c r="AH180" i="122"/>
  <c r="AI180" i="122" s="1"/>
  <c r="AH179" i="122"/>
  <c r="AI179" i="122" s="1"/>
  <c r="AH139" i="122"/>
  <c r="AI139" i="122" s="1"/>
  <c r="AH133" i="122"/>
  <c r="AI133" i="122" s="1"/>
  <c r="AH98" i="122"/>
  <c r="AI98" i="122" s="1"/>
  <c r="AH90" i="122"/>
  <c r="AI90" i="122" s="1"/>
  <c r="AH59" i="122"/>
  <c r="AI59" i="122" s="1"/>
  <c r="AH368" i="122"/>
  <c r="AI368" i="122" s="1"/>
  <c r="AH365" i="122"/>
  <c r="AI365" i="122" s="1"/>
  <c r="AH342" i="122"/>
  <c r="AI342" i="122" s="1"/>
  <c r="AH341" i="122"/>
  <c r="AI341" i="122" s="1"/>
  <c r="AH329" i="122"/>
  <c r="AI329" i="122" s="1"/>
  <c r="AH305" i="122"/>
  <c r="AI305" i="122" s="1"/>
  <c r="AH300" i="122"/>
  <c r="AI300" i="122" s="1"/>
  <c r="AH271" i="122"/>
  <c r="AI271" i="122" s="1"/>
  <c r="AH252" i="122"/>
  <c r="AI252" i="122" s="1"/>
  <c r="AH234" i="122"/>
  <c r="AI234" i="122" s="1"/>
  <c r="AH216" i="122"/>
  <c r="AI216" i="122" s="1"/>
  <c r="AH214" i="122"/>
  <c r="AI214" i="122" s="1"/>
  <c r="AH110" i="122"/>
  <c r="AI110" i="122" s="1"/>
  <c r="AH102" i="122"/>
  <c r="AI102" i="122" s="1"/>
  <c r="AH74" i="122"/>
  <c r="AI74" i="122" s="1"/>
  <c r="AH53" i="122"/>
  <c r="AI53" i="122" s="1"/>
  <c r="P29" i="102"/>
  <c r="Q29" i="102"/>
  <c r="S54" i="102"/>
  <c r="S42" i="102"/>
  <c r="S41" i="102"/>
  <c r="S43" i="102"/>
  <c r="S55" i="102"/>
  <c r="Q41" i="102"/>
  <c r="Q43" i="102"/>
  <c r="Q54" i="102"/>
  <c r="Q55" i="102"/>
  <c r="S36" i="102"/>
  <c r="Q25" i="102"/>
  <c r="Q20" i="102"/>
  <c r="Q14" i="102"/>
  <c r="S6" i="102"/>
  <c r="S35" i="102"/>
  <c r="S26" i="102"/>
  <c r="Q15" i="102"/>
  <c r="S14" i="102"/>
  <c r="S5" i="102"/>
  <c r="Q24" i="102"/>
  <c r="S18" i="102"/>
  <c r="Q12" i="102"/>
  <c r="S16" i="102"/>
  <c r="Q18" i="102"/>
  <c r="S11" i="102"/>
  <c r="Q16" i="102"/>
  <c r="Q13" i="102"/>
  <c r="S15" i="102"/>
  <c r="S12" i="102"/>
  <c r="S50" i="102"/>
  <c r="Q53" i="102"/>
  <c r="S60" i="102"/>
  <c r="Q63" i="102"/>
  <c r="S68" i="102"/>
  <c r="Q71" i="102"/>
  <c r="S76" i="102"/>
  <c r="Q79" i="102"/>
  <c r="Q38" i="102"/>
  <c r="Q28" i="102"/>
  <c r="S40" i="102"/>
  <c r="S30" i="102"/>
  <c r="S9" i="102"/>
  <c r="S8" i="102"/>
  <c r="S20" i="102"/>
  <c r="Q11" i="102"/>
  <c r="Q48" i="102"/>
  <c r="S53" i="102"/>
  <c r="Q58" i="102"/>
  <c r="S63" i="102"/>
  <c r="Q66" i="102"/>
  <c r="S71" i="102"/>
  <c r="Q74" i="102"/>
  <c r="S79" i="102"/>
  <c r="Q82" i="102"/>
  <c r="Q37" i="102"/>
  <c r="Q27" i="102"/>
  <c r="S39" i="102"/>
  <c r="S29" i="102"/>
  <c r="S19" i="102"/>
  <c r="Q6" i="102"/>
  <c r="S48" i="102"/>
  <c r="Q51" i="102"/>
  <c r="S58" i="102"/>
  <c r="Q61" i="102"/>
  <c r="S66" i="102"/>
  <c r="Q69" i="102"/>
  <c r="S74" i="102"/>
  <c r="Q77" i="102"/>
  <c r="S82" i="102"/>
  <c r="Q34" i="102"/>
  <c r="Q23" i="102"/>
  <c r="S38" i="102"/>
  <c r="S28" i="102"/>
  <c r="Q19" i="102"/>
  <c r="Q5" i="102"/>
  <c r="Q46" i="102"/>
  <c r="S51" i="102"/>
  <c r="Q56" i="102"/>
  <c r="S61" i="102"/>
  <c r="S69" i="102"/>
  <c r="Q72" i="102"/>
  <c r="S77" i="102"/>
  <c r="Q80" i="102"/>
  <c r="Q33" i="102"/>
  <c r="Q22" i="102"/>
  <c r="S37" i="102"/>
  <c r="S27" i="102"/>
  <c r="Q26" i="102"/>
  <c r="S17" i="102"/>
  <c r="S46" i="102"/>
  <c r="Q49" i="102"/>
  <c r="S56" i="102"/>
  <c r="Q59" i="102"/>
  <c r="S64" i="102"/>
  <c r="Q67" i="102"/>
  <c r="S72" i="102"/>
  <c r="Q75" i="102"/>
  <c r="S80" i="102"/>
  <c r="Q83" i="102"/>
  <c r="Q45" i="102"/>
  <c r="Q32" i="102"/>
  <c r="Q10" i="102"/>
  <c r="S34" i="102"/>
  <c r="S23" i="102"/>
  <c r="S25" i="102"/>
  <c r="Q17" i="102"/>
  <c r="S49" i="102"/>
  <c r="Q52" i="102"/>
  <c r="S59" i="102"/>
  <c r="Q62" i="102"/>
  <c r="S67" i="102"/>
  <c r="Q70" i="102"/>
  <c r="S75" i="102"/>
  <c r="Q78" i="102"/>
  <c r="S83" i="102"/>
  <c r="Q44" i="102"/>
  <c r="Q31" i="102"/>
  <c r="Q9" i="102"/>
  <c r="S33" i="102"/>
  <c r="S22" i="102"/>
  <c r="Q8" i="102"/>
  <c r="P64" i="102"/>
  <c r="Q64" i="102"/>
  <c r="Q4" i="133"/>
  <c r="J2" i="102"/>
  <c r="Q35" i="102"/>
  <c r="Q42" i="102"/>
  <c r="Q36" i="102"/>
  <c r="P36" i="102"/>
  <c r="P35" i="102"/>
  <c r="M382" i="122" l="1"/>
  <c r="AF382" i="122"/>
  <c r="O97" i="122"/>
  <c r="AE381" i="122"/>
  <c r="AC318" i="122"/>
  <c r="AE65" i="122"/>
  <c r="AE286" i="122"/>
  <c r="AE349" i="122"/>
  <c r="O9" i="122"/>
  <c r="O35" i="122" s="1"/>
  <c r="J35" i="122"/>
  <c r="AC223" i="122"/>
  <c r="AE128" i="122"/>
  <c r="AE35" i="122"/>
  <c r="AE97" i="122"/>
  <c r="AC349" i="122"/>
  <c r="O349" i="122"/>
  <c r="AC4" i="122"/>
  <c r="AC35" i="122" s="1"/>
  <c r="O161" i="122"/>
  <c r="O191" i="122" s="1"/>
  <c r="J191" i="122"/>
  <c r="AC128" i="122"/>
  <c r="J381" i="122"/>
  <c r="O350" i="122"/>
  <c r="O381" i="122" s="1"/>
  <c r="AE223" i="122"/>
  <c r="AC191" i="122"/>
  <c r="L35" i="122"/>
  <c r="AC160" i="122"/>
  <c r="I382" i="122"/>
  <c r="J349" i="122"/>
  <c r="AE318" i="122"/>
  <c r="AC224" i="122"/>
  <c r="AC255" i="122" s="1"/>
  <c r="L97" i="122"/>
  <c r="L128" i="122"/>
  <c r="O192" i="122"/>
  <c r="O223" i="122" s="1"/>
  <c r="J223" i="122"/>
  <c r="J97" i="122"/>
  <c r="L349" i="122"/>
  <c r="L382" i="122" s="1"/>
  <c r="J318" i="122"/>
  <c r="O287" i="122"/>
  <c r="O318" i="122" s="1"/>
  <c r="O129" i="122"/>
  <c r="O160" i="122" s="1"/>
  <c r="J160" i="122"/>
  <c r="AC381" i="122"/>
  <c r="O226" i="122"/>
  <c r="O255" i="122" s="1"/>
  <c r="J255" i="122"/>
  <c r="L65" i="122"/>
  <c r="O36" i="122"/>
  <c r="O65" i="122" s="1"/>
  <c r="J128" i="122"/>
  <c r="O98" i="122"/>
  <c r="O128" i="122" s="1"/>
  <c r="AC286" i="122"/>
  <c r="O256" i="122"/>
  <c r="O286" i="122" s="1"/>
  <c r="J286" i="122"/>
  <c r="AC65" i="122"/>
  <c r="AB382" i="122"/>
  <c r="AE160" i="122"/>
  <c r="R2622" i="2"/>
  <c r="R2630" i="2"/>
  <c r="R2638" i="2"/>
  <c r="R2646" i="2"/>
  <c r="R2654" i="2"/>
  <c r="R2662" i="2"/>
  <c r="R2670" i="2"/>
  <c r="R2678" i="2"/>
  <c r="R2686" i="2"/>
  <c r="R2694" i="2"/>
  <c r="R2702" i="2"/>
  <c r="R2710" i="2"/>
  <c r="R2718" i="2"/>
  <c r="R2726" i="2"/>
  <c r="R2734" i="2"/>
  <c r="R2742" i="2"/>
  <c r="R2750" i="2"/>
  <c r="R2758" i="2"/>
  <c r="R2766" i="2"/>
  <c r="R2774" i="2"/>
  <c r="R2782" i="2"/>
  <c r="R2790" i="2"/>
  <c r="R2798" i="2"/>
  <c r="R2806" i="2"/>
  <c r="R2814" i="2"/>
  <c r="R2822" i="2"/>
  <c r="R2830" i="2"/>
  <c r="R2838" i="2"/>
  <c r="R2846" i="2"/>
  <c r="R2854" i="2"/>
  <c r="R2862" i="2"/>
  <c r="R2870" i="2"/>
  <c r="R2878" i="2"/>
  <c r="R2886" i="2"/>
  <c r="R2894" i="2"/>
  <c r="R2902" i="2"/>
  <c r="R2910" i="2"/>
  <c r="R2918" i="2"/>
  <c r="R2926" i="2"/>
  <c r="R2934" i="2"/>
  <c r="R2942" i="2"/>
  <c r="R2950" i="2"/>
  <c r="R2958" i="2"/>
  <c r="R2966" i="2"/>
  <c r="R2974" i="2"/>
  <c r="R2982" i="2"/>
  <c r="R2990" i="2"/>
  <c r="R2998" i="2"/>
  <c r="R3006" i="2"/>
  <c r="R3014" i="2"/>
  <c r="R3022" i="2"/>
  <c r="R3030" i="2"/>
  <c r="R3038" i="2"/>
  <c r="R3046" i="2"/>
  <c r="R3054" i="2"/>
  <c r="R3062" i="2"/>
  <c r="R3070" i="2"/>
  <c r="R3078" i="2"/>
  <c r="R3086" i="2"/>
  <c r="R3094" i="2"/>
  <c r="R3102" i="2"/>
  <c r="R2624" i="2"/>
  <c r="R2632" i="2"/>
  <c r="R2640" i="2"/>
  <c r="R2648" i="2"/>
  <c r="R2656" i="2"/>
  <c r="R2664" i="2"/>
  <c r="R2672" i="2"/>
  <c r="R2680" i="2"/>
  <c r="R2688" i="2"/>
  <c r="R2696" i="2"/>
  <c r="R2704" i="2"/>
  <c r="R2712" i="2"/>
  <c r="R2720" i="2"/>
  <c r="R2728" i="2"/>
  <c r="R2736" i="2"/>
  <c r="R2744" i="2"/>
  <c r="R2752" i="2"/>
  <c r="R2760" i="2"/>
  <c r="R2768" i="2"/>
  <c r="R2776" i="2"/>
  <c r="R2784" i="2"/>
  <c r="R2792" i="2"/>
  <c r="R2800" i="2"/>
  <c r="R2808" i="2"/>
  <c r="R2816" i="2"/>
  <c r="R2824" i="2"/>
  <c r="R2832" i="2"/>
  <c r="R2840" i="2"/>
  <c r="R2848" i="2"/>
  <c r="R2856" i="2"/>
  <c r="R2864" i="2"/>
  <c r="R2872" i="2"/>
  <c r="R2880" i="2"/>
  <c r="R2888" i="2"/>
  <c r="R2896" i="2"/>
  <c r="R2904" i="2"/>
  <c r="R2912" i="2"/>
  <c r="R2920" i="2"/>
  <c r="R2928" i="2"/>
  <c r="R2936" i="2"/>
  <c r="R2944" i="2"/>
  <c r="R2952" i="2"/>
  <c r="R2960" i="2"/>
  <c r="R2968" i="2"/>
  <c r="R2976" i="2"/>
  <c r="R2984" i="2"/>
  <c r="R2992" i="2"/>
  <c r="R3000" i="2"/>
  <c r="R3008" i="2"/>
  <c r="R3016" i="2"/>
  <c r="R3024" i="2"/>
  <c r="R3032" i="2"/>
  <c r="R3040" i="2"/>
  <c r="R3048" i="2"/>
  <c r="R3056" i="2"/>
  <c r="R3064" i="2"/>
  <c r="R3072" i="2"/>
  <c r="R3080" i="2"/>
  <c r="R3088" i="2"/>
  <c r="R3096" i="2"/>
  <c r="R3104" i="2"/>
  <c r="R3112" i="2"/>
  <c r="R3120" i="2"/>
  <c r="R3128" i="2"/>
  <c r="R3136" i="2"/>
  <c r="R3144" i="2"/>
  <c r="R3152" i="2"/>
  <c r="R3160" i="2"/>
  <c r="R3168" i="2"/>
  <c r="R3176" i="2"/>
  <c r="R3184" i="2"/>
  <c r="R3192" i="2"/>
  <c r="R3200" i="2"/>
  <c r="R3208" i="2"/>
  <c r="R3216" i="2"/>
  <c r="R3224" i="2"/>
  <c r="R3232" i="2"/>
  <c r="R3240" i="2"/>
  <c r="R3248" i="2"/>
  <c r="R3256" i="2"/>
  <c r="R3264" i="2"/>
  <c r="R2623" i="2"/>
  <c r="R2634" i="2"/>
  <c r="R2644" i="2"/>
  <c r="R2655" i="2"/>
  <c r="R2666" i="2"/>
  <c r="R2676" i="2"/>
  <c r="R2687" i="2"/>
  <c r="R2698" i="2"/>
  <c r="R2708" i="2"/>
  <c r="R2719" i="2"/>
  <c r="R2730" i="2"/>
  <c r="R2740" i="2"/>
  <c r="R2751" i="2"/>
  <c r="R2762" i="2"/>
  <c r="R2772" i="2"/>
  <c r="R2783" i="2"/>
  <c r="R2794" i="2"/>
  <c r="R2804" i="2"/>
  <c r="R2815" i="2"/>
  <c r="R2826" i="2"/>
  <c r="R2836" i="2"/>
  <c r="R2847" i="2"/>
  <c r="R2858" i="2"/>
  <c r="R2868" i="2"/>
  <c r="R2879" i="2"/>
  <c r="R2890" i="2"/>
  <c r="R2900" i="2"/>
  <c r="R2911" i="2"/>
  <c r="R2922" i="2"/>
  <c r="R2932" i="2"/>
  <c r="R2943" i="2"/>
  <c r="R2954" i="2"/>
  <c r="R2964" i="2"/>
  <c r="R2975" i="2"/>
  <c r="R2986" i="2"/>
  <c r="R2996" i="2"/>
  <c r="R3007" i="2"/>
  <c r="R3018" i="2"/>
  <c r="R3028" i="2"/>
  <c r="R3039" i="2"/>
  <c r="R3050" i="2"/>
  <c r="R3060" i="2"/>
  <c r="R3071" i="2"/>
  <c r="R3082" i="2"/>
  <c r="R3092" i="2"/>
  <c r="R3103" i="2"/>
  <c r="R3113" i="2"/>
  <c r="R3122" i="2"/>
  <c r="R3131" i="2"/>
  <c r="R3140" i="2"/>
  <c r="R3149" i="2"/>
  <c r="R3158" i="2"/>
  <c r="R3167" i="2"/>
  <c r="R3177" i="2"/>
  <c r="R3186" i="2"/>
  <c r="R3195" i="2"/>
  <c r="R3204" i="2"/>
  <c r="R3213" i="2"/>
  <c r="R3222" i="2"/>
  <c r="R3231" i="2"/>
  <c r="R3241" i="2"/>
  <c r="R3250" i="2"/>
  <c r="R3259" i="2"/>
  <c r="R3268" i="2"/>
  <c r="R3276" i="2"/>
  <c r="R3284" i="2"/>
  <c r="R3292" i="2"/>
  <c r="R3300" i="2"/>
  <c r="R3308" i="2"/>
  <c r="R3316" i="2"/>
  <c r="R3324" i="2"/>
  <c r="R3332" i="2"/>
  <c r="R3340" i="2"/>
  <c r="R3348" i="2"/>
  <c r="R3356" i="2"/>
  <c r="R3364" i="2"/>
  <c r="R3372" i="2"/>
  <c r="R3380" i="2"/>
  <c r="R3388" i="2"/>
  <c r="R3396" i="2"/>
  <c r="R3404" i="2"/>
  <c r="R3412" i="2"/>
  <c r="R3420" i="2"/>
  <c r="R3428" i="2"/>
  <c r="R2625" i="2"/>
  <c r="R2635" i="2"/>
  <c r="R2645" i="2"/>
  <c r="R2657" i="2"/>
  <c r="R2667" i="2"/>
  <c r="R2677" i="2"/>
  <c r="R2689" i="2"/>
  <c r="R2699" i="2"/>
  <c r="R2709" i="2"/>
  <c r="R2721" i="2"/>
  <c r="R2731" i="2"/>
  <c r="R2741" i="2"/>
  <c r="R2753" i="2"/>
  <c r="R2763" i="2"/>
  <c r="R2773" i="2"/>
  <c r="R2785" i="2"/>
  <c r="R2795" i="2"/>
  <c r="R2805" i="2"/>
  <c r="R2817" i="2"/>
  <c r="R2827" i="2"/>
  <c r="R2837" i="2"/>
  <c r="R2849" i="2"/>
  <c r="R2859" i="2"/>
  <c r="R2869" i="2"/>
  <c r="R2881" i="2"/>
  <c r="R2891" i="2"/>
  <c r="R2901" i="2"/>
  <c r="R2913" i="2"/>
  <c r="R2923" i="2"/>
  <c r="R2933" i="2"/>
  <c r="R2945" i="2"/>
  <c r="R2955" i="2"/>
  <c r="R2965" i="2"/>
  <c r="R2977" i="2"/>
  <c r="R2987" i="2"/>
  <c r="R2997" i="2"/>
  <c r="R3009" i="2"/>
  <c r="R3019" i="2"/>
  <c r="R3029" i="2"/>
  <c r="R3041" i="2"/>
  <c r="R2627" i="2"/>
  <c r="R2641" i="2"/>
  <c r="R2653" i="2"/>
  <c r="R2669" i="2"/>
  <c r="R2683" i="2"/>
  <c r="R2697" i="2"/>
  <c r="R2713" i="2"/>
  <c r="R2725" i="2"/>
  <c r="R2739" i="2"/>
  <c r="R2755" i="2"/>
  <c r="R2769" i="2"/>
  <c r="R2781" i="2"/>
  <c r="R2797" i="2"/>
  <c r="R2811" i="2"/>
  <c r="R2825" i="2"/>
  <c r="R2841" i="2"/>
  <c r="R2853" i="2"/>
  <c r="R2867" i="2"/>
  <c r="R2883" i="2"/>
  <c r="R2897" i="2"/>
  <c r="R2909" i="2"/>
  <c r="R2925" i="2"/>
  <c r="R2939" i="2"/>
  <c r="R2953" i="2"/>
  <c r="R2969" i="2"/>
  <c r="R2981" i="2"/>
  <c r="R2995" i="2"/>
  <c r="R3011" i="2"/>
  <c r="R3025" i="2"/>
  <c r="R3037" i="2"/>
  <c r="R3052" i="2"/>
  <c r="R3065" i="2"/>
  <c r="R3076" i="2"/>
  <c r="R3089" i="2"/>
  <c r="R3100" i="2"/>
  <c r="R3111" i="2"/>
  <c r="R3123" i="2"/>
  <c r="R3133" i="2"/>
  <c r="R3143" i="2"/>
  <c r="R3154" i="2"/>
  <c r="R3164" i="2"/>
  <c r="R3174" i="2"/>
  <c r="R3185" i="2"/>
  <c r="R3196" i="2"/>
  <c r="R3206" i="2"/>
  <c r="R3217" i="2"/>
  <c r="R3227" i="2"/>
  <c r="R3237" i="2"/>
  <c r="R3247" i="2"/>
  <c r="R3258" i="2"/>
  <c r="R3269" i="2"/>
  <c r="R3278" i="2"/>
  <c r="R3287" i="2"/>
  <c r="R3296" i="2"/>
  <c r="R3305" i="2"/>
  <c r="R3314" i="2"/>
  <c r="R3323" i="2"/>
  <c r="R3333" i="2"/>
  <c r="R3342" i="2"/>
  <c r="R3351" i="2"/>
  <c r="R3360" i="2"/>
  <c r="R3369" i="2"/>
  <c r="R3378" i="2"/>
  <c r="R3387" i="2"/>
  <c r="R3397" i="2"/>
  <c r="R3406" i="2"/>
  <c r="R3415" i="2"/>
  <c r="R3424" i="2"/>
  <c r="R3433" i="2"/>
  <c r="R3441" i="2"/>
  <c r="R3449" i="2"/>
  <c r="R3457" i="2"/>
  <c r="R3465" i="2"/>
  <c r="R3473" i="2"/>
  <c r="R3481" i="2"/>
  <c r="R3489" i="2"/>
  <c r="R3497" i="2"/>
  <c r="R3505" i="2"/>
  <c r="R3513" i="2"/>
  <c r="R3521" i="2"/>
  <c r="R3529" i="2"/>
  <c r="R3537" i="2"/>
  <c r="R3545" i="2"/>
  <c r="R3553" i="2"/>
  <c r="R3561" i="2"/>
  <c r="R3569" i="2"/>
  <c r="R3577" i="2"/>
  <c r="R3585" i="2"/>
  <c r="R3593" i="2"/>
  <c r="R3601" i="2"/>
  <c r="R3609" i="2"/>
  <c r="R3617" i="2"/>
  <c r="R3625" i="2"/>
  <c r="R3633" i="2"/>
  <c r="R3641" i="2"/>
  <c r="R3649" i="2"/>
  <c r="R3657" i="2"/>
  <c r="R3665" i="2"/>
  <c r="R3673" i="2"/>
  <c r="R3681" i="2"/>
  <c r="R3689" i="2"/>
  <c r="R3697" i="2"/>
  <c r="R3705" i="2"/>
  <c r="R3713" i="2"/>
  <c r="R3721" i="2"/>
  <c r="R3729" i="2"/>
  <c r="R3737" i="2"/>
  <c r="R3745" i="2"/>
  <c r="R3753" i="2"/>
  <c r="R3761" i="2"/>
  <c r="R3769" i="2"/>
  <c r="R3777" i="2"/>
  <c r="R3785" i="2"/>
  <c r="R3793" i="2"/>
  <c r="R3801" i="2"/>
  <c r="R3809" i="2"/>
  <c r="R3817" i="2"/>
  <c r="R3825" i="2"/>
  <c r="R3833" i="2"/>
  <c r="R3841" i="2"/>
  <c r="R3849" i="2"/>
  <c r="R3857" i="2"/>
  <c r="R3865" i="2"/>
  <c r="R3873" i="2"/>
  <c r="R3881" i="2"/>
  <c r="R3889" i="2"/>
  <c r="R3897" i="2"/>
  <c r="R3905" i="2"/>
  <c r="R3913" i="2"/>
  <c r="R3921" i="2"/>
  <c r="R3929" i="2"/>
  <c r="R3937" i="2"/>
  <c r="R3945" i="2"/>
  <c r="R3953" i="2"/>
  <c r="R3961" i="2"/>
  <c r="R3969" i="2"/>
  <c r="R3977" i="2"/>
  <c r="R3985" i="2"/>
  <c r="R3993" i="2"/>
  <c r="R4001" i="2"/>
  <c r="R4009" i="2"/>
  <c r="R4017" i="2"/>
  <c r="R4025" i="2"/>
  <c r="R4033" i="2"/>
  <c r="R4041" i="2"/>
  <c r="R4049" i="2"/>
  <c r="R4057" i="2"/>
  <c r="R4065" i="2"/>
  <c r="R2628" i="2"/>
  <c r="R2642" i="2"/>
  <c r="R2658" i="2"/>
  <c r="R2671" i="2"/>
  <c r="R2684" i="2"/>
  <c r="R2700" i="2"/>
  <c r="R2714" i="2"/>
  <c r="R2727" i="2"/>
  <c r="R2743" i="2"/>
  <c r="R2756" i="2"/>
  <c r="R2770" i="2"/>
  <c r="R2786" i="2"/>
  <c r="R2799" i="2"/>
  <c r="R2812" i="2"/>
  <c r="R2828" i="2"/>
  <c r="R2842" i="2"/>
  <c r="R2855" i="2"/>
  <c r="R2871" i="2"/>
  <c r="R2884" i="2"/>
  <c r="R2898" i="2"/>
  <c r="R2914" i="2"/>
  <c r="R2927" i="2"/>
  <c r="R2940" i="2"/>
  <c r="R2956" i="2"/>
  <c r="R2970" i="2"/>
  <c r="R2983" i="2"/>
  <c r="R2999" i="2"/>
  <c r="R3012" i="2"/>
  <c r="R3026" i="2"/>
  <c r="R3042" i="2"/>
  <c r="R3053" i="2"/>
  <c r="R3066" i="2"/>
  <c r="R3077" i="2"/>
  <c r="R3090" i="2"/>
  <c r="R3101" i="2"/>
  <c r="R3114" i="2"/>
  <c r="R3124" i="2"/>
  <c r="R3134" i="2"/>
  <c r="R3145" i="2"/>
  <c r="R3155" i="2"/>
  <c r="R3165" i="2"/>
  <c r="R3175" i="2"/>
  <c r="R3187" i="2"/>
  <c r="R3197" i="2"/>
  <c r="R3207" i="2"/>
  <c r="R3218" i="2"/>
  <c r="R3228" i="2"/>
  <c r="R3238" i="2"/>
  <c r="R3249" i="2"/>
  <c r="R3260" i="2"/>
  <c r="R3270" i="2"/>
  <c r="R3279" i="2"/>
  <c r="R3288" i="2"/>
  <c r="R3297" i="2"/>
  <c r="R3306" i="2"/>
  <c r="R3315" i="2"/>
  <c r="R3325" i="2"/>
  <c r="R3334" i="2"/>
  <c r="R3343" i="2"/>
  <c r="R3352" i="2"/>
  <c r="R3361" i="2"/>
  <c r="R3370" i="2"/>
  <c r="R3379" i="2"/>
  <c r="R3389" i="2"/>
  <c r="R3398" i="2"/>
  <c r="R3407" i="2"/>
  <c r="R3416" i="2"/>
  <c r="R3425" i="2"/>
  <c r="R3434" i="2"/>
  <c r="R3442" i="2"/>
  <c r="R3450" i="2"/>
  <c r="R3458" i="2"/>
  <c r="R3466" i="2"/>
  <c r="R3474" i="2"/>
  <c r="R3482" i="2"/>
  <c r="R3490" i="2"/>
  <c r="R3498" i="2"/>
  <c r="R3506" i="2"/>
  <c r="R3514" i="2"/>
  <c r="R3522" i="2"/>
  <c r="R3530" i="2"/>
  <c r="R3538" i="2"/>
  <c r="R3546" i="2"/>
  <c r="R3554" i="2"/>
  <c r="R3562" i="2"/>
  <c r="R3570" i="2"/>
  <c r="R3578" i="2"/>
  <c r="R3586" i="2"/>
  <c r="R3594" i="2"/>
  <c r="R3602" i="2"/>
  <c r="R3610" i="2"/>
  <c r="R3618" i="2"/>
  <c r="R3626" i="2"/>
  <c r="R3634" i="2"/>
  <c r="R3642" i="2"/>
  <c r="R3650" i="2"/>
  <c r="R3658" i="2"/>
  <c r="R3666" i="2"/>
  <c r="R3674" i="2"/>
  <c r="R3682" i="2"/>
  <c r="R3690" i="2"/>
  <c r="R3698" i="2"/>
  <c r="R3706" i="2"/>
  <c r="R3714" i="2"/>
  <c r="R3722" i="2"/>
  <c r="R3730" i="2"/>
  <c r="R3738" i="2"/>
  <c r="R3746" i="2"/>
  <c r="R3754" i="2"/>
  <c r="R3762" i="2"/>
  <c r="R3770" i="2"/>
  <c r="R3778" i="2"/>
  <c r="R3786" i="2"/>
  <c r="R3794" i="2"/>
  <c r="R3802" i="2"/>
  <c r="R3810" i="2"/>
  <c r="R3818" i="2"/>
  <c r="R3826" i="2"/>
  <c r="R3834" i="2"/>
  <c r="R3842" i="2"/>
  <c r="R3850" i="2"/>
  <c r="R3858" i="2"/>
  <c r="R3866" i="2"/>
  <c r="R3874" i="2"/>
  <c r="R3882" i="2"/>
  <c r="R3890" i="2"/>
  <c r="R3898" i="2"/>
  <c r="R3906" i="2"/>
  <c r="R3914" i="2"/>
  <c r="R3922" i="2"/>
  <c r="R3930" i="2"/>
  <c r="R3938" i="2"/>
  <c r="R3946" i="2"/>
  <c r="R3954" i="2"/>
  <c r="R3962" i="2"/>
  <c r="R3970" i="2"/>
  <c r="R3978" i="2"/>
  <c r="R3986" i="2"/>
  <c r="R3994" i="2"/>
  <c r="R4002" i="2"/>
  <c r="R4010" i="2"/>
  <c r="R4018" i="2"/>
  <c r="R4026" i="2"/>
  <c r="R4034" i="2"/>
  <c r="R4042" i="2"/>
  <c r="R4050" i="2"/>
  <c r="R4058" i="2"/>
  <c r="R4066" i="2"/>
  <c r="R2629" i="2"/>
  <c r="R2643" i="2"/>
  <c r="R2659" i="2"/>
  <c r="R2673" i="2"/>
  <c r="R2685" i="2"/>
  <c r="R2701" i="2"/>
  <c r="R2715" i="2"/>
  <c r="R2729" i="2"/>
  <c r="R2745" i="2"/>
  <c r="R2757" i="2"/>
  <c r="R2771" i="2"/>
  <c r="R2787" i="2"/>
  <c r="R2801" i="2"/>
  <c r="R2813" i="2"/>
  <c r="R2829" i="2"/>
  <c r="R2843" i="2"/>
  <c r="R2857" i="2"/>
  <c r="R2873" i="2"/>
  <c r="R2885" i="2"/>
  <c r="R2899" i="2"/>
  <c r="R2915" i="2"/>
  <c r="R2929" i="2"/>
  <c r="R2941" i="2"/>
  <c r="R2957" i="2"/>
  <c r="R2971" i="2"/>
  <c r="R2985" i="2"/>
  <c r="R3001" i="2"/>
  <c r="R3013" i="2"/>
  <c r="R3027" i="2"/>
  <c r="R3043" i="2"/>
  <c r="R3055" i="2"/>
  <c r="R3067" i="2"/>
  <c r="R3079" i="2"/>
  <c r="R3091" i="2"/>
  <c r="R3105" i="2"/>
  <c r="R3115" i="2"/>
  <c r="R3125" i="2"/>
  <c r="R3135" i="2"/>
  <c r="R3146" i="2"/>
  <c r="R3156" i="2"/>
  <c r="R3166" i="2"/>
  <c r="R3178" i="2"/>
  <c r="R3188" i="2"/>
  <c r="R3198" i="2"/>
  <c r="R3209" i="2"/>
  <c r="R3219" i="2"/>
  <c r="R3229" i="2"/>
  <c r="R3239" i="2"/>
  <c r="R3251" i="2"/>
  <c r="R3261" i="2"/>
  <c r="R3271" i="2"/>
  <c r="R3280" i="2"/>
  <c r="R3289" i="2"/>
  <c r="R3298" i="2"/>
  <c r="R3307" i="2"/>
  <c r="R3317" i="2"/>
  <c r="R3326" i="2"/>
  <c r="R3335" i="2"/>
  <c r="R3344" i="2"/>
  <c r="R3353" i="2"/>
  <c r="R3362" i="2"/>
  <c r="R3371" i="2"/>
  <c r="R3381" i="2"/>
  <c r="R3390" i="2"/>
  <c r="R3399" i="2"/>
  <c r="R3408" i="2"/>
  <c r="R3417" i="2"/>
  <c r="R3426" i="2"/>
  <c r="R3435" i="2"/>
  <c r="R3443" i="2"/>
  <c r="R3451" i="2"/>
  <c r="R3459" i="2"/>
  <c r="R3467" i="2"/>
  <c r="R3475" i="2"/>
  <c r="R3483" i="2"/>
  <c r="R3491" i="2"/>
  <c r="R3499" i="2"/>
  <c r="R3507" i="2"/>
  <c r="R3515" i="2"/>
  <c r="R3523" i="2"/>
  <c r="R3531" i="2"/>
  <c r="R3539" i="2"/>
  <c r="R3547" i="2"/>
  <c r="R3555" i="2"/>
  <c r="R3563" i="2"/>
  <c r="R3571" i="2"/>
  <c r="R3579" i="2"/>
  <c r="R3587" i="2"/>
  <c r="R3595" i="2"/>
  <c r="R3603" i="2"/>
  <c r="R3611" i="2"/>
  <c r="R3619" i="2"/>
  <c r="R3627" i="2"/>
  <c r="R3635" i="2"/>
  <c r="R3643" i="2"/>
  <c r="R3651" i="2"/>
  <c r="R3659" i="2"/>
  <c r="R3667" i="2"/>
  <c r="R3675" i="2"/>
  <c r="R3683" i="2"/>
  <c r="R3691" i="2"/>
  <c r="R3699" i="2"/>
  <c r="R3707" i="2"/>
  <c r="R3715" i="2"/>
  <c r="R3723" i="2"/>
  <c r="R3731" i="2"/>
  <c r="R3739" i="2"/>
  <c r="R3747" i="2"/>
  <c r="R3755" i="2"/>
  <c r="R3763" i="2"/>
  <c r="R3771" i="2"/>
  <c r="R3779" i="2"/>
  <c r="R3787" i="2"/>
  <c r="R3795" i="2"/>
  <c r="R3803" i="2"/>
  <c r="R3811" i="2"/>
  <c r="R3819" i="2"/>
  <c r="R3827" i="2"/>
  <c r="R3835" i="2"/>
  <c r="R3843" i="2"/>
  <c r="R3851" i="2"/>
  <c r="R3859" i="2"/>
  <c r="R3867" i="2"/>
  <c r="R3875" i="2"/>
  <c r="R3883" i="2"/>
  <c r="R3891" i="2"/>
  <c r="R3899" i="2"/>
  <c r="R3907" i="2"/>
  <c r="R3915" i="2"/>
  <c r="R3923" i="2"/>
  <c r="R3931" i="2"/>
  <c r="R3939" i="2"/>
  <c r="R3947" i="2"/>
  <c r="R3955" i="2"/>
  <c r="R3963" i="2"/>
  <c r="R3971" i="2"/>
  <c r="R3979" i="2"/>
  <c r="R3987" i="2"/>
  <c r="R3995" i="2"/>
  <c r="R4003" i="2"/>
  <c r="R4011" i="2"/>
  <c r="R4019" i="2"/>
  <c r="R4027" i="2"/>
  <c r="R4035" i="2"/>
  <c r="R4043" i="2"/>
  <c r="R4051" i="2"/>
  <c r="R4059" i="2"/>
  <c r="R4067" i="2"/>
  <c r="R2620" i="2"/>
  <c r="R2636" i="2"/>
  <c r="R2650" i="2"/>
  <c r="R2663" i="2"/>
  <c r="R2679" i="2"/>
  <c r="R2692" i="2"/>
  <c r="R2706" i="2"/>
  <c r="R2722" i="2"/>
  <c r="R2735" i="2"/>
  <c r="R2748" i="2"/>
  <c r="R2764" i="2"/>
  <c r="R2778" i="2"/>
  <c r="R2791" i="2"/>
  <c r="R2807" i="2"/>
  <c r="R2820" i="2"/>
  <c r="R2834" i="2"/>
  <c r="R2850" i="2"/>
  <c r="R2863" i="2"/>
  <c r="R2876" i="2"/>
  <c r="R2892" i="2"/>
  <c r="R2906" i="2"/>
  <c r="R2919" i="2"/>
  <c r="R2935" i="2"/>
  <c r="R2948" i="2"/>
  <c r="R2962" i="2"/>
  <c r="R2978" i="2"/>
  <c r="R2991" i="2"/>
  <c r="R3004" i="2"/>
  <c r="R3020" i="2"/>
  <c r="R3034" i="2"/>
  <c r="R3047" i="2"/>
  <c r="R3059" i="2"/>
  <c r="R3073" i="2"/>
  <c r="R3084" i="2"/>
  <c r="R3097" i="2"/>
  <c r="R3108" i="2"/>
  <c r="R3118" i="2"/>
  <c r="R3129" i="2"/>
  <c r="R3139" i="2"/>
  <c r="R3150" i="2"/>
  <c r="R3161" i="2"/>
  <c r="R3171" i="2"/>
  <c r="R3181" i="2"/>
  <c r="R3191" i="2"/>
  <c r="R3202" i="2"/>
  <c r="R3212" i="2"/>
  <c r="R3223" i="2"/>
  <c r="R3234" i="2"/>
  <c r="R3244" i="2"/>
  <c r="R3254" i="2"/>
  <c r="R3265" i="2"/>
  <c r="R3274" i="2"/>
  <c r="R3283" i="2"/>
  <c r="R3293" i="2"/>
  <c r="R3302" i="2"/>
  <c r="R3311" i="2"/>
  <c r="R3320" i="2"/>
  <c r="R3329" i="2"/>
  <c r="R3338" i="2"/>
  <c r="R3347" i="2"/>
  <c r="R3357" i="2"/>
  <c r="R3366" i="2"/>
  <c r="R3375" i="2"/>
  <c r="R3384" i="2"/>
  <c r="R3393" i="2"/>
  <c r="R3402" i="2"/>
  <c r="R3411" i="2"/>
  <c r="R3421" i="2"/>
  <c r="R3430" i="2"/>
  <c r="R3438" i="2"/>
  <c r="R3446" i="2"/>
  <c r="R3454" i="2"/>
  <c r="R3462" i="2"/>
  <c r="R3470" i="2"/>
  <c r="R3478" i="2"/>
  <c r="R3486" i="2"/>
  <c r="R3494" i="2"/>
  <c r="R3502" i="2"/>
  <c r="R3510" i="2"/>
  <c r="R3518" i="2"/>
  <c r="R3526" i="2"/>
  <c r="R3534" i="2"/>
  <c r="R3542" i="2"/>
  <c r="R3550" i="2"/>
  <c r="R2621" i="2"/>
  <c r="R2647" i="2"/>
  <c r="R2674" i="2"/>
  <c r="R2703" i="2"/>
  <c r="R2732" i="2"/>
  <c r="R2759" i="2"/>
  <c r="R2788" i="2"/>
  <c r="R2818" i="2"/>
  <c r="R2844" i="2"/>
  <c r="R2874" i="2"/>
  <c r="R2903" i="2"/>
  <c r="R2930" i="2"/>
  <c r="R2959" i="2"/>
  <c r="R2988" i="2"/>
  <c r="R3015" i="2"/>
  <c r="R3044" i="2"/>
  <c r="R3068" i="2"/>
  <c r="R3093" i="2"/>
  <c r="R3116" i="2"/>
  <c r="R3137" i="2"/>
  <c r="R3157" i="2"/>
  <c r="R3179" i="2"/>
  <c r="R3199" i="2"/>
  <c r="R3220" i="2"/>
  <c r="R3242" i="2"/>
  <c r="R3262" i="2"/>
  <c r="R3281" i="2"/>
  <c r="R3299" i="2"/>
  <c r="R3318" i="2"/>
  <c r="R3336" i="2"/>
  <c r="R3354" i="2"/>
  <c r="R3373" i="2"/>
  <c r="R3391" i="2"/>
  <c r="R3409" i="2"/>
  <c r="R3427" i="2"/>
  <c r="R3444" i="2"/>
  <c r="R3460" i="2"/>
  <c r="R3476" i="2"/>
  <c r="R3492" i="2"/>
  <c r="R3508" i="2"/>
  <c r="R3524" i="2"/>
  <c r="R3540" i="2"/>
  <c r="R3556" i="2"/>
  <c r="R3567" i="2"/>
  <c r="R3581" i="2"/>
  <c r="R3592" i="2"/>
  <c r="R3606" i="2"/>
  <c r="R3620" i="2"/>
  <c r="R3631" i="2"/>
  <c r="R3645" i="2"/>
  <c r="R3656" i="2"/>
  <c r="R3670" i="2"/>
  <c r="R3684" i="2"/>
  <c r="R3695" i="2"/>
  <c r="R3709" i="2"/>
  <c r="R3720" i="2"/>
  <c r="R3734" i="2"/>
  <c r="R3748" i="2"/>
  <c r="R3759" i="2"/>
  <c r="R3773" i="2"/>
  <c r="R3784" i="2"/>
  <c r="R3798" i="2"/>
  <c r="R3812" i="2"/>
  <c r="R3823" i="2"/>
  <c r="R3837" i="2"/>
  <c r="R3848" i="2"/>
  <c r="R3862" i="2"/>
  <c r="R3876" i="2"/>
  <c r="R3887" i="2"/>
  <c r="R3901" i="2"/>
  <c r="R3912" i="2"/>
  <c r="R3926" i="2"/>
  <c r="R3940" i="2"/>
  <c r="R3951" i="2"/>
  <c r="R3965" i="2"/>
  <c r="R3976" i="2"/>
  <c r="R3990" i="2"/>
  <c r="R4004" i="2"/>
  <c r="R4015" i="2"/>
  <c r="R4029" i="2"/>
  <c r="R4040" i="2"/>
  <c r="R4054" i="2"/>
  <c r="R4068" i="2"/>
  <c r="R2649" i="2"/>
  <c r="R2675" i="2"/>
  <c r="R2705" i="2"/>
  <c r="R2733" i="2"/>
  <c r="R2761" i="2"/>
  <c r="R2789" i="2"/>
  <c r="R2819" i="2"/>
  <c r="R2845" i="2"/>
  <c r="R2875" i="2"/>
  <c r="R2905" i="2"/>
  <c r="R2931" i="2"/>
  <c r="R2961" i="2"/>
  <c r="R2989" i="2"/>
  <c r="R3017" i="2"/>
  <c r="R3045" i="2"/>
  <c r="R3069" i="2"/>
  <c r="R3095" i="2"/>
  <c r="R3117" i="2"/>
  <c r="R3138" i="2"/>
  <c r="R3159" i="2"/>
  <c r="R3180" i="2"/>
  <c r="R3201" i="2"/>
  <c r="R3221" i="2"/>
  <c r="R3243" i="2"/>
  <c r="R3263" i="2"/>
  <c r="R3282" i="2"/>
  <c r="R3301" i="2"/>
  <c r="R3319" i="2"/>
  <c r="R3337" i="2"/>
  <c r="R3355" i="2"/>
  <c r="R3374" i="2"/>
  <c r="R3392" i="2"/>
  <c r="R3410" i="2"/>
  <c r="R3429" i="2"/>
  <c r="R3445" i="2"/>
  <c r="R3461" i="2"/>
  <c r="R3477" i="2"/>
  <c r="R3493" i="2"/>
  <c r="R3509" i="2"/>
  <c r="R3525" i="2"/>
  <c r="R3541" i="2"/>
  <c r="R3557" i="2"/>
  <c r="R3568" i="2"/>
  <c r="R3582" i="2"/>
  <c r="R3596" i="2"/>
  <c r="R3607" i="2"/>
  <c r="R3621" i="2"/>
  <c r="R3632" i="2"/>
  <c r="R3646" i="2"/>
  <c r="R3660" i="2"/>
  <c r="R3671" i="2"/>
  <c r="R3685" i="2"/>
  <c r="R3696" i="2"/>
  <c r="R3710" i="2"/>
  <c r="R3724" i="2"/>
  <c r="R3735" i="2"/>
  <c r="R3749" i="2"/>
  <c r="R3760" i="2"/>
  <c r="R3774" i="2"/>
  <c r="R3788" i="2"/>
  <c r="R3799" i="2"/>
  <c r="R3813" i="2"/>
  <c r="R3824" i="2"/>
  <c r="R3838" i="2"/>
  <c r="R3852" i="2"/>
  <c r="R3863" i="2"/>
  <c r="R3877" i="2"/>
  <c r="R3888" i="2"/>
  <c r="R3902" i="2"/>
  <c r="R3916" i="2"/>
  <c r="R3927" i="2"/>
  <c r="R3941" i="2"/>
  <c r="R3952" i="2"/>
  <c r="R3966" i="2"/>
  <c r="R3980" i="2"/>
  <c r="R3991" i="2"/>
  <c r="R4005" i="2"/>
  <c r="R4016" i="2"/>
  <c r="R4030" i="2"/>
  <c r="R4044" i="2"/>
  <c r="R4055" i="2"/>
  <c r="R4069" i="2"/>
  <c r="R2619" i="2"/>
  <c r="R2651" i="2"/>
  <c r="R2681" i="2"/>
  <c r="R2707" i="2"/>
  <c r="R2737" i="2"/>
  <c r="R2765" i="2"/>
  <c r="R2793" i="2"/>
  <c r="R2821" i="2"/>
  <c r="R2851" i="2"/>
  <c r="R2877" i="2"/>
  <c r="R2907" i="2"/>
  <c r="R2937" i="2"/>
  <c r="R2963" i="2"/>
  <c r="R2993" i="2"/>
  <c r="R3021" i="2"/>
  <c r="R3049" i="2"/>
  <c r="R3074" i="2"/>
  <c r="R3098" i="2"/>
  <c r="R3119" i="2"/>
  <c r="R3141" i="2"/>
  <c r="R3162" i="2"/>
  <c r="R3182" i="2"/>
  <c r="R3203" i="2"/>
  <c r="R3225" i="2"/>
  <c r="R3245" i="2"/>
  <c r="R3266" i="2"/>
  <c r="R3285" i="2"/>
  <c r="R3303" i="2"/>
  <c r="R3321" i="2"/>
  <c r="R3339" i="2"/>
  <c r="R3358" i="2"/>
  <c r="R3376" i="2"/>
  <c r="R3394" i="2"/>
  <c r="R3413" i="2"/>
  <c r="R3431" i="2"/>
  <c r="R3447" i="2"/>
  <c r="R3463" i="2"/>
  <c r="R3479" i="2"/>
  <c r="R3495" i="2"/>
  <c r="R3511" i="2"/>
  <c r="R3527" i="2"/>
  <c r="R3543" i="2"/>
  <c r="R3558" i="2"/>
  <c r="R3572" i="2"/>
  <c r="R3583" i="2"/>
  <c r="R3597" i="2"/>
  <c r="R3608" i="2"/>
  <c r="R3622" i="2"/>
  <c r="R3636" i="2"/>
  <c r="R3647" i="2"/>
  <c r="R3661" i="2"/>
  <c r="R3672" i="2"/>
  <c r="R3686" i="2"/>
  <c r="R3700" i="2"/>
  <c r="R3711" i="2"/>
  <c r="R3725" i="2"/>
  <c r="R3736" i="2"/>
  <c r="R3750" i="2"/>
  <c r="R3764" i="2"/>
  <c r="R3775" i="2"/>
  <c r="R3789" i="2"/>
  <c r="R3800" i="2"/>
  <c r="R3814" i="2"/>
  <c r="R3828" i="2"/>
  <c r="R3839" i="2"/>
  <c r="R3853" i="2"/>
  <c r="R3864" i="2"/>
  <c r="R3878" i="2"/>
  <c r="R3892" i="2"/>
  <c r="R3903" i="2"/>
  <c r="R3917" i="2"/>
  <c r="R3928" i="2"/>
  <c r="R3942" i="2"/>
  <c r="R3956" i="2"/>
  <c r="R3967" i="2"/>
  <c r="R3981" i="2"/>
  <c r="R3992" i="2"/>
  <c r="R4006" i="2"/>
  <c r="R4020" i="2"/>
  <c r="R4031" i="2"/>
  <c r="R4045" i="2"/>
  <c r="R4056" i="2"/>
  <c r="R2631" i="2"/>
  <c r="R2660" i="2"/>
  <c r="R2690" i="2"/>
  <c r="R2716" i="2"/>
  <c r="R2746" i="2"/>
  <c r="R2775" i="2"/>
  <c r="R2802" i="2"/>
  <c r="R2831" i="2"/>
  <c r="R2860" i="2"/>
  <c r="R2887" i="2"/>
  <c r="R2916" i="2"/>
  <c r="R2946" i="2"/>
  <c r="R2972" i="2"/>
  <c r="R3002" i="2"/>
  <c r="R3031" i="2"/>
  <c r="R3057" i="2"/>
  <c r="R3081" i="2"/>
  <c r="R3106" i="2"/>
  <c r="R3126" i="2"/>
  <c r="R3147" i="2"/>
  <c r="R3169" i="2"/>
  <c r="R3189" i="2"/>
  <c r="R3210" i="2"/>
  <c r="R3230" i="2"/>
  <c r="R3252" i="2"/>
  <c r="R3272" i="2"/>
  <c r="R3290" i="2"/>
  <c r="R3309" i="2"/>
  <c r="R3327" i="2"/>
  <c r="R3345" i="2"/>
  <c r="R3363" i="2"/>
  <c r="R3382" i="2"/>
  <c r="R3400" i="2"/>
  <c r="R3418" i="2"/>
  <c r="R3436" i="2"/>
  <c r="R3452" i="2"/>
  <c r="R3468" i="2"/>
  <c r="R3484" i="2"/>
  <c r="R3500" i="2"/>
  <c r="R3516" i="2"/>
  <c r="R3532" i="2"/>
  <c r="R3548" i="2"/>
  <c r="R3560" i="2"/>
  <c r="R3574" i="2"/>
  <c r="R3588" i="2"/>
  <c r="R3599" i="2"/>
  <c r="R3613" i="2"/>
  <c r="R3624" i="2"/>
  <c r="R3638" i="2"/>
  <c r="R3652" i="2"/>
  <c r="R3663" i="2"/>
  <c r="R3677" i="2"/>
  <c r="R3688" i="2"/>
  <c r="R3702" i="2"/>
  <c r="R3716" i="2"/>
  <c r="R3727" i="2"/>
  <c r="R3741" i="2"/>
  <c r="R3752" i="2"/>
  <c r="R3766" i="2"/>
  <c r="R3780" i="2"/>
  <c r="R3791" i="2"/>
  <c r="R3805" i="2"/>
  <c r="R3816" i="2"/>
  <c r="R3830" i="2"/>
  <c r="R3844" i="2"/>
  <c r="R3855" i="2"/>
  <c r="R3869" i="2"/>
  <c r="R3880" i="2"/>
  <c r="R3894" i="2"/>
  <c r="R3908" i="2"/>
  <c r="R3919" i="2"/>
  <c r="R3933" i="2"/>
  <c r="R3944" i="2"/>
  <c r="R3958" i="2"/>
  <c r="R3972" i="2"/>
  <c r="R3983" i="2"/>
  <c r="R3997" i="2"/>
  <c r="R4008" i="2"/>
  <c r="R4022" i="2"/>
  <c r="R4036" i="2"/>
  <c r="R4047" i="2"/>
  <c r="R4061" i="2"/>
  <c r="R2633" i="2"/>
  <c r="R2661" i="2"/>
  <c r="R2691" i="2"/>
  <c r="R2717" i="2"/>
  <c r="R2747" i="2"/>
  <c r="R2777" i="2"/>
  <c r="R2803" i="2"/>
  <c r="R2833" i="2"/>
  <c r="R2861" i="2"/>
  <c r="R2889" i="2"/>
  <c r="R2917" i="2"/>
  <c r="R2947" i="2"/>
  <c r="R2973" i="2"/>
  <c r="R3003" i="2"/>
  <c r="R3033" i="2"/>
  <c r="R3058" i="2"/>
  <c r="R3083" i="2"/>
  <c r="R3107" i="2"/>
  <c r="R3127" i="2"/>
  <c r="R3148" i="2"/>
  <c r="R3170" i="2"/>
  <c r="R3190" i="2"/>
  <c r="R3211" i="2"/>
  <c r="R3233" i="2"/>
  <c r="R3253" i="2"/>
  <c r="R3273" i="2"/>
  <c r="R3291" i="2"/>
  <c r="R3310" i="2"/>
  <c r="R3328" i="2"/>
  <c r="R3346" i="2"/>
  <c r="R3365" i="2"/>
  <c r="R3383" i="2"/>
  <c r="R3401" i="2"/>
  <c r="R3419" i="2"/>
  <c r="R3437" i="2"/>
  <c r="R3453" i="2"/>
  <c r="R3469" i="2"/>
  <c r="R3485" i="2"/>
  <c r="R3501" i="2"/>
  <c r="R3517" i="2"/>
  <c r="R3533" i="2"/>
  <c r="R3549" i="2"/>
  <c r="R3564" i="2"/>
  <c r="R3575" i="2"/>
  <c r="R3589" i="2"/>
  <c r="R3600" i="2"/>
  <c r="R3614" i="2"/>
  <c r="R3628" i="2"/>
  <c r="R3639" i="2"/>
  <c r="R3653" i="2"/>
  <c r="R3664" i="2"/>
  <c r="R3678" i="2"/>
  <c r="R3692" i="2"/>
  <c r="R3703" i="2"/>
  <c r="R3717" i="2"/>
  <c r="R3728" i="2"/>
  <c r="R3742" i="2"/>
  <c r="R3756" i="2"/>
  <c r="R3767" i="2"/>
  <c r="R3781" i="2"/>
  <c r="R3792" i="2"/>
  <c r="R3806" i="2"/>
  <c r="R3820" i="2"/>
  <c r="R3831" i="2"/>
  <c r="R3845" i="2"/>
  <c r="R3856" i="2"/>
  <c r="R3870" i="2"/>
  <c r="R3884" i="2"/>
  <c r="R3895" i="2"/>
  <c r="R3909" i="2"/>
  <c r="R3920" i="2"/>
  <c r="R3934" i="2"/>
  <c r="R3948" i="2"/>
  <c r="R3959" i="2"/>
  <c r="R3973" i="2"/>
  <c r="R3984" i="2"/>
  <c r="R3998" i="2"/>
  <c r="R4012" i="2"/>
  <c r="R4023" i="2"/>
  <c r="R4037" i="2"/>
  <c r="R4048" i="2"/>
  <c r="R4062" i="2"/>
  <c r="R2637" i="2"/>
  <c r="R2665" i="2"/>
  <c r="R2693" i="2"/>
  <c r="R2723" i="2"/>
  <c r="R2749" i="2"/>
  <c r="R2779" i="2"/>
  <c r="R2809" i="2"/>
  <c r="R2835" i="2"/>
  <c r="R2865" i="2"/>
  <c r="R2893" i="2"/>
  <c r="R2921" i="2"/>
  <c r="R2949" i="2"/>
  <c r="R2979" i="2"/>
  <c r="R3005" i="2"/>
  <c r="R3035" i="2"/>
  <c r="R3061" i="2"/>
  <c r="R3085" i="2"/>
  <c r="R3109" i="2"/>
  <c r="R3130" i="2"/>
  <c r="R3151" i="2"/>
  <c r="R3172" i="2"/>
  <c r="R3193" i="2"/>
  <c r="R3214" i="2"/>
  <c r="R3235" i="2"/>
  <c r="R3255" i="2"/>
  <c r="R3275" i="2"/>
  <c r="R3294" i="2"/>
  <c r="R3312" i="2"/>
  <c r="R3330" i="2"/>
  <c r="R3349" i="2"/>
  <c r="R3367" i="2"/>
  <c r="R3385" i="2"/>
  <c r="R3403" i="2"/>
  <c r="R3422" i="2"/>
  <c r="R3439" i="2"/>
  <c r="R3455" i="2"/>
  <c r="R3471" i="2"/>
  <c r="R3487" i="2"/>
  <c r="R3503" i="2"/>
  <c r="R3519" i="2"/>
  <c r="R3535" i="2"/>
  <c r="R3551" i="2"/>
  <c r="R3565" i="2"/>
  <c r="R3576" i="2"/>
  <c r="R3590" i="2"/>
  <c r="R3604" i="2"/>
  <c r="R3615" i="2"/>
  <c r="R3629" i="2"/>
  <c r="R3640" i="2"/>
  <c r="R3654" i="2"/>
  <c r="R3668" i="2"/>
  <c r="R3679" i="2"/>
  <c r="R3693" i="2"/>
  <c r="R3704" i="2"/>
  <c r="R3718" i="2"/>
  <c r="R3732" i="2"/>
  <c r="R3743" i="2"/>
  <c r="R3757" i="2"/>
  <c r="R3768" i="2"/>
  <c r="R3782" i="2"/>
  <c r="R3796" i="2"/>
  <c r="R3807" i="2"/>
  <c r="R3821" i="2"/>
  <c r="R3832" i="2"/>
  <c r="R3846" i="2"/>
  <c r="R3860" i="2"/>
  <c r="R3871" i="2"/>
  <c r="R3885" i="2"/>
  <c r="R3896" i="2"/>
  <c r="R3910" i="2"/>
  <c r="R3924" i="2"/>
  <c r="R3935" i="2"/>
  <c r="R3949" i="2"/>
  <c r="R3960" i="2"/>
  <c r="R3974" i="2"/>
  <c r="R3988" i="2"/>
  <c r="R3999" i="2"/>
  <c r="R4013" i="2"/>
  <c r="R4024" i="2"/>
  <c r="R4038" i="2"/>
  <c r="R4052" i="2"/>
  <c r="R4063" i="2"/>
  <c r="R2711" i="2"/>
  <c r="R2823" i="2"/>
  <c r="R2938" i="2"/>
  <c r="R3051" i="2"/>
  <c r="R3142" i="2"/>
  <c r="R3226" i="2"/>
  <c r="R3304" i="2"/>
  <c r="R3377" i="2"/>
  <c r="R3448" i="2"/>
  <c r="R3512" i="2"/>
  <c r="R3573" i="2"/>
  <c r="R3623" i="2"/>
  <c r="R3676" i="2"/>
  <c r="R3726" i="2"/>
  <c r="R3776" i="2"/>
  <c r="R3829" i="2"/>
  <c r="R3879" i="2"/>
  <c r="R3932" i="2"/>
  <c r="R3982" i="2"/>
  <c r="R4032" i="2"/>
  <c r="R2724" i="2"/>
  <c r="R2839" i="2"/>
  <c r="R2951" i="2"/>
  <c r="R3063" i="2"/>
  <c r="R3153" i="2"/>
  <c r="R3236" i="2"/>
  <c r="R3313" i="2"/>
  <c r="R3386" i="2"/>
  <c r="R3456" i="2"/>
  <c r="R3520" i="2"/>
  <c r="R3580" i="2"/>
  <c r="R3630" i="2"/>
  <c r="R3680" i="2"/>
  <c r="R3733" i="2"/>
  <c r="R3783" i="2"/>
  <c r="R3836" i="2"/>
  <c r="R3886" i="2"/>
  <c r="R3936" i="2"/>
  <c r="R3989" i="2"/>
  <c r="R4039" i="2"/>
  <c r="R2445" i="2"/>
  <c r="R1813" i="2"/>
  <c r="R1721" i="2"/>
  <c r="R1913" i="2"/>
  <c r="R2579" i="2"/>
  <c r="R2340" i="2"/>
  <c r="R2405" i="2"/>
  <c r="R2512" i="2"/>
  <c r="R1673" i="2"/>
  <c r="R2433" i="2"/>
  <c r="R2546" i="2"/>
  <c r="R1720" i="2"/>
  <c r="R1975" i="2"/>
  <c r="R2216" i="2"/>
  <c r="R25" i="2"/>
  <c r="R1828" i="2"/>
  <c r="R2056" i="2"/>
  <c r="R1741" i="2"/>
  <c r="R1956" i="2"/>
  <c r="R1669" i="2"/>
  <c r="R1749" i="2"/>
  <c r="R1941" i="2"/>
  <c r="R2077" i="2"/>
  <c r="R1877" i="2"/>
  <c r="R1989" i="2"/>
  <c r="R2032" i="2"/>
  <c r="R2407" i="2"/>
  <c r="R2089" i="2"/>
  <c r="R1800" i="2"/>
  <c r="R2500" i="2"/>
  <c r="R2103" i="2"/>
  <c r="R1920" i="2"/>
  <c r="R2561" i="2"/>
  <c r="R1777" i="2"/>
  <c r="R2588" i="2"/>
  <c r="R2341" i="2"/>
  <c r="R2392" i="2"/>
  <c r="R2404" i="2"/>
  <c r="R2440" i="2"/>
  <c r="R2273" i="2"/>
  <c r="R2349" i="2"/>
  <c r="R2120" i="2"/>
  <c r="R2301" i="2"/>
  <c r="R2119" i="2"/>
  <c r="R1959" i="2"/>
  <c r="R1933" i="2"/>
  <c r="R2506" i="2"/>
  <c r="R2312" i="2"/>
  <c r="R2248" i="2"/>
  <c r="R2221" i="2"/>
  <c r="R2328" i="2"/>
  <c r="R1701" i="2"/>
  <c r="R2399" i="2"/>
  <c r="R1997" i="2"/>
  <c r="R2036" i="2"/>
  <c r="R2317" i="2"/>
  <c r="R2373" i="2"/>
  <c r="R2526" i="2"/>
  <c r="R2591" i="2"/>
  <c r="R2299" i="2"/>
  <c r="R2339" i="2"/>
  <c r="R2450" i="2"/>
  <c r="R2007" i="2"/>
  <c r="R1795" i="2"/>
  <c r="R1987" i="2"/>
  <c r="R2098" i="2"/>
  <c r="R2026" i="2"/>
  <c r="R2303" i="2"/>
  <c r="R1039" i="2"/>
  <c r="R2288" i="2"/>
  <c r="R2391" i="2"/>
  <c r="R2334" i="2"/>
  <c r="R1815" i="2"/>
  <c r="R2471" i="2"/>
  <c r="R1983" i="2"/>
  <c r="R1851" i="2"/>
  <c r="R2090" i="2"/>
  <c r="R2462" i="2"/>
  <c r="R2200" i="2"/>
  <c r="R2366" i="2"/>
  <c r="R2510" i="2"/>
  <c r="R2175" i="2"/>
  <c r="R1787" i="2"/>
  <c r="R2570" i="2"/>
  <c r="R2106" i="2"/>
  <c r="R1859" i="2"/>
  <c r="R2545" i="2"/>
  <c r="R2302" i="2"/>
  <c r="R2126" i="2"/>
  <c r="R829" i="2"/>
  <c r="R2555" i="2"/>
  <c r="R2523" i="2"/>
  <c r="R2390" i="2"/>
  <c r="R1810" i="2"/>
  <c r="R2029" i="2"/>
  <c r="R2540" i="2"/>
  <c r="R1763" i="2"/>
  <c r="R1691" i="2"/>
  <c r="R2107" i="2"/>
  <c r="R1003" i="2"/>
  <c r="R1572" i="2"/>
  <c r="R605" i="2"/>
  <c r="R366" i="2"/>
  <c r="R2494" i="2"/>
  <c r="R2171" i="2"/>
  <c r="R2515" i="2"/>
  <c r="R1923" i="2"/>
  <c r="R1755" i="2"/>
  <c r="R1507" i="2"/>
  <c r="R817" i="2"/>
  <c r="R1130" i="2"/>
  <c r="R1716" i="2"/>
  <c r="R2027" i="2"/>
  <c r="R2367" i="2"/>
  <c r="R712" i="2"/>
  <c r="R1195" i="2"/>
  <c r="R839" i="2"/>
  <c r="R2576" i="2"/>
  <c r="R532" i="2"/>
  <c r="R1471" i="2"/>
  <c r="R1846" i="2"/>
  <c r="R2626" i="2"/>
  <c r="R2738" i="2"/>
  <c r="R2852" i="2"/>
  <c r="R2967" i="2"/>
  <c r="R3075" i="2"/>
  <c r="R3163" i="2"/>
  <c r="R3246" i="2"/>
  <c r="R3322" i="2"/>
  <c r="R3395" i="2"/>
  <c r="R3464" i="2"/>
  <c r="R3528" i="2"/>
  <c r="R3584" i="2"/>
  <c r="R3637" i="2"/>
  <c r="R3687" i="2"/>
  <c r="R3740" i="2"/>
  <c r="R3790" i="2"/>
  <c r="R3840" i="2"/>
  <c r="R3893" i="2"/>
  <c r="R3943" i="2"/>
  <c r="R3996" i="2"/>
  <c r="R4046" i="2"/>
  <c r="R2014" i="2"/>
  <c r="R1939" i="2"/>
  <c r="R1845" i="2"/>
  <c r="R2065" i="2"/>
  <c r="R2152" i="2"/>
  <c r="R1855" i="2"/>
  <c r="R2425" i="2"/>
  <c r="R2465" i="2"/>
  <c r="R2212" i="2"/>
  <c r="R2393" i="2"/>
  <c r="R2197" i="2"/>
  <c r="R2066" i="2"/>
  <c r="R1949" i="2"/>
  <c r="R2423" i="2"/>
  <c r="R1789" i="2"/>
  <c r="R1858" i="2"/>
  <c r="R2048" i="2"/>
  <c r="R1745" i="2"/>
  <c r="R2469" i="2"/>
  <c r="R2004" i="2"/>
  <c r="R2101" i="2"/>
  <c r="R2233" i="2"/>
  <c r="R2589" i="2"/>
  <c r="R2389" i="2"/>
  <c r="R2481" i="2"/>
  <c r="R2505" i="2"/>
  <c r="R1375" i="2"/>
  <c r="R1744" i="2"/>
  <c r="R1697" i="2"/>
  <c r="R2488" i="2"/>
  <c r="R2189" i="2"/>
  <c r="R2359" i="2"/>
  <c r="R2260" i="2"/>
  <c r="R2577" i="2"/>
  <c r="R2569" i="2"/>
  <c r="R2128" i="2"/>
  <c r="R1781" i="2"/>
  <c r="R2196" i="2"/>
  <c r="R2252" i="2"/>
  <c r="R1680" i="2"/>
  <c r="R1657" i="2"/>
  <c r="R2412" i="2"/>
  <c r="R1672" i="2"/>
  <c r="R2297" i="2"/>
  <c r="R2429" i="2"/>
  <c r="R2194" i="2"/>
  <c r="R1808" i="2"/>
  <c r="R2210" i="2"/>
  <c r="R1976" i="2"/>
  <c r="R1784" i="2"/>
  <c r="R2276" i="2"/>
  <c r="R2157" i="2"/>
  <c r="R1852" i="2"/>
  <c r="R1895" i="2"/>
  <c r="R1769" i="2"/>
  <c r="R2535" i="2"/>
  <c r="R2192" i="2"/>
  <c r="R2040" i="2"/>
  <c r="R2078" i="2"/>
  <c r="R1988" i="2"/>
  <c r="R1930" i="2"/>
  <c r="R2639" i="2"/>
  <c r="R2754" i="2"/>
  <c r="R2866" i="2"/>
  <c r="R2980" i="2"/>
  <c r="R3087" i="2"/>
  <c r="R3173" i="2"/>
  <c r="R3257" i="2"/>
  <c r="R3331" i="2"/>
  <c r="R3405" i="2"/>
  <c r="R3472" i="2"/>
  <c r="R3536" i="2"/>
  <c r="R3591" i="2"/>
  <c r="R3644" i="2"/>
  <c r="R3694" i="2"/>
  <c r="R3744" i="2"/>
  <c r="R3797" i="2"/>
  <c r="R3847" i="2"/>
  <c r="R3900" i="2"/>
  <c r="R3950" i="2"/>
  <c r="R4000" i="2"/>
  <c r="R4053" i="2"/>
  <c r="R2153" i="2"/>
  <c r="R2463" i="2"/>
  <c r="R1705" i="2"/>
  <c r="R2601" i="2"/>
  <c r="R1748" i="2"/>
  <c r="R991" i="2"/>
  <c r="R2375" i="2"/>
  <c r="R2109" i="2"/>
  <c r="R2049" i="2"/>
  <c r="R2596" i="2"/>
  <c r="R1685" i="2"/>
  <c r="R2292" i="2"/>
  <c r="R1825" i="2"/>
  <c r="R1824" i="2"/>
  <c r="R2409" i="2"/>
  <c r="R1971" i="2"/>
  <c r="R2213" i="2"/>
  <c r="R2457" i="2"/>
  <c r="R2529" i="2"/>
  <c r="R1896" i="2"/>
  <c r="R2533" i="2"/>
  <c r="R1889" i="2"/>
  <c r="R1805" i="2"/>
  <c r="R2553" i="2"/>
  <c r="R2557" i="2"/>
  <c r="R1965" i="2"/>
  <c r="R2080" i="2"/>
  <c r="R1940" i="2"/>
  <c r="R2385" i="2"/>
  <c r="R1873" i="2"/>
  <c r="R1653" i="2"/>
  <c r="R1996" i="2"/>
  <c r="R1768" i="2"/>
  <c r="R2613" i="2"/>
  <c r="R2025" i="2"/>
  <c r="R2575" i="2"/>
  <c r="R2041" i="2"/>
  <c r="R2513" i="2"/>
  <c r="R1943" i="2"/>
  <c r="R1853" i="2"/>
  <c r="R2564" i="2"/>
  <c r="R1964" i="2"/>
  <c r="R2477" i="2"/>
  <c r="R2441" i="2"/>
  <c r="R2173" i="2"/>
  <c r="R2403" i="2"/>
  <c r="R2215" i="2"/>
  <c r="R2118" i="2"/>
  <c r="R2652" i="2"/>
  <c r="R2767" i="2"/>
  <c r="R2882" i="2"/>
  <c r="R2994" i="2"/>
  <c r="R3099" i="2"/>
  <c r="R3183" i="2"/>
  <c r="R3267" i="2"/>
  <c r="R3341" i="2"/>
  <c r="R3414" i="2"/>
  <c r="R3480" i="2"/>
  <c r="R3544" i="2"/>
  <c r="R3598" i="2"/>
  <c r="R3648" i="2"/>
  <c r="R3701" i="2"/>
  <c r="R3751" i="2"/>
  <c r="R3804" i="2"/>
  <c r="R3854" i="2"/>
  <c r="R3904" i="2"/>
  <c r="R3957" i="2"/>
  <c r="R4007" i="2"/>
  <c r="R4060" i="2"/>
  <c r="R1905" i="2"/>
  <c r="R1809" i="2"/>
  <c r="R2241" i="2"/>
  <c r="R1821" i="2"/>
  <c r="R2201" i="2"/>
  <c r="R2099" i="2"/>
  <c r="R1936" i="2"/>
  <c r="R1713" i="2"/>
  <c r="R2176" i="2"/>
  <c r="R1677" i="2"/>
  <c r="R2145" i="2"/>
  <c r="R2245" i="2"/>
  <c r="R1829" i="2"/>
  <c r="R1872" i="2"/>
  <c r="R2013" i="2"/>
  <c r="R2530" i="2"/>
  <c r="R1984" i="2"/>
  <c r="R1953" i="2"/>
  <c r="R2498" i="2"/>
  <c r="R2408" i="2"/>
  <c r="R2321" i="2"/>
  <c r="R2361" i="2"/>
  <c r="R2548" i="2"/>
  <c r="R2300" i="2"/>
  <c r="R1885" i="2"/>
  <c r="R1780" i="2"/>
  <c r="R2398" i="2"/>
  <c r="R1661" i="2"/>
  <c r="R1729" i="2"/>
  <c r="R2493" i="2"/>
  <c r="R2117" i="2"/>
  <c r="R1700" i="2"/>
  <c r="R2024" i="2"/>
  <c r="R2277" i="2"/>
  <c r="R2344" i="2"/>
  <c r="R2164" i="2"/>
  <c r="R2329" i="2"/>
  <c r="R2217" i="2"/>
  <c r="R2668" i="2"/>
  <c r="R2780" i="2"/>
  <c r="R2895" i="2"/>
  <c r="R3010" i="2"/>
  <c r="R3110" i="2"/>
  <c r="R3194" i="2"/>
  <c r="R3277" i="2"/>
  <c r="R3350" i="2"/>
  <c r="R3423" i="2"/>
  <c r="R3488" i="2"/>
  <c r="R3552" i="2"/>
  <c r="R3605" i="2"/>
  <c r="R3655" i="2"/>
  <c r="R3708" i="2"/>
  <c r="R3758" i="2"/>
  <c r="R3808" i="2"/>
  <c r="R3861" i="2"/>
  <c r="R3911" i="2"/>
  <c r="R3964" i="2"/>
  <c r="R4014" i="2"/>
  <c r="R4064" i="2"/>
  <c r="R2489" i="2"/>
  <c r="R2345" i="2"/>
  <c r="R2295" i="2"/>
  <c r="R2249" i="2"/>
  <c r="R2365" i="2"/>
  <c r="R2556" i="2"/>
  <c r="R1693" i="2"/>
  <c r="R1869" i="2"/>
  <c r="R1901" i="2"/>
  <c r="R2397" i="2"/>
  <c r="R1740" i="2"/>
  <c r="R2424" i="2"/>
  <c r="R2033" i="2"/>
  <c r="R2468" i="2"/>
  <c r="R2017" i="2"/>
  <c r="R2270" i="2"/>
  <c r="R2360" i="2"/>
  <c r="R2053" i="2"/>
  <c r="R1655" i="2"/>
  <c r="R1917" i="2"/>
  <c r="R2497" i="2"/>
  <c r="R1993" i="2"/>
  <c r="R2061" i="2"/>
  <c r="R2311" i="2"/>
  <c r="R2600" i="2"/>
  <c r="R2002" i="2"/>
  <c r="R1908" i="2"/>
  <c r="R2449" i="2"/>
  <c r="R2008" i="2"/>
  <c r="R1957" i="2"/>
  <c r="R2565" i="2"/>
  <c r="R2044" i="2"/>
  <c r="R2280" i="2"/>
  <c r="R1925" i="2"/>
  <c r="R1960" i="2"/>
  <c r="R2551" i="2"/>
  <c r="R2281" i="2"/>
  <c r="R1912" i="2"/>
  <c r="R1952" i="2"/>
  <c r="R1470" i="2"/>
  <c r="R2045" i="2"/>
  <c r="R1849" i="2"/>
  <c r="R1684" i="2"/>
  <c r="R2496" i="2"/>
  <c r="R2592" i="2"/>
  <c r="R1985" i="2"/>
  <c r="R2143" i="2"/>
  <c r="R1926" i="2"/>
  <c r="R2563" i="2"/>
  <c r="R2595" i="2"/>
  <c r="R2279" i="2"/>
  <c r="R2071" i="2"/>
  <c r="R2599" i="2"/>
  <c r="R2598" i="2"/>
  <c r="R2368" i="2"/>
  <c r="R1761" i="2"/>
  <c r="R2258" i="2"/>
  <c r="R2247" i="2"/>
  <c r="R2420" i="2"/>
  <c r="R2178" i="2"/>
  <c r="R2428" i="2"/>
  <c r="R2256" i="2"/>
  <c r="R1747" i="2"/>
  <c r="R1764" i="2"/>
  <c r="R1967" i="2"/>
  <c r="R2030" i="2"/>
  <c r="R1907" i="2"/>
  <c r="R2186" i="2"/>
  <c r="R1947" i="2"/>
  <c r="R1710" i="2"/>
  <c r="R2028" i="2"/>
  <c r="R2160" i="2"/>
  <c r="R2149" i="2"/>
  <c r="R2110" i="2"/>
  <c r="R2000" i="2"/>
  <c r="R2355" i="2"/>
  <c r="R2604" i="2"/>
  <c r="R1904" i="2"/>
  <c r="R1792" i="2"/>
  <c r="R2386" i="2"/>
  <c r="R2208" i="2"/>
  <c r="R2572" i="2"/>
  <c r="R72" i="2"/>
  <c r="R2272" i="2"/>
  <c r="R1650" i="2"/>
  <c r="R2682" i="2"/>
  <c r="R2796" i="2"/>
  <c r="R2908" i="2"/>
  <c r="R3023" i="2"/>
  <c r="R3121" i="2"/>
  <c r="R3205" i="2"/>
  <c r="R3286" i="2"/>
  <c r="R3359" i="2"/>
  <c r="R3432" i="2"/>
  <c r="R3496" i="2"/>
  <c r="R3559" i="2"/>
  <c r="R3612" i="2"/>
  <c r="R3662" i="2"/>
  <c r="R3712" i="2"/>
  <c r="R3765" i="2"/>
  <c r="R3815" i="2"/>
  <c r="R3868" i="2"/>
  <c r="R3918" i="2"/>
  <c r="R3968" i="2"/>
  <c r="R4021" i="2"/>
  <c r="R2133" i="2"/>
  <c r="R2617" i="2"/>
  <c r="R1865" i="2"/>
  <c r="R1977" i="2"/>
  <c r="R2593" i="2"/>
  <c r="R1811" i="2"/>
  <c r="R2456" i="2"/>
  <c r="R1893" i="2"/>
  <c r="R2088" i="2"/>
  <c r="R1765" i="2"/>
  <c r="R2115" i="2"/>
  <c r="R1733" i="2"/>
  <c r="R2229" i="2"/>
  <c r="R1836" i="2"/>
  <c r="R2021" i="2"/>
  <c r="R2083" i="2"/>
  <c r="R1841" i="2"/>
  <c r="R2353" i="2"/>
  <c r="R2039" i="2"/>
  <c r="R2121" i="2"/>
  <c r="R2581" i="2"/>
  <c r="R2237" i="2"/>
  <c r="R2257" i="2"/>
  <c r="R2473" i="2"/>
  <c r="R2348" i="2"/>
  <c r="R2286" i="2"/>
  <c r="R2313" i="2"/>
  <c r="R2455" i="2"/>
  <c r="R2141" i="2"/>
  <c r="R2501" i="2"/>
  <c r="R2289" i="2"/>
  <c r="R2384" i="2"/>
  <c r="R2536" i="2"/>
  <c r="R2253" i="2"/>
  <c r="R2528" i="2"/>
  <c r="R2231" i="2"/>
  <c r="R2293" i="2"/>
  <c r="R2132" i="2"/>
  <c r="R2482" i="2"/>
  <c r="R1080" i="2"/>
  <c r="R2568" i="2"/>
  <c r="R2521" i="2"/>
  <c r="R2573" i="2"/>
  <c r="R1793" i="2"/>
  <c r="R1892" i="2"/>
  <c r="R1927" i="2"/>
  <c r="R2610" i="2"/>
  <c r="R1738" i="2"/>
  <c r="R2085" i="2"/>
  <c r="R2580" i="2"/>
  <c r="R1767" i="2"/>
  <c r="R2322" i="2"/>
  <c r="R1909" i="2"/>
  <c r="R210" i="2"/>
  <c r="R1772" i="2"/>
  <c r="R2552" i="2"/>
  <c r="R1938" i="2"/>
  <c r="R2338" i="2"/>
  <c r="R2204" i="2"/>
  <c r="R2495" i="2"/>
  <c r="R1267" i="2"/>
  <c r="R2607" i="2"/>
  <c r="R2590" i="2"/>
  <c r="R1665" i="2"/>
  <c r="R1695" i="2"/>
  <c r="R2527" i="2"/>
  <c r="R2478" i="2"/>
  <c r="R545" i="2"/>
  <c r="R1935" i="2"/>
  <c r="R541" i="2"/>
  <c r="R2448" i="2"/>
  <c r="R2419" i="2"/>
  <c r="R1725" i="2"/>
  <c r="R2100" i="2"/>
  <c r="R1751" i="2"/>
  <c r="R1634" i="2"/>
  <c r="R1430" i="2"/>
  <c r="R2499" i="2"/>
  <c r="R2108" i="2"/>
  <c r="R2508" i="2"/>
  <c r="R1954" i="2"/>
  <c r="R2307" i="2"/>
  <c r="R1827" i="2"/>
  <c r="R1666" i="2"/>
  <c r="R2319" i="2"/>
  <c r="R2274" i="2"/>
  <c r="R2271" i="2"/>
  <c r="R2332" i="2"/>
  <c r="R2179" i="2"/>
  <c r="R1826" i="2"/>
  <c r="R1727" i="2"/>
  <c r="R2222" i="2"/>
  <c r="R2278" i="2"/>
  <c r="R1272" i="2"/>
  <c r="R1573" i="2"/>
  <c r="R1548" i="2"/>
  <c r="R2037" i="2"/>
  <c r="R1442" i="2"/>
  <c r="R1615" i="2"/>
  <c r="R2583" i="2"/>
  <c r="R1010" i="2"/>
  <c r="R1921" i="2"/>
  <c r="R580" i="2"/>
  <c r="R2135" i="2"/>
  <c r="R1020" i="2"/>
  <c r="R2351" i="2"/>
  <c r="R1756" i="2"/>
  <c r="R1586" i="2"/>
  <c r="R2458" i="2"/>
  <c r="R2541" i="2"/>
  <c r="R2159" i="2"/>
  <c r="R1288" i="2"/>
  <c r="R1315" i="2"/>
  <c r="R437" i="2"/>
  <c r="R2426" i="2"/>
  <c r="R1135" i="2"/>
  <c r="R2422" i="2"/>
  <c r="R377" i="2"/>
  <c r="R1303" i="2"/>
  <c r="R3295" i="2"/>
  <c r="R3772" i="2"/>
  <c r="R1737" i="2"/>
  <c r="R2105" i="2"/>
  <c r="R2446" i="2"/>
  <c r="R2325" i="2"/>
  <c r="R2336" i="2"/>
  <c r="R1848" i="2"/>
  <c r="R2578" i="2"/>
  <c r="R1847" i="2"/>
  <c r="R1664" i="2"/>
  <c r="R2147" i="2"/>
  <c r="R1861" i="2"/>
  <c r="R2464" i="2"/>
  <c r="R2188" i="2"/>
  <c r="R1937" i="2"/>
  <c r="R1757" i="2"/>
  <c r="R2371" i="2"/>
  <c r="R2064" i="2"/>
  <c r="R2275" i="2"/>
  <c r="R2474" i="2"/>
  <c r="R2460" i="2"/>
  <c r="R2243" i="2"/>
  <c r="R1762" i="2"/>
  <c r="R2218" i="2"/>
  <c r="R449" i="2"/>
  <c r="R841" i="2"/>
  <c r="R1752" i="2"/>
  <c r="R2001" i="2"/>
  <c r="R1887" i="2"/>
  <c r="R1639" i="2"/>
  <c r="R2010" i="2"/>
  <c r="R1992" i="2"/>
  <c r="R1966" i="2"/>
  <c r="R2350" i="2"/>
  <c r="R1711" i="2"/>
  <c r="R1806" i="2"/>
  <c r="R2190" i="2"/>
  <c r="R2226" i="2"/>
  <c r="R2574" i="2"/>
  <c r="R2148" i="2"/>
  <c r="R2354" i="2"/>
  <c r="R2330" i="2"/>
  <c r="R2079" i="2"/>
  <c r="R1994" i="2"/>
  <c r="R1970" i="2"/>
  <c r="R1879" i="2"/>
  <c r="R2202" i="2"/>
  <c r="R1310" i="2"/>
  <c r="R1094" i="2"/>
  <c r="R1876" i="2"/>
  <c r="R305" i="2"/>
  <c r="R1794" i="2"/>
  <c r="R1596" i="2"/>
  <c r="R1702" i="2"/>
  <c r="R2060" i="2"/>
  <c r="R1374" i="2"/>
  <c r="R641" i="2"/>
  <c r="R2331" i="2"/>
  <c r="R1919" i="2"/>
  <c r="R1454" i="2"/>
  <c r="R2191" i="2"/>
  <c r="R1123" i="2"/>
  <c r="R1620" i="2"/>
  <c r="R2054" i="2"/>
  <c r="R1694" i="2"/>
  <c r="R2113" i="2"/>
  <c r="R2538" i="2"/>
  <c r="R677" i="2"/>
  <c r="R2134" i="2"/>
  <c r="R1140" i="2"/>
  <c r="R1569" i="2"/>
  <c r="R1224" i="2"/>
  <c r="R1631" i="2"/>
  <c r="R1850" i="2"/>
  <c r="R568" i="2"/>
  <c r="R2587" i="2"/>
  <c r="R1958" i="2"/>
  <c r="R2475" i="2"/>
  <c r="R1118" i="2"/>
  <c r="R895" i="2"/>
  <c r="R1830" i="2"/>
  <c r="R2050" i="2"/>
  <c r="R110" i="2"/>
  <c r="R340" i="2"/>
  <c r="R1120" i="2"/>
  <c r="R1312" i="2"/>
  <c r="R256" i="2"/>
  <c r="R517" i="2"/>
  <c r="R2586" i="2"/>
  <c r="R886" i="2"/>
  <c r="R2342" i="2"/>
  <c r="R725" i="2"/>
  <c r="R509" i="2"/>
  <c r="R1367" i="2"/>
  <c r="R1371" i="2"/>
  <c r="R3368" i="2"/>
  <c r="R3822" i="2"/>
  <c r="R2069" i="2"/>
  <c r="R1719" i="2"/>
  <c r="R2309" i="2"/>
  <c r="R1864" i="2"/>
  <c r="R2516" i="2"/>
  <c r="R2161" i="2"/>
  <c r="R2220" i="2"/>
  <c r="R1709" i="2"/>
  <c r="R1911" i="2"/>
  <c r="R2372" i="2"/>
  <c r="R1681" i="2"/>
  <c r="R2104" i="2"/>
  <c r="R2451" i="2"/>
  <c r="R2452" i="2"/>
  <c r="R2020" i="2"/>
  <c r="R2374" i="2"/>
  <c r="R2199" i="2"/>
  <c r="R2084" i="2"/>
  <c r="R2414" i="2"/>
  <c r="R2205" i="2"/>
  <c r="R2142" i="2"/>
  <c r="R257" i="2"/>
  <c r="R2151" i="2"/>
  <c r="R2168" i="2"/>
  <c r="R85" i="2"/>
  <c r="R1660" i="2"/>
  <c r="R2605" i="2"/>
  <c r="R2346" i="2"/>
  <c r="R1106" i="2"/>
  <c r="R2566" i="2"/>
  <c r="R2337" i="2"/>
  <c r="R2015" i="2"/>
  <c r="R2285" i="2"/>
  <c r="R2263" i="2"/>
  <c r="R461" i="2"/>
  <c r="R1902" i="2"/>
  <c r="R2387" i="2"/>
  <c r="R2356" i="2"/>
  <c r="R2244" i="2"/>
  <c r="R2442" i="2"/>
  <c r="R1255" i="2"/>
  <c r="R364" i="2"/>
  <c r="R1231" i="2"/>
  <c r="R1950" i="2"/>
  <c r="R1676" i="2"/>
  <c r="R1878" i="2"/>
  <c r="R2219" i="2"/>
  <c r="R1329" i="2"/>
  <c r="R1890" i="2"/>
  <c r="R1659" i="2"/>
  <c r="R1423" i="2"/>
  <c r="R170" i="2"/>
  <c r="R1178" i="2"/>
  <c r="R1063" i="2"/>
  <c r="R1247" i="2"/>
  <c r="R1782" i="2"/>
  <c r="R2150" i="2"/>
  <c r="R2075" i="2"/>
  <c r="R893" i="2"/>
  <c r="R1766" i="2"/>
  <c r="R508" i="2"/>
  <c r="R2507" i="2"/>
  <c r="R2543" i="2"/>
  <c r="R1495" i="2"/>
  <c r="R1999" i="2"/>
  <c r="R736" i="2"/>
  <c r="R1910" i="2"/>
  <c r="R1796" i="2"/>
  <c r="R2102" i="2"/>
  <c r="R5" i="2"/>
  <c r="R697" i="2"/>
  <c r="R639" i="2"/>
  <c r="R1643" i="2"/>
  <c r="R628" i="2"/>
  <c r="R1884" i="2"/>
  <c r="R1807" i="2"/>
  <c r="R1608" i="2"/>
  <c r="R1822" i="2"/>
  <c r="R1512" i="2"/>
  <c r="R792" i="2"/>
  <c r="R2695" i="2"/>
  <c r="R3440" i="2"/>
  <c r="R3872" i="2"/>
  <c r="R2369" i="2"/>
  <c r="R2167" i="2"/>
  <c r="R1728" i="2"/>
  <c r="R2023" i="2"/>
  <c r="R2125" i="2"/>
  <c r="R2461" i="2"/>
  <c r="R1944" i="2"/>
  <c r="R2611" i="2"/>
  <c r="R2562" i="2"/>
  <c r="R2238" i="2"/>
  <c r="R2584" i="2"/>
  <c r="R2413" i="2"/>
  <c r="R2203" i="2"/>
  <c r="R1812" i="2"/>
  <c r="R1696" i="2"/>
  <c r="R352" i="2"/>
  <c r="R1863" i="2"/>
  <c r="R1857" i="2"/>
  <c r="R1708" i="2"/>
  <c r="R2376" i="2"/>
  <c r="R2324" i="2"/>
  <c r="R2096" i="2"/>
  <c r="R2227" i="2"/>
  <c r="R2479" i="2"/>
  <c r="R521" i="2"/>
  <c r="R2380" i="2"/>
  <c r="R2364" i="2"/>
  <c r="R2418" i="2"/>
  <c r="R2043" i="2"/>
  <c r="R1387" i="2"/>
  <c r="R2057" i="2"/>
  <c r="R2156" i="2"/>
  <c r="R1898" i="2"/>
  <c r="R2268" i="2"/>
  <c r="R2394" i="2"/>
  <c r="R1760" i="2"/>
  <c r="R1843" i="2"/>
  <c r="R2335" i="2"/>
  <c r="R2254" i="2"/>
  <c r="R1086" i="2"/>
  <c r="R2290" i="2"/>
  <c r="R1483" i="2"/>
  <c r="R781" i="2"/>
  <c r="R2047" i="2"/>
  <c r="R1842" i="2"/>
  <c r="R1332" i="2"/>
  <c r="R400" i="2"/>
  <c r="R1281" i="2"/>
  <c r="R2051" i="2"/>
  <c r="R2502" i="2"/>
  <c r="R688" i="2"/>
  <c r="R2459" i="2"/>
  <c r="R1991" i="2"/>
  <c r="R2318" i="2"/>
  <c r="R2310" i="2"/>
  <c r="R1056" i="2"/>
  <c r="R2255" i="2"/>
  <c r="R2484" i="2"/>
  <c r="R2608" i="2"/>
  <c r="R401" i="2"/>
  <c r="R1798" i="2"/>
  <c r="R930" i="2"/>
  <c r="R2170" i="2"/>
  <c r="R1166" i="2"/>
  <c r="R2234" i="2"/>
  <c r="R2298" i="2"/>
  <c r="R1092" i="2"/>
  <c r="R1555" i="2"/>
  <c r="R1550" i="2"/>
  <c r="R361" i="2"/>
  <c r="R1612" i="2"/>
  <c r="R2491" i="2"/>
  <c r="R986" i="2"/>
  <c r="R1707" i="2"/>
  <c r="R1658" i="2"/>
  <c r="R1882" i="2"/>
  <c r="R1015" i="2"/>
  <c r="R757" i="2"/>
  <c r="R132" i="2"/>
  <c r="R1043" i="2"/>
  <c r="R2810" i="2"/>
  <c r="R3504" i="2"/>
  <c r="R3925" i="2"/>
  <c r="R2357" i="2"/>
  <c r="R2525" i="2"/>
  <c r="R2472" i="2"/>
  <c r="R2417" i="2"/>
  <c r="R2549" i="2"/>
  <c r="R2261" i="2"/>
  <c r="R1788" i="2"/>
  <c r="R1856" i="2"/>
  <c r="R2517" i="2"/>
  <c r="R2097" i="2"/>
  <c r="R2165" i="2"/>
  <c r="R2284" i="2"/>
  <c r="R2519" i="2"/>
  <c r="R1801" i="2"/>
  <c r="R2296" i="2"/>
  <c r="R2009" i="2"/>
  <c r="R1476" i="2"/>
  <c r="R1656" i="2"/>
  <c r="R2177" i="2"/>
  <c r="R1698" i="2"/>
  <c r="R2388" i="2"/>
  <c r="R1922" i="2"/>
  <c r="R2503" i="2"/>
  <c r="R2062" i="2"/>
  <c r="R1916" i="2"/>
  <c r="R1111" i="2"/>
  <c r="R1799" i="2"/>
  <c r="R1980" i="2"/>
  <c r="R2174" i="2"/>
  <c r="R1116" i="2"/>
  <c r="R1343" i="2"/>
  <c r="R2112" i="2"/>
  <c r="R2547" i="2"/>
  <c r="R1260" i="2"/>
  <c r="R1881" i="2"/>
  <c r="R2347" i="2"/>
  <c r="R1759" i="2"/>
  <c r="R1886" i="2"/>
  <c r="R1663" i="2"/>
  <c r="R1682" i="2"/>
  <c r="R2532" i="2"/>
  <c r="R2378" i="2"/>
  <c r="R2012" i="2"/>
  <c r="R2427" i="2"/>
  <c r="R2122" i="2"/>
  <c r="R962" i="2"/>
  <c r="R2504" i="2"/>
  <c r="R1978" i="2"/>
  <c r="R1262" i="2"/>
  <c r="R2016" i="2"/>
  <c r="R1990" i="2"/>
  <c r="R2011" i="2"/>
  <c r="R2438" i="2"/>
  <c r="R972" i="2"/>
  <c r="R1790" i="2"/>
  <c r="R1871" i="2"/>
  <c r="R1418" i="2"/>
  <c r="R1931" i="2"/>
  <c r="R863" i="2"/>
  <c r="R269" i="2"/>
  <c r="R724" i="2"/>
  <c r="R744" i="2"/>
  <c r="R690" i="2"/>
  <c r="R1803" i="2"/>
  <c r="R60" i="2"/>
  <c r="R2924" i="2"/>
  <c r="R3566" i="2"/>
  <c r="R3975" i="2"/>
  <c r="R1704" i="2"/>
  <c r="R1969" i="2"/>
  <c r="R2129" i="2"/>
  <c r="R2370" i="2"/>
  <c r="R2304" i="2"/>
  <c r="R2005" i="2"/>
  <c r="R1783" i="2"/>
  <c r="R1817" i="2"/>
  <c r="R2305" i="2"/>
  <c r="R2377" i="2"/>
  <c r="R1717" i="2"/>
  <c r="R2609" i="2"/>
  <c r="R2081" i="2"/>
  <c r="R2193" i="2"/>
  <c r="R1900" i="2"/>
  <c r="R2531" i="2"/>
  <c r="R1973" i="2"/>
  <c r="R2240" i="2"/>
  <c r="R2067" i="2"/>
  <c r="R1668" i="2"/>
  <c r="R2571" i="2"/>
  <c r="R1699" i="2"/>
  <c r="R1279" i="2"/>
  <c r="R2076" i="2"/>
  <c r="R1058" i="2"/>
  <c r="R2402" i="2"/>
  <c r="R2242" i="2"/>
  <c r="R1868" i="2"/>
  <c r="R2485" i="2"/>
  <c r="R2291" i="2"/>
  <c r="R2163" i="2"/>
  <c r="R2236" i="2"/>
  <c r="R1731" i="2"/>
  <c r="R1298" i="2"/>
  <c r="R497" i="2"/>
  <c r="R33" i="2"/>
  <c r="R2602" i="2"/>
  <c r="R2327" i="2"/>
  <c r="R2314" i="2"/>
  <c r="R1154" i="2"/>
  <c r="R2058" i="2"/>
  <c r="R2139" i="2"/>
  <c r="R1929" i="2"/>
  <c r="R1915" i="2"/>
  <c r="R1404" i="2"/>
  <c r="R1924" i="2"/>
  <c r="R1820" i="2"/>
  <c r="R2283" i="2"/>
  <c r="R125" i="2"/>
  <c r="R1951" i="2"/>
  <c r="R1972" i="2"/>
  <c r="R2114" i="2"/>
  <c r="R1773" i="2"/>
  <c r="R2180" i="2"/>
  <c r="R1891" i="2"/>
  <c r="R2362" i="2"/>
  <c r="R316" i="2"/>
  <c r="R1200" i="2"/>
  <c r="R1974" i="2"/>
  <c r="R1248" i="2"/>
  <c r="R1750" i="2"/>
  <c r="R2383" i="2"/>
  <c r="R1176" i="2"/>
  <c r="R1645" i="2"/>
  <c r="R2209" i="2"/>
  <c r="R1447" i="2"/>
  <c r="R1502" i="2"/>
  <c r="R652" i="2"/>
  <c r="R1686" i="2"/>
  <c r="R3036" i="2"/>
  <c r="R3616" i="2"/>
  <c r="R4028" i="2"/>
  <c r="R2612" i="2"/>
  <c r="R1776" i="2"/>
  <c r="R2181" i="2"/>
  <c r="R2432" i="2"/>
  <c r="R1833" i="2"/>
  <c r="R1897" i="2"/>
  <c r="R1384" i="2"/>
  <c r="R1961" i="2"/>
  <c r="R1785" i="2"/>
  <c r="R2520" i="2"/>
  <c r="R2269" i="2"/>
  <c r="R2421" i="2"/>
  <c r="R2082" i="2"/>
  <c r="R2560" i="2"/>
  <c r="R1724" i="2"/>
  <c r="R2087" i="2"/>
  <c r="R2184" i="2"/>
  <c r="R2183" i="2"/>
  <c r="R2616" i="2"/>
  <c r="R2618" i="2"/>
  <c r="R1671" i="2"/>
  <c r="R1945" i="2"/>
  <c r="R2358" i="2"/>
  <c r="R1932" i="2"/>
  <c r="R2382" i="2"/>
  <c r="R2130" i="2"/>
  <c r="R1906" i="2"/>
  <c r="R2146" i="2"/>
  <c r="R2019" i="2"/>
  <c r="R1730" i="2"/>
  <c r="R1875" i="2"/>
  <c r="R2439" i="2"/>
  <c r="R1982" i="2"/>
  <c r="R2207" i="2"/>
  <c r="R2074" i="2"/>
  <c r="R1837" i="2"/>
  <c r="R2264" i="2"/>
  <c r="R2018" i="2"/>
  <c r="R1452" i="2"/>
  <c r="R1870" i="2"/>
  <c r="R1250" i="2"/>
  <c r="R816" i="2"/>
  <c r="R2594" i="2"/>
  <c r="R2246" i="2"/>
  <c r="R2265" i="2"/>
  <c r="R2086" i="2"/>
  <c r="R1844" i="2"/>
  <c r="R1722" i="2"/>
  <c r="R1567" i="2"/>
  <c r="R2410" i="2"/>
  <c r="R1839" i="2"/>
  <c r="R2094" i="2"/>
  <c r="R2447" i="2"/>
  <c r="R2518" i="2"/>
  <c r="R653" i="2"/>
  <c r="R2443" i="2"/>
  <c r="R2550" i="2"/>
  <c r="R496" i="2"/>
  <c r="R1363" i="2"/>
  <c r="R2166" i="2"/>
  <c r="R259" i="2"/>
  <c r="R409" i="2"/>
  <c r="R1427" i="2"/>
  <c r="R1622" i="2"/>
  <c r="R2195" i="2"/>
  <c r="R389" i="2"/>
  <c r="R353" i="2"/>
  <c r="R2537" i="2"/>
  <c r="R1514" i="2"/>
  <c r="R604" i="2"/>
  <c r="R950" i="2"/>
  <c r="R1019" i="2"/>
  <c r="R2063" i="2"/>
  <c r="R1866" i="2"/>
  <c r="R1714" i="2"/>
  <c r="R2466" i="2"/>
  <c r="R1899" i="2"/>
  <c r="R2544" i="2"/>
  <c r="R1962" i="2"/>
  <c r="R453" i="2"/>
  <c r="R501" i="2"/>
  <c r="R106" i="2"/>
  <c r="R846" i="2"/>
  <c r="R309" i="2"/>
  <c r="R2093" i="2"/>
  <c r="R1440" i="2"/>
  <c r="R2182" i="2"/>
  <c r="R3132" i="2"/>
  <c r="R3669" i="2"/>
  <c r="R2333" i="2"/>
  <c r="R1831" i="2"/>
  <c r="R2401" i="2"/>
  <c r="R1832" i="2"/>
  <c r="R2585" i="2"/>
  <c r="R2453" i="2"/>
  <c r="R1786" i="2"/>
  <c r="R2185" i="2"/>
  <c r="R2225" i="2"/>
  <c r="R2073" i="2"/>
  <c r="R2232" i="2"/>
  <c r="R2072" i="2"/>
  <c r="R2323" i="2"/>
  <c r="R2068" i="2"/>
  <c r="R1689" i="2"/>
  <c r="R2162" i="2"/>
  <c r="R1736" i="2"/>
  <c r="R1735" i="2"/>
  <c r="R2137" i="2"/>
  <c r="R2158" i="2"/>
  <c r="R1986" i="2"/>
  <c r="R1928" i="2"/>
  <c r="R2034" i="2"/>
  <c r="R1823" i="2"/>
  <c r="R1212" i="2"/>
  <c r="R2467" i="2"/>
  <c r="R2003" i="2"/>
  <c r="R1860" i="2"/>
  <c r="R1934" i="2"/>
  <c r="R2228" i="2"/>
  <c r="R2206" i="2"/>
  <c r="R2483" i="2"/>
  <c r="R2603" i="2"/>
  <c r="R1309" i="2"/>
  <c r="R1584" i="2"/>
  <c r="R2259" i="2"/>
  <c r="R2320" i="2"/>
  <c r="R1732" i="2"/>
  <c r="R1183" i="2"/>
  <c r="R2223" i="2"/>
  <c r="R2267" i="2"/>
  <c r="R1679" i="2"/>
  <c r="R2046" i="2"/>
  <c r="R2095" i="2"/>
  <c r="R2363" i="2"/>
  <c r="R1804" i="2"/>
  <c r="R1874" i="2"/>
  <c r="R1034" i="2"/>
  <c r="R1490" i="2"/>
  <c r="R1778" i="2"/>
  <c r="R2476" i="2"/>
  <c r="R2111" i="2"/>
  <c r="R1775" i="2"/>
  <c r="R2480" i="2"/>
  <c r="R1339" i="2"/>
  <c r="R1742" i="2"/>
  <c r="R2381" i="2"/>
  <c r="R2230" i="2"/>
  <c r="R245" i="2"/>
  <c r="R1147" i="2"/>
  <c r="R1559" i="2"/>
  <c r="R761" i="2"/>
  <c r="R424" i="2"/>
  <c r="R328" i="2"/>
  <c r="R1346" i="2"/>
  <c r="R2140" i="2"/>
  <c r="R1758" i="2"/>
  <c r="R1202" i="2"/>
  <c r="R2416" i="2"/>
  <c r="R1521" i="2"/>
  <c r="R74" i="2"/>
  <c r="R1499" i="2"/>
  <c r="R2522" i="2"/>
  <c r="R1320" i="2"/>
  <c r="R1840" i="2"/>
  <c r="R1356" i="2"/>
  <c r="R996" i="2"/>
  <c r="R1723" i="2"/>
  <c r="R2022" i="2"/>
  <c r="R1252" i="2"/>
  <c r="R650" i="2"/>
  <c r="R2070" i="2"/>
  <c r="R1444" i="2"/>
  <c r="R3215" i="2"/>
  <c r="R3719" i="2"/>
  <c r="R1981" i="2"/>
  <c r="R2136" i="2"/>
  <c r="R2055" i="2"/>
  <c r="R2437" i="2"/>
  <c r="R2487" i="2"/>
  <c r="R1652" i="2"/>
  <c r="R1948" i="2"/>
  <c r="R2434" i="2"/>
  <c r="R2092" i="2"/>
  <c r="R2492" i="2"/>
  <c r="R1880" i="2"/>
  <c r="R2172" i="2"/>
  <c r="R2131" i="2"/>
  <c r="R2169" i="2"/>
  <c r="R1797" i="2"/>
  <c r="R1816" i="2"/>
  <c r="R2524" i="2"/>
  <c r="R2116" i="2"/>
  <c r="R2444" i="2"/>
  <c r="R282" i="2"/>
  <c r="R1692" i="2"/>
  <c r="R2306" i="2"/>
  <c r="R1779" i="2"/>
  <c r="R1068" i="2"/>
  <c r="R2059" i="2"/>
  <c r="R2211" i="2"/>
  <c r="R1683" i="2"/>
  <c r="R2035" i="2"/>
  <c r="R2154" i="2"/>
  <c r="R2239" i="2"/>
  <c r="R2597" i="2"/>
  <c r="R1955" i="2"/>
  <c r="R2514" i="2"/>
  <c r="R2316" i="2"/>
  <c r="R1243" i="2"/>
  <c r="R2542" i="2"/>
  <c r="R1687" i="2"/>
  <c r="R1667" i="2"/>
  <c r="R2352" i="2"/>
  <c r="R2554" i="2"/>
  <c r="R2287" i="2"/>
  <c r="R1654" i="2"/>
  <c r="R2431" i="2"/>
  <c r="R2124" i="2"/>
  <c r="R1688" i="2"/>
  <c r="R2127" i="2"/>
  <c r="R1819" i="2"/>
  <c r="R1903" i="2"/>
  <c r="R640" i="2"/>
  <c r="R1394" i="2"/>
  <c r="R2558" i="2"/>
  <c r="R2282" i="2"/>
  <c r="R1946" i="2"/>
  <c r="R2606" i="2"/>
  <c r="R153" i="2"/>
  <c r="R581" i="2"/>
  <c r="R1519" i="2"/>
  <c r="R2567" i="2"/>
  <c r="R1344" i="2"/>
  <c r="R1327" i="2"/>
  <c r="R321" i="2"/>
  <c r="R1979" i="2"/>
  <c r="R1630" i="2"/>
  <c r="R448" i="2"/>
  <c r="R1883" i="2"/>
  <c r="R1715" i="2"/>
  <c r="R1051" i="2"/>
  <c r="R2511" i="2"/>
  <c r="R2235" i="2"/>
  <c r="R768" i="2"/>
  <c r="R1595" i="2"/>
  <c r="R17" i="2"/>
  <c r="R2509" i="2"/>
  <c r="R979" i="2"/>
  <c r="R2406" i="2"/>
  <c r="R2615" i="2"/>
  <c r="R629" i="2"/>
  <c r="R2138" i="2"/>
  <c r="R1675" i="2"/>
  <c r="R573" i="2"/>
  <c r="R943" i="2"/>
  <c r="R927" i="2"/>
  <c r="R851" i="2"/>
  <c r="R2534" i="2"/>
  <c r="R1008" i="2"/>
  <c r="R1648" i="2"/>
  <c r="R1322" i="2"/>
  <c r="R947" i="2"/>
  <c r="R1560" i="2"/>
  <c r="R878" i="2"/>
  <c r="R2214" i="2"/>
  <c r="R1358" i="2"/>
  <c r="R1524" i="2"/>
  <c r="R120" i="2"/>
  <c r="R955" i="2"/>
  <c r="R1032" i="2"/>
  <c r="R769" i="2"/>
  <c r="R357" i="2"/>
  <c r="R198" i="2"/>
  <c r="R823" i="2"/>
  <c r="R592" i="2"/>
  <c r="R1127" i="2"/>
  <c r="R26" i="2"/>
  <c r="R1185" i="2"/>
  <c r="R589" i="2"/>
  <c r="R267" i="2"/>
  <c r="R2582" i="2"/>
  <c r="R255" i="2"/>
  <c r="R1050" i="2"/>
  <c r="R65" i="2"/>
  <c r="R156" i="2"/>
  <c r="R553" i="2"/>
  <c r="R2266" i="2"/>
  <c r="R546" i="2"/>
  <c r="R1226" i="2"/>
  <c r="R824" i="2"/>
  <c r="R1103" i="2"/>
  <c r="R922" i="2"/>
  <c r="R204" i="2"/>
  <c r="R901" i="2"/>
  <c r="R489" i="2"/>
  <c r="R36" i="2"/>
  <c r="R621" i="2"/>
  <c r="R1351" i="2"/>
  <c r="R664" i="2"/>
  <c r="R1554" i="2"/>
  <c r="R118" i="2"/>
  <c r="R375" i="2"/>
  <c r="R578" i="2"/>
  <c r="R1171" i="2"/>
  <c r="R1862" i="2"/>
  <c r="R1644" i="2"/>
  <c r="R990" i="2"/>
  <c r="R1385" i="2"/>
  <c r="R264" i="2"/>
  <c r="R561" i="2"/>
  <c r="R46" i="2"/>
  <c r="R268" i="2"/>
  <c r="R1487" i="2"/>
  <c r="R973" i="2"/>
  <c r="R354" i="2"/>
  <c r="R1621" i="2"/>
  <c r="R1099" i="2"/>
  <c r="R322" i="2"/>
  <c r="R79" i="2"/>
  <c r="R1240" i="2"/>
  <c r="R122" i="2"/>
  <c r="R1055" i="2"/>
  <c r="R334" i="2"/>
  <c r="R758" i="2"/>
  <c r="R536" i="2"/>
  <c r="R1535" i="2"/>
  <c r="R457" i="2"/>
  <c r="R1383" i="2"/>
  <c r="R987" i="2"/>
  <c r="R187" i="2"/>
  <c r="R1027" i="2"/>
  <c r="R1000" i="2"/>
  <c r="R718" i="2"/>
  <c r="R857" i="2"/>
  <c r="R2400" i="2"/>
  <c r="R197" i="2"/>
  <c r="R2470" i="2"/>
  <c r="R870" i="2"/>
  <c r="R900" i="2"/>
  <c r="R1245" i="2"/>
  <c r="R822" i="2"/>
  <c r="R2415" i="2"/>
  <c r="R1835" i="2"/>
  <c r="R689" i="2"/>
  <c r="R1888" i="2"/>
  <c r="R221" i="2"/>
  <c r="R549" i="2"/>
  <c r="R1382" i="2"/>
  <c r="R642" i="2"/>
  <c r="R486" i="2"/>
  <c r="R645" i="2"/>
  <c r="R2042" i="2"/>
  <c r="R616" i="2"/>
  <c r="R1087" i="2"/>
  <c r="R1369" i="2"/>
  <c r="R590" i="2"/>
  <c r="R1038" i="2"/>
  <c r="R1894" i="2"/>
  <c r="R1026" i="2"/>
  <c r="R209" i="2"/>
  <c r="R1065" i="2"/>
  <c r="R29" i="2"/>
  <c r="R743" i="2"/>
  <c r="R1718" i="2"/>
  <c r="R1134" i="2"/>
  <c r="R413" i="2"/>
  <c r="R782" i="2"/>
  <c r="R1182" i="2"/>
  <c r="R804" i="2"/>
  <c r="R288" i="2"/>
  <c r="R1125" i="2"/>
  <c r="R1497" i="2"/>
  <c r="R1463" i="2"/>
  <c r="R1305" i="2"/>
  <c r="R1998" i="2"/>
  <c r="R1048" i="2"/>
  <c r="R1237" i="2"/>
  <c r="R1348" i="2"/>
  <c r="R1360" i="2"/>
  <c r="R1481" i="2"/>
  <c r="R1207" i="2"/>
  <c r="R369" i="2"/>
  <c r="R1324" i="2"/>
  <c r="R1525" i="2"/>
  <c r="R681" i="2"/>
  <c r="R1349" i="2"/>
  <c r="R1480" i="2"/>
  <c r="R1506" i="2"/>
  <c r="R1338" i="2"/>
  <c r="R885" i="2"/>
  <c r="R287" i="2"/>
  <c r="R206" i="2"/>
  <c r="R1439" i="2"/>
  <c r="R905" i="2"/>
  <c r="R916" i="2"/>
  <c r="R669" i="2"/>
  <c r="R789" i="2"/>
  <c r="R179" i="2"/>
  <c r="R848" i="2"/>
  <c r="R567" i="2"/>
  <c r="R1290" i="2"/>
  <c r="R1108" i="2"/>
  <c r="R676" i="2"/>
  <c r="R373" i="2"/>
  <c r="R274" i="2"/>
  <c r="R1395" i="2"/>
  <c r="R790" i="2"/>
  <c r="R868" i="2"/>
  <c r="R421" i="2"/>
  <c r="R925" i="2"/>
  <c r="R1131" i="2"/>
  <c r="R888" i="2"/>
  <c r="R557" i="2"/>
  <c r="R1122" i="2"/>
  <c r="R319" i="2"/>
  <c r="R1089" i="2"/>
  <c r="R1516" i="2"/>
  <c r="R1078" i="2"/>
  <c r="R89" i="2"/>
  <c r="R1739" i="2"/>
  <c r="R771" i="2"/>
  <c r="R1107" i="2"/>
  <c r="R831" i="2"/>
  <c r="R1368" i="2"/>
  <c r="R1177" i="2"/>
  <c r="R635" i="2"/>
  <c r="R819" i="2"/>
  <c r="R679" i="2"/>
  <c r="R458" i="2"/>
  <c r="R853" i="2"/>
  <c r="R356" i="2"/>
  <c r="R603" i="2"/>
  <c r="R565" i="2"/>
  <c r="R446" i="2"/>
  <c r="R192" i="2"/>
  <c r="R874" i="2"/>
  <c r="R1097" i="2"/>
  <c r="R612" i="2"/>
  <c r="R774" i="2"/>
  <c r="R1366" i="2"/>
  <c r="R917" i="2"/>
  <c r="R1867" i="2"/>
  <c r="R730" i="2"/>
  <c r="R643" i="2"/>
  <c r="R191" i="2"/>
  <c r="R1109" i="2"/>
  <c r="R311" i="2"/>
  <c r="R223" i="2"/>
  <c r="R1342" i="2"/>
  <c r="R1242" i="2"/>
  <c r="R877" i="2"/>
  <c r="R1325" i="2"/>
  <c r="R129" i="2"/>
  <c r="R1635" i="2"/>
  <c r="R830" i="2"/>
  <c r="R443" i="2"/>
  <c r="R102" i="2"/>
  <c r="R741" i="2"/>
  <c r="R866" i="2"/>
  <c r="R372" i="2"/>
  <c r="R692" i="2"/>
  <c r="R92" i="2"/>
  <c r="R938" i="2"/>
  <c r="R673" i="2"/>
  <c r="R537" i="2"/>
  <c r="R783" i="2"/>
  <c r="R300" i="2"/>
  <c r="R1263" i="2"/>
  <c r="R583" i="2"/>
  <c r="R1601" i="2"/>
  <c r="R766" i="2"/>
  <c r="R796" i="2"/>
  <c r="R299" i="2"/>
  <c r="R23" i="2"/>
  <c r="R1258" i="2"/>
  <c r="R439" i="2"/>
  <c r="R147" i="2"/>
  <c r="R675" i="2"/>
  <c r="R530" i="2"/>
  <c r="R1287" i="2"/>
  <c r="R881" i="2"/>
  <c r="R555" i="2"/>
  <c r="R1670" i="2"/>
  <c r="R283" i="2"/>
  <c r="R1373" i="2"/>
  <c r="R193" i="2"/>
  <c r="R2308" i="2"/>
  <c r="R827" i="2"/>
  <c r="R341" i="2"/>
  <c r="R1031" i="2"/>
  <c r="R1175" i="2"/>
  <c r="R402" i="2"/>
  <c r="R207" i="2"/>
  <c r="R244" i="2"/>
  <c r="R2315" i="2"/>
  <c r="R1706" i="2"/>
  <c r="R1674" i="2"/>
  <c r="R1914" i="2"/>
  <c r="R109" i="2"/>
  <c r="R1204" i="2"/>
  <c r="R1156" i="2"/>
  <c r="R923" i="2"/>
  <c r="R149" i="2"/>
  <c r="R1137" i="2"/>
  <c r="R2411" i="2"/>
  <c r="R381" i="2"/>
  <c r="R48" i="2"/>
  <c r="R1355" i="2"/>
  <c r="R2187" i="2"/>
  <c r="R425" i="2"/>
  <c r="R1536" i="2"/>
  <c r="R908" i="2"/>
  <c r="R883" i="2"/>
  <c r="R2250" i="2"/>
  <c r="R1041" i="2"/>
  <c r="R934" i="2"/>
  <c r="R317" i="2"/>
  <c r="R967" i="2"/>
  <c r="R993" i="2"/>
  <c r="R1642" i="2"/>
  <c r="R1437" i="2"/>
  <c r="R732" i="2"/>
  <c r="R907" i="2"/>
  <c r="R971" i="2"/>
  <c r="R1168" i="2"/>
  <c r="R131" i="2"/>
  <c r="R1283" i="2"/>
  <c r="R1392" i="2"/>
  <c r="R505" i="2"/>
  <c r="R713" i="2"/>
  <c r="R1326" i="2"/>
  <c r="R93" i="2"/>
  <c r="R1271" i="2"/>
  <c r="R793" i="2"/>
  <c r="R1228" i="2"/>
  <c r="R995" i="2"/>
  <c r="R662" i="2"/>
  <c r="R763" i="2"/>
  <c r="R960" i="2"/>
  <c r="R2539" i="2"/>
  <c r="R61" i="2"/>
  <c r="R1441" i="2"/>
  <c r="R1317" i="2"/>
  <c r="R1393" i="2"/>
  <c r="R1425" i="2"/>
  <c r="R838" i="2"/>
  <c r="R1464" i="2"/>
  <c r="R1531" i="2"/>
  <c r="R1286" i="2"/>
  <c r="R1562" i="2"/>
  <c r="R77" i="2"/>
  <c r="R473" i="2"/>
  <c r="R1509" i="2"/>
  <c r="R637" i="2"/>
  <c r="R710" i="2"/>
  <c r="R1060" i="2"/>
  <c r="R700" i="2"/>
  <c r="R1005" i="2"/>
  <c r="R1538" i="2"/>
  <c r="R601" i="2"/>
  <c r="R1834" i="2"/>
  <c r="R1629" i="2"/>
  <c r="R1770" i="2"/>
  <c r="R1576" i="2"/>
  <c r="R1219" i="2"/>
  <c r="R1743" i="2"/>
  <c r="R1415" i="2"/>
  <c r="R208" i="2"/>
  <c r="R1474" i="2"/>
  <c r="R235" i="2"/>
  <c r="R365" i="2"/>
  <c r="R1189" i="2"/>
  <c r="R493" i="2"/>
  <c r="R654" i="2"/>
  <c r="R1726" i="2"/>
  <c r="R836" i="2"/>
  <c r="R778" i="2"/>
  <c r="R1432" i="2"/>
  <c r="R117" i="2"/>
  <c r="R186" i="2"/>
  <c r="R1566" i="2"/>
  <c r="R393" i="2"/>
  <c r="R12" i="2"/>
  <c r="R479" i="2"/>
  <c r="R723" i="2"/>
  <c r="R1617" i="2"/>
  <c r="R254" i="2"/>
  <c r="R140" i="2"/>
  <c r="R954" i="2"/>
  <c r="R465" i="2"/>
  <c r="R2454" i="2"/>
  <c r="R597" i="2"/>
  <c r="R717" i="2"/>
  <c r="R1184" i="2"/>
  <c r="R978" i="2"/>
  <c r="R1539" i="2"/>
  <c r="R566" i="2"/>
  <c r="R854" i="2"/>
  <c r="R203" i="2"/>
  <c r="R158" i="2"/>
  <c r="R91" i="2"/>
  <c r="R113" i="2"/>
  <c r="R1690" i="2"/>
  <c r="R1703" i="2"/>
  <c r="R1152" i="2"/>
  <c r="R350" i="2"/>
  <c r="R2144" i="2"/>
  <c r="R2343" i="2"/>
  <c r="R1257" i="2"/>
  <c r="R882" i="2"/>
  <c r="R1046" i="2"/>
  <c r="R1190" i="2"/>
  <c r="R533" i="2"/>
  <c r="R2155" i="2"/>
  <c r="R1636" i="2"/>
  <c r="R176" i="2"/>
  <c r="R314" i="2"/>
  <c r="R196" i="2"/>
  <c r="R1607" i="2"/>
  <c r="R983" i="2"/>
  <c r="R1662" i="2"/>
  <c r="R1295" i="2"/>
  <c r="R1678" i="2"/>
  <c r="R306" i="2"/>
  <c r="R749" i="2"/>
  <c r="R959" i="2"/>
  <c r="R1079" i="2"/>
  <c r="R325" i="2"/>
  <c r="R577" i="2"/>
  <c r="R144" i="2"/>
  <c r="R1291" i="2"/>
  <c r="R1278" i="2"/>
  <c r="R1223" i="2"/>
  <c r="R981" i="2"/>
  <c r="R1619" i="2"/>
  <c r="R2436" i="2"/>
  <c r="R1314" i="2"/>
  <c r="R1632" i="2"/>
  <c r="R745" i="2"/>
  <c r="R843" i="2"/>
  <c r="R21" i="2"/>
  <c r="R313" i="2"/>
  <c r="R141" i="2"/>
  <c r="R665" i="2"/>
  <c r="R1406" i="2"/>
  <c r="R1401" i="2"/>
  <c r="R1365" i="2"/>
  <c r="R343" i="2"/>
  <c r="R1336" i="2"/>
  <c r="R1104" i="2"/>
  <c r="R946" i="2"/>
  <c r="R326" i="2"/>
  <c r="R127" i="2"/>
  <c r="R584" i="2"/>
  <c r="R1449" i="2"/>
  <c r="R247" i="2"/>
  <c r="R1341" i="2"/>
  <c r="R335" i="2"/>
  <c r="R199" i="2"/>
  <c r="R1270" i="2"/>
  <c r="R1549" i="2"/>
  <c r="R1222" i="2"/>
  <c r="R452" i="2"/>
  <c r="R680" i="2"/>
  <c r="R460" i="2"/>
  <c r="R1036" i="2"/>
  <c r="R1170" i="2"/>
  <c r="R1146" i="2"/>
  <c r="R218" i="2"/>
  <c r="R471" i="2"/>
  <c r="R165" i="2"/>
  <c r="R519" i="2"/>
  <c r="R188" i="2"/>
  <c r="R1172" i="2"/>
  <c r="R1164" i="2"/>
  <c r="R49" i="2"/>
  <c r="R398" i="2"/>
  <c r="R1530" i="2"/>
  <c r="R139" i="2"/>
  <c r="R1213" i="2"/>
  <c r="R376" i="2"/>
  <c r="R239" i="2"/>
  <c r="R514" i="2"/>
  <c r="R201" i="2"/>
  <c r="R2326" i="2"/>
  <c r="R1501" i="2"/>
  <c r="R2052" i="2"/>
  <c r="R974" i="2"/>
  <c r="R1918" i="2"/>
  <c r="R412" i="2"/>
  <c r="R780" i="2"/>
  <c r="R1188" i="2"/>
  <c r="R472" i="2"/>
  <c r="R297" i="2"/>
  <c r="R963" i="2"/>
  <c r="R593" i="2"/>
  <c r="R97" i="2"/>
  <c r="R1814" i="2"/>
  <c r="R1128" i="2"/>
  <c r="R108" i="2"/>
  <c r="R594" i="2"/>
  <c r="R1995" i="2"/>
  <c r="R1022" i="2"/>
  <c r="R719" i="2"/>
  <c r="R1214" i="2"/>
  <c r="R281" i="2"/>
  <c r="R362" i="2"/>
  <c r="R1435" i="2"/>
  <c r="R1537" i="2"/>
  <c r="R1300" i="2"/>
  <c r="R542" i="2"/>
  <c r="R506" i="2"/>
  <c r="R1627" i="2"/>
  <c r="R587" i="2"/>
  <c r="R1610" i="2"/>
  <c r="R705" i="2"/>
  <c r="R1201" i="2"/>
  <c r="R441" i="2"/>
  <c r="R1091" i="2"/>
  <c r="R649" i="2"/>
  <c r="R1963" i="2"/>
  <c r="R145" i="2"/>
  <c r="R510" i="2"/>
  <c r="R171" i="2"/>
  <c r="R1614" i="2"/>
  <c r="R1746" i="2"/>
  <c r="R918" i="2"/>
  <c r="R390" i="2"/>
  <c r="R2486" i="2"/>
  <c r="R1475" i="2"/>
  <c r="R1072" i="2"/>
  <c r="R520" i="2"/>
  <c r="R1333" i="2"/>
  <c r="R1646" i="2"/>
  <c r="R1624" i="2"/>
  <c r="R1477" i="2"/>
  <c r="R13" i="2"/>
  <c r="R740" i="2"/>
  <c r="R606" i="2"/>
  <c r="R266" i="2"/>
  <c r="R10" i="2"/>
  <c r="R1379" i="2"/>
  <c r="R526" i="2"/>
  <c r="R1307" i="2"/>
  <c r="R728" i="2"/>
  <c r="R103" i="2"/>
  <c r="R1488" i="2"/>
  <c r="R1594" i="2"/>
  <c r="R572" i="2"/>
  <c r="R902" i="2"/>
  <c r="R1579" i="2"/>
  <c r="R1526" i="2"/>
  <c r="R1069" i="2"/>
  <c r="R913" i="2"/>
  <c r="R1347" i="2"/>
  <c r="R1165" i="2"/>
  <c r="R820" i="2"/>
  <c r="R1478" i="2"/>
  <c r="R181" i="2"/>
  <c r="R1968" i="2"/>
  <c r="R1173" i="2"/>
  <c r="R62" i="2"/>
  <c r="R1453" i="2"/>
  <c r="R1518" i="2"/>
  <c r="R575" i="2"/>
  <c r="R1115" i="2"/>
  <c r="R1059" i="2"/>
  <c r="R1037" i="2"/>
  <c r="R994" i="2"/>
  <c r="R685" i="2"/>
  <c r="R1136" i="2"/>
  <c r="R935" i="2"/>
  <c r="R383" i="2"/>
  <c r="R1040" i="2"/>
  <c r="R394" i="2"/>
  <c r="R1553" i="2"/>
  <c r="R119" i="2"/>
  <c r="R1628" i="2"/>
  <c r="R1292" i="2"/>
  <c r="R574" i="2"/>
  <c r="R1552" i="2"/>
  <c r="R1378" i="2"/>
  <c r="R1057" i="2"/>
  <c r="R95" i="2"/>
  <c r="R355" i="2"/>
  <c r="R1113" i="2"/>
  <c r="R671" i="2"/>
  <c r="R801" i="2"/>
  <c r="R939" i="2"/>
  <c r="R525" i="2"/>
  <c r="R828" i="2"/>
  <c r="R1280" i="2"/>
  <c r="R1446" i="2"/>
  <c r="R237" i="2"/>
  <c r="R1259" i="2"/>
  <c r="R598" i="2"/>
  <c r="R495" i="2"/>
  <c r="R2379" i="2"/>
  <c r="R1494" i="2"/>
  <c r="R1838" i="2"/>
  <c r="R414" i="2"/>
  <c r="R999" i="2"/>
  <c r="R1352" i="2"/>
  <c r="R937" i="2"/>
  <c r="R552" i="2"/>
  <c r="R164" i="2"/>
  <c r="R498" i="2"/>
  <c r="R647" i="2"/>
  <c r="R1161" i="2"/>
  <c r="R1246" i="2"/>
  <c r="R821" i="2"/>
  <c r="R538" i="2"/>
  <c r="R512" i="2"/>
  <c r="R488" i="2"/>
  <c r="R543" i="2"/>
  <c r="R1528" i="2"/>
  <c r="R965" i="2"/>
  <c r="R370" i="2"/>
  <c r="R835" i="2"/>
  <c r="R898" i="2"/>
  <c r="R779" i="2"/>
  <c r="R344" i="2"/>
  <c r="R371" i="2"/>
  <c r="R1105" i="2"/>
  <c r="R475" i="2"/>
  <c r="R1294" i="2"/>
  <c r="R1102" i="2"/>
  <c r="R75" i="2"/>
  <c r="R105" i="2"/>
  <c r="R1141" i="2"/>
  <c r="R1282" i="2"/>
  <c r="R660" i="2"/>
  <c r="R55" i="2"/>
  <c r="R1085" i="2"/>
  <c r="R1174" i="2"/>
  <c r="R2262" i="2"/>
  <c r="R1074" i="2"/>
  <c r="R1238" i="2"/>
  <c r="R1854" i="2"/>
  <c r="R997" i="2"/>
  <c r="R1075" i="2"/>
  <c r="R1511" i="2"/>
  <c r="R349" i="2"/>
  <c r="R143" i="2"/>
  <c r="R2614" i="2"/>
  <c r="R270" i="2"/>
  <c r="R1459" i="2"/>
  <c r="R2091" i="2"/>
  <c r="R1581" i="2"/>
  <c r="R1585" i="2"/>
  <c r="R397" i="2"/>
  <c r="R2435" i="2"/>
  <c r="R229" i="2"/>
  <c r="R834" i="2"/>
  <c r="R797" i="2"/>
  <c r="R554" i="2"/>
  <c r="R1591" i="2"/>
  <c r="R258" i="2"/>
  <c r="R513" i="2"/>
  <c r="R582" i="2"/>
  <c r="R1345" i="2"/>
  <c r="R342" i="2"/>
  <c r="R1543" i="2"/>
  <c r="R2038" i="2"/>
  <c r="R1390" i="2"/>
  <c r="R1142" i="2"/>
  <c r="R988" i="2"/>
  <c r="R777" i="2"/>
  <c r="R805" i="2"/>
  <c r="R436" i="2"/>
  <c r="R1149" i="2"/>
  <c r="R746" i="2"/>
  <c r="R1540" i="2"/>
  <c r="R1297" i="2"/>
  <c r="R1370" i="2"/>
  <c r="R1422" i="2"/>
  <c r="R1458" i="2"/>
  <c r="R556" i="2"/>
  <c r="R862" i="2"/>
  <c r="R709" i="2"/>
  <c r="R614" i="2"/>
  <c r="R663" i="2"/>
  <c r="R292" i="2"/>
  <c r="R81" i="2"/>
  <c r="R1274" i="2"/>
  <c r="R410" i="2"/>
  <c r="R1269" i="2"/>
  <c r="R940" i="2"/>
  <c r="R450" i="2"/>
  <c r="R121" i="2"/>
  <c r="R184" i="2"/>
  <c r="R767" i="2"/>
  <c r="R422" i="2"/>
  <c r="R726" i="2"/>
  <c r="R1649" i="2"/>
  <c r="R1556" i="2"/>
  <c r="R1593" i="2"/>
  <c r="R721" i="2"/>
  <c r="R1233" i="2"/>
  <c r="R1377" i="2"/>
  <c r="R333" i="2"/>
  <c r="R992" i="2"/>
  <c r="R1429" i="2"/>
  <c r="R1577" i="2"/>
  <c r="R31" i="2"/>
  <c r="R1331" i="2"/>
  <c r="R1405" i="2"/>
  <c r="R751" i="2"/>
  <c r="R405" i="2"/>
  <c r="R733" i="2"/>
  <c r="R1712" i="2"/>
  <c r="R1376" i="2"/>
  <c r="R69" i="2"/>
  <c r="R240" i="2"/>
  <c r="R1482" i="2"/>
  <c r="R487" i="2"/>
  <c r="R1428" i="2"/>
  <c r="R161" i="2"/>
  <c r="R534" i="2"/>
  <c r="R54" i="2"/>
  <c r="R698" i="2"/>
  <c r="R701" i="2"/>
  <c r="R873" i="2"/>
  <c r="R438" i="2"/>
  <c r="R380" i="2"/>
  <c r="R644" i="2"/>
  <c r="R1640" i="2"/>
  <c r="R291" i="2"/>
  <c r="R1587" i="2"/>
  <c r="R1461" i="2"/>
  <c r="R189" i="2"/>
  <c r="R921" i="2"/>
  <c r="R9" i="2"/>
  <c r="R1570" i="2"/>
  <c r="R630" i="2"/>
  <c r="R327" i="2"/>
  <c r="R177" i="2"/>
  <c r="R386" i="2"/>
  <c r="R469" i="2"/>
  <c r="R1191" i="2"/>
  <c r="R1558" i="2"/>
  <c r="R67" i="2"/>
  <c r="R607" i="2"/>
  <c r="R456" i="2"/>
  <c r="R382" i="2"/>
  <c r="R1455" i="2"/>
  <c r="R617" i="2"/>
  <c r="R323" i="2"/>
  <c r="R1084" i="2"/>
  <c r="R6" i="2"/>
  <c r="R977" i="2"/>
  <c r="R251" i="2"/>
  <c r="R1090" i="2"/>
  <c r="R948" i="2"/>
  <c r="R624" i="2"/>
  <c r="R2251" i="2"/>
  <c r="R755" i="2"/>
  <c r="R926" i="2"/>
  <c r="R1028" i="2"/>
  <c r="R920" i="2"/>
  <c r="R1465" i="2"/>
  <c r="R142" i="2"/>
  <c r="R1417" i="2"/>
  <c r="R1503" i="2"/>
  <c r="R714" i="2"/>
  <c r="R500" i="2"/>
  <c r="R1119" i="2"/>
  <c r="R1563" i="2"/>
  <c r="R1216" i="2"/>
  <c r="R272" i="2"/>
  <c r="R864" i="2"/>
  <c r="R1197" i="2"/>
  <c r="R634" i="2"/>
  <c r="R1334" i="2"/>
  <c r="R560" i="2"/>
  <c r="R63" i="2"/>
  <c r="R1541" i="2"/>
  <c r="R459" i="2"/>
  <c r="R249" i="2"/>
  <c r="R444" i="2"/>
  <c r="R20" i="2"/>
  <c r="R1613" i="2"/>
  <c r="R904" i="2"/>
  <c r="R454" i="2"/>
  <c r="R83" i="2"/>
  <c r="R101" i="2"/>
  <c r="R174" i="2"/>
  <c r="R1403" i="2"/>
  <c r="R1545" i="2"/>
  <c r="R1484" i="2"/>
  <c r="R674" i="2"/>
  <c r="R949" i="2"/>
  <c r="R1513" i="2"/>
  <c r="R2006" i="2"/>
  <c r="R693" i="2"/>
  <c r="R735" i="2"/>
  <c r="R998" i="2"/>
  <c r="R1284" i="2"/>
  <c r="R964" i="2"/>
  <c r="R58" i="2"/>
  <c r="R14" i="2"/>
  <c r="R78" i="2"/>
  <c r="R1380" i="2"/>
  <c r="R1500" i="2"/>
  <c r="R2430" i="2"/>
  <c r="R1651" i="2"/>
  <c r="R1802" i="2"/>
  <c r="R329" i="2"/>
  <c r="R1771" i="2"/>
  <c r="R633" i="2"/>
  <c r="R1021" i="2"/>
  <c r="R1504" i="2"/>
  <c r="R1492" i="2"/>
  <c r="R794" i="2"/>
  <c r="R919" i="2"/>
  <c r="R1420" i="2"/>
  <c r="R1163" i="2"/>
  <c r="R1266" i="2"/>
  <c r="R1053" i="2"/>
  <c r="R1942" i="2"/>
  <c r="R73" i="2"/>
  <c r="R1070" i="2"/>
  <c r="R1547" i="2"/>
  <c r="R2559" i="2"/>
  <c r="R128" i="2"/>
  <c r="R2031" i="2"/>
  <c r="R976" i="2"/>
  <c r="R1012" i="2"/>
  <c r="R518" i="2"/>
  <c r="R602" i="2"/>
  <c r="R2123" i="2"/>
  <c r="R293" i="2"/>
  <c r="R485" i="2"/>
  <c r="R1296" i="2"/>
  <c r="R1381" i="2"/>
  <c r="R1588" i="2"/>
  <c r="R727" i="2"/>
  <c r="R876" i="2"/>
  <c r="R1568" i="2"/>
  <c r="R278" i="2"/>
  <c r="R2490" i="2"/>
  <c r="R168" i="2"/>
  <c r="R657" i="2"/>
  <c r="R1211" i="2"/>
  <c r="R811" i="2"/>
  <c r="R1438" i="2"/>
  <c r="R2396" i="2"/>
  <c r="R826" i="2"/>
  <c r="R70" i="2"/>
  <c r="R211" i="2"/>
  <c r="R1578" i="2"/>
  <c r="R2294" i="2"/>
  <c r="R53" i="2"/>
  <c r="R627" i="2"/>
  <c r="R1289" i="2"/>
  <c r="R1456" i="2"/>
  <c r="R1466" i="2"/>
  <c r="R1564" i="2"/>
  <c r="R1017" i="2"/>
  <c r="R150" i="2"/>
  <c r="R802" i="2"/>
  <c r="R535" i="2"/>
  <c r="R1638" i="2"/>
  <c r="R455" i="2"/>
  <c r="R1408" i="2"/>
  <c r="R111" i="2"/>
  <c r="R1319" i="2"/>
  <c r="R157" i="2"/>
  <c r="R24" i="2"/>
  <c r="R527" i="2"/>
  <c r="R1410" i="2"/>
  <c r="R1462" i="2"/>
  <c r="R430" i="2"/>
  <c r="R1129" i="2"/>
  <c r="R1030" i="2"/>
  <c r="R1818" i="2"/>
  <c r="R1285" i="2"/>
  <c r="R941" i="2"/>
  <c r="R1151" i="2"/>
  <c r="R219" i="2"/>
  <c r="R1299" i="2"/>
  <c r="R1571" i="2"/>
  <c r="R226" i="2"/>
  <c r="R764" i="2"/>
  <c r="R924" i="2"/>
  <c r="R180" i="2"/>
  <c r="R982" i="2"/>
  <c r="R1098" i="2"/>
  <c r="R420" i="2"/>
  <c r="R1054" i="2"/>
  <c r="R59" i="2"/>
  <c r="R339" i="2"/>
  <c r="R1603" i="2"/>
  <c r="R1753" i="2"/>
  <c r="R1357" i="2"/>
  <c r="R1110" i="2"/>
  <c r="R1088" i="2"/>
  <c r="R1301" i="2"/>
  <c r="R818" i="2"/>
  <c r="R166" i="2"/>
  <c r="R529" i="2"/>
  <c r="R379" i="2"/>
  <c r="R1126" i="2"/>
  <c r="R1114" i="2"/>
  <c r="R234" i="2"/>
  <c r="R435" i="2"/>
  <c r="R378" i="2"/>
  <c r="R1203" i="2"/>
  <c r="R511" i="2"/>
  <c r="R162" i="2"/>
  <c r="R35" i="2"/>
  <c r="R123" i="2"/>
  <c r="R540" i="2"/>
  <c r="R661" i="2"/>
  <c r="R1323" i="2"/>
  <c r="R1604" i="2"/>
  <c r="R1011" i="2"/>
  <c r="R395" i="2"/>
  <c r="R842" i="2"/>
  <c r="R914" i="2"/>
  <c r="R303" i="2"/>
  <c r="R1162" i="2"/>
  <c r="R1192" i="2"/>
  <c r="R408" i="2"/>
  <c r="R619" i="2"/>
  <c r="R146" i="2"/>
  <c r="R215" i="2"/>
  <c r="R936" i="2"/>
  <c r="R1582" i="2"/>
  <c r="R613" i="2"/>
  <c r="R289" i="2"/>
  <c r="R1199" i="2"/>
  <c r="R159" i="2"/>
  <c r="R39" i="2"/>
  <c r="R212" i="2"/>
  <c r="R434" i="2"/>
  <c r="R1265" i="2"/>
  <c r="R1498" i="2"/>
  <c r="R770" i="2"/>
  <c r="R903" i="2"/>
  <c r="R16" i="2"/>
  <c r="R76" i="2"/>
  <c r="R178" i="2"/>
  <c r="R1400" i="2"/>
  <c r="R68" i="2"/>
  <c r="R531" i="2"/>
  <c r="R1734" i="2"/>
  <c r="R1235" i="2"/>
  <c r="R1424" i="2"/>
  <c r="R1160" i="2"/>
  <c r="R374" i="2"/>
  <c r="R1179" i="2"/>
  <c r="R775" i="2"/>
  <c r="R22" i="2"/>
  <c r="R638" i="2"/>
  <c r="R1117" i="2"/>
  <c r="R547" i="2"/>
  <c r="R1321" i="2"/>
  <c r="R277" i="2"/>
  <c r="R27" i="2"/>
  <c r="R970" i="2"/>
  <c r="R1230" i="2"/>
  <c r="R1052" i="2"/>
  <c r="R872" i="2"/>
  <c r="R1434" i="2"/>
  <c r="R1489" i="2"/>
  <c r="R703" i="2"/>
  <c r="R1071" i="2"/>
  <c r="R631" i="2"/>
  <c r="R301" i="2"/>
  <c r="R1472" i="2"/>
  <c r="R855" i="2"/>
  <c r="R503" i="2"/>
  <c r="R1157" i="2"/>
  <c r="R1062" i="2"/>
  <c r="R748" i="2"/>
  <c r="R1473" i="2"/>
  <c r="R419" i="2"/>
  <c r="R1121" i="2"/>
  <c r="R47" i="2"/>
  <c r="R1597" i="2"/>
  <c r="R522" i="2"/>
  <c r="R407" i="2"/>
  <c r="R57" i="2"/>
  <c r="R932" i="2"/>
  <c r="R154" i="2"/>
  <c r="R367" i="2"/>
  <c r="R1076" i="2"/>
  <c r="R1025" i="2"/>
  <c r="R312" i="2"/>
  <c r="R1293" i="2"/>
  <c r="R1354" i="2"/>
  <c r="R1217" i="2"/>
  <c r="R658" i="2"/>
  <c r="R1590" i="2"/>
  <c r="R431" i="2"/>
  <c r="R699" i="2"/>
  <c r="R214" i="2"/>
  <c r="R1469" i="2"/>
  <c r="R43" i="2"/>
  <c r="R217" i="2"/>
  <c r="R1082" i="2"/>
  <c r="R358" i="2"/>
  <c r="R331" i="2"/>
  <c r="R66" i="2"/>
  <c r="R504" i="2"/>
  <c r="R233" i="2"/>
  <c r="R1018" i="2"/>
  <c r="R228" i="2"/>
  <c r="R87" i="2"/>
  <c r="R814" i="2"/>
  <c r="R791" i="2"/>
  <c r="R975" i="2"/>
  <c r="R8" i="2"/>
  <c r="R683" i="2"/>
  <c r="R608" i="2"/>
  <c r="R1580" i="2"/>
  <c r="R1451" i="2"/>
  <c r="R416" i="2"/>
  <c r="R190" i="2"/>
  <c r="R136" i="2"/>
  <c r="R276" i="2"/>
  <c r="R286" i="2"/>
  <c r="R1261" i="2"/>
  <c r="R1044" i="2"/>
  <c r="R762" i="2"/>
  <c r="R1308" i="2"/>
  <c r="R462" i="2"/>
  <c r="R892" i="2"/>
  <c r="R417" i="2"/>
  <c r="R1155" i="2"/>
  <c r="R1209" i="2"/>
  <c r="R15" i="2"/>
  <c r="R1416" i="2"/>
  <c r="R359" i="2"/>
  <c r="R1583" i="2"/>
  <c r="R884" i="2"/>
  <c r="R956" i="2"/>
  <c r="R1602" i="2"/>
  <c r="R889" i="2"/>
  <c r="R348" i="2"/>
  <c r="R1144" i="2"/>
  <c r="R96" i="2"/>
  <c r="R812" i="2"/>
  <c r="R571" i="2"/>
  <c r="R1302" i="2"/>
  <c r="R1318" i="2"/>
  <c r="R720" i="2"/>
  <c r="R1241" i="2"/>
  <c r="R231" i="2"/>
  <c r="R548" i="2"/>
  <c r="R411" i="2"/>
  <c r="R861" i="2"/>
  <c r="R246" i="2"/>
  <c r="R1493" i="2"/>
  <c r="R1542" i="2"/>
  <c r="R1112" i="2"/>
  <c r="R1186" i="2"/>
  <c r="R1073" i="2"/>
  <c r="R295" i="2"/>
  <c r="R28" i="2"/>
  <c r="R694" i="2"/>
  <c r="R1311" i="2"/>
  <c r="R32" i="2"/>
  <c r="R731" i="2"/>
  <c r="R315" i="2"/>
  <c r="R1397" i="2"/>
  <c r="R34" i="2"/>
  <c r="R490" i="2"/>
  <c r="R130" i="2"/>
  <c r="R387" i="2"/>
  <c r="R224" i="2"/>
  <c r="R1033" i="2"/>
  <c r="R1641" i="2"/>
  <c r="R958" i="2"/>
  <c r="R51" i="2"/>
  <c r="R651" i="2"/>
  <c r="R808" i="2"/>
  <c r="R1362" i="2"/>
  <c r="R1227" i="2"/>
  <c r="R910" i="2"/>
  <c r="R1407" i="2"/>
  <c r="R859" i="2"/>
  <c r="R98" i="2"/>
  <c r="R825" i="2"/>
  <c r="R738" i="2"/>
  <c r="R88" i="2"/>
  <c r="R1316" i="2"/>
  <c r="R172" i="2"/>
  <c r="R1340" i="2"/>
  <c r="R1013" i="2"/>
  <c r="R1467" i="2"/>
  <c r="R716" i="2"/>
  <c r="R599" i="2"/>
  <c r="R809" i="2"/>
  <c r="R875" i="2"/>
  <c r="R1611" i="2"/>
  <c r="R1220" i="2"/>
  <c r="R1198" i="2"/>
  <c r="R933" i="2"/>
  <c r="R445" i="2"/>
  <c r="R302" i="2"/>
  <c r="R1249" i="2"/>
  <c r="R600" i="2"/>
  <c r="R183" i="2"/>
  <c r="R544" i="2"/>
  <c r="R850" i="2"/>
  <c r="R1001" i="2"/>
  <c r="R279" i="2"/>
  <c r="R194" i="2"/>
  <c r="R849" i="2"/>
  <c r="R620" i="2"/>
  <c r="R980" i="2"/>
  <c r="R750" i="2"/>
  <c r="R865" i="2"/>
  <c r="R931" i="2"/>
  <c r="R773" i="2"/>
  <c r="R494" i="2"/>
  <c r="R706" i="2"/>
  <c r="R1081" i="2"/>
  <c r="R44" i="2"/>
  <c r="R516" i="2"/>
  <c r="R137" i="2"/>
  <c r="R1067" i="2"/>
  <c r="R1389" i="2"/>
  <c r="R1159" i="2"/>
  <c r="R1491" i="2"/>
  <c r="R1093" i="2"/>
  <c r="R271" i="2"/>
  <c r="R80" i="2"/>
  <c r="R1132" i="2"/>
  <c r="R1234" i="2"/>
  <c r="R951" i="2"/>
  <c r="R1575" i="2"/>
  <c r="R795" i="2"/>
  <c r="R952" i="2"/>
  <c r="R42" i="2"/>
  <c r="R687" i="2"/>
  <c r="R803" i="2"/>
  <c r="R1277" i="2"/>
  <c r="R151" i="2"/>
  <c r="R133" i="2"/>
  <c r="R672" i="2"/>
  <c r="R388" i="2"/>
  <c r="R230" i="2"/>
  <c r="R19" i="2"/>
  <c r="R1024" i="2"/>
  <c r="R1083" i="2"/>
  <c r="R163" i="2"/>
  <c r="R1004" i="2"/>
  <c r="R928" i="2"/>
  <c r="R30" i="2"/>
  <c r="R800" i="2"/>
  <c r="R897" i="2"/>
  <c r="R360" i="2"/>
  <c r="R945" i="2"/>
  <c r="R37" i="2"/>
  <c r="R1606" i="2"/>
  <c r="R656" i="2"/>
  <c r="R242" i="2"/>
  <c r="R403" i="2"/>
  <c r="R588" i="2"/>
  <c r="R474" i="2"/>
  <c r="R336" i="2"/>
  <c r="R786" i="2"/>
  <c r="R1225" i="2"/>
  <c r="R1411" i="2"/>
  <c r="R551" i="2"/>
  <c r="R1196" i="2"/>
  <c r="R1517" i="2"/>
  <c r="R1527" i="2"/>
  <c r="R275" i="2"/>
  <c r="R787" i="2"/>
  <c r="R915" i="2"/>
  <c r="R273" i="2"/>
  <c r="R463" i="2"/>
  <c r="R104" i="2"/>
  <c r="R711" i="2"/>
  <c r="R678" i="2"/>
  <c r="R957" i="2"/>
  <c r="R3" i="2"/>
  <c r="R1574" i="2"/>
  <c r="R294" i="2"/>
  <c r="R318" i="2"/>
  <c r="R160" i="2"/>
  <c r="R1386" i="2"/>
  <c r="R263" i="2"/>
  <c r="R1625" i="2"/>
  <c r="R1328" i="2"/>
  <c r="R241" i="2"/>
  <c r="R1077" i="2"/>
  <c r="R7" i="2"/>
  <c r="R1264" i="2"/>
  <c r="R686" i="2"/>
  <c r="R1187" i="2"/>
  <c r="R1306" i="2"/>
  <c r="R776" i="2"/>
  <c r="R1205" i="2"/>
  <c r="R1167" i="2"/>
  <c r="R363" i="2"/>
  <c r="R124" i="2"/>
  <c r="R324" i="2"/>
  <c r="R618" i="2"/>
  <c r="R756" i="2"/>
  <c r="R1445" i="2"/>
  <c r="R810" i="2"/>
  <c r="R1589" i="2"/>
  <c r="R1419" i="2"/>
  <c r="R984" i="2"/>
  <c r="R330" i="2"/>
  <c r="R134" i="2"/>
  <c r="R968" i="2"/>
  <c r="R1388" i="2"/>
  <c r="R742" i="2"/>
  <c r="R1229" i="2"/>
  <c r="R1426" i="2"/>
  <c r="R807" i="2"/>
  <c r="R280" i="2"/>
  <c r="R596" i="2"/>
  <c r="R82" i="2"/>
  <c r="R961" i="2"/>
  <c r="R1515" i="2"/>
  <c r="R261" i="2"/>
  <c r="R1460" i="2"/>
  <c r="R844" i="2"/>
  <c r="R71" i="2"/>
  <c r="R655" i="2"/>
  <c r="R591" i="2"/>
  <c r="R1565" i="2"/>
  <c r="R911" i="2"/>
  <c r="R304" i="2"/>
  <c r="R116" i="2"/>
  <c r="R337" i="2"/>
  <c r="R1158" i="2"/>
  <c r="R1372" i="2"/>
  <c r="R944" i="2"/>
  <c r="R90" i="2"/>
  <c r="R1457" i="2"/>
  <c r="R1064" i="2"/>
  <c r="R332" i="2"/>
  <c r="R447" i="2"/>
  <c r="R667" i="2"/>
  <c r="R1009" i="2"/>
  <c r="R1508" i="2"/>
  <c r="R929" i="2"/>
  <c r="R308" i="2"/>
  <c r="R1253" i="2"/>
  <c r="R1138" i="2"/>
  <c r="R347" i="2"/>
  <c r="R307" i="2"/>
  <c r="R1101" i="2"/>
  <c r="R135" i="2"/>
  <c r="R785" i="2"/>
  <c r="R867" i="2"/>
  <c r="R754" i="2"/>
  <c r="R891" i="2"/>
  <c r="R84" i="2"/>
  <c r="R899" i="2"/>
  <c r="R813" i="2"/>
  <c r="R1218" i="2"/>
  <c r="R1433" i="2"/>
  <c r="R99" i="2"/>
  <c r="R169" i="2"/>
  <c r="R296" i="2"/>
  <c r="R100" i="2"/>
  <c r="R260" i="2"/>
  <c r="R1533" i="2"/>
  <c r="R622" i="2"/>
  <c r="R1443" i="2"/>
  <c r="R942" i="2"/>
  <c r="R1100" i="2"/>
  <c r="R392" i="2"/>
  <c r="R806" i="2"/>
  <c r="R1412" i="2"/>
  <c r="R468" i="2"/>
  <c r="R225" i="2"/>
  <c r="R1413" i="2"/>
  <c r="R1361" i="2"/>
  <c r="R451" i="2"/>
  <c r="R346" i="2"/>
  <c r="R832" i="2"/>
  <c r="R858" i="2"/>
  <c r="R1551" i="2"/>
  <c r="R1335" i="2"/>
  <c r="R515" i="2"/>
  <c r="R1239" i="2"/>
  <c r="R173" i="2"/>
  <c r="R1592" i="2"/>
  <c r="R227" i="2"/>
  <c r="R442" i="2"/>
  <c r="R262" i="2"/>
  <c r="R696" i="2"/>
  <c r="R562" i="2"/>
  <c r="R466" i="2"/>
  <c r="R579" i="2"/>
  <c r="R167" i="2"/>
  <c r="R550" i="2"/>
  <c r="R1045" i="2"/>
  <c r="R1029" i="2"/>
  <c r="R611" i="2"/>
  <c r="R523" i="2"/>
  <c r="R1066" i="2"/>
  <c r="R1047" i="2"/>
  <c r="R484" i="2"/>
  <c r="R384" i="2"/>
  <c r="R837" i="2"/>
  <c r="R625" i="2"/>
  <c r="R290" i="2"/>
  <c r="R1180" i="2"/>
  <c r="R467" i="2"/>
  <c r="R609" i="2"/>
  <c r="R148" i="2"/>
  <c r="R1275" i="2"/>
  <c r="R1153" i="2"/>
  <c r="R747" i="2"/>
  <c r="R890" i="2"/>
  <c r="R1409" i="2"/>
  <c r="R1023" i="2"/>
  <c r="R626" i="2"/>
  <c r="R729" i="2"/>
  <c r="R1143" i="2"/>
  <c r="R1215" i="2"/>
  <c r="R107" i="2"/>
  <c r="R404" i="2"/>
  <c r="R1637" i="2"/>
  <c r="R11" i="2"/>
  <c r="R1016" i="2"/>
  <c r="R418" i="2"/>
  <c r="R152" i="2"/>
  <c r="R558" i="2"/>
  <c r="R86" i="2"/>
  <c r="R1002" i="2"/>
  <c r="R1633" i="2"/>
  <c r="R753" i="2"/>
  <c r="R115" i="2"/>
  <c r="R396" i="2"/>
  <c r="R45" i="2"/>
  <c r="R969" i="2"/>
  <c r="R1626" i="2"/>
  <c r="R222" i="2"/>
  <c r="R1304" i="2"/>
  <c r="R909" i="2"/>
  <c r="R1254" i="2"/>
  <c r="R702" i="2"/>
  <c r="R1510" i="2"/>
  <c r="R2198" i="2"/>
  <c r="R1421" i="2"/>
  <c r="R670" i="2"/>
  <c r="R195" i="2"/>
  <c r="R1251" i="2"/>
  <c r="R252" i="2"/>
  <c r="R1236" i="2"/>
  <c r="R1436" i="2"/>
  <c r="R985" i="2"/>
  <c r="R708" i="2"/>
  <c r="R236" i="2"/>
  <c r="R1598" i="2"/>
  <c r="R1561" i="2"/>
  <c r="R799" i="2"/>
  <c r="R18" i="2"/>
  <c r="R759" i="2"/>
  <c r="R499" i="2"/>
  <c r="R478" i="2"/>
  <c r="R1139" i="2"/>
  <c r="R1014" i="2"/>
  <c r="R1616" i="2"/>
  <c r="R684" i="2"/>
  <c r="R953" i="2"/>
  <c r="R894" i="2"/>
  <c r="R56" i="2"/>
  <c r="R399" i="2"/>
  <c r="R1486" i="2"/>
  <c r="R491" i="2"/>
  <c r="R1546" i="2"/>
  <c r="R1337" i="2"/>
  <c r="R636" i="2"/>
  <c r="R528" i="2"/>
  <c r="R880" i="2"/>
  <c r="R856" i="2"/>
  <c r="R265" i="2"/>
  <c r="R840" i="2"/>
  <c r="R1276" i="2"/>
  <c r="R1350" i="2"/>
  <c r="R1268" i="2"/>
  <c r="R112" i="2"/>
  <c r="R138" i="2"/>
  <c r="R114" i="2"/>
  <c r="R1042" i="2"/>
  <c r="R213" i="2"/>
  <c r="R966" i="2"/>
  <c r="R345" i="2"/>
  <c r="R896" i="2"/>
  <c r="R52" i="2"/>
  <c r="R1061" i="2"/>
  <c r="R507" i="2"/>
  <c r="R1647" i="2"/>
  <c r="R1221" i="2"/>
  <c r="R784" i="2"/>
  <c r="R1133" i="2"/>
  <c r="R668" i="2"/>
  <c r="R559" i="2"/>
  <c r="R1330" i="2"/>
  <c r="R1391" i="2"/>
  <c r="R887" i="2"/>
  <c r="R1359" i="2"/>
  <c r="R1399" i="2"/>
  <c r="R1485" i="2"/>
  <c r="R2395" i="2"/>
  <c r="R1414" i="2"/>
  <c r="R1774" i="2"/>
  <c r="R220" i="2"/>
  <c r="R623" i="2"/>
  <c r="R585" i="2"/>
  <c r="R38" i="2"/>
  <c r="R50" i="2"/>
  <c r="R391" i="2"/>
  <c r="R1049" i="2"/>
  <c r="R646" i="2"/>
  <c r="R423" i="2"/>
  <c r="R695" i="2"/>
  <c r="R1194" i="2"/>
  <c r="R1145" i="2"/>
  <c r="R232" i="2"/>
  <c r="R285" i="2"/>
  <c r="R426" i="2"/>
  <c r="R1364" i="2"/>
  <c r="R772" i="2"/>
  <c r="R429" i="2"/>
  <c r="R1523" i="2"/>
  <c r="R1623" i="2"/>
  <c r="R563" i="2"/>
  <c r="R205" i="2"/>
  <c r="R476" i="2"/>
  <c r="R4" i="2"/>
  <c r="R351" i="2"/>
  <c r="R284" i="2"/>
  <c r="R481" i="2"/>
  <c r="R1600" i="2"/>
  <c r="R428" i="2"/>
  <c r="R1169" i="2"/>
  <c r="R734" i="2"/>
  <c r="R406" i="2"/>
  <c r="R1529" i="2"/>
  <c r="R482" i="2"/>
  <c r="R564" i="2"/>
  <c r="R860" i="2"/>
  <c r="R760" i="2"/>
  <c r="R1095" i="2"/>
  <c r="R691" i="2"/>
  <c r="R1402" i="2"/>
  <c r="R368" i="2"/>
  <c r="R871" i="2"/>
  <c r="R433" i="2"/>
  <c r="R1007" i="2"/>
  <c r="R238" i="2"/>
  <c r="R1035" i="2"/>
  <c r="R216" i="2"/>
  <c r="R415" i="2"/>
  <c r="R1398" i="2"/>
  <c r="R1124" i="2"/>
  <c r="R798" i="2"/>
  <c r="R492" i="2"/>
  <c r="R1599" i="2"/>
  <c r="R41" i="2"/>
  <c r="R739" i="2"/>
  <c r="R432" i="2"/>
  <c r="R253" i="2"/>
  <c r="R1206" i="2"/>
  <c r="R1522" i="2"/>
  <c r="R1532" i="2"/>
  <c r="R595" i="2"/>
  <c r="R40" i="2"/>
  <c r="R1313" i="2"/>
  <c r="R1353" i="2"/>
  <c r="R879" i="2"/>
  <c r="R1208" i="2"/>
  <c r="R1468" i="2"/>
  <c r="R1605" i="2"/>
  <c r="R524" i="2"/>
  <c r="R845" i="2"/>
  <c r="R666" i="2"/>
  <c r="R788" i="2"/>
  <c r="R1791" i="2"/>
  <c r="R722" i="2"/>
  <c r="R1396" i="2"/>
  <c r="R1609" i="2"/>
  <c r="R1096" i="2"/>
  <c r="R1193" i="2"/>
  <c r="R632" i="2"/>
  <c r="R470" i="2"/>
  <c r="R1520" i="2"/>
  <c r="R707" i="2"/>
  <c r="R1244" i="2"/>
  <c r="R338" i="2"/>
  <c r="R2224" i="2"/>
  <c r="R248" i="2"/>
  <c r="R815" i="2"/>
  <c r="R1232" i="2"/>
  <c r="R64" i="2"/>
  <c r="R586" i="2"/>
  <c r="R569" i="2"/>
  <c r="R1557" i="2"/>
  <c r="R833" i="2"/>
  <c r="R477" i="2"/>
  <c r="R869" i="2"/>
  <c r="R185" i="2"/>
  <c r="R704" i="2"/>
  <c r="R502" i="2"/>
  <c r="R202" i="2"/>
  <c r="R615" i="2"/>
  <c r="R1496" i="2"/>
  <c r="R182" i="2"/>
  <c r="R1618" i="2"/>
  <c r="R1273" i="2"/>
  <c r="R243" i="2"/>
  <c r="R1544" i="2"/>
  <c r="R648" i="2"/>
  <c r="R310" i="2"/>
  <c r="R427" i="2"/>
  <c r="R989" i="2"/>
  <c r="R765" i="2"/>
  <c r="R94" i="2"/>
  <c r="R570" i="2"/>
  <c r="R385" i="2"/>
  <c r="R539" i="2"/>
  <c r="R320" i="2"/>
  <c r="R250" i="2"/>
  <c r="R1210" i="2"/>
  <c r="R737" i="2"/>
  <c r="R1448" i="2"/>
  <c r="R752" i="2"/>
  <c r="R1534" i="2"/>
  <c r="R1256" i="2"/>
  <c r="R576" i="2"/>
  <c r="R1431" i="2"/>
  <c r="R1148" i="2"/>
  <c r="R440" i="2"/>
  <c r="R1150" i="2"/>
  <c r="R906" i="2"/>
  <c r="R1006" i="2"/>
  <c r="R847" i="2"/>
  <c r="R175" i="2"/>
  <c r="R852" i="2"/>
  <c r="R715" i="2"/>
  <c r="R682" i="2"/>
  <c r="R1181" i="2"/>
  <c r="R1479" i="2"/>
  <c r="R480" i="2"/>
  <c r="R483" i="2"/>
  <c r="R464" i="2"/>
  <c r="R1754" i="2"/>
  <c r="R298" i="2"/>
  <c r="R912" i="2"/>
  <c r="R155" i="2"/>
  <c r="R126" i="2"/>
  <c r="R610" i="2"/>
  <c r="R200" i="2"/>
  <c r="R1505" i="2"/>
  <c r="R659" i="2"/>
  <c r="R1450" i="2"/>
  <c r="M10" i="2"/>
  <c r="M299" i="2"/>
  <c r="M376" i="2"/>
  <c r="M564" i="2"/>
  <c r="M186" i="2"/>
  <c r="M483" i="2"/>
  <c r="M278" i="2"/>
  <c r="M255" i="2"/>
  <c r="M30" i="2"/>
  <c r="M53" i="2"/>
  <c r="M571" i="2"/>
  <c r="M91" i="2"/>
  <c r="M580" i="2"/>
  <c r="M241" i="2"/>
  <c r="M449" i="2"/>
  <c r="M526" i="2"/>
  <c r="M64" i="2"/>
  <c r="M434" i="2"/>
  <c r="M586" i="2"/>
  <c r="M372" i="2"/>
  <c r="M287" i="2"/>
  <c r="M430" i="2"/>
  <c r="M35" i="2"/>
  <c r="M301" i="2"/>
  <c r="M428" i="2"/>
  <c r="M558" i="2"/>
  <c r="M582" i="2"/>
  <c r="M392" i="2"/>
  <c r="M246" i="2"/>
  <c r="M267" i="2"/>
  <c r="M602" i="2"/>
  <c r="M481" i="2"/>
  <c r="M420" i="2"/>
  <c r="M319" i="2"/>
  <c r="M346" i="2"/>
  <c r="M136" i="2"/>
  <c r="M440" i="2"/>
  <c r="M56" i="2"/>
  <c r="M194" i="2"/>
  <c r="M328" i="2"/>
  <c r="M358" i="2"/>
  <c r="M486" i="2"/>
  <c r="M4" i="2"/>
  <c r="M228" i="2"/>
  <c r="M535" i="2"/>
  <c r="M248" i="2"/>
  <c r="M187" i="2"/>
  <c r="M330" i="2"/>
  <c r="M182" i="2"/>
  <c r="M140" i="2"/>
  <c r="M296" i="2"/>
  <c r="M344" i="2"/>
  <c r="M84" i="2"/>
  <c r="M462" i="2"/>
  <c r="M168" i="2"/>
  <c r="M335" i="2"/>
  <c r="M270" i="2"/>
  <c r="M408" i="2"/>
  <c r="M74" i="2"/>
  <c r="M269" i="2"/>
  <c r="M509" i="2"/>
  <c r="M450" i="2"/>
  <c r="M406" i="2"/>
  <c r="M387" i="2"/>
  <c r="M97" i="2"/>
  <c r="M85" i="2"/>
  <c r="M519" i="2"/>
  <c r="M400" i="2"/>
  <c r="M39" i="2"/>
  <c r="M345" i="2"/>
  <c r="M36" i="2"/>
  <c r="M427" i="2"/>
  <c r="M389" i="2"/>
  <c r="M169" i="2"/>
  <c r="M441" i="2"/>
  <c r="M100" i="2"/>
  <c r="M491" i="2"/>
  <c r="M421" i="2"/>
  <c r="M201" i="2"/>
  <c r="M265" i="2"/>
  <c r="M534" i="2"/>
  <c r="M512" i="2"/>
  <c r="M175" i="2"/>
  <c r="M223" i="2"/>
  <c r="M145" i="2"/>
  <c r="M211" i="2"/>
  <c r="M593" i="2"/>
  <c r="M243" i="2"/>
  <c r="M105" i="2"/>
  <c r="M595" i="2"/>
  <c r="M206" i="2"/>
  <c r="M196" i="2"/>
  <c r="M576" i="2"/>
  <c r="M202" i="2"/>
  <c r="M527" i="2"/>
  <c r="M594" i="2"/>
  <c r="M156" i="2"/>
  <c r="M466" i="2"/>
  <c r="M606" i="2"/>
  <c r="M542" i="2"/>
  <c r="M87" i="2"/>
  <c r="M260" i="2"/>
  <c r="M497" i="2"/>
  <c r="M577" i="2"/>
  <c r="M308" i="2"/>
  <c r="M86" i="2"/>
  <c r="M128" i="2"/>
  <c r="M291" i="2"/>
  <c r="M356" i="2"/>
  <c r="M150" i="2"/>
  <c r="M343" i="2"/>
  <c r="M371" i="2"/>
  <c r="M158" i="2"/>
  <c r="M170" i="2"/>
  <c r="M603" i="2"/>
  <c r="M581" i="2"/>
  <c r="M436" i="2"/>
  <c r="M77" i="2"/>
  <c r="M45" i="2"/>
  <c r="M429" i="2"/>
  <c r="M88" i="2"/>
  <c r="M423" i="2"/>
  <c r="M417" i="2"/>
  <c r="M410" i="2"/>
  <c r="M83" i="2"/>
  <c r="M342" i="2"/>
  <c r="M465" i="2"/>
  <c r="M95" i="2"/>
  <c r="M553" i="2"/>
  <c r="M469" i="2"/>
  <c r="M73" i="2"/>
  <c r="M252" i="2"/>
  <c r="M545" i="2"/>
  <c r="M422" i="2"/>
  <c r="M419" i="2"/>
  <c r="M176" i="2"/>
  <c r="M397" i="2"/>
  <c r="M533" i="2"/>
  <c r="M40" i="2"/>
  <c r="M479" i="2"/>
  <c r="M76" i="2"/>
  <c r="M306" i="2"/>
  <c r="M114" i="2"/>
  <c r="M503" i="2"/>
  <c r="M379" i="2"/>
  <c r="M148" i="2"/>
  <c r="M320" i="2"/>
  <c r="M157" i="2"/>
  <c r="M598" i="2"/>
  <c r="M453" i="2"/>
  <c r="M233" i="2"/>
  <c r="M505" i="2"/>
  <c r="M189" i="2"/>
  <c r="M574" i="2"/>
  <c r="M485" i="2"/>
  <c r="M165" i="2"/>
  <c r="M107" i="2"/>
  <c r="M474" i="2"/>
  <c r="M501" i="2"/>
  <c r="M508" i="2"/>
  <c r="M44" i="2"/>
  <c r="M587" i="2"/>
  <c r="M523" i="2"/>
  <c r="M347" i="2"/>
  <c r="M147" i="2"/>
  <c r="M257" i="2"/>
  <c r="M334" i="2"/>
  <c r="M284" i="2"/>
  <c r="M75" i="2"/>
  <c r="M153" i="2"/>
  <c r="M565" i="2"/>
  <c r="M572" i="2"/>
  <c r="M525" i="2"/>
  <c r="M292" i="2"/>
  <c r="M444" i="2"/>
  <c r="M464" i="2"/>
  <c r="M26" i="2"/>
  <c r="M554" i="2"/>
  <c r="M588" i="2"/>
  <c r="M220" i="2"/>
  <c r="M559" i="2"/>
  <c r="M19" i="2"/>
  <c r="M48" i="2"/>
  <c r="M21" i="2"/>
  <c r="M286" i="2"/>
  <c r="M109" i="2"/>
  <c r="M274" i="2"/>
  <c r="M164" i="2"/>
  <c r="M96" i="2"/>
  <c r="M266" i="2"/>
  <c r="M149" i="2"/>
  <c r="M31" i="2"/>
  <c r="M276" i="2"/>
  <c r="M280" i="2"/>
  <c r="M575" i="2"/>
  <c r="M120" i="2"/>
  <c r="M204" i="2"/>
  <c r="M463" i="2"/>
  <c r="M314" i="2"/>
  <c r="M203" i="2"/>
  <c r="M495" i="2"/>
  <c r="M219" i="2"/>
  <c r="M32" i="2"/>
  <c r="M471" i="2"/>
  <c r="M47" i="2"/>
  <c r="M166" i="2"/>
  <c r="M340" i="2"/>
  <c r="M355" i="2"/>
  <c r="M487" i="2"/>
  <c r="M108" i="2"/>
  <c r="M240" i="2"/>
  <c r="M472" i="2"/>
  <c r="M28" i="2"/>
  <c r="M359" i="2"/>
  <c r="M563" i="2"/>
  <c r="M369" i="2"/>
  <c r="M541" i="2"/>
  <c r="M216" i="2"/>
  <c r="M556" i="2"/>
  <c r="M573" i="2"/>
  <c r="M277" i="2"/>
  <c r="M384" i="2"/>
  <c r="M221" i="2"/>
  <c r="M7" i="2"/>
  <c r="M518" i="2"/>
  <c r="M297" i="2"/>
  <c r="M352" i="2"/>
  <c r="M253" i="2"/>
  <c r="M71" i="2"/>
  <c r="M492" i="2"/>
  <c r="M329" i="2"/>
  <c r="M416" i="2"/>
  <c r="M52" i="2"/>
  <c r="M393" i="2"/>
  <c r="M513" i="2"/>
  <c r="M499" i="2"/>
  <c r="M381" i="2"/>
  <c r="M124" i="2"/>
  <c r="M281" i="2"/>
  <c r="M482" i="2"/>
  <c r="M49" i="2"/>
  <c r="M333" i="2"/>
  <c r="M184" i="2"/>
  <c r="M139" i="2"/>
  <c r="M195" i="2"/>
  <c r="M367" i="2"/>
  <c r="M592" i="2"/>
  <c r="M537" i="2"/>
  <c r="M507" i="2"/>
  <c r="M551" i="2"/>
  <c r="M141" i="2"/>
  <c r="M227" i="2"/>
  <c r="M213" i="2"/>
  <c r="M380" i="2"/>
  <c r="M214" i="2"/>
  <c r="M43" i="2"/>
  <c r="M38" i="2"/>
  <c r="M539" i="2"/>
  <c r="M92" i="2"/>
  <c r="M256" i="2"/>
  <c r="M520" i="2"/>
  <c r="M360" i="2"/>
  <c r="M251" i="2"/>
  <c r="M122" i="2"/>
  <c r="M322" i="2"/>
  <c r="M414" i="2"/>
  <c r="M494" i="2"/>
  <c r="M190" i="2"/>
  <c r="M142" i="2"/>
  <c r="M543" i="2"/>
  <c r="M350" i="2"/>
  <c r="M161" i="2"/>
  <c r="M279" i="2"/>
  <c r="M552" i="2"/>
  <c r="M310" i="2"/>
  <c r="M401" i="2"/>
  <c r="M468" i="2"/>
  <c r="M589" i="2"/>
  <c r="M373" i="2"/>
  <c r="M16" i="2"/>
  <c r="M63" i="2"/>
  <c r="M378" i="2"/>
  <c r="M112" i="2"/>
  <c r="M363" i="2"/>
  <c r="M13" i="2"/>
  <c r="M59" i="2"/>
  <c r="M163" i="2"/>
  <c r="M125" i="2"/>
  <c r="M315" i="2"/>
  <c r="M294" i="2"/>
  <c r="M424" i="2"/>
  <c r="M394" i="2"/>
  <c r="M605" i="2"/>
  <c r="M385" i="2"/>
  <c r="M304" i="2"/>
  <c r="M540" i="2"/>
  <c r="M217" i="2"/>
  <c r="M46" i="2"/>
  <c r="M117" i="2"/>
  <c r="M362" i="2"/>
  <c r="M70" i="2"/>
  <c r="M300" i="2"/>
  <c r="M61" i="2"/>
  <c r="M68" i="2"/>
  <c r="M405" i="2"/>
  <c r="M448" i="2"/>
  <c r="M285" i="2"/>
  <c r="M135" i="2"/>
  <c r="M375" i="2"/>
  <c r="M361" i="2"/>
  <c r="M317" i="2"/>
  <c r="M435" i="2"/>
  <c r="M349" i="2"/>
  <c r="M425" i="2"/>
  <c r="M457" i="2"/>
  <c r="M180" i="2"/>
  <c r="M33" i="2"/>
  <c r="M5" i="2"/>
  <c r="M154" i="2"/>
  <c r="M395" i="2"/>
  <c r="M584" i="2"/>
  <c r="M275" i="2"/>
  <c r="M438" i="2"/>
  <c r="M467" i="2"/>
  <c r="M305" i="2"/>
  <c r="M502" i="2"/>
  <c r="M94" i="2"/>
  <c r="M205" i="2"/>
  <c r="M579" i="2"/>
  <c r="M398" i="2"/>
  <c r="M225" i="2"/>
  <c r="M80" i="2"/>
  <c r="M452" i="2"/>
  <c r="M403" i="2"/>
  <c r="M106" i="2"/>
  <c r="M302" i="2"/>
  <c r="M188" i="2"/>
  <c r="M298" i="2"/>
  <c r="M101" i="2"/>
  <c r="M129" i="2"/>
  <c r="M126" i="2"/>
  <c r="M113" i="2"/>
  <c r="M339" i="2"/>
  <c r="M307" i="2"/>
  <c r="M11" i="2"/>
  <c r="M90" i="2"/>
  <c r="M14" i="2"/>
  <c r="M250" i="2"/>
  <c r="M171" i="2"/>
  <c r="M415" i="2"/>
  <c r="M115" i="2"/>
  <c r="M62" i="2"/>
  <c r="M514" i="2"/>
  <c r="M596" i="2"/>
  <c r="M210" i="2"/>
  <c r="M601" i="2"/>
  <c r="M121" i="2"/>
  <c r="M402" i="2"/>
  <c r="M104" i="2"/>
  <c r="M82" i="2"/>
  <c r="M226" i="2"/>
  <c r="M242" i="2"/>
  <c r="M208" i="2"/>
  <c r="M515" i="2"/>
  <c r="M470" i="2"/>
  <c r="M583" i="2"/>
  <c r="M78" i="2"/>
  <c r="M133" i="2"/>
  <c r="M407" i="2"/>
  <c r="M432" i="2"/>
  <c r="M103" i="2"/>
  <c r="M409" i="2"/>
  <c r="M354" i="2"/>
  <c r="M146" i="2"/>
  <c r="M151" i="2"/>
  <c r="M238" i="2"/>
  <c r="M388" i="2"/>
  <c r="M42" i="2"/>
  <c r="M237" i="2"/>
  <c r="M476" i="2"/>
  <c r="M116" i="2"/>
  <c r="M480" i="2"/>
  <c r="M357" i="2"/>
  <c r="M24" i="2"/>
  <c r="M69" i="2"/>
  <c r="M179" i="2"/>
  <c r="M528" i="2"/>
  <c r="M498" i="2"/>
  <c r="M172" i="2"/>
  <c r="M517" i="2"/>
  <c r="M271" i="2"/>
  <c r="M264" i="2"/>
  <c r="M597" i="2"/>
  <c r="M212" i="2"/>
  <c r="M22" i="2"/>
  <c r="M51" i="2"/>
  <c r="M272" i="2"/>
  <c r="M290" i="2"/>
  <c r="M191" i="2"/>
  <c r="M318" i="2"/>
  <c r="M561" i="2"/>
  <c r="M336" i="2"/>
  <c r="M341" i="2"/>
  <c r="M569" i="2"/>
  <c r="M89" i="2"/>
  <c r="M37" i="2"/>
  <c r="M337" i="2"/>
  <c r="M599" i="2"/>
  <c r="M327" i="2"/>
  <c r="M442" i="2"/>
  <c r="M215" i="2"/>
  <c r="M247" i="2"/>
  <c r="M353" i="2"/>
  <c r="M282" i="2"/>
  <c r="M460" i="2"/>
  <c r="M604" i="2"/>
  <c r="M67" i="2"/>
  <c r="M331" i="2"/>
  <c r="M591" i="2"/>
  <c r="M386" i="2"/>
  <c r="M131" i="2"/>
  <c r="M29" i="2"/>
  <c r="M411" i="2"/>
  <c r="M303" i="2"/>
  <c r="M99" i="2"/>
  <c r="M50" i="2"/>
  <c r="M239" i="2"/>
  <c r="M557" i="2"/>
  <c r="M244" i="2"/>
  <c r="M54" i="2"/>
  <c r="M174" i="2"/>
  <c r="M496" i="2"/>
  <c r="M159" i="2"/>
  <c r="M516" i="2"/>
  <c r="M177" i="2"/>
  <c r="M370" i="2"/>
  <c r="M152" i="2"/>
  <c r="M530" i="2"/>
  <c r="M443" i="2"/>
  <c r="M181" i="2"/>
  <c r="M522" i="2"/>
  <c r="M9" i="2"/>
  <c r="M232" i="2"/>
  <c r="M382" i="2"/>
  <c r="M366" i="2"/>
  <c r="M484" i="2"/>
  <c r="M160" i="2"/>
  <c r="M365" i="2"/>
  <c r="M590" i="2"/>
  <c r="M475" i="2"/>
  <c r="M413" i="2"/>
  <c r="M197" i="2"/>
  <c r="M531" i="2"/>
  <c r="M489" i="2"/>
  <c r="M547" i="2"/>
  <c r="M445" i="2"/>
  <c r="M229" i="2"/>
  <c r="M15" i="2"/>
  <c r="M143" i="2"/>
  <c r="M521" i="2"/>
  <c r="M218" i="2"/>
  <c r="M390" i="2"/>
  <c r="M383" i="2"/>
  <c r="M451" i="2"/>
  <c r="M566" i="2"/>
  <c r="M98" i="2"/>
  <c r="M57" i="2"/>
  <c r="M312" i="2"/>
  <c r="M81" i="2"/>
  <c r="M555" i="2"/>
  <c r="M326" i="2"/>
  <c r="M110" i="2"/>
  <c r="M268" i="2"/>
  <c r="M536" i="2"/>
  <c r="M283" i="2"/>
  <c r="M235" i="2"/>
  <c r="M130" i="2"/>
  <c r="M263" i="2"/>
  <c r="M245" i="2"/>
  <c r="M20" i="2"/>
  <c r="M439" i="2"/>
  <c r="M178" i="2"/>
  <c r="M391" i="2"/>
  <c r="M12" i="2"/>
  <c r="M455" i="2"/>
  <c r="M123" i="2"/>
  <c r="M167" i="2"/>
  <c r="M155" i="2"/>
  <c r="M102" i="2"/>
  <c r="M8" i="2"/>
  <c r="M207" i="2"/>
  <c r="M144" i="2"/>
  <c r="M600" i="2"/>
  <c r="M323" i="2"/>
  <c r="M585" i="2"/>
  <c r="M34" i="2"/>
  <c r="M65" i="2"/>
  <c r="M538" i="2"/>
  <c r="M192" i="2"/>
  <c r="M446" i="2"/>
  <c r="M607" i="2"/>
  <c r="M458" i="2"/>
  <c r="M524" i="2"/>
  <c r="M231" i="2"/>
  <c r="M258" i="2"/>
  <c r="M348" i="2"/>
  <c r="M431" i="2"/>
  <c r="M399" i="2"/>
  <c r="M173" i="2"/>
  <c r="M490" i="2"/>
  <c r="M548" i="2"/>
  <c r="M433" i="2"/>
  <c r="M25" i="2"/>
  <c r="M236" i="2"/>
  <c r="M570" i="2"/>
  <c r="M23" i="2"/>
  <c r="M309" i="2"/>
  <c r="M249" i="2"/>
  <c r="M118" i="2"/>
  <c r="M316" i="2"/>
  <c r="M259" i="2"/>
  <c r="M447" i="2"/>
  <c r="M127" i="2"/>
  <c r="M224" i="2"/>
  <c r="M493" i="2"/>
  <c r="M111" i="2"/>
  <c r="M567" i="2"/>
  <c r="M477" i="2"/>
  <c r="M261" i="2"/>
  <c r="M79" i="2"/>
  <c r="M313" i="2"/>
  <c r="M532" i="2"/>
  <c r="M510" i="2"/>
  <c r="M293" i="2"/>
  <c r="M119" i="2"/>
  <c r="M412" i="2"/>
  <c r="M254" i="2"/>
  <c r="M351" i="2"/>
  <c r="M550" i="2"/>
  <c r="M222" i="2"/>
  <c r="M273" i="2"/>
  <c r="M506" i="2"/>
  <c r="M544" i="2"/>
  <c r="M230" i="2"/>
  <c r="M138" i="2"/>
  <c r="M295" i="2"/>
  <c r="M568" i="2"/>
  <c r="M560" i="2"/>
  <c r="M364" i="2"/>
  <c r="M209" i="2"/>
  <c r="M511" i="2"/>
  <c r="M332" i="2"/>
  <c r="M396" i="2"/>
  <c r="M504" i="2"/>
  <c r="M193" i="2"/>
  <c r="M562" i="2"/>
  <c r="M198" i="2"/>
  <c r="M500" i="2"/>
  <c r="M374" i="2"/>
  <c r="M418" i="2"/>
  <c r="M3" i="2"/>
  <c r="M478" i="2"/>
  <c r="M199" i="2"/>
  <c r="M289" i="2"/>
  <c r="M183" i="2"/>
  <c r="M578" i="2"/>
  <c r="M529" i="2"/>
  <c r="M72" i="2"/>
  <c r="M426" i="2"/>
  <c r="M200" i="2"/>
  <c r="M137" i="2"/>
  <c r="M6" i="2"/>
  <c r="M368" i="2"/>
  <c r="M338" i="2"/>
  <c r="M27" i="2"/>
  <c r="M454" i="2"/>
  <c r="M234" i="2"/>
  <c r="M17" i="2"/>
  <c r="M41" i="2"/>
  <c r="M456" i="2"/>
  <c r="M58" i="2"/>
  <c r="M66" i="2"/>
  <c r="M461" i="2"/>
  <c r="M162" i="2"/>
  <c r="M18" i="2"/>
  <c r="M546" i="2"/>
  <c r="M134" i="2"/>
  <c r="M324" i="2"/>
  <c r="M93" i="2"/>
  <c r="M132" i="2"/>
  <c r="M437" i="2"/>
  <c r="M473" i="2"/>
  <c r="M262" i="2"/>
  <c r="M404" i="2"/>
  <c r="M311" i="2"/>
  <c r="M549" i="2"/>
  <c r="M321" i="2"/>
  <c r="M288" i="2"/>
  <c r="M459" i="2"/>
  <c r="M185" i="2"/>
  <c r="M55" i="2"/>
  <c r="M488" i="2"/>
  <c r="M325" i="2"/>
  <c r="M60" i="2"/>
  <c r="M377" i="2"/>
  <c r="O382" i="122" l="1"/>
  <c r="J382" i="122"/>
  <c r="AE382" i="122"/>
  <c r="AC382" i="122"/>
</calcChain>
</file>

<file path=xl/sharedStrings.xml><?xml version="1.0" encoding="utf-8"?>
<sst xmlns="http://schemas.openxmlformats.org/spreadsheetml/2006/main" count="850" uniqueCount="286">
  <si>
    <t>休日</t>
    <rPh sb="0" eb="2">
      <t>キュウジツ</t>
    </rPh>
    <phoneticPr fontId="8"/>
  </si>
  <si>
    <t>日付</t>
    <rPh sb="0" eb="2">
      <t>ヒヅケ</t>
    </rPh>
    <phoneticPr fontId="8"/>
  </si>
  <si>
    <t>曜日</t>
    <rPh sb="0" eb="2">
      <t>ヨウビ</t>
    </rPh>
    <phoneticPr fontId="8"/>
  </si>
  <si>
    <t>作業</t>
    <rPh sb="0" eb="2">
      <t>サギョウ</t>
    </rPh>
    <phoneticPr fontId="8"/>
  </si>
  <si>
    <t>普通</t>
    <rPh sb="0" eb="2">
      <t>フツウ</t>
    </rPh>
    <phoneticPr fontId="8"/>
  </si>
  <si>
    <t>深夜</t>
    <rPh sb="0" eb="2">
      <t>シンヤ</t>
    </rPh>
    <phoneticPr fontId="8"/>
  </si>
  <si>
    <t>開始</t>
    <rPh sb="0" eb="2">
      <t>サギョウカイシ</t>
    </rPh>
    <phoneticPr fontId="8"/>
  </si>
  <si>
    <t>終了</t>
    <rPh sb="0" eb="2">
      <t>シュウリョウ</t>
    </rPh>
    <phoneticPr fontId="8"/>
  </si>
  <si>
    <t>各種定義</t>
    <rPh sb="0" eb="2">
      <t>カクシュ</t>
    </rPh>
    <rPh sb="2" eb="4">
      <t>テイギ</t>
    </rPh>
    <phoneticPr fontId="8"/>
  </si>
  <si>
    <t>備考</t>
    <rPh sb="0" eb="2">
      <t>ビコウ</t>
    </rPh>
    <phoneticPr fontId="8"/>
  </si>
  <si>
    <t>体調</t>
    <rPh sb="0" eb="2">
      <t>タイチョウ</t>
    </rPh>
    <phoneticPr fontId="8"/>
  </si>
  <si>
    <t>体調状況</t>
    <rPh sb="0" eb="2">
      <t>タイチョウ</t>
    </rPh>
    <rPh sb="2" eb="4">
      <t>ジョウキョウ</t>
    </rPh>
    <phoneticPr fontId="8"/>
  </si>
  <si>
    <t>良好</t>
    <rPh sb="0" eb="2">
      <t>リョウコウ</t>
    </rPh>
    <phoneticPr fontId="8"/>
  </si>
  <si>
    <t>不調</t>
    <rPh sb="0" eb="2">
      <t>フチョウ</t>
    </rPh>
    <phoneticPr fontId="8"/>
  </si>
  <si>
    <t>差異</t>
    <rPh sb="0" eb="2">
      <t>サイ</t>
    </rPh>
    <phoneticPr fontId="8"/>
  </si>
  <si>
    <t>申請内容</t>
    <rPh sb="0" eb="2">
      <t>シンセイ</t>
    </rPh>
    <rPh sb="2" eb="4">
      <t>ナイヨウ</t>
    </rPh>
    <phoneticPr fontId="8"/>
  </si>
  <si>
    <t>年休</t>
    <rPh sb="0" eb="2">
      <t>ネンキュウ</t>
    </rPh>
    <phoneticPr fontId="8"/>
  </si>
  <si>
    <t>代休</t>
    <rPh sb="0" eb="2">
      <t>ダイキュウ</t>
    </rPh>
    <phoneticPr fontId="8"/>
  </si>
  <si>
    <t>半休（午前）</t>
    <rPh sb="0" eb="2">
      <t>ハンキュウ</t>
    </rPh>
    <rPh sb="3" eb="5">
      <t>ゴゼン</t>
    </rPh>
    <phoneticPr fontId="8"/>
  </si>
  <si>
    <t>半休（午後）</t>
    <rPh sb="0" eb="2">
      <t>ハンキュウ</t>
    </rPh>
    <rPh sb="3" eb="5">
      <t>ゴゴ</t>
    </rPh>
    <phoneticPr fontId="8"/>
  </si>
  <si>
    <t>研修</t>
    <rPh sb="0" eb="2">
      <t>ケンシュウ</t>
    </rPh>
    <phoneticPr fontId="8"/>
  </si>
  <si>
    <t>出張</t>
    <rPh sb="0" eb="2">
      <t>シュッチョウ</t>
    </rPh>
    <phoneticPr fontId="8"/>
  </si>
  <si>
    <t>夏期休</t>
    <rPh sb="0" eb="2">
      <t>カキ</t>
    </rPh>
    <rPh sb="2" eb="3">
      <t>キュウ</t>
    </rPh>
    <phoneticPr fontId="8"/>
  </si>
  <si>
    <t>残業</t>
    <rPh sb="0" eb="2">
      <t>ザンギョウ</t>
    </rPh>
    <phoneticPr fontId="8"/>
  </si>
  <si>
    <t>時間</t>
    <rPh sb="0" eb="2">
      <t>ジカン</t>
    </rPh>
    <phoneticPr fontId="8"/>
  </si>
  <si>
    <t>報告事項</t>
    <rPh sb="0" eb="2">
      <t>ホウコク</t>
    </rPh>
    <rPh sb="2" eb="4">
      <t>ジコウ</t>
    </rPh>
    <phoneticPr fontId="8"/>
  </si>
  <si>
    <t>上長コメント</t>
    <rPh sb="0" eb="2">
      <t>ジョウチョウ</t>
    </rPh>
    <phoneticPr fontId="8"/>
  </si>
  <si>
    <t>作業日</t>
    <rPh sb="0" eb="2">
      <t>サギョウ</t>
    </rPh>
    <rPh sb="2" eb="3">
      <t>ビ</t>
    </rPh>
    <phoneticPr fontId="8"/>
  </si>
  <si>
    <t>内容</t>
    <rPh sb="0" eb="2">
      <t>ナイヨウ</t>
    </rPh>
    <phoneticPr fontId="8"/>
  </si>
  <si>
    <t>申請</t>
  </si>
  <si>
    <t>部門名称</t>
    <phoneticPr fontId="8"/>
  </si>
  <si>
    <t>～</t>
    <phoneticPr fontId="8"/>
  </si>
  <si>
    <t>休憩</t>
    <rPh sb="0" eb="2">
      <t>キュウケイ</t>
    </rPh>
    <phoneticPr fontId="8"/>
  </si>
  <si>
    <t>時間外</t>
    <phoneticPr fontId="8"/>
  </si>
  <si>
    <t>予定</t>
    <rPh sb="0" eb="2">
      <t>ヨテイ</t>
    </rPh>
    <phoneticPr fontId="8"/>
  </si>
  <si>
    <t>時間外</t>
    <rPh sb="0" eb="3">
      <t>ジカンガイ</t>
    </rPh>
    <phoneticPr fontId="8"/>
  </si>
  <si>
    <t>平日</t>
    <phoneticPr fontId="8"/>
  </si>
  <si>
    <t>休日</t>
    <phoneticPr fontId="8"/>
  </si>
  <si>
    <t>深夜</t>
    <phoneticPr fontId="8"/>
  </si>
  <si>
    <t>日中</t>
    <rPh sb="0" eb="2">
      <t>ニッチュウ</t>
    </rPh>
    <phoneticPr fontId="8"/>
  </si>
  <si>
    <t>時間外開始</t>
    <rPh sb="0" eb="2">
      <t>ジカン</t>
    </rPh>
    <rPh sb="2" eb="3">
      <t>ガイ</t>
    </rPh>
    <rPh sb="3" eb="5">
      <t>カイシ</t>
    </rPh>
    <phoneticPr fontId="8"/>
  </si>
  <si>
    <t>時間外終了</t>
    <rPh sb="0" eb="2">
      <t>ジカン</t>
    </rPh>
    <rPh sb="2" eb="3">
      <t>ガイ</t>
    </rPh>
    <rPh sb="3" eb="5">
      <t>シュウリョウ</t>
    </rPh>
    <phoneticPr fontId="8"/>
  </si>
  <si>
    <t>深夜開始</t>
    <rPh sb="0" eb="2">
      <t>シンヤ</t>
    </rPh>
    <rPh sb="2" eb="4">
      <t>カイシ</t>
    </rPh>
    <phoneticPr fontId="8"/>
  </si>
  <si>
    <t>深夜終了</t>
    <rPh sb="0" eb="2">
      <t>シンヤ</t>
    </rPh>
    <rPh sb="2" eb="4">
      <t>シュウリョウ</t>
    </rPh>
    <phoneticPr fontId="8"/>
  </si>
  <si>
    <t>報告期間</t>
    <phoneticPr fontId="8"/>
  </si>
  <si>
    <t>流通サービスG 第3開発部 第1開発課-JJ南砂</t>
    <rPh sb="0" eb="2">
      <t>リュウツウ</t>
    </rPh>
    <rPh sb="8" eb="9">
      <t>ダイ</t>
    </rPh>
    <rPh sb="10" eb="13">
      <t>カイハツブ</t>
    </rPh>
    <rPh sb="14" eb="15">
      <t>ダイ</t>
    </rPh>
    <rPh sb="16" eb="19">
      <t>カイハツカ</t>
    </rPh>
    <rPh sb="22" eb="24">
      <t>ミナミスナ</t>
    </rPh>
    <phoneticPr fontId="12"/>
  </si>
  <si>
    <t>ｒ</t>
    <phoneticPr fontId="8"/>
  </si>
  <si>
    <t>休出</t>
    <rPh sb="0" eb="2">
      <t>キュウシュツ</t>
    </rPh>
    <phoneticPr fontId="8"/>
  </si>
  <si>
    <t>業務項目</t>
    <rPh sb="0" eb="2">
      <t>ギョウム</t>
    </rPh>
    <rPh sb="2" eb="4">
      <t>コウモク</t>
    </rPh>
    <phoneticPr fontId="8"/>
  </si>
  <si>
    <t>業務内容</t>
    <rPh sb="0" eb="2">
      <t>ギョウム</t>
    </rPh>
    <rPh sb="2" eb="4">
      <t>ナイヨウ</t>
    </rPh>
    <phoneticPr fontId="8"/>
  </si>
  <si>
    <t>SOW_ID</t>
    <phoneticPr fontId="8"/>
  </si>
  <si>
    <t>業務名</t>
    <rPh sb="0" eb="2">
      <t>ギョウム</t>
    </rPh>
    <rPh sb="2" eb="3">
      <t>メイ</t>
    </rPh>
    <phoneticPr fontId="8"/>
  </si>
  <si>
    <t>標準時間</t>
    <rPh sb="0" eb="2">
      <t>ヒョウジュン</t>
    </rPh>
    <rPh sb="2" eb="4">
      <t>ジカン</t>
    </rPh>
    <phoneticPr fontId="8"/>
  </si>
  <si>
    <t>REQ0002</t>
  </si>
  <si>
    <t>REQ0010</t>
  </si>
  <si>
    <t>EmpNo</t>
    <phoneticPr fontId="8"/>
  </si>
  <si>
    <t>定常</t>
    <rPh sb="0" eb="2">
      <t>テイジョウ</t>
    </rPh>
    <phoneticPr fontId="8"/>
  </si>
  <si>
    <t>その他(SOW外)</t>
  </si>
  <si>
    <t>プロジェクト対応</t>
    <rPh sb="6" eb="8">
      <t>タイオウ</t>
    </rPh>
    <phoneticPr fontId="20"/>
  </si>
  <si>
    <t>イベント対応</t>
    <rPh sb="4" eb="6">
      <t>タイオウ</t>
    </rPh>
    <phoneticPr fontId="8"/>
  </si>
  <si>
    <t>インシデント</t>
  </si>
  <si>
    <t>Router交換関連業務</t>
    <rPh sb="6" eb="8">
      <t>コウカン</t>
    </rPh>
    <rPh sb="8" eb="10">
      <t>カンレン</t>
    </rPh>
    <rPh sb="10" eb="12">
      <t>ギョウム</t>
    </rPh>
    <phoneticPr fontId="20"/>
  </si>
  <si>
    <t>イベント対応</t>
    <rPh sb="4" eb="6">
      <t>タイオウ</t>
    </rPh>
    <phoneticPr fontId="20"/>
  </si>
  <si>
    <t>パッチ適用関連</t>
  </si>
  <si>
    <t>WCS定期点検</t>
  </si>
  <si>
    <t>システムメンテ</t>
  </si>
  <si>
    <t>リクエスト</t>
  </si>
  <si>
    <t>SOW_ID</t>
    <phoneticPr fontId="8"/>
  </si>
  <si>
    <t>プロジェクト</t>
  </si>
  <si>
    <t>その他</t>
  </si>
  <si>
    <t>その他</t>
    <rPh sb="2" eb="3">
      <t>タ</t>
    </rPh>
    <phoneticPr fontId="8"/>
  </si>
  <si>
    <t>実績</t>
    <rPh sb="0" eb="2">
      <t>ジッセキ</t>
    </rPh>
    <phoneticPr fontId="8"/>
  </si>
  <si>
    <t>合計</t>
    <rPh sb="0" eb="2">
      <t>ゴウケイ</t>
    </rPh>
    <phoneticPr fontId="8"/>
  </si>
  <si>
    <t>年月SOW_ID@担当@工数</t>
    <rPh sb="0" eb="2">
      <t>ネンゲツ</t>
    </rPh>
    <rPh sb="9" eb="11">
      <t>タントウ</t>
    </rPh>
    <rPh sb="12" eb="14">
      <t>コウスウ</t>
    </rPh>
    <phoneticPr fontId="8"/>
  </si>
  <si>
    <t>年月REQ_ID</t>
    <rPh sb="0" eb="2">
      <t>ネンゲツ</t>
    </rPh>
    <phoneticPr fontId="8"/>
  </si>
  <si>
    <t>年月REQ_ID@担当@工数</t>
    <rPh sb="0" eb="2">
      <t>ネンゲツ</t>
    </rPh>
    <rPh sb="9" eb="11">
      <t>タントウ</t>
    </rPh>
    <rPh sb="12" eb="14">
      <t>コウスウ</t>
    </rPh>
    <phoneticPr fontId="8"/>
  </si>
  <si>
    <t>報告者</t>
    <rPh sb="0" eb="2">
      <t>ホウコク</t>
    </rPh>
    <rPh sb="2" eb="3">
      <t>シャ</t>
    </rPh>
    <phoneticPr fontId="8"/>
  </si>
  <si>
    <t>氏名</t>
    <rPh sb="0" eb="2">
      <t>シメイ</t>
    </rPh>
    <phoneticPr fontId="8"/>
  </si>
  <si>
    <t>依頼内容</t>
    <rPh sb="0" eb="2">
      <t>イライ</t>
    </rPh>
    <rPh sb="2" eb="4">
      <t>ナイヨウ</t>
    </rPh>
    <phoneticPr fontId="8"/>
  </si>
  <si>
    <t>REQ_ID</t>
    <phoneticPr fontId="8"/>
  </si>
  <si>
    <t>年月SOW_ID</t>
    <phoneticPr fontId="8"/>
  </si>
  <si>
    <t>要選択</t>
    <rPh sb="0" eb="1">
      <t>ヨウ</t>
    </rPh>
    <rPh sb="1" eb="3">
      <t>センタク</t>
    </rPh>
    <phoneticPr fontId="8"/>
  </si>
  <si>
    <t>要入力</t>
    <rPh sb="0" eb="1">
      <t>ヨウ</t>
    </rPh>
    <rPh sb="1" eb="3">
      <t>ニュウリョク</t>
    </rPh>
    <phoneticPr fontId="8"/>
  </si>
  <si>
    <t>タイトル列</t>
    <rPh sb="4" eb="5">
      <t>レツ</t>
    </rPh>
    <phoneticPr fontId="8"/>
  </si>
  <si>
    <t>REQUEST</t>
    <phoneticPr fontId="8"/>
  </si>
  <si>
    <t>SOW</t>
    <phoneticPr fontId="8"/>
  </si>
  <si>
    <t>これより→（右）は、他の集計に利用する項目</t>
    <rPh sb="10" eb="11">
      <t>タ</t>
    </rPh>
    <rPh sb="12" eb="14">
      <t>シュウケイ</t>
    </rPh>
    <rPh sb="15" eb="17">
      <t>リヨウ</t>
    </rPh>
    <rPh sb="19" eb="21">
      <t>コウモク</t>
    </rPh>
    <phoneticPr fontId="8"/>
  </si>
  <si>
    <t>社外秘</t>
    <phoneticPr fontId="8"/>
  </si>
  <si>
    <t>日報</t>
    <rPh sb="0" eb="2">
      <t>ニッポウ</t>
    </rPh>
    <phoneticPr fontId="8"/>
  </si>
  <si>
    <t>報告者</t>
    <phoneticPr fontId="8"/>
  </si>
  <si>
    <t>各シートの背景色の意味</t>
    <rPh sb="0" eb="1">
      <t>カク</t>
    </rPh>
    <rPh sb="5" eb="8">
      <t>ハイケイショク</t>
    </rPh>
    <rPh sb="9" eb="11">
      <t>イミ</t>
    </rPh>
    <phoneticPr fontId="8"/>
  </si>
  <si>
    <t>自動計算</t>
    <rPh sb="0" eb="2">
      <t>ジドウ</t>
    </rPh>
    <rPh sb="2" eb="4">
      <t>ケイサン</t>
    </rPh>
    <phoneticPr fontId="8"/>
  </si>
  <si>
    <t>2011(勤怠)シートのみ</t>
    <rPh sb="5" eb="7">
      <t>キンタイ</t>
    </rPh>
    <phoneticPr fontId="8"/>
  </si>
  <si>
    <t>固定</t>
    <rPh sb="0" eb="2">
      <t>コテイ</t>
    </rPh>
    <phoneticPr fontId="8"/>
  </si>
  <si>
    <t>シートは、P/Wなしで保護されている</t>
    <phoneticPr fontId="8"/>
  </si>
  <si>
    <t>標準時間(h)</t>
    <rPh sb="0" eb="2">
      <t>ヒョウジュン</t>
    </rPh>
    <rPh sb="2" eb="4">
      <t>ジカン</t>
    </rPh>
    <phoneticPr fontId="8"/>
  </si>
  <si>
    <t>実作業
時間(h)</t>
    <rPh sb="0" eb="1">
      <t>ジツ</t>
    </rPh>
    <rPh sb="1" eb="3">
      <t>サギョウ</t>
    </rPh>
    <rPh sb="4" eb="6">
      <t>ジカン</t>
    </rPh>
    <phoneticPr fontId="8"/>
  </si>
  <si>
    <t>社員番号を選択する</t>
    <rPh sb="0" eb="2">
      <t>シャイン</t>
    </rPh>
    <rPh sb="2" eb="4">
      <t>バンゴウ</t>
    </rPh>
    <rPh sb="5" eb="7">
      <t>センタク</t>
    </rPh>
    <phoneticPr fontId="8"/>
  </si>
  <si>
    <t>報告期間を入力する</t>
    <rPh sb="0" eb="2">
      <t>ホウコク</t>
    </rPh>
    <rPh sb="2" eb="4">
      <t>キカン</t>
    </rPh>
    <rPh sb="5" eb="7">
      <t>ニュウリョク</t>
    </rPh>
    <phoneticPr fontId="8"/>
  </si>
  <si>
    <t>【日報】</t>
    <rPh sb="1" eb="3">
      <t>ニッポウ</t>
    </rPh>
    <phoneticPr fontId="8"/>
  </si>
  <si>
    <t>はじめに、</t>
    <phoneticPr fontId="8"/>
  </si>
  <si>
    <t>毎日</t>
    <rPh sb="0" eb="2">
      <t>マイニチ</t>
    </rPh>
    <phoneticPr fontId="8"/>
  </si>
  <si>
    <t>Masterｼｰﾄの登録を管理者が行う。</t>
    <rPh sb="10" eb="12">
      <t>トウロク</t>
    </rPh>
    <rPh sb="13" eb="16">
      <t>カンリシャ</t>
    </rPh>
    <rPh sb="17" eb="18">
      <t>オコナ</t>
    </rPh>
    <phoneticPr fontId="8"/>
  </si>
  <si>
    <t>実施業務に関して</t>
    <rPh sb="0" eb="2">
      <t>ジッシ</t>
    </rPh>
    <rPh sb="2" eb="4">
      <t>ギョウム</t>
    </rPh>
    <rPh sb="5" eb="6">
      <t>カン</t>
    </rPh>
    <phoneticPr fontId="8"/>
  </si>
  <si>
    <t>実施した作業時間を入力する</t>
    <rPh sb="0" eb="2">
      <t>ジッシ</t>
    </rPh>
    <rPh sb="4" eb="6">
      <t>サギョウ</t>
    </rPh>
    <rPh sb="6" eb="8">
      <t>ジカン</t>
    </rPh>
    <rPh sb="9" eb="11">
      <t>ニュウリョク</t>
    </rPh>
    <phoneticPr fontId="8"/>
  </si>
  <si>
    <t>特別に記載事項がある場合、備考に上書きする。</t>
    <rPh sb="0" eb="2">
      <t>トクベツ</t>
    </rPh>
    <rPh sb="3" eb="5">
      <t>キサイ</t>
    </rPh>
    <rPh sb="5" eb="7">
      <t>ジコウ</t>
    </rPh>
    <rPh sb="10" eb="12">
      <t>バアイ</t>
    </rPh>
    <rPh sb="13" eb="15">
      <t>ビコウ</t>
    </rPh>
    <rPh sb="16" eb="18">
      <t>ウワガ</t>
    </rPh>
    <phoneticPr fontId="8"/>
  </si>
  <si>
    <t>※　勤怠のｼｰﾄの作業時間と当日の実作業時間が一致するように気を付ける。</t>
    <rPh sb="2" eb="4">
      <t>キンタイ</t>
    </rPh>
    <rPh sb="9" eb="11">
      <t>サギョウ</t>
    </rPh>
    <rPh sb="11" eb="13">
      <t>ジカン</t>
    </rPh>
    <rPh sb="14" eb="16">
      <t>トウジツ</t>
    </rPh>
    <rPh sb="17" eb="18">
      <t>ジツ</t>
    </rPh>
    <rPh sb="18" eb="20">
      <t>サギョウ</t>
    </rPh>
    <rPh sb="20" eb="22">
      <t>ジカン</t>
    </rPh>
    <rPh sb="23" eb="25">
      <t>イッチ</t>
    </rPh>
    <rPh sb="30" eb="31">
      <t>キ</t>
    </rPh>
    <rPh sb="32" eb="33">
      <t>ツ</t>
    </rPh>
    <phoneticPr fontId="8"/>
  </si>
  <si>
    <t>※　分析用のﾃﾞｰﾀが、非表示で右側に作成される。</t>
    <rPh sb="2" eb="5">
      <t>ブンセキヨウ</t>
    </rPh>
    <rPh sb="11" eb="15">
      <t>ヒヒョウジデ</t>
    </rPh>
    <rPh sb="15" eb="18">
      <t>ミギガワニ</t>
    </rPh>
    <rPh sb="18" eb="23">
      <t>サクセイサレル</t>
    </rPh>
    <phoneticPr fontId="8"/>
  </si>
  <si>
    <t>【勤怠】</t>
    <rPh sb="1" eb="3">
      <t>キンタイ</t>
    </rPh>
    <phoneticPr fontId="8"/>
  </si>
  <si>
    <t>月初</t>
    <rPh sb="0" eb="2">
      <t>ゲッショ</t>
    </rPh>
    <phoneticPr fontId="8"/>
  </si>
  <si>
    <t>勤務計画を右側に入力する（出勤、退勤、休憩、休みの予定等）</t>
    <rPh sb="0" eb="2">
      <t>キンム</t>
    </rPh>
    <rPh sb="2" eb="4">
      <t>ケイカク</t>
    </rPh>
    <rPh sb="5" eb="7">
      <t>ミギガワ</t>
    </rPh>
    <rPh sb="8" eb="10">
      <t>ニュウリョク</t>
    </rPh>
    <rPh sb="13" eb="15">
      <t>シュッキン</t>
    </rPh>
    <rPh sb="16" eb="18">
      <t>タイキン</t>
    </rPh>
    <rPh sb="19" eb="21">
      <t>キュウケイ</t>
    </rPh>
    <rPh sb="22" eb="23">
      <t>ヤス</t>
    </rPh>
    <rPh sb="25" eb="27">
      <t>ヨテイ</t>
    </rPh>
    <rPh sb="27" eb="28">
      <t>トウ</t>
    </rPh>
    <phoneticPr fontId="8"/>
  </si>
  <si>
    <t>作業時間（開始、終了、休憩）と、報告事項の入力と、体調と申請内容の選択を行う。</t>
    <rPh sb="0" eb="2">
      <t>サギョウ</t>
    </rPh>
    <rPh sb="2" eb="4">
      <t>ジカン</t>
    </rPh>
    <rPh sb="5" eb="7">
      <t>カイシ</t>
    </rPh>
    <rPh sb="8" eb="10">
      <t>シュウリョウ</t>
    </rPh>
    <rPh sb="11" eb="13">
      <t>キュウケイ</t>
    </rPh>
    <rPh sb="16" eb="18">
      <t>ホウコク</t>
    </rPh>
    <rPh sb="18" eb="20">
      <t>ジコウ</t>
    </rPh>
    <rPh sb="25" eb="27">
      <t>タイチョウ</t>
    </rPh>
    <rPh sb="28" eb="30">
      <t>シンセイ</t>
    </rPh>
    <rPh sb="30" eb="32">
      <t>ナイヨウ</t>
    </rPh>
    <rPh sb="33" eb="35">
      <t>センタク</t>
    </rPh>
    <rPh sb="36" eb="37">
      <t>オコナ</t>
    </rPh>
    <phoneticPr fontId="8"/>
  </si>
  <si>
    <t>※体調と申請内容で、何かあれば、体調状態と備考にも入力する</t>
    <rPh sb="1" eb="3">
      <t>タイチョウ</t>
    </rPh>
    <rPh sb="4" eb="6">
      <t>シンセイ</t>
    </rPh>
    <rPh sb="6" eb="8">
      <t>ナイヨウ</t>
    </rPh>
    <rPh sb="10" eb="11">
      <t>ナニ</t>
    </rPh>
    <rPh sb="16" eb="18">
      <t>タイチョウ</t>
    </rPh>
    <rPh sb="18" eb="20">
      <t>ジョウタイ</t>
    </rPh>
    <rPh sb="21" eb="23">
      <t>ビコウ</t>
    </rPh>
    <rPh sb="25" eb="27">
      <t>ニュウリョク</t>
    </rPh>
    <phoneticPr fontId="8"/>
  </si>
  <si>
    <t>【Master】</t>
    <phoneticPr fontId="8"/>
  </si>
  <si>
    <t>非表示なので、表示する。</t>
    <rPh sb="0" eb="3">
      <t>ヒヒョウジ</t>
    </rPh>
    <rPh sb="7" eb="9">
      <t>ヒョウジ</t>
    </rPh>
    <phoneticPr fontId="8"/>
  </si>
  <si>
    <t>Master記載のメモを参照の事。</t>
    <rPh sb="6" eb="8">
      <t>キサイ</t>
    </rPh>
    <rPh sb="12" eb="14">
      <t>サンショウ</t>
    </rPh>
    <rPh sb="15" eb="16">
      <t>コト</t>
    </rPh>
    <phoneticPr fontId="8"/>
  </si>
  <si>
    <t>リクエスト、インシデントの場合、リクエスト管理台帳に記載の後、REQ_IDを選択する。</t>
    <rPh sb="13" eb="15">
      <t>バアイ</t>
    </rPh>
    <rPh sb="21" eb="23">
      <t>カンリ</t>
    </rPh>
    <rPh sb="23" eb="25">
      <t>ダイチョウ</t>
    </rPh>
    <rPh sb="26" eb="28">
      <t>キサイ</t>
    </rPh>
    <rPh sb="29" eb="30">
      <t>ノチ</t>
    </rPh>
    <rPh sb="38" eb="40">
      <t>センタク</t>
    </rPh>
    <phoneticPr fontId="8"/>
  </si>
  <si>
    <t>SYSTEM</t>
    <phoneticPr fontId="12"/>
  </si>
  <si>
    <t>DMS</t>
  </si>
  <si>
    <t>新製品対応</t>
    <rPh sb="0" eb="3">
      <t>シンセイヒン</t>
    </rPh>
    <rPh sb="3" eb="5">
      <t>タイオウ</t>
    </rPh>
    <phoneticPr fontId="8"/>
  </si>
  <si>
    <t>WCS</t>
  </si>
  <si>
    <t>-</t>
    <phoneticPr fontId="8"/>
  </si>
  <si>
    <t>定義したSOWを元に、SOW、SOW1、SOW2ｼｰﾄの登録を管理者が行う。</t>
    <rPh sb="0" eb="2">
      <t>テイギ</t>
    </rPh>
    <rPh sb="8" eb="9">
      <t>モト</t>
    </rPh>
    <rPh sb="28" eb="30">
      <t>トウロク</t>
    </rPh>
    <rPh sb="31" eb="34">
      <t>カンリシャ</t>
    </rPh>
    <rPh sb="35" eb="36">
      <t>オコナ</t>
    </rPh>
    <phoneticPr fontId="8"/>
  </si>
  <si>
    <t>上記が完了し、マスタとなるファイルが完成したら、メンバーに配布する。</t>
    <rPh sb="0" eb="2">
      <t>ジョウキ</t>
    </rPh>
    <rPh sb="3" eb="5">
      <t>カンリョウ</t>
    </rPh>
    <rPh sb="18" eb="20">
      <t>カンセイ</t>
    </rPh>
    <rPh sb="29" eb="31">
      <t>ハイフ</t>
    </rPh>
    <phoneticPr fontId="8"/>
  </si>
  <si>
    <t>メンバーは、</t>
    <phoneticPr fontId="8"/>
  </si>
  <si>
    <t>SYSTEM-業務項目-業務内容-業務名の順で選択する</t>
    <rPh sb="7" eb="9">
      <t>ギョウム</t>
    </rPh>
    <rPh sb="9" eb="11">
      <t>コウモク</t>
    </rPh>
    <rPh sb="12" eb="14">
      <t>ギョウム</t>
    </rPh>
    <rPh sb="14" eb="16">
      <t>ナイヨウ</t>
    </rPh>
    <rPh sb="17" eb="19">
      <t>ギョウム</t>
    </rPh>
    <rPh sb="19" eb="20">
      <t>メイ</t>
    </rPh>
    <rPh sb="21" eb="22">
      <t>ジュン</t>
    </rPh>
    <rPh sb="23" eb="25">
      <t>センタク</t>
    </rPh>
    <phoneticPr fontId="8"/>
  </si>
  <si>
    <t>作業日を入力する</t>
    <rPh sb="0" eb="3">
      <t>サギョウビ</t>
    </rPh>
    <rPh sb="4" eb="6">
      <t>ニュウリョク</t>
    </rPh>
    <phoneticPr fontId="8"/>
  </si>
  <si>
    <t>※日報の時間と差異があれば、赤くなる。（CSK業務実施時は、実施時間分が赤表示で良い。→CSK作業分は休憩に入れる事）</t>
    <rPh sb="1" eb="3">
      <t>ニッポウ</t>
    </rPh>
    <rPh sb="4" eb="6">
      <t>ジカン</t>
    </rPh>
    <rPh sb="7" eb="9">
      <t>サイ</t>
    </rPh>
    <rPh sb="14" eb="15">
      <t>アカ</t>
    </rPh>
    <rPh sb="23" eb="25">
      <t>ギョウム</t>
    </rPh>
    <rPh sb="25" eb="27">
      <t>ジッシ</t>
    </rPh>
    <rPh sb="27" eb="28">
      <t>ジ</t>
    </rPh>
    <rPh sb="30" eb="32">
      <t>ジッシ</t>
    </rPh>
    <rPh sb="32" eb="34">
      <t>ジカン</t>
    </rPh>
    <rPh sb="34" eb="35">
      <t>ブン</t>
    </rPh>
    <rPh sb="36" eb="37">
      <t>アカ</t>
    </rPh>
    <rPh sb="37" eb="39">
      <t>ヒョウジ</t>
    </rPh>
    <rPh sb="40" eb="41">
      <t>ヨ</t>
    </rPh>
    <rPh sb="47" eb="49">
      <t>サギョウ</t>
    </rPh>
    <rPh sb="49" eb="50">
      <t>ブン</t>
    </rPh>
    <rPh sb="51" eb="53">
      <t>キュウケイ</t>
    </rPh>
    <rPh sb="54" eb="55">
      <t>イ</t>
    </rPh>
    <rPh sb="57" eb="58">
      <t>コト</t>
    </rPh>
    <phoneticPr fontId="8"/>
  </si>
  <si>
    <t>※　SOW、SOW1、SOW2ｼｰﾄも同様</t>
    <rPh sb="19" eb="21">
      <t>ドウヨウ</t>
    </rPh>
    <phoneticPr fontId="8"/>
  </si>
  <si>
    <t>金原　明秀</t>
    <rPh sb="0" eb="2">
      <t>キンパラ</t>
    </rPh>
    <rPh sb="3" eb="5">
      <t>アキヒデ</t>
    </rPh>
    <phoneticPr fontId="8"/>
  </si>
  <si>
    <t>ARS</t>
  </si>
  <si>
    <t>Mtg</t>
  </si>
  <si>
    <t>メール、勤怠</t>
  </si>
  <si>
    <t>メモ欄</t>
    <rPh sb="2" eb="3">
      <t>ラン</t>
    </rPh>
    <phoneticPr fontId="8"/>
  </si>
  <si>
    <t>日付⇒</t>
    <rPh sb="0" eb="2">
      <t>ヒヅケ</t>
    </rPh>
    <phoneticPr fontId="12"/>
  </si>
  <si>
    <t>作業時間</t>
    <rPh sb="0" eb="2">
      <t>サギョウ</t>
    </rPh>
    <rPh sb="2" eb="4">
      <t>ジカン</t>
    </rPh>
    <phoneticPr fontId="12"/>
  </si>
  <si>
    <t>J&amp;J作業</t>
    <rPh sb="3" eb="5">
      <t>サギョウ</t>
    </rPh>
    <phoneticPr fontId="8"/>
  </si>
  <si>
    <t>年月日SYSTEM</t>
    <rPh sb="0" eb="2">
      <t>ネンゲツ</t>
    </rPh>
    <rPh sb="2" eb="3">
      <t>ニチ</t>
    </rPh>
    <phoneticPr fontId="12"/>
  </si>
  <si>
    <t>吉住　優子</t>
    <rPh sb="0" eb="2">
      <t>ヨシズミ</t>
    </rPh>
    <rPh sb="3" eb="5">
      <t>ユウコ</t>
    </rPh>
    <phoneticPr fontId="8"/>
  </si>
  <si>
    <t>山田　昌史</t>
    <phoneticPr fontId="8"/>
  </si>
  <si>
    <t>社外秘</t>
    <phoneticPr fontId="8"/>
  </si>
  <si>
    <t>年月SOW_ID</t>
    <phoneticPr fontId="8"/>
  </si>
  <si>
    <t>SCSK</t>
    <phoneticPr fontId="8"/>
  </si>
  <si>
    <t>作業時間分類</t>
    <rPh sb="0" eb="2">
      <t>サギョウ</t>
    </rPh>
    <rPh sb="2" eb="4">
      <t>ジカン</t>
    </rPh>
    <rPh sb="4" eb="6">
      <t>ブンルイ</t>
    </rPh>
    <phoneticPr fontId="8"/>
  </si>
  <si>
    <t>a0001</t>
    <phoneticPr fontId="8"/>
  </si>
  <si>
    <t>a0003</t>
    <phoneticPr fontId="8"/>
  </si>
  <si>
    <t>Eagle</t>
  </si>
  <si>
    <t>AS</t>
  </si>
  <si>
    <t>SCSKSCSK作業</t>
  </si>
  <si>
    <t>岩崎　野乃花</t>
    <rPh sb="0" eb="2">
      <t>イワサキ</t>
    </rPh>
    <rPh sb="3" eb="4">
      <t>ノ</t>
    </rPh>
    <rPh sb="4" eb="5">
      <t>ノ</t>
    </rPh>
    <rPh sb="5" eb="6">
      <t>ハナ</t>
    </rPh>
    <phoneticPr fontId="8"/>
  </si>
  <si>
    <t>篠原　英之</t>
    <rPh sb="0" eb="2">
      <t>シノハラ</t>
    </rPh>
    <rPh sb="3" eb="5">
      <t>ヒデユキ</t>
    </rPh>
    <phoneticPr fontId="8"/>
  </si>
  <si>
    <t>Shop Locator</t>
  </si>
  <si>
    <t>Monthly Reporting</t>
  </si>
  <si>
    <t>その他作業</t>
  </si>
  <si>
    <t>研修・セミナー参加</t>
  </si>
  <si>
    <t>報告者</t>
    <phoneticPr fontId="8"/>
  </si>
  <si>
    <t>インシデントハンドリング</t>
  </si>
  <si>
    <t>Incident &amp; Risk Management</t>
  </si>
  <si>
    <t>Service Request</t>
  </si>
  <si>
    <t>Enhancement</t>
  </si>
  <si>
    <t>AS管理</t>
  </si>
  <si>
    <t>AS管理AS</t>
  </si>
  <si>
    <t>AS管理Mtg</t>
  </si>
  <si>
    <t>AS管理報告・報告書作成</t>
  </si>
  <si>
    <t>SCSKSCSK作業各種作業</t>
  </si>
  <si>
    <t>報告書作成</t>
  </si>
  <si>
    <t>Consumer様運用サポート</t>
    <rPh sb="8" eb="9">
      <t>サマ</t>
    </rPh>
    <rPh sb="9" eb="11">
      <t>ウンヨウ</t>
    </rPh>
    <phoneticPr fontId="3"/>
  </si>
  <si>
    <t>a0004</t>
    <phoneticPr fontId="8"/>
  </si>
  <si>
    <t>a9999</t>
    <phoneticPr fontId="12"/>
  </si>
  <si>
    <t>流通システム第一事業本部　システム第一部　システム第二課</t>
    <rPh sb="0" eb="2">
      <t>リュウツウ</t>
    </rPh>
    <rPh sb="6" eb="8">
      <t>ダイイチ</t>
    </rPh>
    <rPh sb="8" eb="10">
      <t>ジギョウ</t>
    </rPh>
    <rPh sb="10" eb="12">
      <t>ホンブ</t>
    </rPh>
    <rPh sb="17" eb="18">
      <t>ダイ</t>
    </rPh>
    <rPh sb="18" eb="20">
      <t>イチブ</t>
    </rPh>
    <rPh sb="25" eb="27">
      <t>ダイニ</t>
    </rPh>
    <rPh sb="27" eb="28">
      <t>カ</t>
    </rPh>
    <phoneticPr fontId="12"/>
  </si>
  <si>
    <t>Maintenance</t>
  </si>
  <si>
    <t>Basic Support</t>
  </si>
  <si>
    <t>Daily Check</t>
  </si>
  <si>
    <t>報告・報告書作成</t>
    <rPh sb="0" eb="2">
      <t>ホウコク</t>
    </rPh>
    <rPh sb="3" eb="5">
      <t>ホウコク</t>
    </rPh>
    <rPh sb="5" eb="6">
      <t>ショ</t>
    </rPh>
    <rPh sb="6" eb="8">
      <t>サクセイ</t>
    </rPh>
    <phoneticPr fontId="3"/>
  </si>
  <si>
    <t>各種作業</t>
    <phoneticPr fontId="8"/>
  </si>
  <si>
    <t>Panorama</t>
  </si>
  <si>
    <t>Other EUS</t>
  </si>
  <si>
    <t>Intranet</t>
  </si>
  <si>
    <t>ComplianceWire受講</t>
    <rPh sb="14" eb="16">
      <t>ジュコウ</t>
    </rPh>
    <phoneticPr fontId="3"/>
  </si>
  <si>
    <t>ITASとのMeeting</t>
  </si>
  <si>
    <t>提案・見積</t>
    <rPh sb="0" eb="2">
      <t>テイアン</t>
    </rPh>
    <rPh sb="3" eb="5">
      <t>ミツモリ</t>
    </rPh>
    <phoneticPr fontId="3"/>
  </si>
  <si>
    <t>岩澤　彰</t>
    <rPh sb="0" eb="2">
      <t>イワサワ</t>
    </rPh>
    <rPh sb="3" eb="4">
      <t>アキラ</t>
    </rPh>
    <phoneticPr fontId="8"/>
  </si>
  <si>
    <t>a0005</t>
    <phoneticPr fontId="8"/>
  </si>
  <si>
    <t>宮本　麻里子</t>
    <rPh sb="0" eb="2">
      <t>ミヤモト</t>
    </rPh>
    <rPh sb="3" eb="6">
      <t>マリコ</t>
    </rPh>
    <phoneticPr fontId="8"/>
  </si>
  <si>
    <t>Digital Business Support</t>
  </si>
  <si>
    <t>Analytics Local Service</t>
  </si>
  <si>
    <t>SFE Local Service</t>
  </si>
  <si>
    <t>SCSK</t>
  </si>
  <si>
    <t>Common</t>
  </si>
  <si>
    <t>Support</t>
  </si>
  <si>
    <t>管理</t>
    <phoneticPr fontId="8"/>
  </si>
  <si>
    <t>SCSK作業</t>
    <phoneticPr fontId="8"/>
  </si>
  <si>
    <t>Digital Business SupportShop Locator</t>
  </si>
  <si>
    <t>Digital Business SupportCommon</t>
  </si>
  <si>
    <t>問合せ対応/サービスリクエスト/チケット起票</t>
  </si>
  <si>
    <t>Business Test Support</t>
  </si>
  <si>
    <t>定期地図位置修正（四半期）</t>
  </si>
  <si>
    <t>その他依頼作業</t>
  </si>
  <si>
    <t>コンサルサービス</t>
  </si>
  <si>
    <t>問い合わせ</t>
  </si>
  <si>
    <t>インターフェースチェック</t>
  </si>
  <si>
    <t>リクエスト分析/開発サポート</t>
  </si>
  <si>
    <t>SFE Local ServiceSupport</t>
  </si>
  <si>
    <t>SFE Local ServiceBasic Support</t>
  </si>
  <si>
    <t>SFE Local ServiceMaintenance</t>
  </si>
  <si>
    <t>Digital Business SupportShop Locator問合せ対応/サービスリクエスト/チケット起票</t>
  </si>
  <si>
    <t>Digital Business SupportShop Locator定期地図位置修正（四半期）</t>
  </si>
  <si>
    <t>Digital Business SupportShop LocatorIncident &amp; Risk Management</t>
  </si>
  <si>
    <t>Digital Business SupportShop Locatorその他依頼作業</t>
  </si>
  <si>
    <t>Digital Business SupportCommonMonthly Reporting</t>
  </si>
  <si>
    <t>Digital Business SupportCommonその他依頼作業</t>
  </si>
  <si>
    <t>Analytics Local ServicePanoramaインターフェースチェック</t>
  </si>
  <si>
    <t>Analytics Local ServicePanorama検証・調査</t>
  </si>
  <si>
    <t>Analytics Local ServicePanoramaリクエスト分析/開発サポート</t>
  </si>
  <si>
    <t>SFE Local ServiceSupport問い合わせ</t>
  </si>
  <si>
    <t>SFE Local ServiceSupportインシデントハンドリング</t>
  </si>
  <si>
    <t>SFE Local ServiceBasic SupportService Request</t>
  </si>
  <si>
    <t>SFE Local ServiceMaintenanceコンサルサービス</t>
  </si>
  <si>
    <t>JFLOW</t>
  </si>
  <si>
    <t>台帳</t>
    <rPh sb="0" eb="2">
      <t>ダイチョウ</t>
    </rPh>
    <phoneticPr fontId="8"/>
  </si>
  <si>
    <t>MyACUVUE+</t>
  </si>
  <si>
    <t>eCommerce(AOS &amp; Teikibin)</t>
  </si>
  <si>
    <t>Digital Business Support</t>
    <phoneticPr fontId="8"/>
  </si>
  <si>
    <t>SC Run support</t>
    <phoneticPr fontId="8"/>
  </si>
  <si>
    <t>SC Service request</t>
    <phoneticPr fontId="8"/>
  </si>
  <si>
    <t>Consumer</t>
    <phoneticPr fontId="8"/>
  </si>
  <si>
    <t>L1</t>
    <phoneticPr fontId="8"/>
  </si>
  <si>
    <t>L2</t>
    <phoneticPr fontId="8"/>
  </si>
  <si>
    <t>JFLOW &amp; Other Support</t>
    <phoneticPr fontId="8"/>
  </si>
  <si>
    <t>Digital Business SupportMyACUVUE+</t>
  </si>
  <si>
    <t>Digital Business SupporteCommerce(AOS &amp; Teikibin)</t>
  </si>
  <si>
    <t>JFLOW &amp; Other SupportSupport</t>
  </si>
  <si>
    <t>JFLOW &amp; Other SupportBasic Support</t>
  </si>
  <si>
    <t>JFLOW &amp; Other SupportMaintenance</t>
  </si>
  <si>
    <t>SC Run supportEagle</t>
  </si>
  <si>
    <t>SC Run supportARS</t>
  </si>
  <si>
    <t>SC Service requestEagle</t>
  </si>
  <si>
    <t>SC Service requestARS</t>
  </si>
  <si>
    <t>ConsumerL1</t>
  </si>
  <si>
    <t>ConsumerL2</t>
  </si>
  <si>
    <t>問合せ対応/サービスリクエスト/チケット起票</t>
    <rPh sb="0" eb="2">
      <t>トイアワ</t>
    </rPh>
    <rPh sb="3" eb="5">
      <t>タイオウ</t>
    </rPh>
    <rPh sb="20" eb="22">
      <t>キヒョウ</t>
    </rPh>
    <phoneticPr fontId="2"/>
  </si>
  <si>
    <t>Small change</t>
  </si>
  <si>
    <t>問い合わせ</t>
    <rPh sb="0" eb="1">
      <t>ト</t>
    </rPh>
    <rPh sb="2" eb="3">
      <t>ア</t>
    </rPh>
    <phoneticPr fontId="2"/>
  </si>
  <si>
    <t>Analytics Local ServicePanorama</t>
    <phoneticPr fontId="8"/>
  </si>
  <si>
    <t>検証・調査</t>
    <rPh sb="0" eb="2">
      <t>ケンショウ</t>
    </rPh>
    <rPh sb="3" eb="5">
      <t>チョウサ</t>
    </rPh>
    <phoneticPr fontId="2"/>
  </si>
  <si>
    <t>L1 Support</t>
  </si>
  <si>
    <t>Service Request</t>
    <phoneticPr fontId="8"/>
  </si>
  <si>
    <t>Digital Business SupportMyACUVUE+問合せ対応/サービスリクエスト/チケット起票</t>
  </si>
  <si>
    <t>Digital Business SupportMyACUVUE+Business Test Support</t>
  </si>
  <si>
    <t>Digital Business SupportMyACUVUE+その他依頼作業</t>
  </si>
  <si>
    <t>Digital Business SupporteCommerce(AOS &amp; Teikibin)問合せ対応/サービスリクエスト/チケット起票</t>
  </si>
  <si>
    <t>Digital Business SupporteCommerce(AOS &amp; Teikibin)Business Test Support</t>
  </si>
  <si>
    <t>Digital Business SupporteCommerce(AOS &amp; Teikibin)Incident &amp; Risk Management</t>
  </si>
  <si>
    <t>Digital Business SupporteCommerce(AOS &amp; Teikibin)その他依頼作業</t>
  </si>
  <si>
    <t>JFLOW &amp; Other SupportSupport問い合わせ</t>
  </si>
  <si>
    <t>JFLOW &amp; Other SupportSupportインシデントハンドリング</t>
  </si>
  <si>
    <t>JFLOW &amp; Other SupportBasic SupportService Request</t>
  </si>
  <si>
    <t>JFLOW &amp; Other SupportMaintenanceSmall change</t>
  </si>
  <si>
    <t>JFLOW &amp; Other SupportMaintenanceコンサルサービス</t>
  </si>
  <si>
    <t>Analytics Local ServicePanorama問い合わせ</t>
  </si>
  <si>
    <t>Analytics Local ServicePanoramaインシデントハンドリング</t>
  </si>
  <si>
    <t>SC Run supportEagleL1 Support</t>
  </si>
  <si>
    <t>SC Run supportEagleDaily Check</t>
  </si>
  <si>
    <t>SC Run supportARSL1 Support</t>
  </si>
  <si>
    <t>SC Run supportARSDaily Check</t>
  </si>
  <si>
    <t>SC Service requestEagleService Request</t>
  </si>
  <si>
    <t>SC Service requestARSService Request</t>
  </si>
  <si>
    <t>SC Service requestARSEnhancement</t>
  </si>
  <si>
    <t>ConsumerL2各種作業</t>
  </si>
  <si>
    <t>Digital Business SupportShop LocatorBusiness Test Support</t>
    <phoneticPr fontId="8"/>
  </si>
  <si>
    <t>問合せ</t>
    <rPh sb="0" eb="2">
      <t>トイアワ</t>
    </rPh>
    <phoneticPr fontId="6"/>
  </si>
  <si>
    <t>ConsumerL1各種作業</t>
    <phoneticPr fontId="8"/>
  </si>
  <si>
    <t>各種作業</t>
  </si>
  <si>
    <t>地図位置強制解除作業</t>
    <rPh sb="0" eb="2">
      <t>チズ</t>
    </rPh>
    <rPh sb="2" eb="4">
      <t>イチ</t>
    </rPh>
    <rPh sb="4" eb="6">
      <t>キョウセイ</t>
    </rPh>
    <rPh sb="6" eb="8">
      <t>カイジョ</t>
    </rPh>
    <rPh sb="8" eb="10">
      <t>サギョウ</t>
    </rPh>
    <phoneticPr fontId="12"/>
  </si>
  <si>
    <t>MyAcuvue+テストスクリプト作成(Sprint13)</t>
    <rPh sb="17" eb="19">
      <t>サクセイ</t>
    </rPh>
    <phoneticPr fontId="12"/>
  </si>
  <si>
    <t>REQ21568</t>
    <phoneticPr fontId="12"/>
  </si>
  <si>
    <t>REQ20445</t>
  </si>
  <si>
    <t>REQ21568</t>
  </si>
  <si>
    <t>REQ21569</t>
    <phoneticPr fontId="12"/>
  </si>
  <si>
    <t>REQ21549</t>
    <phoneticPr fontId="12"/>
  </si>
  <si>
    <t>体調不良　全休</t>
    <rPh sb="0" eb="2">
      <t>タイチョウ</t>
    </rPh>
    <rPh sb="2" eb="4">
      <t>フリョウ</t>
    </rPh>
    <rPh sb="5" eb="7">
      <t>ゼンキュウ</t>
    </rPh>
    <phoneticPr fontId="8"/>
  </si>
  <si>
    <t>体調不良　午前休</t>
    <rPh sb="0" eb="2">
      <t>タイチョウ</t>
    </rPh>
    <rPh sb="2" eb="4">
      <t>フリョウ</t>
    </rPh>
    <rPh sb="5" eb="7">
      <t>ゴゼン</t>
    </rPh>
    <rPh sb="7" eb="8">
      <t>キュウ</t>
    </rPh>
    <phoneticPr fontId="8"/>
  </si>
  <si>
    <t>休暇</t>
    <rPh sb="0" eb="2">
      <t>キュウ</t>
    </rPh>
    <phoneticPr fontId="8"/>
  </si>
  <si>
    <t>休暇</t>
    <rPh sb="0" eb="2">
      <t>キュ</t>
    </rPh>
    <phoneticPr fontId="8"/>
  </si>
  <si>
    <t>REQ21871</t>
  </si>
  <si>
    <t>REQ21554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</si>
</sst>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76" formatCode="0.00_);[Red]\(0.00\)"/>
    <numFmt numFmtId="177" formatCode="0.00_ "/>
    <numFmt numFmtId="178" formatCode="0.0_);[Red]\(0.0\)"/>
    <numFmt numFmtId="179" formatCode="yyyy/mm/dd"/>
    <numFmt numFmtId="180" formatCode="mm/dd"/>
    <numFmt numFmtId="181" formatCode="0.00_ ;[Red]\-0.00\ "/>
    <numFmt numFmtId="182" formatCode="[&lt;=999]000;000\-00"/>
    <numFmt numFmtId="183" formatCode="#,##0.00_);[Red]\(#,##0.00\)"/>
    <numFmt numFmtId="184" formatCode="m/d&quot;～&quot;"/>
    <numFmt numFmtId="185" formatCode="#,##0.00_);[Red]\(#,##0.00\);&quot;-&quot;"/>
    <numFmt numFmtId="186" formatCode="mmm"/>
    <numFmt numFmtId="187" formatCode="aaa"/>
    <numFmt numFmtId="188" formatCode="0_);[Red]\(0\)"/>
    <numFmt numFmtId="189" formatCode="h:mm;@"/>
    <numFmt numFmtId="190" formatCode="m/d;@"/>
  </numFmts>
  <fonts count="33"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9"/>
      <name val="ＭＳ Ｐゴシック"/>
      <family val="3"/>
      <charset val="128"/>
    </font>
    <font>
      <sz val="9"/>
      <name val="ＭＳ ゴシック"/>
      <family val="3"/>
      <charset val="128"/>
    </font>
    <font>
      <b/>
      <sz val="9"/>
      <name val="ＭＳ ゴシック"/>
      <family val="3"/>
      <charset val="128"/>
    </font>
    <font>
      <b/>
      <sz val="12"/>
      <name val="ＭＳ Ｐゴシック"/>
      <family val="3"/>
      <charset val="128"/>
    </font>
    <font>
      <sz val="9"/>
      <color indexed="12"/>
      <name val="ＭＳ ゴシック"/>
      <family val="3"/>
      <charset val="128"/>
    </font>
    <font>
      <sz val="8"/>
      <name val="ＭＳ Ｐゴシック"/>
      <family val="3"/>
      <charset val="128"/>
    </font>
    <font>
      <b/>
      <sz val="9"/>
      <color theme="0"/>
      <name val="ＭＳ ゴシック"/>
      <family val="3"/>
      <charset val="128"/>
    </font>
    <font>
      <sz val="11"/>
      <name val="ＭＳ Ｐゴシック"/>
      <family val="3"/>
      <charset val="128"/>
    </font>
    <font>
      <sz val="9"/>
      <color rgb="FF0000FF"/>
      <name val="ＭＳ ゴシック"/>
      <family val="3"/>
      <charset val="128"/>
    </font>
    <font>
      <b/>
      <sz val="11"/>
      <name val="ＭＳ Ｐゴシック"/>
      <family val="3"/>
      <charset val="128"/>
    </font>
    <font>
      <sz val="11"/>
      <color theme="1"/>
      <name val="ＭＳ Ｐゴシック"/>
      <family val="3"/>
      <charset val="128"/>
      <scheme val="minor"/>
    </font>
    <font>
      <sz val="6"/>
      <name val="ＭＳ Ｐゴシック"/>
      <family val="2"/>
      <charset val="128"/>
      <scheme val="minor"/>
    </font>
    <font>
      <b/>
      <sz val="9"/>
      <name val="MS UI Gothic"/>
      <family val="3"/>
      <charset val="128"/>
    </font>
    <font>
      <b/>
      <sz val="8"/>
      <name val="MS UI Gothic"/>
      <family val="3"/>
      <charset val="128"/>
    </font>
    <font>
      <sz val="9"/>
      <name val="MS UI Gothic"/>
      <family val="3"/>
      <charset val="128"/>
    </font>
    <font>
      <sz val="11"/>
      <name val="Arial"/>
      <family val="2"/>
    </font>
    <font>
      <sz val="10"/>
      <name val="ＭＳ Ｐゴシック"/>
      <family val="3"/>
      <charset val="128"/>
    </font>
    <font>
      <sz val="10"/>
      <color theme="1"/>
      <name val="ＭＳ Ｐゴシック"/>
      <family val="3"/>
      <charset val="128"/>
      <scheme val="minor"/>
    </font>
    <font>
      <b/>
      <sz val="9"/>
      <color theme="0"/>
      <name val="MS UI Gothic"/>
      <family val="3"/>
      <charset val="128"/>
    </font>
    <font>
      <sz val="9"/>
      <color indexed="12"/>
      <name val="MS UI Gothic"/>
      <family val="3"/>
      <charset val="128"/>
    </font>
    <font>
      <sz val="9"/>
      <color rgb="FF0000FF"/>
      <name val="MS UI Gothic"/>
      <family val="3"/>
      <charset val="128"/>
    </font>
    <font>
      <sz val="10"/>
      <name val="ＭＳ Ｐゴシック"/>
      <family val="3"/>
      <charset val="128"/>
      <scheme val="minor"/>
    </font>
    <font>
      <sz val="9"/>
      <name val="Meiryo UI"/>
      <family val="3"/>
      <charset val="128"/>
    </font>
    <font>
      <sz val="9"/>
      <color theme="1"/>
      <name val="Meiryo UI"/>
      <family val="3"/>
      <charset val="128"/>
    </font>
  </fonts>
  <fills count="16">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3"/>
        <bgColor indexed="64"/>
      </patternFill>
    </fill>
    <fill>
      <patternFill patternType="solid">
        <fgColor rgb="FF00FFCC"/>
        <bgColor indexed="64"/>
      </patternFill>
    </fill>
    <fill>
      <patternFill patternType="solid">
        <fgColor rgb="FFFFFF99"/>
        <bgColor indexed="64"/>
      </patternFill>
    </fill>
    <fill>
      <patternFill patternType="solid">
        <fgColor rgb="FFFF0000"/>
        <bgColor indexed="64"/>
      </patternFill>
    </fill>
    <fill>
      <patternFill patternType="solid">
        <fgColor rgb="FFFFCC99"/>
        <bgColor indexed="64"/>
      </patternFill>
    </fill>
    <fill>
      <patternFill patternType="solid">
        <fgColor rgb="FF99FFCC"/>
        <bgColor indexed="64"/>
      </patternFill>
    </fill>
    <fill>
      <patternFill patternType="solid">
        <fgColor theme="9" tint="0.39997558519241921"/>
        <bgColor indexed="64"/>
      </patternFill>
    </fill>
    <fill>
      <patternFill patternType="solid">
        <fgColor rgb="FF66FFCC"/>
        <bgColor indexed="64"/>
      </patternFill>
    </fill>
    <fill>
      <patternFill patternType="solid">
        <fgColor rgb="FFCCFFFF"/>
        <bgColor indexed="64"/>
      </patternFill>
    </fill>
    <fill>
      <patternFill patternType="lightGray">
        <fgColor rgb="FFFF0000"/>
        <bgColor auto="1"/>
      </patternFill>
    </fill>
    <fill>
      <patternFill patternType="solid">
        <fgColor rgb="FFFFFF00"/>
        <bgColor indexed="64"/>
      </patternFill>
    </fill>
    <fill>
      <patternFill patternType="solid">
        <fgColor theme="0" tint="-0.34998626667073579"/>
        <bgColor indexed="64"/>
      </patternFill>
    </fill>
  </fills>
  <borders count="75">
    <border>
      <left/>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style="thin">
        <color indexed="64"/>
      </left>
      <right/>
      <top style="thin">
        <color indexed="64"/>
      </top>
      <bottom style="thin">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double">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medium">
        <color indexed="64"/>
      </right>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thin">
        <color indexed="64"/>
      </left>
      <right/>
      <top/>
      <bottom style="medium">
        <color indexed="64"/>
      </bottom>
      <diagonal/>
    </border>
    <border>
      <left style="medium">
        <color indexed="64"/>
      </left>
      <right style="thin">
        <color indexed="64"/>
      </right>
      <top/>
      <bottom/>
      <diagonal/>
    </border>
    <border>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style="double">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double">
        <color indexed="64"/>
      </top>
      <bottom style="medium">
        <color indexed="64"/>
      </bottom>
      <diagonal/>
    </border>
    <border>
      <left style="thin">
        <color indexed="64"/>
      </left>
      <right/>
      <top/>
      <bottom/>
      <diagonal/>
    </border>
    <border>
      <left style="medium">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diagonal/>
    </border>
  </borders>
  <cellStyleXfs count="7">
    <xf numFmtId="0" fontId="0" fillId="0" borderId="0"/>
    <xf numFmtId="0" fontId="16" fillId="0" borderId="0">
      <alignment vertical="center"/>
    </xf>
    <xf numFmtId="0" fontId="7" fillId="0" borderId="0">
      <alignment vertical="center"/>
    </xf>
    <xf numFmtId="0" fontId="16" fillId="0" borderId="0"/>
    <xf numFmtId="0" fontId="6" fillId="0" borderId="0">
      <alignment vertical="center"/>
    </xf>
    <xf numFmtId="0" fontId="5" fillId="0" borderId="0">
      <alignment vertical="center"/>
    </xf>
    <xf numFmtId="0" fontId="4" fillId="0" borderId="0">
      <alignment vertical="center"/>
    </xf>
  </cellStyleXfs>
  <cellXfs count="373">
    <xf numFmtId="0" fontId="0" fillId="0" borderId="0" xfId="0"/>
    <xf numFmtId="0" fontId="0" fillId="0" borderId="0" xfId="0" applyAlignment="1">
      <alignment horizontal="center"/>
    </xf>
    <xf numFmtId="0" fontId="0" fillId="2" borderId="0" xfId="0" applyFill="1"/>
    <xf numFmtId="178" fontId="0" fillId="0" borderId="0" xfId="0" applyNumberFormat="1"/>
    <xf numFmtId="0" fontId="0" fillId="0" borderId="7" xfId="0" applyBorder="1"/>
    <xf numFmtId="20" fontId="0" fillId="0" borderId="2" xfId="0" applyNumberFormat="1" applyBorder="1" applyAlignment="1">
      <alignment horizontal="center"/>
    </xf>
    <xf numFmtId="176" fontId="0" fillId="0" borderId="0" xfId="0" applyNumberFormat="1" applyAlignment="1">
      <alignment horizontal="right"/>
    </xf>
    <xf numFmtId="0" fontId="0" fillId="0" borderId="2" xfId="0" applyBorder="1"/>
    <xf numFmtId="0" fontId="10" fillId="0" borderId="0" xfId="0" applyFont="1" applyAlignment="1">
      <alignment horizontal="center" vertical="center" shrinkToFit="1"/>
    </xf>
    <xf numFmtId="0" fontId="10" fillId="0" borderId="0" xfId="0" applyFont="1" applyAlignment="1">
      <alignment vertical="center" wrapText="1"/>
    </xf>
    <xf numFmtId="182" fontId="9" fillId="0" borderId="16" xfId="0" applyNumberFormat="1" applyFont="1" applyFill="1" applyBorder="1" applyProtection="1">
      <protection locked="0"/>
    </xf>
    <xf numFmtId="49" fontId="14" fillId="0" borderId="2" xfId="0" applyNumberFormat="1" applyFont="1" applyFill="1" applyBorder="1" applyAlignment="1" applyProtection="1">
      <alignment vertical="top" wrapText="1"/>
      <protection locked="0"/>
    </xf>
    <xf numFmtId="49" fontId="14" fillId="0" borderId="21" xfId="0" applyNumberFormat="1" applyFont="1" applyFill="1" applyBorder="1" applyAlignment="1" applyProtection="1">
      <alignment vertical="top" wrapText="1"/>
      <protection locked="0"/>
    </xf>
    <xf numFmtId="0" fontId="11" fillId="8" borderId="26" xfId="0" applyFont="1" applyFill="1" applyBorder="1" applyAlignment="1">
      <alignment horizontal="center" vertical="center" wrapText="1"/>
    </xf>
    <xf numFmtId="0" fontId="11" fillId="8" borderId="23" xfId="0" applyFont="1" applyFill="1" applyBorder="1" applyAlignment="1">
      <alignment horizontal="center" vertical="center" wrapText="1"/>
    </xf>
    <xf numFmtId="181" fontId="0" fillId="2" borderId="28" xfId="0" applyNumberFormat="1" applyFill="1" applyBorder="1" applyProtection="1">
      <protection locked="0"/>
    </xf>
    <xf numFmtId="20" fontId="0" fillId="2" borderId="3" xfId="0" applyNumberFormat="1" applyFill="1" applyBorder="1" applyProtection="1">
      <protection locked="0"/>
    </xf>
    <xf numFmtId="20" fontId="0" fillId="2" borderId="21" xfId="0" applyNumberFormat="1" applyFill="1" applyBorder="1" applyProtection="1">
      <protection locked="0"/>
    </xf>
    <xf numFmtId="181" fontId="0" fillId="2" borderId="36" xfId="0" applyNumberFormat="1" applyFill="1" applyBorder="1" applyProtection="1">
      <protection locked="0"/>
    </xf>
    <xf numFmtId="181" fontId="0" fillId="2" borderId="37" xfId="0" applyNumberFormat="1" applyFill="1" applyBorder="1" applyProtection="1">
      <protection locked="0"/>
    </xf>
    <xf numFmtId="0" fontId="10" fillId="0" borderId="0" xfId="0" applyFont="1" applyBorder="1" applyAlignment="1">
      <alignment horizontal="center" vertical="center" shrinkToFit="1"/>
    </xf>
    <xf numFmtId="0" fontId="10" fillId="0" borderId="0" xfId="0" applyFont="1" applyBorder="1" applyAlignment="1">
      <alignment vertical="center" wrapText="1"/>
    </xf>
    <xf numFmtId="0" fontId="10" fillId="0" borderId="0" xfId="0" applyNumberFormat="1" applyFont="1" applyAlignment="1">
      <alignment vertical="center" wrapText="1"/>
    </xf>
    <xf numFmtId="14" fontId="11" fillId="8" borderId="26" xfId="0" applyNumberFormat="1" applyFont="1" applyFill="1" applyBorder="1" applyAlignment="1">
      <alignment horizontal="center" vertical="center" shrinkToFit="1"/>
    </xf>
    <xf numFmtId="14" fontId="10" fillId="0" borderId="0" xfId="0" applyNumberFormat="1" applyFont="1" applyAlignment="1">
      <alignment horizontal="center" vertical="center" shrinkToFit="1"/>
    </xf>
    <xf numFmtId="20" fontId="0" fillId="0" borderId="7" xfId="0" applyNumberFormat="1" applyBorder="1" applyAlignment="1"/>
    <xf numFmtId="0" fontId="0" fillId="0" borderId="7" xfId="0" applyBorder="1" applyAlignment="1"/>
    <xf numFmtId="181" fontId="0" fillId="2" borderId="58" xfId="0" applyNumberFormat="1" applyFill="1" applyBorder="1" applyProtection="1">
      <protection locked="0"/>
    </xf>
    <xf numFmtId="20" fontId="0" fillId="2" borderId="41" xfId="0" applyNumberFormat="1" applyFill="1" applyBorder="1" applyProtection="1">
      <protection locked="0"/>
    </xf>
    <xf numFmtId="20" fontId="0" fillId="2" borderId="59" xfId="0" applyNumberFormat="1" applyFill="1" applyBorder="1" applyProtection="1">
      <protection locked="0"/>
    </xf>
    <xf numFmtId="181" fontId="0" fillId="2" borderId="53" xfId="0" applyNumberFormat="1" applyFill="1" applyBorder="1" applyProtection="1">
      <protection locked="0"/>
    </xf>
    <xf numFmtId="181" fontId="0" fillId="2" borderId="57" xfId="0" applyNumberFormat="1" applyFill="1" applyBorder="1" applyProtection="1">
      <protection locked="0"/>
    </xf>
    <xf numFmtId="0" fontId="0" fillId="2" borderId="3" xfId="0" applyFill="1" applyBorder="1" applyAlignment="1">
      <alignment horizontal="center"/>
    </xf>
    <xf numFmtId="0" fontId="0" fillId="2" borderId="41" xfId="0" applyFill="1" applyBorder="1" applyAlignment="1">
      <alignment horizontal="center"/>
    </xf>
    <xf numFmtId="0" fontId="0" fillId="2" borderId="36" xfId="0" applyFill="1" applyBorder="1" applyAlignment="1">
      <alignment horizontal="center"/>
    </xf>
    <xf numFmtId="20" fontId="0" fillId="2" borderId="36" xfId="0" applyNumberFormat="1" applyFill="1" applyBorder="1" applyProtection="1">
      <protection locked="0"/>
    </xf>
    <xf numFmtId="20" fontId="0" fillId="2" borderId="37" xfId="0" applyNumberFormat="1" applyFill="1" applyBorder="1" applyProtection="1">
      <protection locked="0"/>
    </xf>
    <xf numFmtId="182" fontId="9" fillId="0" borderId="38" xfId="0" applyNumberFormat="1" applyFont="1" applyFill="1" applyBorder="1" applyProtection="1">
      <protection locked="0"/>
    </xf>
    <xf numFmtId="49" fontId="14" fillId="0" borderId="28" xfId="0" applyNumberFormat="1" applyFont="1" applyFill="1" applyBorder="1" applyAlignment="1" applyProtection="1">
      <alignment vertical="top" wrapText="1"/>
      <protection locked="0"/>
    </xf>
    <xf numFmtId="49" fontId="14" fillId="0" borderId="37" xfId="0" applyNumberFormat="1" applyFont="1" applyFill="1" applyBorder="1" applyAlignment="1" applyProtection="1">
      <alignment vertical="top" wrapText="1"/>
      <protection locked="0"/>
    </xf>
    <xf numFmtId="0" fontId="0" fillId="0" borderId="0" xfId="0" applyProtection="1">
      <protection locked="0"/>
    </xf>
    <xf numFmtId="182" fontId="9" fillId="0" borderId="28" xfId="0" applyNumberFormat="1" applyFont="1" applyFill="1" applyBorder="1" applyProtection="1">
      <protection locked="0"/>
    </xf>
    <xf numFmtId="182" fontId="9" fillId="0" borderId="2" xfId="0" applyNumberFormat="1" applyFont="1" applyFill="1" applyBorder="1" applyProtection="1">
      <protection locked="0"/>
    </xf>
    <xf numFmtId="0" fontId="0" fillId="0" borderId="0" xfId="0" applyBorder="1"/>
    <xf numFmtId="0" fontId="0" fillId="0" borderId="58" xfId="0" applyBorder="1"/>
    <xf numFmtId="20" fontId="0" fillId="0" borderId="2" xfId="0" applyNumberFormat="1" applyFont="1" applyFill="1" applyBorder="1" applyAlignment="1">
      <alignment horizontal="center"/>
    </xf>
    <xf numFmtId="0" fontId="19" fillId="0" borderId="2" xfId="0" applyFont="1" applyBorder="1" applyAlignment="1">
      <alignment vertical="center"/>
    </xf>
    <xf numFmtId="0" fontId="19" fillId="0" borderId="2" xfId="0" applyFont="1" applyFill="1" applyBorder="1" applyAlignment="1">
      <alignment vertical="center"/>
    </xf>
    <xf numFmtId="0" fontId="0" fillId="0" borderId="0" xfId="0" applyAlignment="1">
      <alignment horizontal="left"/>
    </xf>
    <xf numFmtId="0" fontId="0" fillId="0" borderId="58" xfId="0" applyFill="1" applyBorder="1"/>
    <xf numFmtId="177" fontId="0" fillId="0" borderId="58" xfId="0" applyNumberFormat="1" applyBorder="1"/>
    <xf numFmtId="0" fontId="18" fillId="0" borderId="0" xfId="0" applyFont="1"/>
    <xf numFmtId="183" fontId="17" fillId="9" borderId="2" xfId="0" applyNumberFormat="1" applyFont="1" applyFill="1" applyBorder="1" applyAlignment="1" applyProtection="1">
      <alignment vertical="center" shrinkToFit="1"/>
    </xf>
    <xf numFmtId="183" fontId="17" fillId="9" borderId="20" xfId="0" applyNumberFormat="1" applyFont="1" applyFill="1" applyBorder="1" applyAlignment="1" applyProtection="1">
      <alignment vertical="center" shrinkToFit="1"/>
    </xf>
    <xf numFmtId="14" fontId="11" fillId="8" borderId="42" xfId="0" applyNumberFormat="1" applyFont="1" applyFill="1" applyBorder="1" applyAlignment="1">
      <alignment horizontal="center" vertical="center" shrinkToFit="1"/>
    </xf>
    <xf numFmtId="0" fontId="0" fillId="6" borderId="4" xfId="0" applyFill="1" applyBorder="1"/>
    <xf numFmtId="0" fontId="0" fillId="0" borderId="44" xfId="0" applyBorder="1"/>
    <xf numFmtId="0" fontId="0" fillId="11" borderId="3" xfId="0" applyFill="1" applyBorder="1"/>
    <xf numFmtId="0" fontId="0" fillId="0" borderId="21" xfId="0" applyBorder="1"/>
    <xf numFmtId="0" fontId="0" fillId="0" borderId="3" xfId="0" applyBorder="1"/>
    <xf numFmtId="0" fontId="0" fillId="10" borderId="3" xfId="0" applyFill="1" applyBorder="1"/>
    <xf numFmtId="0" fontId="0" fillId="0" borderId="65" xfId="0" applyBorder="1"/>
    <xf numFmtId="0" fontId="18" fillId="10" borderId="2" xfId="0" applyFont="1" applyFill="1" applyBorder="1" applyAlignment="1">
      <alignment horizontal="center"/>
    </xf>
    <xf numFmtId="0" fontId="18" fillId="10" borderId="7" xfId="0" applyFont="1" applyFill="1" applyBorder="1" applyAlignment="1">
      <alignment horizontal="center"/>
    </xf>
    <xf numFmtId="17" fontId="18" fillId="10" borderId="2" xfId="0" applyNumberFormat="1" applyFont="1" applyFill="1" applyBorder="1" applyAlignment="1">
      <alignment horizontal="center"/>
    </xf>
    <xf numFmtId="177" fontId="0" fillId="9" borderId="2" xfId="0" applyNumberFormat="1" applyFill="1" applyBorder="1"/>
    <xf numFmtId="0" fontId="11" fillId="0" borderId="0" xfId="0" applyNumberFormat="1" applyFont="1" applyAlignment="1">
      <alignment vertical="center"/>
    </xf>
    <xf numFmtId="0" fontId="11" fillId="5" borderId="70" xfId="0" applyFont="1" applyFill="1" applyBorder="1" applyAlignment="1">
      <alignment horizontal="centerContinuous" vertical="center" wrapText="1"/>
    </xf>
    <xf numFmtId="0" fontId="11" fillId="5" borderId="24" xfId="0" applyFont="1" applyFill="1" applyBorder="1" applyAlignment="1">
      <alignment horizontal="centerContinuous" vertical="center" wrapText="1"/>
    </xf>
    <xf numFmtId="14" fontId="15" fillId="7" borderId="70" xfId="0" applyNumberFormat="1" applyFont="1" applyFill="1" applyBorder="1" applyAlignment="1">
      <alignment horizontal="centerContinuous" vertical="center" wrapText="1"/>
    </xf>
    <xf numFmtId="14" fontId="11" fillId="10" borderId="4" xfId="0" applyNumberFormat="1" applyFont="1" applyFill="1" applyBorder="1" applyAlignment="1">
      <alignment horizontal="centerContinuous" vertical="center" wrapText="1"/>
    </xf>
    <xf numFmtId="0" fontId="11" fillId="10" borderId="44" xfId="0" applyFont="1" applyFill="1" applyBorder="1" applyAlignment="1">
      <alignment horizontal="centerContinuous" vertical="center" wrapText="1"/>
    </xf>
    <xf numFmtId="0" fontId="10" fillId="6" borderId="18" xfId="0" applyNumberFormat="1" applyFont="1" applyFill="1" applyBorder="1" applyAlignment="1" applyProtection="1">
      <alignment vertical="center" wrapText="1"/>
      <protection locked="0"/>
    </xf>
    <xf numFmtId="0" fontId="10" fillId="9" borderId="65" xfId="0" applyFont="1" applyFill="1" applyBorder="1" applyAlignment="1" applyProtection="1">
      <alignment horizontal="center" vertical="center" wrapText="1"/>
      <protection locked="0"/>
    </xf>
    <xf numFmtId="179" fontId="10" fillId="0" borderId="18" xfId="0" applyNumberFormat="1" applyFont="1" applyFill="1" applyBorder="1" applyAlignment="1" applyProtection="1">
      <alignment horizontal="right" vertical="center" wrapText="1"/>
      <protection locked="0"/>
    </xf>
    <xf numFmtId="179" fontId="10" fillId="0" borderId="65" xfId="0" applyNumberFormat="1" applyFont="1" applyFill="1" applyBorder="1" applyAlignment="1" applyProtection="1">
      <alignment horizontal="right" vertical="center" wrapText="1"/>
      <protection locked="0"/>
    </xf>
    <xf numFmtId="14" fontId="11" fillId="5" borderId="24" xfId="0" applyNumberFormat="1" applyFont="1" applyFill="1" applyBorder="1" applyAlignment="1">
      <alignment vertical="center" wrapText="1"/>
    </xf>
    <xf numFmtId="14" fontId="11" fillId="5" borderId="24" xfId="0" applyNumberFormat="1" applyFont="1" applyFill="1" applyBorder="1" applyAlignment="1">
      <alignment horizontal="centerContinuous" vertical="center" wrapText="1"/>
    </xf>
    <xf numFmtId="0" fontId="11" fillId="10" borderId="4" xfId="0" applyFont="1" applyFill="1" applyBorder="1" applyAlignment="1">
      <alignment horizontal="centerContinuous" vertical="center" wrapText="1"/>
    </xf>
    <xf numFmtId="0" fontId="11" fillId="10" borderId="48" xfId="0" applyFont="1" applyFill="1" applyBorder="1" applyAlignment="1">
      <alignment horizontal="centerContinuous" vertical="center" wrapText="1"/>
    </xf>
    <xf numFmtId="176" fontId="0" fillId="10" borderId="34" xfId="0" applyNumberFormat="1" applyFill="1" applyBorder="1" applyAlignment="1" applyProtection="1">
      <alignment horizontal="center"/>
    </xf>
    <xf numFmtId="182" fontId="0" fillId="10" borderId="13" xfId="0" applyNumberFormat="1" applyFill="1" applyBorder="1" applyAlignment="1">
      <alignment horizontal="center"/>
    </xf>
    <xf numFmtId="182" fontId="0" fillId="10" borderId="45" xfId="0" applyNumberFormat="1" applyFill="1" applyBorder="1" applyAlignment="1" applyProtection="1">
      <alignment horizontal="center"/>
    </xf>
    <xf numFmtId="182" fontId="0" fillId="10" borderId="13" xfId="0" applyNumberFormat="1" applyFill="1" applyBorder="1" applyAlignment="1" applyProtection="1">
      <alignment horizontal="center"/>
    </xf>
    <xf numFmtId="182" fontId="0" fillId="10" borderId="11" xfId="0" applyNumberFormat="1" applyFill="1" applyBorder="1" applyAlignment="1" applyProtection="1">
      <alignment horizontal="center"/>
    </xf>
    <xf numFmtId="182" fontId="0" fillId="10" borderId="15" xfId="0" applyNumberFormat="1" applyFill="1" applyBorder="1" applyAlignment="1" applyProtection="1">
      <alignment horizontal="center"/>
    </xf>
    <xf numFmtId="182" fontId="0" fillId="10" borderId="5" xfId="0" applyNumberFormat="1" applyFill="1" applyBorder="1" applyAlignment="1" applyProtection="1">
      <alignment horizontal="center"/>
    </xf>
    <xf numFmtId="0" fontId="0" fillId="10" borderId="18" xfId="0" applyFill="1" applyBorder="1" applyAlignment="1">
      <alignment horizontal="center"/>
    </xf>
    <xf numFmtId="0" fontId="0" fillId="10" borderId="65" xfId="0" applyFill="1" applyBorder="1" applyAlignment="1">
      <alignment horizontal="center"/>
    </xf>
    <xf numFmtId="0" fontId="0" fillId="10" borderId="20" xfId="0" applyFill="1" applyBorder="1" applyAlignment="1">
      <alignment horizontal="center" wrapText="1"/>
    </xf>
    <xf numFmtId="176" fontId="0" fillId="10" borderId="50" xfId="0" applyNumberFormat="1" applyFill="1" applyBorder="1" applyAlignment="1" applyProtection="1">
      <alignment horizontal="center"/>
    </xf>
    <xf numFmtId="178" fontId="0" fillId="10" borderId="31" xfId="0" applyNumberFormat="1" applyFill="1" applyBorder="1" applyAlignment="1" applyProtection="1">
      <alignment horizontal="center"/>
    </xf>
    <xf numFmtId="178" fontId="0" fillId="10" borderId="39" xfId="0" applyNumberFormat="1" applyFill="1" applyBorder="1" applyAlignment="1" applyProtection="1">
      <alignment horizontal="center"/>
    </xf>
    <xf numFmtId="182" fontId="0" fillId="10" borderId="33" xfId="0" applyNumberFormat="1" applyFill="1" applyBorder="1" applyAlignment="1">
      <alignment horizontal="center"/>
    </xf>
    <xf numFmtId="182" fontId="0" fillId="10" borderId="32" xfId="0" applyNumberFormat="1" applyFill="1" applyBorder="1" applyAlignment="1" applyProtection="1">
      <alignment horizontal="center"/>
    </xf>
    <xf numFmtId="182" fontId="0" fillId="10" borderId="33" xfId="0" applyNumberFormat="1" applyFill="1" applyBorder="1" applyAlignment="1" applyProtection="1">
      <alignment horizontal="center"/>
    </xf>
    <xf numFmtId="182" fontId="0" fillId="10" borderId="31" xfId="0" applyNumberFormat="1" applyFill="1" applyBorder="1" applyAlignment="1" applyProtection="1">
      <alignment horizontal="center"/>
    </xf>
    <xf numFmtId="182" fontId="0" fillId="10" borderId="22" xfId="0" applyNumberFormat="1" applyFill="1" applyBorder="1" applyAlignment="1" applyProtection="1">
      <alignment horizontal="center"/>
    </xf>
    <xf numFmtId="182" fontId="0" fillId="10" borderId="39" xfId="0" applyNumberFormat="1" applyFill="1" applyBorder="1" applyAlignment="1" applyProtection="1">
      <alignment horizontal="center"/>
    </xf>
    <xf numFmtId="176" fontId="0" fillId="10" borderId="10" xfId="0" applyNumberFormat="1" applyFill="1" applyBorder="1" applyAlignment="1" applyProtection="1">
      <alignment horizontal="center"/>
    </xf>
    <xf numFmtId="0" fontId="0" fillId="10" borderId="20" xfId="0" applyFill="1" applyBorder="1" applyAlignment="1">
      <alignment horizontal="center"/>
    </xf>
    <xf numFmtId="0" fontId="0" fillId="10" borderId="20" xfId="0" applyFill="1" applyBorder="1" applyAlignment="1"/>
    <xf numFmtId="0" fontId="0" fillId="10" borderId="20" xfId="0" applyFill="1" applyBorder="1" applyAlignment="1">
      <alignment wrapText="1"/>
    </xf>
    <xf numFmtId="0" fontId="0" fillId="10" borderId="65" xfId="0" applyFill="1" applyBorder="1" applyAlignment="1"/>
    <xf numFmtId="176" fontId="0" fillId="10" borderId="56" xfId="0" applyNumberFormat="1" applyFill="1" applyBorder="1" applyAlignment="1" applyProtection="1">
      <alignment horizontal="center"/>
    </xf>
    <xf numFmtId="182" fontId="0" fillId="6" borderId="55" xfId="0" applyNumberFormat="1" applyFill="1" applyBorder="1" applyProtection="1">
      <protection locked="0"/>
    </xf>
    <xf numFmtId="182" fontId="0" fillId="6" borderId="54" xfId="0" applyNumberFormat="1" applyFill="1" applyBorder="1" applyProtection="1">
      <protection locked="0"/>
    </xf>
    <xf numFmtId="186" fontId="0" fillId="9" borderId="60" xfId="0" applyNumberFormat="1" applyFill="1" applyBorder="1"/>
    <xf numFmtId="0" fontId="0" fillId="9" borderId="14" xfId="0" applyFill="1" applyBorder="1" applyAlignment="1">
      <alignment horizontal="center"/>
    </xf>
    <xf numFmtId="0" fontId="0" fillId="9" borderId="14" xfId="0" applyFill="1" applyBorder="1"/>
    <xf numFmtId="181" fontId="0" fillId="9" borderId="14" xfId="0" applyNumberFormat="1" applyFill="1" applyBorder="1"/>
    <xf numFmtId="176" fontId="0" fillId="9" borderId="14" xfId="0" applyNumberFormat="1" applyFill="1" applyBorder="1" applyAlignment="1" applyProtection="1">
      <alignment horizontal="right"/>
    </xf>
    <xf numFmtId="176" fontId="0" fillId="9" borderId="14" xfId="0" applyNumberFormat="1" applyFill="1" applyBorder="1" applyProtection="1"/>
    <xf numFmtId="176" fontId="0" fillId="9" borderId="9" xfId="0" applyNumberFormat="1" applyFill="1" applyBorder="1" applyProtection="1"/>
    <xf numFmtId="176" fontId="0" fillId="9" borderId="8" xfId="0" applyNumberFormat="1" applyFill="1" applyBorder="1" applyProtection="1"/>
    <xf numFmtId="182" fontId="0" fillId="9" borderId="14" xfId="0" applyNumberFormat="1" applyFill="1" applyBorder="1" applyProtection="1"/>
    <xf numFmtId="188" fontId="0" fillId="9" borderId="14" xfId="0" applyNumberFormat="1" applyFill="1" applyBorder="1" applyProtection="1"/>
    <xf numFmtId="182" fontId="0" fillId="9" borderId="55" xfId="0" applyNumberFormat="1" applyFill="1" applyBorder="1" applyProtection="1">
      <protection locked="0"/>
    </xf>
    <xf numFmtId="182" fontId="0" fillId="9" borderId="14" xfId="0" applyNumberFormat="1" applyFill="1" applyBorder="1" applyProtection="1">
      <protection locked="0"/>
    </xf>
    <xf numFmtId="182" fontId="0" fillId="9" borderId="54" xfId="0" applyNumberFormat="1" applyFill="1" applyBorder="1" applyProtection="1">
      <protection locked="0"/>
    </xf>
    <xf numFmtId="182" fontId="0" fillId="9" borderId="6" xfId="0" applyNumberFormat="1" applyFill="1" applyBorder="1" applyProtection="1">
      <protection locked="0"/>
    </xf>
    <xf numFmtId="182" fontId="0" fillId="9" borderId="9" xfId="0" applyNumberFormat="1" applyFill="1" applyBorder="1" applyProtection="1">
      <protection locked="0"/>
    </xf>
    <xf numFmtId="0" fontId="0" fillId="9" borderId="60" xfId="0" applyFill="1" applyBorder="1"/>
    <xf numFmtId="181" fontId="0" fillId="9" borderId="62" xfId="0" applyNumberFormat="1" applyFill="1" applyBorder="1"/>
    <xf numFmtId="181" fontId="0" fillId="9" borderId="6" xfId="0" applyNumberFormat="1" applyFill="1" applyBorder="1"/>
    <xf numFmtId="188" fontId="0" fillId="9" borderId="14" xfId="0" applyNumberFormat="1" applyFill="1" applyBorder="1"/>
    <xf numFmtId="181" fontId="0" fillId="9" borderId="14" xfId="0" applyNumberFormat="1" applyFill="1" applyBorder="1" applyProtection="1">
      <protection locked="0"/>
    </xf>
    <xf numFmtId="181" fontId="0" fillId="9" borderId="60" xfId="0" applyNumberFormat="1" applyFill="1" applyBorder="1" applyProtection="1">
      <protection locked="0"/>
    </xf>
    <xf numFmtId="181" fontId="0" fillId="9" borderId="9" xfId="0" applyNumberFormat="1" applyFill="1" applyBorder="1"/>
    <xf numFmtId="0" fontId="0" fillId="9" borderId="68" xfId="0" applyFill="1" applyBorder="1"/>
    <xf numFmtId="0" fontId="0" fillId="9" borderId="24" xfId="0" applyFill="1" applyBorder="1" applyAlignment="1">
      <alignment horizontal="center"/>
    </xf>
    <xf numFmtId="0" fontId="0" fillId="9" borderId="24" xfId="0" applyFill="1" applyBorder="1"/>
    <xf numFmtId="181" fontId="0" fillId="9" borderId="24" xfId="0" applyNumberFormat="1" applyFill="1" applyBorder="1"/>
    <xf numFmtId="0" fontId="0" fillId="9" borderId="24" xfId="0" applyFill="1" applyBorder="1" applyProtection="1">
      <protection locked="0"/>
    </xf>
    <xf numFmtId="0" fontId="0" fillId="9" borderId="61" xfId="0" applyFill="1" applyBorder="1" applyProtection="1">
      <protection locked="0"/>
    </xf>
    <xf numFmtId="181" fontId="0" fillId="9" borderId="61" xfId="0" applyNumberFormat="1" applyFill="1" applyBorder="1"/>
    <xf numFmtId="0" fontId="0" fillId="0" borderId="0" xfId="0" applyFill="1"/>
    <xf numFmtId="176" fontId="0" fillId="9" borderId="38" xfId="0" applyNumberFormat="1" applyFill="1" applyBorder="1" applyAlignment="1" applyProtection="1">
      <alignment horizontal="right"/>
    </xf>
    <xf numFmtId="181" fontId="0" fillId="9" borderId="36" xfId="0" applyNumberFormat="1" applyFill="1" applyBorder="1" applyProtection="1"/>
    <xf numFmtId="181" fontId="0" fillId="9" borderId="40" xfId="0" applyNumberFormat="1" applyFill="1" applyBorder="1" applyProtection="1"/>
    <xf numFmtId="181" fontId="0" fillId="9" borderId="37" xfId="0" applyNumberFormat="1" applyFill="1" applyBorder="1" applyProtection="1"/>
    <xf numFmtId="177" fontId="0" fillId="9" borderId="40" xfId="0" applyNumberFormat="1" applyFill="1" applyBorder="1" applyProtection="1"/>
    <xf numFmtId="177" fontId="9" fillId="9" borderId="28" xfId="0" applyNumberFormat="1" applyFont="1" applyFill="1" applyBorder="1" applyProtection="1"/>
    <xf numFmtId="181" fontId="0" fillId="9" borderId="3" xfId="0" applyNumberFormat="1" applyFill="1" applyBorder="1" applyProtection="1"/>
    <xf numFmtId="181" fontId="0" fillId="9" borderId="12" xfId="0" applyNumberFormat="1" applyFill="1" applyBorder="1" applyProtection="1"/>
    <xf numFmtId="181" fontId="0" fillId="9" borderId="21" xfId="0" applyNumberFormat="1" applyFill="1" applyBorder="1" applyProtection="1"/>
    <xf numFmtId="177" fontId="0" fillId="9" borderId="12" xfId="0" applyNumberFormat="1" applyFill="1" applyBorder="1" applyProtection="1"/>
    <xf numFmtId="177" fontId="9" fillId="9" borderId="2" xfId="0" applyNumberFormat="1" applyFont="1" applyFill="1" applyBorder="1" applyProtection="1"/>
    <xf numFmtId="181" fontId="0" fillId="9" borderId="41" xfId="0" applyNumberFormat="1" applyFill="1" applyBorder="1" applyProtection="1"/>
    <xf numFmtId="181" fontId="0" fillId="9" borderId="51" xfId="0" applyNumberFormat="1" applyFill="1" applyBorder="1" applyProtection="1"/>
    <xf numFmtId="182" fontId="9" fillId="6" borderId="66" xfId="0" applyNumberFormat="1" applyFont="1" applyFill="1" applyBorder="1" applyProtection="1">
      <protection locked="0"/>
    </xf>
    <xf numFmtId="182" fontId="9" fillId="6" borderId="67" xfId="0" applyNumberFormat="1" applyFont="1" applyFill="1" applyBorder="1" applyProtection="1">
      <protection locked="0"/>
    </xf>
    <xf numFmtId="181" fontId="0" fillId="6" borderId="6" xfId="0" applyNumberFormat="1" applyFill="1" applyBorder="1" applyProtection="1">
      <protection locked="0"/>
    </xf>
    <xf numFmtId="182" fontId="9" fillId="6" borderId="40" xfId="0" applyNumberFormat="1" applyFont="1" applyFill="1" applyBorder="1" applyProtection="1">
      <protection locked="0"/>
    </xf>
    <xf numFmtId="182" fontId="9" fillId="6" borderId="12" xfId="0" applyNumberFormat="1" applyFont="1" applyFill="1" applyBorder="1" applyProtection="1">
      <protection locked="0"/>
    </xf>
    <xf numFmtId="176" fontId="0" fillId="9" borderId="29" xfId="0" applyNumberFormat="1" applyFill="1" applyBorder="1" applyAlignment="1" applyProtection="1">
      <alignment horizontal="right"/>
    </xf>
    <xf numFmtId="181" fontId="0" fillId="9" borderId="28" xfId="0" applyNumberFormat="1" applyFill="1" applyBorder="1" applyProtection="1"/>
    <xf numFmtId="181" fontId="0" fillId="9" borderId="2" xfId="0" applyNumberFormat="1" applyFill="1" applyBorder="1" applyProtection="1"/>
    <xf numFmtId="176" fontId="0" fillId="9" borderId="64" xfId="0" applyNumberFormat="1" applyFill="1" applyBorder="1" applyAlignment="1" applyProtection="1">
      <alignment horizontal="right"/>
    </xf>
    <xf numFmtId="181" fontId="0" fillId="9" borderId="30" xfId="0" applyNumberFormat="1" applyFill="1" applyBorder="1" applyProtection="1"/>
    <xf numFmtId="181" fontId="0" fillId="9" borderId="59" xfId="0" applyNumberFormat="1" applyFill="1" applyBorder="1" applyProtection="1"/>
    <xf numFmtId="177" fontId="0" fillId="9" borderId="51" xfId="0" applyNumberFormat="1" applyFill="1" applyBorder="1" applyProtection="1"/>
    <xf numFmtId="184" fontId="10" fillId="12" borderId="20" xfId="0" applyNumberFormat="1" applyFont="1" applyFill="1" applyBorder="1" applyAlignment="1" applyProtection="1">
      <alignment horizontal="center" vertical="center" wrapText="1"/>
      <protection locked="0"/>
    </xf>
    <xf numFmtId="0" fontId="11" fillId="12" borderId="18" xfId="0" applyFont="1" applyFill="1" applyBorder="1" applyAlignment="1" applyProtection="1">
      <alignment horizontal="centerContinuous" vertical="center" wrapText="1"/>
      <protection locked="0"/>
    </xf>
    <xf numFmtId="0" fontId="10" fillId="12" borderId="20" xfId="0" applyFont="1" applyFill="1" applyBorder="1" applyAlignment="1" applyProtection="1">
      <alignment horizontal="centerContinuous" vertical="center" wrapText="1"/>
      <protection locked="0"/>
    </xf>
    <xf numFmtId="0" fontId="10" fillId="12" borderId="65" xfId="0" applyFont="1" applyFill="1" applyBorder="1" applyAlignment="1" applyProtection="1">
      <alignment horizontal="centerContinuous" vertical="center" wrapText="1"/>
      <protection locked="0"/>
    </xf>
    <xf numFmtId="180" fontId="0" fillId="12" borderId="36" xfId="0" applyNumberFormat="1" applyFill="1" applyBorder="1"/>
    <xf numFmtId="187" fontId="0" fillId="12" borderId="35" xfId="0" applyNumberFormat="1" applyFill="1" applyBorder="1" applyAlignment="1">
      <alignment horizontal="center"/>
    </xf>
    <xf numFmtId="180" fontId="0" fillId="12" borderId="3" xfId="0" applyNumberFormat="1" applyFill="1" applyBorder="1"/>
    <xf numFmtId="180" fontId="0" fillId="12" borderId="41" xfId="0" applyNumberFormat="1" applyFill="1" applyBorder="1"/>
    <xf numFmtId="187" fontId="0" fillId="12" borderId="63" xfId="0" applyNumberFormat="1" applyFill="1" applyBorder="1" applyAlignment="1">
      <alignment horizontal="center"/>
    </xf>
    <xf numFmtId="0" fontId="0" fillId="13" borderId="3" xfId="0" applyFill="1" applyBorder="1"/>
    <xf numFmtId="0" fontId="0" fillId="12" borderId="18" xfId="0" applyFill="1" applyBorder="1"/>
    <xf numFmtId="0" fontId="0" fillId="0" borderId="0" xfId="0" applyAlignment="1">
      <alignment horizontal="left" indent="1"/>
    </xf>
    <xf numFmtId="0" fontId="0" fillId="0" borderId="0" xfId="0" applyAlignment="1">
      <alignment horizontal="left" indent="2"/>
    </xf>
    <xf numFmtId="0" fontId="11" fillId="8" borderId="25" xfId="0" applyFont="1" applyFill="1" applyBorder="1" applyAlignment="1">
      <alignment horizontal="center" vertical="center" wrapText="1"/>
    </xf>
    <xf numFmtId="14" fontId="15" fillId="7" borderId="45" xfId="0" applyNumberFormat="1" applyFont="1" applyFill="1" applyBorder="1" applyAlignment="1">
      <alignment horizontal="centerContinuous" vertical="center" wrapText="1"/>
    </xf>
    <xf numFmtId="0" fontId="11" fillId="5" borderId="32" xfId="0" applyFont="1" applyFill="1" applyBorder="1" applyAlignment="1">
      <alignment horizontal="centerContinuous" vertical="center" wrapText="1"/>
    </xf>
    <xf numFmtId="14" fontId="11" fillId="8" borderId="71" xfId="0" applyNumberFormat="1" applyFont="1" applyFill="1" applyBorder="1" applyAlignment="1">
      <alignment horizontal="center" vertical="center" shrinkToFit="1"/>
    </xf>
    <xf numFmtId="183" fontId="17" fillId="9" borderId="48" xfId="0" applyNumberFormat="1" applyFont="1" applyFill="1" applyBorder="1" applyAlignment="1" applyProtection="1">
      <alignment vertical="center" shrinkToFit="1"/>
    </xf>
    <xf numFmtId="14" fontId="10" fillId="0" borderId="4" xfId="0" applyNumberFormat="1" applyFont="1" applyBorder="1" applyAlignment="1" applyProtection="1">
      <alignment horizontal="center" vertical="center" shrinkToFit="1"/>
      <protection locked="0"/>
    </xf>
    <xf numFmtId="14" fontId="10" fillId="0" borderId="3" xfId="0" applyNumberFormat="1" applyFont="1" applyBorder="1" applyAlignment="1" applyProtection="1">
      <alignment horizontal="center" vertical="center" shrinkToFit="1"/>
      <protection locked="0"/>
    </xf>
    <xf numFmtId="14" fontId="10" fillId="0" borderId="18" xfId="0" applyNumberFormat="1" applyFont="1" applyBorder="1" applyAlignment="1" applyProtection="1">
      <alignment horizontal="center" vertical="center" shrinkToFit="1"/>
      <protection locked="0"/>
    </xf>
    <xf numFmtId="185" fontId="10" fillId="3" borderId="48" xfId="0" applyNumberFormat="1" applyFont="1" applyFill="1" applyBorder="1" applyAlignment="1" applyProtection="1">
      <alignment vertical="center" shrinkToFit="1"/>
      <protection locked="0"/>
    </xf>
    <xf numFmtId="185" fontId="10" fillId="3" borderId="2" xfId="0" applyNumberFormat="1" applyFont="1" applyFill="1" applyBorder="1" applyAlignment="1" applyProtection="1">
      <alignment vertical="center" shrinkToFit="1"/>
      <protection locked="0"/>
    </xf>
    <xf numFmtId="183" fontId="10" fillId="3" borderId="2" xfId="0" applyNumberFormat="1" applyFont="1" applyFill="1" applyBorder="1" applyAlignment="1" applyProtection="1">
      <alignment vertical="center" shrinkToFit="1"/>
      <protection locked="0"/>
    </xf>
    <xf numFmtId="185" fontId="10" fillId="3" borderId="20" xfId="0" applyNumberFormat="1" applyFont="1" applyFill="1" applyBorder="1" applyAlignment="1" applyProtection="1">
      <alignment vertical="center" shrinkToFit="1"/>
      <protection locked="0"/>
    </xf>
    <xf numFmtId="0" fontId="10" fillId="9" borderId="4" xfId="0" applyNumberFormat="1" applyFont="1" applyFill="1" applyBorder="1" applyAlignment="1">
      <alignment vertical="center" wrapText="1"/>
    </xf>
    <xf numFmtId="0" fontId="10" fillId="9" borderId="48" xfId="0" applyNumberFormat="1" applyFont="1" applyFill="1" applyBorder="1" applyAlignment="1">
      <alignment vertical="center" wrapText="1"/>
    </xf>
    <xf numFmtId="0" fontId="10" fillId="9" borderId="44" xfId="0" applyFont="1" applyFill="1" applyBorder="1" applyAlignment="1">
      <alignment vertical="center" wrapText="1"/>
    </xf>
    <xf numFmtId="0" fontId="10" fillId="9" borderId="3" xfId="0" applyNumberFormat="1" applyFont="1" applyFill="1" applyBorder="1" applyAlignment="1">
      <alignment vertical="center" wrapText="1"/>
    </xf>
    <xf numFmtId="0" fontId="10" fillId="9" borderId="2" xfId="0" applyNumberFormat="1" applyFont="1" applyFill="1" applyBorder="1" applyAlignment="1">
      <alignment vertical="center" wrapText="1"/>
    </xf>
    <xf numFmtId="0" fontId="10" fillId="9" borderId="21" xfId="0" applyFont="1" applyFill="1" applyBorder="1" applyAlignment="1">
      <alignment vertical="center" wrapText="1"/>
    </xf>
    <xf numFmtId="0" fontId="10" fillId="9" borderId="18" xfId="0" applyNumberFormat="1" applyFont="1" applyFill="1" applyBorder="1" applyAlignment="1">
      <alignment vertical="center" wrapText="1"/>
    </xf>
    <xf numFmtId="0" fontId="10" fillId="9" borderId="20" xfId="0" applyNumberFormat="1" applyFont="1" applyFill="1" applyBorder="1" applyAlignment="1">
      <alignment vertical="center" wrapText="1"/>
    </xf>
    <xf numFmtId="0" fontId="10" fillId="9" borderId="65" xfId="0" applyFont="1" applyFill="1" applyBorder="1" applyAlignment="1">
      <alignment vertical="center" wrapText="1"/>
    </xf>
    <xf numFmtId="14" fontId="10" fillId="6" borderId="69" xfId="0" applyNumberFormat="1" applyFont="1" applyFill="1" applyBorder="1" applyAlignment="1" applyProtection="1">
      <alignment horizontal="center" vertical="center" shrinkToFit="1"/>
      <protection locked="0"/>
    </xf>
    <xf numFmtId="0" fontId="13" fillId="4" borderId="48" xfId="0" applyFont="1" applyFill="1" applyBorder="1" applyAlignment="1" applyProtection="1">
      <alignment horizontal="left" vertical="center" shrinkToFit="1"/>
      <protection locked="0"/>
    </xf>
    <xf numFmtId="0" fontId="13" fillId="9" borderId="48" xfId="0" applyFont="1" applyFill="1" applyBorder="1" applyAlignment="1" applyProtection="1">
      <alignment horizontal="left" vertical="center" shrinkToFit="1"/>
      <protection locked="0"/>
    </xf>
    <xf numFmtId="0" fontId="13" fillId="6" borderId="48" xfId="0" applyFont="1" applyFill="1" applyBorder="1" applyAlignment="1" applyProtection="1">
      <alignment horizontal="left" vertical="center" shrinkToFit="1"/>
      <protection locked="0"/>
    </xf>
    <xf numFmtId="14" fontId="10" fillId="6" borderId="17" xfId="0" applyNumberFormat="1" applyFont="1" applyFill="1" applyBorder="1" applyAlignment="1" applyProtection="1">
      <alignment horizontal="center" vertical="center" shrinkToFit="1"/>
      <protection locked="0"/>
    </xf>
    <xf numFmtId="0" fontId="13" fillId="4" borderId="2" xfId="0" applyFont="1" applyFill="1" applyBorder="1" applyAlignment="1" applyProtection="1">
      <alignment horizontal="left" vertical="center" shrinkToFit="1"/>
      <protection locked="0"/>
    </xf>
    <xf numFmtId="0" fontId="13" fillId="9" borderId="2" xfId="0" applyFont="1" applyFill="1" applyBorder="1" applyAlignment="1" applyProtection="1">
      <alignment horizontal="left" vertical="center" shrinkToFit="1"/>
      <protection locked="0"/>
    </xf>
    <xf numFmtId="0" fontId="13" fillId="6" borderId="2" xfId="0" applyFont="1" applyFill="1" applyBorder="1" applyAlignment="1" applyProtection="1">
      <alignment horizontal="left" vertical="center" shrinkToFit="1"/>
      <protection locked="0"/>
    </xf>
    <xf numFmtId="14" fontId="10" fillId="6" borderId="19" xfId="0" applyNumberFormat="1" applyFont="1" applyFill="1" applyBorder="1" applyAlignment="1" applyProtection="1">
      <alignment horizontal="center" vertical="center" shrinkToFit="1"/>
      <protection locked="0"/>
    </xf>
    <xf numFmtId="0" fontId="13" fillId="4" borderId="20" xfId="0" applyFont="1" applyFill="1" applyBorder="1" applyAlignment="1" applyProtection="1">
      <alignment horizontal="left" vertical="center" shrinkToFit="1"/>
      <protection locked="0"/>
    </xf>
    <xf numFmtId="0" fontId="13" fillId="9" borderId="20" xfId="0" applyFont="1" applyFill="1" applyBorder="1" applyAlignment="1" applyProtection="1">
      <alignment horizontal="left" vertical="center" shrinkToFit="1"/>
      <protection locked="0"/>
    </xf>
    <xf numFmtId="0" fontId="13" fillId="6" borderId="20" xfId="0" applyFont="1" applyFill="1" applyBorder="1" applyAlignment="1" applyProtection="1">
      <alignment horizontal="left" vertical="center" shrinkToFit="1"/>
      <protection locked="0"/>
    </xf>
    <xf numFmtId="189" fontId="0" fillId="0" borderId="2" xfId="0" applyNumberFormat="1" applyBorder="1"/>
    <xf numFmtId="0" fontId="19" fillId="0" borderId="2" xfId="0" applyFont="1" applyBorder="1" applyAlignment="1">
      <alignment horizontal="left" vertical="center"/>
    </xf>
    <xf numFmtId="0" fontId="0" fillId="0" borderId="63" xfId="0" applyBorder="1"/>
    <xf numFmtId="0" fontId="0" fillId="0" borderId="73" xfId="0" applyBorder="1"/>
    <xf numFmtId="0" fontId="0" fillId="0" borderId="2" xfId="0" applyBorder="1" applyAlignment="1"/>
    <xf numFmtId="0" fontId="0" fillId="0" borderId="2" xfId="0" applyFill="1" applyBorder="1" applyAlignment="1"/>
    <xf numFmtId="14" fontId="21" fillId="5" borderId="24" xfId="0" applyNumberFormat="1" applyFont="1" applyFill="1" applyBorder="1" applyAlignment="1">
      <alignment vertical="center" wrapText="1"/>
    </xf>
    <xf numFmtId="190" fontId="21" fillId="5" borderId="24" xfId="0" applyNumberFormat="1" applyFont="1" applyFill="1" applyBorder="1" applyAlignment="1">
      <alignment vertical="center" wrapText="1"/>
    </xf>
    <xf numFmtId="14" fontId="22" fillId="5" borderId="24" xfId="0" applyNumberFormat="1" applyFont="1" applyFill="1" applyBorder="1" applyAlignment="1">
      <alignment horizontal="centerContinuous" vertical="center" wrapText="1"/>
    </xf>
    <xf numFmtId="177" fontId="22" fillId="5" borderId="24" xfId="0" applyNumberFormat="1" applyFont="1" applyFill="1" applyBorder="1" applyAlignment="1">
      <alignment horizontal="centerContinuous" vertical="center" wrapText="1"/>
    </xf>
    <xf numFmtId="14" fontId="21" fillId="14" borderId="45" xfId="0" applyNumberFormat="1" applyFont="1" applyFill="1" applyBorder="1" applyAlignment="1">
      <alignment horizontal="center" vertical="center" shrinkToFit="1"/>
    </xf>
    <xf numFmtId="0" fontId="23" fillId="9" borderId="12" xfId="0" applyFont="1" applyFill="1" applyBorder="1" applyAlignment="1">
      <alignment vertical="center" wrapText="1"/>
    </xf>
    <xf numFmtId="0" fontId="23" fillId="9" borderId="56" xfId="0" applyFont="1" applyFill="1" applyBorder="1" applyAlignment="1">
      <alignment vertical="center" wrapText="1"/>
    </xf>
    <xf numFmtId="0" fontId="0" fillId="10" borderId="4" xfId="0" applyFill="1" applyBorder="1" applyAlignment="1">
      <alignment horizontal="center"/>
    </xf>
    <xf numFmtId="0" fontId="19" fillId="0" borderId="2" xfId="0" applyFont="1" applyFill="1" applyBorder="1" applyAlignment="1">
      <alignment horizontal="left" vertical="center"/>
    </xf>
    <xf numFmtId="0" fontId="23" fillId="0" borderId="0" xfId="0" applyFont="1" applyBorder="1" applyAlignment="1">
      <alignment horizontal="center" vertical="center" shrinkToFit="1"/>
    </xf>
    <xf numFmtId="14" fontId="27" fillId="7" borderId="74" xfId="0" applyNumberFormat="1" applyFont="1" applyFill="1" applyBorder="1" applyAlignment="1">
      <alignment horizontal="centerContinuous" vertical="center" wrapText="1"/>
    </xf>
    <xf numFmtId="14" fontId="27" fillId="7" borderId="45" xfId="0" applyNumberFormat="1" applyFont="1" applyFill="1" applyBorder="1" applyAlignment="1">
      <alignment horizontal="centerContinuous" vertical="center" wrapText="1"/>
    </xf>
    <xf numFmtId="0" fontId="21" fillId="10" borderId="44" xfId="0" applyFont="1" applyFill="1" applyBorder="1" applyAlignment="1">
      <alignment horizontal="centerContinuous" vertical="center" wrapText="1"/>
    </xf>
    <xf numFmtId="0" fontId="21" fillId="10" borderId="4" xfId="0" applyFont="1" applyFill="1" applyBorder="1" applyAlignment="1">
      <alignment horizontal="centerContinuous" vertical="center" wrapText="1"/>
    </xf>
    <xf numFmtId="0" fontId="21" fillId="10" borderId="48" xfId="0" applyFont="1" applyFill="1" applyBorder="1" applyAlignment="1">
      <alignment horizontal="centerContinuous" vertical="center" wrapText="1"/>
    </xf>
    <xf numFmtId="0" fontId="23" fillId="0" borderId="0" xfId="0" applyNumberFormat="1" applyFont="1" applyAlignment="1">
      <alignment vertical="center" wrapText="1"/>
    </xf>
    <xf numFmtId="0" fontId="23" fillId="0" borderId="0" xfId="0" applyFont="1" applyAlignment="1">
      <alignment vertical="center" wrapText="1"/>
    </xf>
    <xf numFmtId="0" fontId="21" fillId="5" borderId="70" xfId="0" applyFont="1" applyFill="1" applyBorder="1" applyAlignment="1">
      <alignment horizontal="centerContinuous" vertical="center" wrapText="1"/>
    </xf>
    <xf numFmtId="0" fontId="23" fillId="6" borderId="18" xfId="0" applyNumberFormat="1" applyFont="1" applyFill="1" applyBorder="1" applyAlignment="1" applyProtection="1">
      <alignment vertical="center" wrapText="1"/>
      <protection locked="0"/>
    </xf>
    <xf numFmtId="0" fontId="23" fillId="9" borderId="65" xfId="0" applyFont="1" applyFill="1" applyBorder="1" applyAlignment="1" applyProtection="1">
      <alignment horizontal="center" vertical="center" wrapText="1"/>
      <protection locked="0"/>
    </xf>
    <xf numFmtId="179" fontId="23" fillId="0" borderId="18" xfId="0" applyNumberFormat="1" applyFont="1" applyFill="1" applyBorder="1" applyAlignment="1" applyProtection="1">
      <alignment horizontal="right" vertical="center" wrapText="1"/>
      <protection locked="0"/>
    </xf>
    <xf numFmtId="184" fontId="23" fillId="12" borderId="20" xfId="0" applyNumberFormat="1" applyFont="1" applyFill="1" applyBorder="1" applyAlignment="1" applyProtection="1">
      <alignment horizontal="center" vertical="center" wrapText="1"/>
      <protection locked="0"/>
    </xf>
    <xf numFmtId="179" fontId="23" fillId="0" borderId="65" xfId="0" applyNumberFormat="1" applyFont="1" applyFill="1" applyBorder="1" applyAlignment="1" applyProtection="1">
      <alignment horizontal="right" vertical="center" wrapText="1"/>
      <protection locked="0"/>
    </xf>
    <xf numFmtId="0" fontId="21" fillId="12" borderId="18" xfId="0" applyFont="1" applyFill="1" applyBorder="1" applyAlignment="1" applyProtection="1">
      <alignment horizontal="centerContinuous" vertical="center" wrapText="1"/>
      <protection locked="0"/>
    </xf>
    <xf numFmtId="0" fontId="23" fillId="12" borderId="20" xfId="0" applyFont="1" applyFill="1" applyBorder="1" applyAlignment="1" applyProtection="1">
      <alignment horizontal="centerContinuous" vertical="center" wrapText="1"/>
      <protection locked="0"/>
    </xf>
    <xf numFmtId="0" fontId="23" fillId="12" borderId="65" xfId="0" applyFont="1" applyFill="1" applyBorder="1" applyAlignment="1" applyProtection="1">
      <alignment horizontal="centerContinuous" vertical="center" wrapText="1"/>
      <protection locked="0"/>
    </xf>
    <xf numFmtId="0" fontId="21" fillId="0" borderId="0" xfId="0" applyNumberFormat="1" applyFont="1" applyAlignment="1">
      <alignment vertical="center"/>
    </xf>
    <xf numFmtId="14" fontId="21" fillId="8" borderId="26" xfId="0" applyNumberFormat="1" applyFont="1" applyFill="1" applyBorder="1" applyAlignment="1">
      <alignment horizontal="center" vertical="center" shrinkToFit="1"/>
    </xf>
    <xf numFmtId="14" fontId="21" fillId="8" borderId="71" xfId="0" applyNumberFormat="1" applyFont="1" applyFill="1" applyBorder="1" applyAlignment="1">
      <alignment horizontal="center" vertical="center" shrinkToFit="1"/>
    </xf>
    <xf numFmtId="0" fontId="21" fillId="8" borderId="25" xfId="0" applyFont="1" applyFill="1" applyBorder="1" applyAlignment="1">
      <alignment horizontal="center" vertical="center" wrapText="1"/>
    </xf>
    <xf numFmtId="0" fontId="21" fillId="8" borderId="23" xfId="0" applyFont="1" applyFill="1" applyBorder="1" applyAlignment="1">
      <alignment horizontal="center" vertical="center" wrapText="1"/>
    </xf>
    <xf numFmtId="0" fontId="21" fillId="8" borderId="26" xfId="0" applyFont="1" applyFill="1" applyBorder="1" applyAlignment="1">
      <alignment horizontal="center" vertical="center" wrapText="1"/>
    </xf>
    <xf numFmtId="14" fontId="21" fillId="8" borderId="42" xfId="0" applyNumberFormat="1" applyFont="1" applyFill="1" applyBorder="1" applyAlignment="1">
      <alignment horizontal="center" vertical="center" shrinkToFit="1"/>
    </xf>
    <xf numFmtId="0" fontId="21" fillId="8" borderId="70" xfId="0" applyFont="1" applyFill="1" applyBorder="1" applyAlignment="1">
      <alignment horizontal="center" vertical="center" wrapText="1"/>
    </xf>
    <xf numFmtId="0" fontId="28" fillId="6" borderId="2" xfId="0" applyFont="1" applyFill="1" applyBorder="1" applyAlignment="1" applyProtection="1">
      <alignment horizontal="left" vertical="center" shrinkToFit="1"/>
      <protection locked="0"/>
    </xf>
    <xf numFmtId="14" fontId="23" fillId="0" borderId="3" xfId="0" applyNumberFormat="1" applyFont="1" applyBorder="1" applyAlignment="1" applyProtection="1">
      <alignment horizontal="center" vertical="center" shrinkToFit="1"/>
      <protection locked="0"/>
    </xf>
    <xf numFmtId="0" fontId="23" fillId="4" borderId="2" xfId="0" applyFont="1" applyFill="1" applyBorder="1" applyAlignment="1" applyProtection="1">
      <alignment horizontal="left" vertical="center" shrinkToFit="1"/>
      <protection locked="0"/>
    </xf>
    <xf numFmtId="0" fontId="28" fillId="4" borderId="2" xfId="0" applyFont="1" applyFill="1" applyBorder="1" applyAlignment="1" applyProtection="1">
      <alignment horizontal="left" vertical="center" shrinkToFit="1"/>
      <protection locked="0"/>
    </xf>
    <xf numFmtId="0" fontId="28" fillId="9" borderId="2" xfId="0" applyFont="1" applyFill="1" applyBorder="1" applyAlignment="1" applyProtection="1">
      <alignment horizontal="left" vertical="center" shrinkToFit="1"/>
      <protection locked="0"/>
    </xf>
    <xf numFmtId="183" fontId="29" fillId="9" borderId="2" xfId="0" applyNumberFormat="1" applyFont="1" applyFill="1" applyBorder="1" applyAlignment="1" applyProtection="1">
      <alignment vertical="center" shrinkToFit="1"/>
    </xf>
    <xf numFmtId="185" fontId="23" fillId="3" borderId="2" xfId="0" applyNumberFormat="1" applyFont="1" applyFill="1" applyBorder="1" applyAlignment="1" applyProtection="1">
      <alignment vertical="center" shrinkToFit="1"/>
      <protection locked="0"/>
    </xf>
    <xf numFmtId="0" fontId="23" fillId="9" borderId="3" xfId="0" applyNumberFormat="1" applyFont="1" applyFill="1" applyBorder="1" applyAlignment="1">
      <alignment vertical="center" wrapText="1"/>
    </xf>
    <xf numFmtId="0" fontId="23" fillId="9" borderId="2" xfId="0" applyNumberFormat="1" applyFont="1" applyFill="1" applyBorder="1" applyAlignment="1">
      <alignment vertical="center" wrapText="1"/>
    </xf>
    <xf numFmtId="0" fontId="23" fillId="9" borderId="21" xfId="0" applyFont="1" applyFill="1" applyBorder="1" applyAlignment="1">
      <alignment vertical="center" wrapText="1"/>
    </xf>
    <xf numFmtId="185" fontId="23" fillId="3" borderId="72" xfId="0" applyNumberFormat="1" applyFont="1" applyFill="1" applyBorder="1" applyAlignment="1" applyProtection="1">
      <alignment vertical="center" shrinkToFit="1"/>
      <protection locked="0"/>
    </xf>
    <xf numFmtId="0" fontId="23" fillId="0" borderId="0" xfId="0" applyFont="1" applyAlignment="1">
      <alignment horizontal="center" vertical="center" shrinkToFit="1"/>
    </xf>
    <xf numFmtId="183" fontId="23" fillId="3" borderId="2" xfId="0" applyNumberFormat="1" applyFont="1" applyFill="1" applyBorder="1" applyAlignment="1" applyProtection="1">
      <alignment vertical="center" shrinkToFit="1"/>
      <protection locked="0"/>
    </xf>
    <xf numFmtId="0" fontId="23" fillId="0" borderId="0" xfId="0" applyFont="1" applyBorder="1" applyAlignment="1">
      <alignment vertical="center" wrapText="1"/>
    </xf>
    <xf numFmtId="14" fontId="23" fillId="0" borderId="18" xfId="0" applyNumberFormat="1" applyFont="1" applyBorder="1" applyAlignment="1" applyProtection="1">
      <alignment horizontal="center" vertical="center" shrinkToFit="1"/>
      <protection locked="0"/>
    </xf>
    <xf numFmtId="0" fontId="28" fillId="4" borderId="20" xfId="0" applyFont="1" applyFill="1" applyBorder="1" applyAlignment="1" applyProtection="1">
      <alignment horizontal="left" vertical="center" shrinkToFit="1"/>
      <protection locked="0"/>
    </xf>
    <xf numFmtId="0" fontId="28" fillId="9" borderId="20" xfId="0" applyFont="1" applyFill="1" applyBorder="1" applyAlignment="1" applyProtection="1">
      <alignment horizontal="left" vertical="center" shrinkToFit="1"/>
      <protection locked="0"/>
    </xf>
    <xf numFmtId="183" fontId="29" fillId="9" borderId="20" xfId="0" applyNumberFormat="1" applyFont="1" applyFill="1" applyBorder="1" applyAlignment="1" applyProtection="1">
      <alignment vertical="center" shrinkToFit="1"/>
    </xf>
    <xf numFmtId="185" fontId="23" fillId="3" borderId="20" xfId="0" applyNumberFormat="1" applyFont="1" applyFill="1" applyBorder="1" applyAlignment="1" applyProtection="1">
      <alignment vertical="center" shrinkToFit="1"/>
      <protection locked="0"/>
    </xf>
    <xf numFmtId="0" fontId="23" fillId="9" borderId="18" xfId="0" applyNumberFormat="1" applyFont="1" applyFill="1" applyBorder="1" applyAlignment="1">
      <alignment vertical="center" wrapText="1"/>
    </xf>
    <xf numFmtId="0" fontId="23" fillId="9" borderId="20" xfId="0" applyNumberFormat="1" applyFont="1" applyFill="1" applyBorder="1" applyAlignment="1">
      <alignment vertical="center" wrapText="1"/>
    </xf>
    <xf numFmtId="0" fontId="23" fillId="9" borderId="65" xfId="0" applyFont="1" applyFill="1" applyBorder="1" applyAlignment="1">
      <alignment vertical="center" wrapText="1"/>
    </xf>
    <xf numFmtId="185" fontId="23" fillId="3" borderId="56" xfId="0" applyNumberFormat="1" applyFont="1" applyFill="1" applyBorder="1" applyAlignment="1" applyProtection="1">
      <alignment vertical="center" shrinkToFit="1"/>
      <protection locked="0"/>
    </xf>
    <xf numFmtId="14" fontId="23" fillId="0" borderId="0" xfId="0" applyNumberFormat="1" applyFont="1" applyAlignment="1">
      <alignment horizontal="center" vertical="center" shrinkToFit="1"/>
    </xf>
    <xf numFmtId="0" fontId="0" fillId="14" borderId="2" xfId="0" applyFill="1" applyBorder="1" applyAlignment="1">
      <alignment horizontal="centerContinuous"/>
    </xf>
    <xf numFmtId="178" fontId="0" fillId="14" borderId="2" xfId="0" applyNumberFormat="1" applyFill="1" applyBorder="1" applyAlignment="1" applyProtection="1">
      <alignment horizontal="center"/>
    </xf>
    <xf numFmtId="0" fontId="0" fillId="2" borderId="2" xfId="0" applyFont="1" applyFill="1" applyBorder="1"/>
    <xf numFmtId="177" fontId="0" fillId="2" borderId="2" xfId="0" applyNumberFormat="1" applyFill="1" applyBorder="1"/>
    <xf numFmtId="0" fontId="0" fillId="15" borderId="2" xfId="0" applyFont="1" applyFill="1" applyBorder="1"/>
    <xf numFmtId="177" fontId="0" fillId="15" borderId="2" xfId="0" applyNumberFormat="1" applyFill="1" applyBorder="1"/>
    <xf numFmtId="180" fontId="0" fillId="12" borderId="3" xfId="0" applyNumberFormat="1" applyFont="1" applyFill="1" applyBorder="1"/>
    <xf numFmtId="0" fontId="0" fillId="14" borderId="2" xfId="0" applyFill="1" applyBorder="1" applyAlignment="1">
      <alignment vertical="center"/>
    </xf>
    <xf numFmtId="0" fontId="0" fillId="10" borderId="2" xfId="0" applyFill="1" applyBorder="1" applyAlignment="1">
      <alignment horizontal="left" vertical="center"/>
    </xf>
    <xf numFmtId="0" fontId="4" fillId="0" borderId="0" xfId="6" applyAlignment="1">
      <alignment horizontal="left" vertical="center"/>
    </xf>
    <xf numFmtId="0" fontId="4" fillId="0" borderId="0" xfId="6" applyAlignment="1">
      <alignment horizontal="left" vertical="center" indent="1"/>
    </xf>
    <xf numFmtId="0" fontId="4" fillId="14" borderId="2" xfId="6" applyFill="1" applyBorder="1" applyAlignment="1">
      <alignment horizontal="left" vertical="center"/>
    </xf>
    <xf numFmtId="0" fontId="25" fillId="0" borderId="2" xfId="0" applyFont="1" applyBorder="1" applyAlignment="1">
      <alignment horizontal="left" vertical="center"/>
    </xf>
    <xf numFmtId="0" fontId="26" fillId="0" borderId="2" xfId="0" applyFont="1" applyBorder="1" applyAlignment="1">
      <alignment horizontal="left" vertical="center"/>
    </xf>
    <xf numFmtId="0" fontId="0" fillId="0" borderId="2" xfId="0" applyBorder="1" applyAlignment="1">
      <alignment horizontal="left" vertical="center"/>
    </xf>
    <xf numFmtId="0" fontId="26" fillId="0" borderId="2" xfId="0" applyFont="1" applyFill="1" applyBorder="1" applyAlignment="1">
      <alignment horizontal="left" vertical="center"/>
    </xf>
    <xf numFmtId="0" fontId="30" fillId="0" borderId="2" xfId="3" applyFont="1" applyBorder="1" applyAlignment="1">
      <alignment horizontal="left" vertical="center" wrapText="1"/>
    </xf>
    <xf numFmtId="0" fontId="30" fillId="0" borderId="2" xfId="0" applyFont="1" applyBorder="1" applyAlignment="1">
      <alignment horizontal="left" vertical="center"/>
    </xf>
    <xf numFmtId="0" fontId="30" fillId="0" borderId="2" xfId="3" applyFont="1" applyFill="1" applyBorder="1" applyAlignment="1">
      <alignment horizontal="left" vertical="center" wrapText="1"/>
    </xf>
    <xf numFmtId="0" fontId="26" fillId="10" borderId="2" xfId="0" applyFont="1" applyFill="1" applyBorder="1" applyAlignment="1">
      <alignment horizontal="left" vertical="center"/>
    </xf>
    <xf numFmtId="0" fontId="25" fillId="10" borderId="2" xfId="0" applyFont="1" applyFill="1" applyBorder="1" applyAlignment="1">
      <alignment horizontal="left" vertical="center"/>
    </xf>
    <xf numFmtId="0" fontId="25" fillId="10" borderId="17" xfId="0" applyFont="1" applyFill="1" applyBorder="1" applyAlignment="1">
      <alignment horizontal="left" vertical="center"/>
    </xf>
    <xf numFmtId="0" fontId="0" fillId="0" borderId="0" xfId="0" applyAlignment="1">
      <alignment horizontal="left" vertical="center"/>
    </xf>
    <xf numFmtId="0" fontId="19" fillId="10" borderId="2" xfId="0" applyFont="1" applyFill="1" applyBorder="1" applyAlignment="1">
      <alignment horizontal="left" vertical="center"/>
    </xf>
    <xf numFmtId="0" fontId="0" fillId="0" borderId="2" xfId="0" applyFill="1" applyBorder="1" applyAlignment="1">
      <alignment horizontal="left" vertical="center"/>
    </xf>
    <xf numFmtId="0" fontId="0" fillId="0" borderId="2" xfId="0" applyFont="1" applyBorder="1" applyAlignment="1">
      <alignment horizontal="left" vertical="center"/>
    </xf>
    <xf numFmtId="0" fontId="24" fillId="0" borderId="2" xfId="0" applyFont="1" applyBorder="1" applyAlignment="1">
      <alignment horizontal="left" vertical="center"/>
    </xf>
    <xf numFmtId="0" fontId="16" fillId="0" borderId="2" xfId="0" applyFont="1" applyBorder="1" applyAlignment="1">
      <alignment horizontal="left" vertical="center"/>
    </xf>
    <xf numFmtId="0" fontId="16" fillId="0" borderId="2" xfId="0" applyFont="1" applyFill="1" applyBorder="1" applyAlignment="1">
      <alignment horizontal="left" vertical="center"/>
    </xf>
    <xf numFmtId="0" fontId="0" fillId="0" borderId="2" xfId="0" applyFill="1" applyBorder="1"/>
    <xf numFmtId="14" fontId="21" fillId="10" borderId="4" xfId="0" applyNumberFormat="1" applyFont="1" applyFill="1" applyBorder="1" applyAlignment="1">
      <alignment horizontal="centerContinuous" vertical="top" wrapText="1"/>
    </xf>
    <xf numFmtId="0" fontId="21" fillId="5" borderId="70" xfId="0" applyFont="1" applyFill="1" applyBorder="1" applyAlignment="1">
      <alignment horizontal="centerContinuous" vertical="top" wrapText="1"/>
    </xf>
    <xf numFmtId="0" fontId="0" fillId="0" borderId="28" xfId="0" applyFont="1" applyFill="1" applyBorder="1" applyAlignment="1">
      <alignment vertical="top"/>
    </xf>
    <xf numFmtId="0" fontId="30" fillId="0" borderId="2" xfId="3" applyFont="1" applyBorder="1" applyAlignment="1">
      <alignment horizontal="left" vertical="center"/>
    </xf>
    <xf numFmtId="0" fontId="30" fillId="0" borderId="2" xfId="3" applyFont="1" applyFill="1" applyBorder="1" applyAlignment="1">
      <alignment horizontal="left" vertical="center"/>
    </xf>
    <xf numFmtId="0" fontId="16" fillId="0" borderId="2" xfId="3" applyBorder="1" applyAlignment="1">
      <alignment horizontal="left" vertical="center"/>
    </xf>
    <xf numFmtId="0" fontId="0" fillId="0" borderId="2" xfId="3" applyFont="1" applyBorder="1" applyAlignment="1">
      <alignment horizontal="left" vertical="center"/>
    </xf>
    <xf numFmtId="0" fontId="24" fillId="0" borderId="2" xfId="0" applyFont="1" applyFill="1" applyBorder="1" applyAlignment="1">
      <alignment horizontal="left" vertical="center"/>
    </xf>
    <xf numFmtId="0" fontId="25" fillId="0" borderId="0" xfId="0" applyFont="1" applyAlignment="1">
      <alignment horizontal="left" vertical="center"/>
    </xf>
    <xf numFmtId="0" fontId="25" fillId="0" borderId="0" xfId="0" applyFont="1"/>
    <xf numFmtId="0" fontId="24" fillId="0" borderId="28" xfId="0" applyFont="1" applyFill="1" applyBorder="1" applyAlignment="1">
      <alignment vertical="top"/>
    </xf>
    <xf numFmtId="0" fontId="2" fillId="14" borderId="2" xfId="6" applyFont="1" applyFill="1" applyBorder="1" applyAlignment="1">
      <alignment horizontal="left" vertical="center"/>
    </xf>
    <xf numFmtId="14" fontId="23" fillId="6" borderId="17" xfId="0" applyNumberFormat="1" applyFont="1" applyFill="1" applyBorder="1" applyAlignment="1" applyProtection="1">
      <alignment horizontal="left" vertical="center" shrinkToFit="1"/>
      <protection locked="0"/>
    </xf>
    <xf numFmtId="0" fontId="31" fillId="0" borderId="28" xfId="0" applyFont="1" applyFill="1" applyBorder="1" applyAlignment="1">
      <alignment vertical="top"/>
    </xf>
    <xf numFmtId="0" fontId="31" fillId="0" borderId="2" xfId="0" applyFont="1" applyFill="1" applyBorder="1" applyAlignment="1">
      <alignment vertical="top"/>
    </xf>
    <xf numFmtId="14" fontId="23" fillId="6" borderId="20" xfId="0" applyNumberFormat="1" applyFont="1" applyFill="1" applyBorder="1" applyAlignment="1" applyProtection="1">
      <alignment horizontal="left" vertical="center" shrinkToFit="1"/>
      <protection locked="0"/>
    </xf>
    <xf numFmtId="0" fontId="32" fillId="0" borderId="0" xfId="0" applyFont="1" applyAlignment="1">
      <alignment vertical="center"/>
    </xf>
    <xf numFmtId="0" fontId="1" fillId="14" borderId="2" xfId="6" applyFont="1" applyFill="1" applyBorder="1" applyAlignment="1">
      <alignment horizontal="left" vertical="center"/>
    </xf>
    <xf numFmtId="0" fontId="0" fillId="10" borderId="4" xfId="0" applyFill="1" applyBorder="1" applyAlignment="1">
      <alignment horizontal="center"/>
    </xf>
    <xf numFmtId="0" fontId="0" fillId="10" borderId="48" xfId="0" applyFill="1" applyBorder="1" applyAlignment="1">
      <alignment horizontal="center"/>
    </xf>
    <xf numFmtId="0" fontId="0" fillId="10" borderId="43" xfId="0" applyFill="1" applyBorder="1" applyAlignment="1">
      <alignment horizontal="center"/>
    </xf>
    <xf numFmtId="0" fontId="0" fillId="10" borderId="15" xfId="0" applyFill="1" applyBorder="1" applyAlignment="1">
      <alignment horizontal="center"/>
    </xf>
    <xf numFmtId="0" fontId="0" fillId="10" borderId="11" xfId="0" applyFill="1" applyBorder="1" applyAlignment="1">
      <alignment horizontal="center"/>
    </xf>
    <xf numFmtId="0" fontId="0" fillId="10" borderId="42" xfId="0" applyFill="1" applyBorder="1" applyAlignment="1" applyProtection="1">
      <alignment horizontal="center"/>
    </xf>
    <xf numFmtId="0" fontId="0" fillId="10" borderId="1" xfId="0" applyFill="1" applyBorder="1" applyAlignment="1" applyProtection="1">
      <alignment horizontal="center"/>
    </xf>
    <xf numFmtId="178" fontId="0" fillId="10" borderId="46" xfId="0" applyNumberFormat="1" applyFill="1" applyBorder="1" applyAlignment="1" applyProtection="1">
      <alignment horizontal="center"/>
    </xf>
    <xf numFmtId="178" fontId="0" fillId="10" borderId="34" xfId="0" applyNumberFormat="1" applyFill="1" applyBorder="1" applyAlignment="1" applyProtection="1">
      <alignment horizontal="center"/>
    </xf>
    <xf numFmtId="178" fontId="0" fillId="10" borderId="47" xfId="0" applyNumberFormat="1" applyFill="1" applyBorder="1" applyAlignment="1" applyProtection="1">
      <alignment horizontal="center"/>
    </xf>
    <xf numFmtId="0" fontId="0" fillId="10" borderId="42" xfId="0" applyFill="1" applyBorder="1" applyAlignment="1">
      <alignment horizontal="center"/>
    </xf>
    <xf numFmtId="0" fontId="0" fillId="10" borderId="1" xfId="0" applyFill="1" applyBorder="1" applyAlignment="1">
      <alignment horizontal="center"/>
    </xf>
    <xf numFmtId="0" fontId="0" fillId="10" borderId="52" xfId="0" applyFill="1" applyBorder="1" applyAlignment="1">
      <alignment horizontal="center"/>
    </xf>
    <xf numFmtId="0" fontId="0" fillId="10" borderId="44" xfId="0" applyFill="1" applyBorder="1" applyAlignment="1">
      <alignment horizontal="center"/>
    </xf>
    <xf numFmtId="0" fontId="0" fillId="10" borderId="45" xfId="0" applyFill="1" applyBorder="1" applyAlignment="1">
      <alignment horizontal="center"/>
    </xf>
    <xf numFmtId="0" fontId="28" fillId="4" borderId="7" xfId="0" applyFont="1" applyFill="1" applyBorder="1" applyAlignment="1" applyProtection="1">
      <alignment horizontal="left" vertical="center" shrinkToFit="1"/>
      <protection locked="0"/>
    </xf>
    <xf numFmtId="0" fontId="28" fillId="4" borderId="16" xfId="0" applyFont="1" applyFill="1" applyBorder="1" applyAlignment="1" applyProtection="1">
      <alignment horizontal="left" vertical="center" shrinkToFit="1"/>
      <protection locked="0"/>
    </xf>
    <xf numFmtId="0" fontId="28" fillId="4" borderId="17" xfId="0" applyFont="1" applyFill="1" applyBorder="1" applyAlignment="1" applyProtection="1">
      <alignment horizontal="left" vertical="center" shrinkToFit="1"/>
      <protection locked="0"/>
    </xf>
    <xf numFmtId="0" fontId="28" fillId="9" borderId="7" xfId="0" applyFont="1" applyFill="1" applyBorder="1" applyAlignment="1" applyProtection="1">
      <alignment horizontal="left" vertical="top" shrinkToFit="1"/>
      <protection locked="0"/>
    </xf>
    <xf numFmtId="0" fontId="28" fillId="9" borderId="16" xfId="0" applyFont="1" applyFill="1" applyBorder="1" applyAlignment="1" applyProtection="1">
      <alignment horizontal="left" vertical="top" shrinkToFit="1"/>
      <protection locked="0"/>
    </xf>
    <xf numFmtId="0" fontId="28" fillId="9" borderId="12" xfId="0" applyFont="1" applyFill="1" applyBorder="1" applyAlignment="1" applyProtection="1">
      <alignment horizontal="left" vertical="top" shrinkToFit="1"/>
      <protection locked="0"/>
    </xf>
    <xf numFmtId="0" fontId="28" fillId="9" borderId="2" xfId="0" applyFont="1" applyFill="1" applyBorder="1" applyAlignment="1" applyProtection="1">
      <alignment horizontal="left" vertical="top" shrinkToFit="1"/>
      <protection locked="0"/>
    </xf>
    <xf numFmtId="0" fontId="28" fillId="9" borderId="21" xfId="0" applyFont="1" applyFill="1" applyBorder="1" applyAlignment="1" applyProtection="1">
      <alignment horizontal="left" vertical="top" shrinkToFit="1"/>
      <protection locked="0"/>
    </xf>
    <xf numFmtId="0" fontId="21" fillId="10" borderId="4" xfId="0" applyFont="1" applyFill="1" applyBorder="1" applyAlignment="1">
      <alignment horizontal="center" vertical="center" wrapText="1"/>
    </xf>
    <xf numFmtId="0" fontId="21" fillId="10" borderId="48" xfId="0" applyFont="1" applyFill="1" applyBorder="1" applyAlignment="1">
      <alignment horizontal="center" vertical="center" wrapText="1"/>
    </xf>
    <xf numFmtId="0" fontId="21" fillId="10" borderId="44" xfId="0" applyFont="1" applyFill="1" applyBorder="1" applyAlignment="1">
      <alignment horizontal="center" vertical="center" wrapText="1"/>
    </xf>
    <xf numFmtId="0" fontId="21" fillId="8" borderId="25" xfId="0" applyFont="1" applyFill="1" applyBorder="1" applyAlignment="1">
      <alignment horizontal="center" vertical="center" wrapText="1"/>
    </xf>
    <xf numFmtId="0" fontId="21" fillId="8" borderId="27" xfId="0" applyFont="1" applyFill="1" applyBorder="1" applyAlignment="1">
      <alignment horizontal="center" vertical="center" wrapText="1"/>
    </xf>
    <xf numFmtId="0" fontId="28" fillId="4" borderId="49" xfId="0" applyFont="1" applyFill="1" applyBorder="1" applyAlignment="1" applyProtection="1">
      <alignment horizontal="left" vertical="center" shrinkToFit="1"/>
      <protection locked="0"/>
    </xf>
    <xf numFmtId="0" fontId="28" fillId="4" borderId="50" xfId="0" applyFont="1" applyFill="1" applyBorder="1" applyAlignment="1" applyProtection="1">
      <alignment horizontal="left" vertical="center" shrinkToFit="1"/>
      <protection locked="0"/>
    </xf>
    <xf numFmtId="0" fontId="28" fillId="4" borderId="19" xfId="0" applyFont="1" applyFill="1" applyBorder="1" applyAlignment="1" applyProtection="1">
      <alignment horizontal="left" vertical="center" shrinkToFit="1"/>
      <protection locked="0"/>
    </xf>
    <xf numFmtId="0" fontId="28" fillId="9" borderId="20" xfId="0" applyFont="1" applyFill="1" applyBorder="1" applyAlignment="1" applyProtection="1">
      <alignment horizontal="left" vertical="top" shrinkToFit="1"/>
      <protection locked="0"/>
    </xf>
    <xf numFmtId="0" fontId="28" fillId="9" borderId="65" xfId="0" applyFont="1" applyFill="1" applyBorder="1" applyAlignment="1" applyProtection="1">
      <alignment horizontal="left" vertical="top" shrinkToFit="1"/>
      <protection locked="0"/>
    </xf>
    <xf numFmtId="0" fontId="11" fillId="10" borderId="4" xfId="0" applyFont="1" applyFill="1" applyBorder="1" applyAlignment="1">
      <alignment horizontal="center" vertical="center" wrapText="1"/>
    </xf>
    <xf numFmtId="0" fontId="11" fillId="10" borderId="48" xfId="0" applyFont="1" applyFill="1" applyBorder="1" applyAlignment="1">
      <alignment horizontal="center" vertical="center" wrapText="1"/>
    </xf>
    <xf numFmtId="0" fontId="11" fillId="10" borderId="44" xfId="0" applyFont="1" applyFill="1" applyBorder="1" applyAlignment="1">
      <alignment horizontal="center" vertical="center" wrapText="1"/>
    </xf>
    <xf numFmtId="0" fontId="11" fillId="8" borderId="25" xfId="0" applyFont="1" applyFill="1" applyBorder="1" applyAlignment="1">
      <alignment horizontal="center" vertical="center" wrapText="1"/>
    </xf>
    <xf numFmtId="0" fontId="11" fillId="8" borderId="27" xfId="0" applyFont="1" applyFill="1" applyBorder="1" applyAlignment="1">
      <alignment horizontal="center" vertical="center" wrapText="1"/>
    </xf>
    <xf numFmtId="0" fontId="13" fillId="4" borderId="46" xfId="0" applyFont="1" applyFill="1" applyBorder="1" applyAlignment="1" applyProtection="1">
      <alignment horizontal="left" vertical="center" shrinkToFit="1"/>
      <protection locked="0"/>
    </xf>
    <xf numFmtId="0" fontId="13" fillId="4" borderId="34" xfId="0" applyFont="1" applyFill="1" applyBorder="1" applyAlignment="1" applyProtection="1">
      <alignment horizontal="left" vertical="center" shrinkToFit="1"/>
      <protection locked="0"/>
    </xf>
    <xf numFmtId="0" fontId="13" fillId="4" borderId="69" xfId="0" applyFont="1" applyFill="1" applyBorder="1" applyAlignment="1" applyProtection="1">
      <alignment horizontal="left" vertical="center" shrinkToFit="1"/>
      <protection locked="0"/>
    </xf>
    <xf numFmtId="0" fontId="13" fillId="9" borderId="48" xfId="0" applyFont="1" applyFill="1" applyBorder="1" applyAlignment="1" applyProtection="1">
      <alignment horizontal="left" vertical="top" shrinkToFit="1"/>
      <protection locked="0"/>
    </xf>
    <xf numFmtId="0" fontId="13" fillId="9" borderId="44" xfId="0" applyFont="1" applyFill="1" applyBorder="1" applyAlignment="1" applyProtection="1">
      <alignment horizontal="left" vertical="top" shrinkToFit="1"/>
      <protection locked="0"/>
    </xf>
    <xf numFmtId="0" fontId="13" fillId="4" borderId="7" xfId="0" applyFont="1" applyFill="1" applyBorder="1" applyAlignment="1" applyProtection="1">
      <alignment horizontal="left" vertical="center" shrinkToFit="1"/>
      <protection locked="0"/>
    </xf>
    <xf numFmtId="0" fontId="13" fillId="4" borderId="16" xfId="0" applyFont="1" applyFill="1" applyBorder="1" applyAlignment="1" applyProtection="1">
      <alignment horizontal="left" vertical="center" shrinkToFit="1"/>
      <protection locked="0"/>
    </xf>
    <xf numFmtId="0" fontId="13" fillId="4" borderId="17" xfId="0" applyFont="1" applyFill="1" applyBorder="1" applyAlignment="1" applyProtection="1">
      <alignment horizontal="left" vertical="center" shrinkToFit="1"/>
      <protection locked="0"/>
    </xf>
    <xf numFmtId="0" fontId="13" fillId="9" borderId="2" xfId="0" applyFont="1" applyFill="1" applyBorder="1" applyAlignment="1" applyProtection="1">
      <alignment horizontal="left" vertical="top" shrinkToFit="1"/>
      <protection locked="0"/>
    </xf>
    <xf numFmtId="0" fontId="13" fillId="9" borderId="21" xfId="0" applyFont="1" applyFill="1" applyBorder="1" applyAlignment="1" applyProtection="1">
      <alignment horizontal="left" vertical="top" shrinkToFit="1"/>
      <protection locked="0"/>
    </xf>
    <xf numFmtId="0" fontId="13" fillId="4" borderId="49" xfId="0" applyFont="1" applyFill="1" applyBorder="1" applyAlignment="1" applyProtection="1">
      <alignment horizontal="left" vertical="center" shrinkToFit="1"/>
      <protection locked="0"/>
    </xf>
    <xf numFmtId="0" fontId="13" fillId="4" borderId="50" xfId="0" applyFont="1" applyFill="1" applyBorder="1" applyAlignment="1" applyProtection="1">
      <alignment horizontal="left" vertical="center" shrinkToFit="1"/>
      <protection locked="0"/>
    </xf>
    <xf numFmtId="0" fontId="13" fillId="4" borderId="19" xfId="0" applyFont="1" applyFill="1" applyBorder="1" applyAlignment="1" applyProtection="1">
      <alignment horizontal="left" vertical="center" shrinkToFit="1"/>
      <protection locked="0"/>
    </xf>
    <xf numFmtId="0" fontId="13" fillId="9" borderId="20" xfId="0" applyFont="1" applyFill="1" applyBorder="1" applyAlignment="1" applyProtection="1">
      <alignment horizontal="left" vertical="top" shrinkToFit="1"/>
      <protection locked="0"/>
    </xf>
    <xf numFmtId="0" fontId="13" fillId="9" borderId="65" xfId="0" applyFont="1" applyFill="1" applyBorder="1" applyAlignment="1" applyProtection="1">
      <alignment horizontal="left" vertical="top" shrinkToFit="1"/>
      <protection locked="0"/>
    </xf>
  </cellXfs>
  <cellStyles count="7">
    <cellStyle name="標準" xfId="0" builtinId="0"/>
    <cellStyle name="標準 2" xfId="1" xr:uid="{00000000-0005-0000-0000-000001000000}"/>
    <cellStyle name="標準 3" xfId="3" xr:uid="{00000000-0005-0000-0000-000002000000}"/>
    <cellStyle name="標準 4" xfId="2" xr:uid="{00000000-0005-0000-0000-000003000000}"/>
    <cellStyle name="標準 5" xfId="4" xr:uid="{00000000-0005-0000-0000-000004000000}"/>
    <cellStyle name="標準 6" xfId="5" xr:uid="{00000000-0005-0000-0000-000005000000}"/>
    <cellStyle name="標準 7" xfId="6" xr:uid="{00000000-0005-0000-0000-000006000000}"/>
  </cellStyles>
  <dxfs count="107">
    <dxf>
      <font>
        <color rgb="FFFFFF00"/>
      </font>
      <fill>
        <patternFill>
          <bgColor rgb="FFFF0000"/>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ndense val="0"/>
        <extend val="0"/>
        <color rgb="FF006100"/>
      </font>
      <fill>
        <patternFill>
          <bgColor rgb="FFC6EFCE"/>
        </patternFill>
      </fill>
    </dxf>
    <dxf>
      <font>
        <color rgb="FFFFFF00"/>
      </font>
      <fill>
        <patternFill>
          <bgColor rgb="FFFF0000"/>
        </patternFill>
      </fill>
    </dxf>
    <dxf>
      <fill>
        <patternFill patternType="lightGray">
          <fgColor indexed="10"/>
          <bgColor theme="0"/>
        </patternFill>
      </fill>
    </dxf>
    <dxf>
      <fill>
        <patternFill patternType="lightGray">
          <fgColor indexed="10"/>
          <bgColor theme="0"/>
        </patternFill>
      </fill>
    </dxf>
    <dxf>
      <font>
        <color rgb="FFFFFF00"/>
      </font>
      <fill>
        <patternFill>
          <bgColor rgb="FFFF0000"/>
        </patternFill>
      </fill>
    </dxf>
    <dxf>
      <fill>
        <patternFill>
          <bgColor theme="0" tint="-0.34998626667073579"/>
        </patternFill>
      </fill>
    </dxf>
    <dxf>
      <fill>
        <patternFill>
          <bgColor theme="0" tint="-0.34998626667073579"/>
        </patternFill>
      </fill>
    </dxf>
    <dxf>
      <font>
        <color rgb="FFFFFF00"/>
      </font>
      <fill>
        <patternFill>
          <bgColor rgb="FFFF0000"/>
        </patternFill>
      </fill>
    </dxf>
    <dxf>
      <fill>
        <patternFill patternType="lightGray">
          <fgColor indexed="10"/>
          <bgColor theme="0"/>
        </patternFill>
      </fill>
    </dxf>
    <dxf>
      <fill>
        <patternFill patternType="lightGray">
          <fgColor rgb="FFFF0000"/>
          <bgColor auto="1"/>
        </patternFill>
      </fill>
    </dxf>
    <dxf>
      <fill>
        <patternFill patternType="lightGray">
          <fgColor rgb="FFFF0000"/>
          <bgColor auto="1"/>
        </patternFill>
      </fill>
    </dxf>
    <dxf>
      <font>
        <color rgb="FFFFFF00"/>
      </font>
      <fill>
        <patternFill>
          <bgColor rgb="FFFF0000"/>
        </patternFill>
      </fill>
    </dxf>
    <dxf>
      <fill>
        <patternFill>
          <bgColor theme="0" tint="-0.34998626667073579"/>
        </patternFill>
      </fill>
    </dxf>
    <dxf>
      <fill>
        <patternFill>
          <bgColor theme="0" tint="-0.34998626667073579"/>
        </patternFill>
      </fill>
    </dxf>
    <dxf>
      <fill>
        <patternFill patternType="lightGray">
          <fgColor indexed="10"/>
          <bgColor theme="0"/>
        </patternFill>
      </fill>
    </dxf>
    <dxf>
      <font>
        <color rgb="FFFFFF00"/>
      </font>
      <fill>
        <patternFill>
          <bgColor rgb="FFFF0000"/>
        </patternFill>
      </fill>
    </dxf>
  </dxfs>
  <tableStyles count="0" defaultTableStyle="TableStyleMedium9" defaultPivotStyle="PivotStyleLight16"/>
  <colors>
    <mruColors>
      <color rgb="FF99FFCC"/>
      <color rgb="FF00FFCC"/>
      <color rgb="FFFFFF99"/>
      <color rgb="FFFFFFCC"/>
      <color rgb="FF33CCCC"/>
      <color rgb="FF0000FF"/>
      <color rgb="FF66FF99"/>
      <color rgb="FF3399FF"/>
      <color rgb="FF66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48</xdr:row>
          <xdr:rowOff>47625</xdr:rowOff>
        </xdr:from>
        <xdr:to>
          <xdr:col>31</xdr:col>
          <xdr:colOff>304800</xdr:colOff>
          <xdr:row>58</xdr:row>
          <xdr:rowOff>66675</xdr:rowOff>
        </xdr:to>
        <xdr:pic>
          <xdr:nvPicPr>
            <xdr:cNvPr id="1324" name="Picture 300">
              <a:extLst>
                <a:ext uri="{FF2B5EF4-FFF2-40B4-BE49-F238E27FC236}">
                  <a16:creationId xmlns:a16="http://schemas.microsoft.com/office/drawing/2014/main" id="{00000000-0008-0000-0000-00002C050000}"/>
                </a:ext>
              </a:extLst>
            </xdr:cNvPr>
            <xdr:cNvPicPr>
              <a:picLocks noChangeAspect="1" noChangeArrowheads="1"/>
              <a:extLst>
                <a:ext uri="{84589F7E-364E-4C9E-8A38-B11213B215E9}">
                  <a14:cameraTool cellRange="'2020'!$A$2:$AF$11" spid="_x0000_s9958"/>
                </a:ext>
              </a:extLst>
            </xdr:cNvPicPr>
          </xdr:nvPicPr>
          <xdr:blipFill>
            <a:blip xmlns:r="http://schemas.openxmlformats.org/officeDocument/2006/relationships" r:embed="rId1"/>
            <a:srcRect/>
            <a:stretch>
              <a:fillRect/>
            </a:stretch>
          </xdr:blipFill>
          <xdr:spPr bwMode="auto">
            <a:xfrm>
              <a:off x="809625" y="8296275"/>
              <a:ext cx="21088350" cy="17335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352425</xdr:colOff>
          <xdr:row>27</xdr:row>
          <xdr:rowOff>152400</xdr:rowOff>
        </xdr:from>
        <xdr:to>
          <xdr:col>13</xdr:col>
          <xdr:colOff>295275</xdr:colOff>
          <xdr:row>37</xdr:row>
          <xdr:rowOff>76200</xdr:rowOff>
        </xdr:to>
        <xdr:pic>
          <xdr:nvPicPr>
            <xdr:cNvPr id="1325" name="Picture 301">
              <a:extLst>
                <a:ext uri="{FF2B5EF4-FFF2-40B4-BE49-F238E27FC236}">
                  <a16:creationId xmlns:a16="http://schemas.microsoft.com/office/drawing/2014/main" id="{00000000-0008-0000-0000-00002D050000}"/>
                </a:ext>
              </a:extLst>
            </xdr:cNvPr>
            <xdr:cNvPicPr>
              <a:picLocks noChangeAspect="1" noChangeArrowheads="1"/>
              <a:extLst>
                <a:ext uri="{84589F7E-364E-4C9E-8A38-B11213B215E9}">
                  <a14:cameraTool cellRange="例!$B$1:$O$10" spid="_x0000_s9959"/>
                </a:ext>
              </a:extLst>
            </xdr:cNvPicPr>
          </xdr:nvPicPr>
          <xdr:blipFill>
            <a:blip xmlns:r="http://schemas.openxmlformats.org/officeDocument/2006/relationships" r:embed="rId2"/>
            <a:srcRect/>
            <a:stretch>
              <a:fillRect/>
            </a:stretch>
          </xdr:blipFill>
          <xdr:spPr bwMode="auto">
            <a:xfrm>
              <a:off x="1038225" y="4800600"/>
              <a:ext cx="8505825" cy="16383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312964</xdr:colOff>
      <xdr:row>16</xdr:row>
      <xdr:rowOff>0</xdr:rowOff>
    </xdr:from>
    <xdr:to>
      <xdr:col>9</xdr:col>
      <xdr:colOff>0</xdr:colOff>
      <xdr:row>31</xdr:row>
      <xdr:rowOff>54430</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455839" y="2667000"/>
          <a:ext cx="4568599" cy="255474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en-US" altLang="ja-JP" sz="1100"/>
            <a:t>【</a:t>
          </a:r>
          <a:r>
            <a:rPr kumimoji="1" lang="ja-JP" altLang="en-US" sz="1100"/>
            <a:t>設定方法</a:t>
          </a:r>
          <a:r>
            <a:rPr kumimoji="1" lang="en-US" altLang="ja-JP" sz="1100"/>
            <a:t>】</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lt1"/>
              </a:solidFill>
              <a:latin typeface="+mn-lt"/>
              <a:ea typeface="+mn-ea"/>
              <a:cs typeface="+mn-cs"/>
            </a:rPr>
            <a:t>・</a:t>
          </a:r>
          <a:r>
            <a:rPr kumimoji="1" lang="ja-JP" altLang="en-US" sz="1100">
              <a:solidFill>
                <a:schemeClr val="lt1"/>
              </a:solidFill>
              <a:latin typeface="+mn-lt"/>
              <a:ea typeface="+mn-ea"/>
              <a:cs typeface="+mn-cs"/>
            </a:rPr>
            <a:t>各種設定は、勤怠設定時に必要（質問：</a:t>
          </a:r>
          <a:r>
            <a:rPr kumimoji="1" lang="en-US" altLang="ja-JP" sz="1100">
              <a:solidFill>
                <a:schemeClr val="lt1"/>
              </a:solidFill>
              <a:latin typeface="+mn-lt"/>
              <a:ea typeface="+mn-ea"/>
              <a:cs typeface="+mn-cs"/>
            </a:rPr>
            <a:t>739-2023</a:t>
          </a:r>
          <a:r>
            <a:rPr kumimoji="1" lang="ja-JP" altLang="en-US" sz="1100">
              <a:solidFill>
                <a:schemeClr val="lt1"/>
              </a:solidFill>
              <a:latin typeface="+mn-lt"/>
              <a:ea typeface="+mn-ea"/>
              <a:cs typeface="+mn-cs"/>
            </a:rPr>
            <a:t>）</a:t>
          </a:r>
          <a:endParaRPr kumimoji="1" lang="en-US" altLang="ja-JP" sz="1100">
            <a:solidFill>
              <a:schemeClr val="lt1"/>
            </a:solidFill>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t>・報告者の</a:t>
          </a:r>
          <a:r>
            <a:rPr kumimoji="1" lang="en-US" altLang="ja-JP" sz="1100"/>
            <a:t>EmpNo</a:t>
          </a:r>
          <a:r>
            <a:rPr kumimoji="1" lang="ja-JP" altLang="en-US" sz="1100"/>
            <a:t>と氏名を横に並べる</a:t>
          </a:r>
          <a:endParaRPr kumimoji="1" lang="en-US" altLang="ja-JP" sz="1100"/>
        </a:p>
        <a:p>
          <a:pPr algn="l"/>
          <a:r>
            <a:rPr kumimoji="1" lang="ja-JP" altLang="en-US" sz="1100"/>
            <a:t>・</a:t>
          </a:r>
          <a:r>
            <a:rPr kumimoji="1" lang="en-US" altLang="ja-JP" sz="1100"/>
            <a:t>SOW</a:t>
          </a:r>
          <a:r>
            <a:rPr kumimoji="1" lang="ja-JP" altLang="en-US" sz="1100"/>
            <a:t>は、作成した</a:t>
          </a:r>
          <a:r>
            <a:rPr kumimoji="1" lang="en-US" altLang="ja-JP" sz="1100"/>
            <a:t>SOW</a:t>
          </a:r>
          <a:r>
            <a:rPr kumimoji="1" lang="ja-JP" altLang="en-US" sz="1100"/>
            <a:t>とリンク貼付けする</a:t>
          </a:r>
          <a:endParaRPr kumimoji="1" lang="en-US" altLang="ja-JP" sz="1100"/>
        </a:p>
        <a:p>
          <a:pPr algn="l"/>
          <a:r>
            <a:rPr kumimoji="1" lang="ja-JP" altLang="en-US" sz="1100"/>
            <a:t>　</a:t>
          </a:r>
          <a:r>
            <a:rPr kumimoji="1" lang="en-US" altLang="ja-JP" sz="1100"/>
            <a:t>※SOW</a:t>
          </a:r>
          <a:r>
            <a:rPr kumimoji="1" lang="ja-JP" altLang="en-US" sz="1100"/>
            <a:t>のどのセルを利用するかは、計算式を確認する</a:t>
          </a:r>
          <a:endParaRPr kumimoji="1" lang="en-US" altLang="ja-JP" sz="1100"/>
        </a:p>
        <a:p>
          <a:pPr algn="l"/>
          <a:r>
            <a:rPr kumimoji="1" lang="ja-JP" altLang="en-US" sz="1100"/>
            <a:t>・</a:t>
          </a:r>
          <a:r>
            <a:rPr kumimoji="1" lang="en-US" altLang="ja-JP" sz="1100"/>
            <a:t>REQUEST</a:t>
          </a:r>
          <a:r>
            <a:rPr kumimoji="1" lang="ja-JP" altLang="en-US" sz="1100"/>
            <a:t>は、作成したリクエスト管理台帳とリンク貼付けする</a:t>
          </a:r>
          <a:endParaRPr kumimoji="1" lang="en-US" altLang="ja-JP" sz="1100"/>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lt1"/>
              </a:solidFill>
              <a:latin typeface="+mn-lt"/>
              <a:ea typeface="+mn-ea"/>
              <a:cs typeface="+mn-cs"/>
            </a:rPr>
            <a:t>　</a:t>
          </a:r>
          <a:r>
            <a:rPr kumimoji="1" lang="en-US" altLang="ja-JP" sz="1100">
              <a:solidFill>
                <a:schemeClr val="lt1"/>
              </a:solidFill>
              <a:latin typeface="+mn-lt"/>
              <a:ea typeface="+mn-ea"/>
              <a:cs typeface="+mn-cs"/>
            </a:rPr>
            <a:t>※</a:t>
          </a:r>
          <a:r>
            <a:rPr kumimoji="1" lang="ja-JP" altLang="en-US" sz="1100">
              <a:solidFill>
                <a:schemeClr val="lt1"/>
              </a:solidFill>
              <a:latin typeface="+mn-lt"/>
              <a:ea typeface="+mn-ea"/>
              <a:cs typeface="+mn-cs"/>
            </a:rPr>
            <a:t>リクエスト管理台帳</a:t>
          </a:r>
          <a:r>
            <a:rPr kumimoji="1" lang="ja-JP" altLang="ja-JP" sz="1100">
              <a:solidFill>
                <a:schemeClr val="lt1"/>
              </a:solidFill>
              <a:latin typeface="+mn-lt"/>
              <a:ea typeface="+mn-ea"/>
              <a:cs typeface="+mn-cs"/>
            </a:rPr>
            <a:t>のどのセルを利用するかは、計算式を確認する</a:t>
          </a:r>
          <a:endParaRPr kumimoji="1" lang="en-US" altLang="ja-JP" sz="1100"/>
        </a:p>
        <a:p>
          <a:pPr algn="l"/>
          <a:r>
            <a:rPr kumimoji="1" lang="en-US" altLang="ja-JP" sz="1100"/>
            <a:t>【</a:t>
          </a:r>
          <a:r>
            <a:rPr kumimoji="1" lang="ja-JP" altLang="en-US" sz="1100"/>
            <a:t>活用方法</a:t>
          </a:r>
          <a:r>
            <a:rPr kumimoji="1" lang="en-US" altLang="ja-JP" sz="1100"/>
            <a:t>】</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t>・</a:t>
          </a:r>
          <a:r>
            <a:rPr kumimoji="1" lang="en-US" altLang="ja-JP" sz="1100"/>
            <a:t>SOW</a:t>
          </a:r>
          <a:r>
            <a:rPr kumimoji="1" lang="ja-JP" altLang="en-US" sz="1100"/>
            <a:t>の</a:t>
          </a:r>
          <a:r>
            <a:rPr kumimoji="1" lang="en-US" altLang="ja-JP" sz="1100"/>
            <a:t>M</a:t>
          </a:r>
          <a:r>
            <a:rPr kumimoji="1" lang="ja-JP" altLang="en-US" sz="1100"/>
            <a:t>列は、</a:t>
          </a:r>
          <a:r>
            <a:rPr kumimoji="1" lang="en-US" altLang="ja-JP" sz="1100"/>
            <a:t>M2</a:t>
          </a:r>
          <a:r>
            <a:rPr kumimoji="1" lang="ja-JP" altLang="en-US" sz="1100"/>
            <a:t>のセルの年月の工数サマリーが表示される</a:t>
          </a:r>
          <a:endParaRPr kumimoji="1" lang="en-US" altLang="ja-JP" sz="1100"/>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lt1"/>
              </a:solidFill>
              <a:latin typeface="+mn-lt"/>
              <a:ea typeface="+mn-ea"/>
              <a:cs typeface="+mn-cs"/>
            </a:rPr>
            <a:t>・</a:t>
          </a:r>
          <a:r>
            <a:rPr kumimoji="1" lang="en-US" altLang="ja-JP" sz="1100">
              <a:solidFill>
                <a:schemeClr val="lt1"/>
              </a:solidFill>
              <a:latin typeface="+mn-lt"/>
              <a:ea typeface="+mn-ea"/>
              <a:cs typeface="+mn-cs"/>
            </a:rPr>
            <a:t>REQUEST</a:t>
          </a:r>
          <a:r>
            <a:rPr kumimoji="1" lang="ja-JP" altLang="ja-JP" sz="1100">
              <a:solidFill>
                <a:schemeClr val="lt1"/>
              </a:solidFill>
              <a:latin typeface="+mn-lt"/>
              <a:ea typeface="+mn-ea"/>
              <a:cs typeface="+mn-cs"/>
            </a:rPr>
            <a:t>の</a:t>
          </a:r>
          <a:r>
            <a:rPr kumimoji="1" lang="en-US" altLang="ja-JP" sz="1100">
              <a:solidFill>
                <a:schemeClr val="lt1"/>
              </a:solidFill>
              <a:latin typeface="+mn-lt"/>
              <a:ea typeface="+mn-ea"/>
              <a:cs typeface="+mn-cs"/>
            </a:rPr>
            <a:t>Q</a:t>
          </a:r>
          <a:r>
            <a:rPr kumimoji="1" lang="ja-JP" altLang="ja-JP" sz="1100">
              <a:solidFill>
                <a:schemeClr val="lt1"/>
              </a:solidFill>
              <a:latin typeface="+mn-lt"/>
              <a:ea typeface="+mn-ea"/>
              <a:cs typeface="+mn-cs"/>
            </a:rPr>
            <a:t>列は、</a:t>
          </a:r>
          <a:r>
            <a:rPr kumimoji="1" lang="en-US" altLang="ja-JP" sz="1100">
              <a:solidFill>
                <a:schemeClr val="lt1"/>
              </a:solidFill>
              <a:latin typeface="+mn-lt"/>
              <a:ea typeface="+mn-ea"/>
              <a:cs typeface="+mn-cs"/>
            </a:rPr>
            <a:t>Q2</a:t>
          </a:r>
          <a:r>
            <a:rPr kumimoji="1" lang="ja-JP" altLang="ja-JP" sz="1100">
              <a:solidFill>
                <a:schemeClr val="lt1"/>
              </a:solidFill>
              <a:latin typeface="+mn-lt"/>
              <a:ea typeface="+mn-ea"/>
              <a:cs typeface="+mn-cs"/>
            </a:rPr>
            <a:t>のセルの年月の工数サマリーが表示される</a:t>
          </a:r>
          <a:endParaRPr kumimoji="1" lang="en-US" altLang="ja-JP" sz="1100">
            <a:solidFill>
              <a:schemeClr val="lt1"/>
            </a:solidFill>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lt1"/>
              </a:solidFill>
              <a:latin typeface="+mn-lt"/>
              <a:ea typeface="+mn-ea"/>
              <a:cs typeface="+mn-cs"/>
            </a:rPr>
            <a:t>・</a:t>
          </a:r>
          <a:r>
            <a:rPr kumimoji="1" lang="en-US" altLang="ja-JP" sz="1100">
              <a:solidFill>
                <a:schemeClr val="lt1"/>
              </a:solidFill>
              <a:latin typeface="+mn-lt"/>
              <a:ea typeface="+mn-ea"/>
              <a:cs typeface="+mn-cs"/>
            </a:rPr>
            <a:t>REQUEST</a:t>
          </a:r>
          <a:r>
            <a:rPr kumimoji="1" lang="ja-JP" altLang="ja-JP" sz="1100">
              <a:solidFill>
                <a:schemeClr val="lt1"/>
              </a:solidFill>
              <a:latin typeface="+mn-lt"/>
              <a:ea typeface="+mn-ea"/>
              <a:cs typeface="+mn-cs"/>
            </a:rPr>
            <a:t>の</a:t>
          </a:r>
          <a:r>
            <a:rPr kumimoji="1" lang="en-US" altLang="ja-JP" sz="1100">
              <a:solidFill>
                <a:schemeClr val="lt1"/>
              </a:solidFill>
              <a:latin typeface="+mn-lt"/>
              <a:ea typeface="+mn-ea"/>
              <a:cs typeface="+mn-cs"/>
            </a:rPr>
            <a:t>R</a:t>
          </a:r>
          <a:r>
            <a:rPr kumimoji="1" lang="ja-JP" altLang="ja-JP" sz="1100">
              <a:solidFill>
                <a:schemeClr val="lt1"/>
              </a:solidFill>
              <a:latin typeface="+mn-lt"/>
              <a:ea typeface="+mn-ea"/>
              <a:cs typeface="+mn-cs"/>
            </a:rPr>
            <a:t>列は、</a:t>
          </a:r>
          <a:r>
            <a:rPr kumimoji="1" lang="ja-JP" altLang="en-US" sz="1100">
              <a:solidFill>
                <a:schemeClr val="lt1"/>
              </a:solidFill>
              <a:latin typeface="+mn-lt"/>
              <a:ea typeface="+mn-ea"/>
              <a:cs typeface="+mn-cs"/>
            </a:rPr>
            <a:t>当年の</a:t>
          </a:r>
          <a:r>
            <a:rPr kumimoji="1" lang="ja-JP" altLang="ja-JP" sz="1100">
              <a:solidFill>
                <a:schemeClr val="lt1"/>
              </a:solidFill>
              <a:latin typeface="+mn-lt"/>
              <a:ea typeface="+mn-ea"/>
              <a:cs typeface="+mn-cs"/>
            </a:rPr>
            <a:t>工数サマリーが表示される</a:t>
          </a:r>
          <a:endParaRPr kumimoji="1" lang="en-US" altLang="ja-JP" sz="1100">
            <a:solidFill>
              <a:schemeClr val="lt1"/>
            </a:solidFill>
            <a:latin typeface="+mn-lt"/>
            <a:ea typeface="+mn-ea"/>
            <a:cs typeface="+mn-cs"/>
          </a:endParaRPr>
        </a:p>
        <a:p>
          <a:pPr algn="l"/>
          <a:r>
            <a:rPr kumimoji="1" lang="en-US" altLang="ja-JP" sz="1100"/>
            <a:t>※R</a:t>
          </a:r>
          <a:r>
            <a:rPr kumimoji="1" lang="ja-JP" altLang="en-US" sz="1100"/>
            <a:t>列をリクエスト管理台帳の工数列に貼り付ける（担当者列）</a:t>
          </a:r>
          <a:endParaRPr kumimoji="1" lang="en-US" altLang="ja-JP"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26457</xdr:colOff>
      <xdr:row>10</xdr:row>
      <xdr:rowOff>31749</xdr:rowOff>
    </xdr:from>
    <xdr:to>
      <xdr:col>5</xdr:col>
      <xdr:colOff>349250</xdr:colOff>
      <xdr:row>20</xdr:row>
      <xdr:rowOff>52914</xdr:rowOff>
    </xdr:to>
    <xdr:sp macro="" textlink="">
      <xdr:nvSpPr>
        <xdr:cNvPr id="3" name="正方形/長方形 2">
          <a:extLst>
            <a:ext uri="{FF2B5EF4-FFF2-40B4-BE49-F238E27FC236}">
              <a16:creationId xmlns:a16="http://schemas.microsoft.com/office/drawing/2014/main" id="{00000000-0008-0000-0500-000003000000}"/>
            </a:ext>
          </a:extLst>
        </xdr:cNvPr>
        <xdr:cNvSpPr/>
      </xdr:nvSpPr>
      <xdr:spPr>
        <a:xfrm>
          <a:off x="238124" y="1725082"/>
          <a:ext cx="3794126" cy="17144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en-US" altLang="ja-JP" sz="1100"/>
            <a:t>【</a:t>
          </a:r>
          <a:r>
            <a:rPr kumimoji="1" lang="ja-JP" altLang="en-US" sz="1100"/>
            <a:t>設定方法</a:t>
          </a:r>
          <a:r>
            <a:rPr kumimoji="1" lang="en-US" altLang="ja-JP" sz="1100"/>
            <a:t>】</a:t>
          </a:r>
        </a:p>
        <a:p>
          <a:pPr algn="l"/>
          <a:r>
            <a:rPr kumimoji="1" lang="ja-JP" altLang="en-US" sz="1100"/>
            <a:t>・</a:t>
          </a:r>
          <a:r>
            <a:rPr kumimoji="1" lang="en-US" altLang="ja-JP" sz="1100"/>
            <a:t>B2</a:t>
          </a:r>
          <a:r>
            <a:rPr kumimoji="1" lang="ja-JP" altLang="en-US" sz="1100"/>
            <a:t>のセルから、</a:t>
          </a:r>
          <a:r>
            <a:rPr kumimoji="1" lang="en-US" altLang="ja-JP" sz="1100"/>
            <a:t>SYSTEM</a:t>
          </a:r>
          <a:r>
            <a:rPr kumimoji="1" lang="ja-JP" altLang="en-US" sz="1100"/>
            <a:t>を横に並べる</a:t>
          </a:r>
          <a:endParaRPr kumimoji="1" lang="en-US" altLang="ja-JP" sz="1100"/>
        </a:p>
        <a:p>
          <a:pPr algn="l"/>
          <a:r>
            <a:rPr kumimoji="1" lang="ja-JP" altLang="en-US" sz="1100"/>
            <a:t>・</a:t>
          </a:r>
          <a:r>
            <a:rPr kumimoji="1" lang="en-US" altLang="ja-JP" sz="1100"/>
            <a:t>SYSTEM</a:t>
          </a:r>
          <a:r>
            <a:rPr kumimoji="1" lang="ja-JP" altLang="en-US" sz="1100"/>
            <a:t>に紐づく</a:t>
          </a:r>
          <a:r>
            <a:rPr kumimoji="1" lang="ja-JP" altLang="ja-JP" sz="1100">
              <a:solidFill>
                <a:schemeClr val="lt1"/>
              </a:solidFill>
              <a:latin typeface="+mn-lt"/>
              <a:ea typeface="+mn-ea"/>
              <a:cs typeface="+mn-cs"/>
            </a:rPr>
            <a:t>業務項目</a:t>
          </a:r>
          <a:r>
            <a:rPr kumimoji="1" lang="ja-JP" altLang="en-US" sz="1100">
              <a:solidFill>
                <a:schemeClr val="lt1"/>
              </a:solidFill>
              <a:latin typeface="+mn-lt"/>
              <a:ea typeface="+mn-ea"/>
              <a:cs typeface="+mn-cs"/>
            </a:rPr>
            <a:t>を下に並べる</a:t>
          </a:r>
          <a:endParaRPr kumimoji="1" lang="en-US" altLang="ja-JP" sz="1100"/>
        </a:p>
        <a:p>
          <a:pPr algn="l"/>
          <a:r>
            <a:rPr kumimoji="1" lang="en-US" altLang="ja-JP" sz="1100"/>
            <a:t>【</a:t>
          </a:r>
          <a:r>
            <a:rPr kumimoji="1" lang="ja-JP" altLang="en-US" sz="1100"/>
            <a:t>注意点</a:t>
          </a:r>
          <a:r>
            <a:rPr kumimoji="1" lang="en-US" altLang="ja-JP" sz="1100"/>
            <a:t>】</a:t>
          </a:r>
        </a:p>
        <a:p>
          <a:pPr algn="l"/>
          <a:r>
            <a:rPr kumimoji="1" lang="ja-JP" altLang="en-US" sz="1100"/>
            <a:t>・</a:t>
          </a:r>
          <a:r>
            <a:rPr kumimoji="1" lang="en-US" altLang="ja-JP" sz="1100"/>
            <a:t>B2</a:t>
          </a:r>
          <a:r>
            <a:rPr kumimoji="1" lang="ja-JP" altLang="en-US" sz="1100"/>
            <a:t>から右方向に向かって、空のセルを入れない事</a:t>
          </a:r>
          <a:endParaRPr kumimoji="1" lang="en-US" altLang="ja-JP" sz="1100"/>
        </a:p>
        <a:p>
          <a:pPr algn="l"/>
          <a:r>
            <a:rPr kumimoji="1" lang="ja-JP" altLang="en-US" sz="1100"/>
            <a:t>・</a:t>
          </a:r>
          <a:r>
            <a:rPr kumimoji="1" lang="en-US" altLang="ja-JP" sz="1100"/>
            <a:t>SOW</a:t>
          </a:r>
          <a:r>
            <a:rPr kumimoji="1" lang="ja-JP" altLang="en-US" sz="1100"/>
            <a:t>に変更があったら、この値も修正する事</a:t>
          </a:r>
          <a:endParaRPr kumimoji="1" lang="en-US" altLang="ja-JP" sz="1100"/>
        </a:p>
        <a:p>
          <a:pPr algn="l"/>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jnj-my.sharepoint.com/personal/hshinoh1_its_jnj_com/Documents/Shared%20with%20SCSK/&#26085;&#22577;/SOW_VCJ.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VisionCare\Department\iSM\Collaboration\CSK&#36939;&#29992;&#25163;&#38918;&#12489;&#12461;&#12517;&#12513;&#12531;&#12488;\00_&#31649;&#29702;\GS_VCJ_&#12522;&#12463;&#12456;&#12473;&#12488;&#35352;&#3768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jnj-my.sharepoint.com/personal/hshinoh1_its_jnj_com/Documents/Shared%20with%20SCSK/&#26085;&#22577;/SOW_VCJ_2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改訂履歴"/>
      <sheetName val="業務定義"/>
      <sheetName val="リスト"/>
      <sheetName val="SOW_VCJ"/>
    </sheetNames>
    <sheetDataSet>
      <sheetData sheetId="0"/>
      <sheetData sheetId="1"/>
      <sheetData sheetId="2">
        <row r="2">
          <cell r="B2" t="str">
            <v>業務項目</v>
          </cell>
        </row>
        <row r="3">
          <cell r="B3" t="str">
            <v>定常</v>
          </cell>
          <cell r="C3" t="str">
            <v>リクエスト</v>
          </cell>
          <cell r="D3" t="str">
            <v>インシデント</v>
          </cell>
          <cell r="E3" t="str">
            <v>プロジェクト</v>
          </cell>
          <cell r="F3" t="str">
            <v>管理</v>
          </cell>
          <cell r="G3" t="str">
            <v>改善</v>
          </cell>
          <cell r="H3" t="str">
            <v>問合せ</v>
          </cell>
          <cell r="I3" t="str">
            <v>インシデントハンドリング</v>
          </cell>
          <cell r="J3" t="str">
            <v>ACUVUE Request</v>
          </cell>
          <cell r="K3" t="str">
            <v>ACUVUE Request Routine</v>
          </cell>
          <cell r="L3" t="str">
            <v>AOS Request</v>
          </cell>
          <cell r="M3" t="str">
            <v>Eagle Request Routine</v>
          </cell>
          <cell r="N3" t="str">
            <v>Eagle Request</v>
          </cell>
          <cell r="O3" t="str">
            <v>Other</v>
          </cell>
          <cell r="P3" t="str">
            <v>Project Support</v>
          </cell>
          <cell r="Q3" t="str">
            <v>S1 Maintenance</v>
          </cell>
          <cell r="R3" t="str">
            <v>S2 Data Maintenance Routine</v>
          </cell>
          <cell r="S3" t="str">
            <v>S3 Enhancement</v>
          </cell>
          <cell r="T3" t="str">
            <v>M1 Maintenance</v>
          </cell>
          <cell r="U3" t="str">
            <v>M1 Maintenance Routine</v>
          </cell>
          <cell r="V3" t="str">
            <v>M2 Data Maintenance</v>
          </cell>
          <cell r="W3" t="str">
            <v>M3 Enhancement</v>
          </cell>
          <cell r="X3" t="str">
            <v>P1 Maintenance Routine</v>
          </cell>
          <cell r="Y3" t="str">
            <v>P1 Maintenance</v>
          </cell>
          <cell r="Z3" t="str">
            <v>P2 Request</v>
          </cell>
          <cell r="AA3" t="str">
            <v>C1 Management Routine</v>
          </cell>
          <cell r="AB3" t="str">
            <v>CSK作業</v>
          </cell>
          <cell r="AC3" t="str">
            <v>その他(SOW外)</v>
          </cell>
          <cell r="AD3"/>
          <cell r="AE3" t="str">
            <v>依頼時</v>
          </cell>
          <cell r="AF3"/>
          <cell r="AG3"/>
          <cell r="AH3" t="str">
            <v>L1</v>
          </cell>
        </row>
        <row r="4">
          <cell r="B4" t="str">
            <v>アカウント管理（システム、各自アカウント含む）</v>
          </cell>
        </row>
        <row r="5">
          <cell r="B5" t="str">
            <v>データメンテ</v>
          </cell>
        </row>
        <row r="6">
          <cell r="B6" t="str">
            <v>データ抽出</v>
          </cell>
        </row>
        <row r="7">
          <cell r="B7" t="str">
            <v>検証・調査・問合せ（即答可）</v>
          </cell>
        </row>
        <row r="8">
          <cell r="B8" t="str">
            <v>会議参加</v>
          </cell>
        </row>
        <row r="9">
          <cell r="B9" t="str">
            <v>システム状態監視（結果確認、アクセスログ分析含む）</v>
          </cell>
        </row>
        <row r="10">
          <cell r="B10" t="str">
            <v>システムメンテ（DB保守、S/W保守、H/W保守、Backupなど）</v>
          </cell>
        </row>
        <row r="11">
          <cell r="B11" t="str">
            <v>Webコンテンツ更新</v>
          </cell>
        </row>
        <row r="12">
          <cell r="B12" t="str">
            <v>ドキュメント作成</v>
          </cell>
        </row>
        <row r="13">
          <cell r="B13" t="str">
            <v>申請関連（PHOBOS/IT申請君/SR）</v>
          </cell>
        </row>
        <row r="14">
          <cell r="B14" t="str">
            <v>監査対応</v>
          </cell>
        </row>
        <row r="15">
          <cell r="B15" t="str">
            <v>ユーザートレーニング</v>
          </cell>
        </row>
        <row r="16">
          <cell r="B16" t="str">
            <v>物品管理（固定資産棚卸/廃棄）</v>
          </cell>
        </row>
        <row r="17">
          <cell r="B17" t="str">
            <v>パッチ適用関連</v>
          </cell>
        </row>
        <row r="18">
          <cell r="B18" t="str">
            <v>メール確認</v>
          </cell>
        </row>
        <row r="19">
          <cell r="B19" t="str">
            <v>得意先マスタ担当者突合せ</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い方"/>
      <sheetName val="管理"/>
      <sheetName val="RequestList"/>
      <sheetName val="Summary"/>
      <sheetName val="記入例"/>
      <sheetName val="Data"/>
      <sheetName val="障害Data"/>
      <sheetName val="依頼元Data"/>
      <sheetName val="ASData"/>
      <sheetName val="SystemData"/>
      <sheetName val="Sheet1"/>
    </sheetNames>
    <sheetDataSet>
      <sheetData sheetId="0"/>
      <sheetData sheetId="1"/>
      <sheetData sheetId="2">
        <row r="2">
          <cell r="A2" t="str">
            <v>依頼</v>
          </cell>
        </row>
        <row r="4">
          <cell r="A4">
            <v>14526</v>
          </cell>
          <cell r="J4" t="str">
            <v>extract MyAV store data / My店舗コード切り替え後の監視</v>
          </cell>
        </row>
        <row r="5">
          <cell r="A5">
            <v>21538</v>
          </cell>
          <cell r="J5" t="str">
            <v xml:space="preserve">【Inquiry】Automation of Adhoc Workflows || REQ000016283393 </v>
          </cell>
        </row>
        <row r="6">
          <cell r="A6">
            <v>21539</v>
          </cell>
          <cell r="J6" t="str">
            <v>移行失敗者のCPポイント付与</v>
          </cell>
        </row>
        <row r="7">
          <cell r="A7">
            <v>21540</v>
          </cell>
          <cell r="J7" t="str">
            <v>MBOX Projectの設定について</v>
          </cell>
        </row>
        <row r="8">
          <cell r="A8">
            <v>21541</v>
          </cell>
          <cell r="J8" t="str">
            <v>VCJIT004_0002170_ITリクエスト申請(IT Request)【ARS変更依頼_担当者不在時代理担当者登録　松下綾花さん】</v>
          </cell>
        </row>
        <row r="9">
          <cell r="A9">
            <v>21542</v>
          </cell>
          <cell r="J9" t="str">
            <v>MBOXアカウント作成</v>
          </cell>
        </row>
        <row r="10">
          <cell r="A10">
            <v>21543</v>
          </cell>
          <cell r="J10" t="str">
            <v>SFDCアカウント登録・変更</v>
          </cell>
        </row>
        <row r="11">
          <cell r="A11">
            <v>21544</v>
          </cell>
          <cell r="J11" t="str">
            <v>SFDCアカウント変更</v>
          </cell>
        </row>
        <row r="12">
          <cell r="A12">
            <v>21545</v>
          </cell>
          <cell r="J12" t="str">
            <v>J-flow承認ワークフローについて</v>
          </cell>
        </row>
        <row r="13">
          <cell r="A13">
            <v>21546</v>
          </cell>
          <cell r="J13" t="str">
            <v>MBOX権限付与</v>
          </cell>
        </row>
        <row r="14">
          <cell r="A14">
            <v>21547</v>
          </cell>
          <cell r="J14" t="str">
            <v>ITリクエスト申請(IT Request)【ARS変更依頼_担当者不在時代理担当者登録　舟見良太さん】</v>
          </cell>
        </row>
        <row r="15">
          <cell r="A15">
            <v>21549</v>
          </cell>
          <cell r="J15" t="str">
            <v>テストデータ作成</v>
          </cell>
        </row>
        <row r="16">
          <cell r="A16">
            <v>21550</v>
          </cell>
          <cell r="J16" t="str">
            <v>日次CRMアップロードが失敗</v>
          </cell>
        </row>
        <row r="17">
          <cell r="A17">
            <v>21551</v>
          </cell>
          <cell r="J17" t="str">
            <v>HTMLリストとARS施設情報の一覧作成</v>
          </cell>
        </row>
        <row r="18">
          <cell r="A18">
            <v>21552</v>
          </cell>
          <cell r="J18" t="str">
            <v>HTMLリストとARS施設情報の一覧作成</v>
          </cell>
        </row>
        <row r="19">
          <cell r="A19">
            <v>21553</v>
          </cell>
          <cell r="J19" t="str">
            <v>コンテンツ更新依頼のIRISチケット作成</v>
          </cell>
        </row>
        <row r="20">
          <cell r="A20">
            <v>21554</v>
          </cell>
          <cell r="J20" t="str">
            <v>フリーワード検索提案資料作成</v>
          </cell>
        </row>
        <row r="21">
          <cell r="A21">
            <v>21555</v>
          </cell>
          <cell r="J21" t="str">
            <v>KPI集計（取り扱い店検索)</v>
          </cell>
        </row>
        <row r="22">
          <cell r="A22">
            <v>21556</v>
          </cell>
          <cell r="J22" t="str">
            <v>KPI集計（AOS/JELS)</v>
          </cell>
        </row>
        <row r="23">
          <cell r="A23">
            <v>21557</v>
          </cell>
          <cell r="J23" t="str">
            <v>KPI集計（Eagle)</v>
          </cell>
        </row>
        <row r="24">
          <cell r="A24">
            <v>21558</v>
          </cell>
          <cell r="J24" t="str">
            <v>crontab update / crontab祝日対応</v>
          </cell>
        </row>
        <row r="25">
          <cell r="A25">
            <v>21559</v>
          </cell>
          <cell r="J25" t="str">
            <v>AOS/JELSドキュメント更新</v>
          </cell>
        </row>
        <row r="26">
          <cell r="A26">
            <v>21560</v>
          </cell>
          <cell r="J26" t="str">
            <v>Eagleドキュメント更新</v>
          </cell>
        </row>
        <row r="27">
          <cell r="A27">
            <v>21561</v>
          </cell>
          <cell r="J27" t="str">
            <v>Eagle Postal Code Data Refresh / 郵便番号マスタ更新</v>
          </cell>
        </row>
        <row r="28">
          <cell r="A28">
            <v>21562</v>
          </cell>
          <cell r="J28" t="str">
            <v>Eagle定例</v>
          </cell>
        </row>
        <row r="29">
          <cell r="A29">
            <v>21563</v>
          </cell>
          <cell r="J29" t="str">
            <v>SAPとtableauの金額相異</v>
          </cell>
        </row>
        <row r="30">
          <cell r="A30">
            <v>21564</v>
          </cell>
          <cell r="J30" t="str">
            <v>VX dashboard 年越しによる不具合解消依頼</v>
          </cell>
        </row>
        <row r="31">
          <cell r="A31">
            <v>21565</v>
          </cell>
          <cell r="J31" t="str">
            <v>アサイン担当者の変更</v>
          </cell>
        </row>
        <row r="32">
          <cell r="A32">
            <v>21566</v>
          </cell>
          <cell r="J32" t="str">
            <v>ARS QA環境用のアカウントを作成</v>
          </cell>
        </row>
        <row r="33">
          <cell r="A33">
            <v>21567</v>
          </cell>
          <cell r="J33" t="str">
            <v>MBOX接続障害の改善</v>
          </cell>
        </row>
        <row r="34">
          <cell r="A34">
            <v>21568</v>
          </cell>
          <cell r="J34" t="str">
            <v>MyAcuvue DST SIT実施及びスクリプト作成</v>
          </cell>
        </row>
        <row r="35">
          <cell r="A35">
            <v>21569</v>
          </cell>
          <cell r="J35" t="str">
            <v>Store Locator DST SIT実施及びスクリプト作成</v>
          </cell>
        </row>
        <row r="36">
          <cell r="A36">
            <v>21570</v>
          </cell>
          <cell r="J36" t="str">
            <v>データベースのパッチ適用によるJ-FLOW停止日程の確認</v>
          </cell>
        </row>
        <row r="37">
          <cell r="A37">
            <v>21571</v>
          </cell>
          <cell r="J37" t="str">
            <v>J-FLOW 通知メール宛先よりユーザー削除</v>
          </cell>
        </row>
        <row r="38">
          <cell r="A38">
            <v>21572</v>
          </cell>
          <cell r="J38" t="str">
            <v>SAPバッチの動作時間について</v>
          </cell>
        </row>
        <row r="39">
          <cell r="A39">
            <v>21573</v>
          </cell>
          <cell r="J39" t="str">
            <v>MBOX接続障害の改善</v>
          </cell>
        </row>
        <row r="40">
          <cell r="A40">
            <v>21574</v>
          </cell>
          <cell r="J40" t="str">
            <v>ITリクエスト申請(IT Request)【ARSサーバアクセス権：山崎義一】　アクセス権限の追加</v>
          </cell>
        </row>
        <row r="41">
          <cell r="A41">
            <v>21575</v>
          </cell>
          <cell r="J41" t="str">
            <v>workday&amp;delivery_date check / 翌月以降の休業日確認</v>
          </cell>
        </row>
        <row r="42">
          <cell r="A42">
            <v>21576</v>
          </cell>
          <cell r="J42" t="str">
            <v>POS support / LOTの体系追加について</v>
          </cell>
        </row>
        <row r="43">
          <cell r="A43">
            <v>21577</v>
          </cell>
          <cell r="J43" t="str">
            <v>アウトレット数・売り上げ集計依頼</v>
          </cell>
        </row>
        <row r="44">
          <cell r="A44">
            <v>21578</v>
          </cell>
          <cell r="J44" t="str">
            <v>IRIS申請について</v>
          </cell>
        </row>
        <row r="45">
          <cell r="A45">
            <v>21579</v>
          </cell>
          <cell r="J45" t="str">
            <v>INVエラー</v>
          </cell>
        </row>
        <row r="46">
          <cell r="A46">
            <v>21580</v>
          </cell>
          <cell r="J46" t="str">
            <v xml:space="preserve">本番環境にてパスワードリセット実施
</v>
          </cell>
        </row>
        <row r="47">
          <cell r="A47">
            <v>21581</v>
          </cell>
          <cell r="J47" t="str">
            <v>メール送信エラー</v>
          </cell>
        </row>
        <row r="48">
          <cell r="A48">
            <v>21582</v>
          </cell>
          <cell r="J48" t="str">
            <v>NewGroupNumECPIdImportエラー</v>
          </cell>
        </row>
        <row r="49">
          <cell r="A49">
            <v>21583</v>
          </cell>
          <cell r="J49" t="str">
            <v>【確認依頼】返品受付票作成時のメール送信について</v>
          </cell>
        </row>
        <row r="50">
          <cell r="A50">
            <v>21584</v>
          </cell>
          <cell r="J50" t="str">
            <v>【確認依頼】追加返品受付票作成時のメール送信について</v>
          </cell>
        </row>
        <row r="51">
          <cell r="A51">
            <v>21585</v>
          </cell>
          <cell r="J51" t="str">
            <v>QA環境　SFDCからのI/Fファイルの取込依頼</v>
          </cell>
        </row>
        <row r="52">
          <cell r="A52">
            <v>21586</v>
          </cell>
          <cell r="J52" t="str">
            <v>MyACUVUE1.0管理画面アカウント棚卸し作業</v>
          </cell>
        </row>
        <row r="53">
          <cell r="A53">
            <v>21587</v>
          </cell>
          <cell r="J53" t="str">
            <v>問い合わせ画面のポップアップ対応について</v>
          </cell>
        </row>
        <row r="54">
          <cell r="A54">
            <v>21588</v>
          </cell>
          <cell r="J54" t="str">
            <v>【確認依頼】返品受付票のメール送信の処理について</v>
          </cell>
        </row>
        <row r="55">
          <cell r="A55">
            <v>21589</v>
          </cell>
          <cell r="J55" t="str">
            <v>価格マスタ取り込みエラー</v>
          </cell>
        </row>
        <row r="56">
          <cell r="A56">
            <v>21590</v>
          </cell>
          <cell r="J56" t="str">
            <v>AOS/JELSテストコード</v>
          </cell>
        </row>
        <row r="57">
          <cell r="A57">
            <v>21591</v>
          </cell>
          <cell r="J57" t="str">
            <v>Tableauの2020年のDataについて</v>
          </cell>
        </row>
        <row r="58">
          <cell r="A58">
            <v>21592</v>
          </cell>
          <cell r="J58" t="str">
            <v>Panoramaの全Dashboard / Workbookを参照できない</v>
          </cell>
        </row>
        <row r="59">
          <cell r="A59">
            <v>21593</v>
          </cell>
          <cell r="J59" t="str">
            <v>Paymetricエラー</v>
          </cell>
        </row>
        <row r="60">
          <cell r="A60">
            <v>21594</v>
          </cell>
          <cell r="J60" t="str">
            <v>Sales order連携データの提供</v>
          </cell>
        </row>
        <row r="61">
          <cell r="A61">
            <v>21595</v>
          </cell>
          <cell r="J61" t="str">
            <v>ARSアカウントの作成</v>
          </cell>
        </row>
        <row r="62">
          <cell r="A62">
            <v>21596</v>
          </cell>
          <cell r="J62" t="str">
            <v>【確認依頼】返品受付票作成時のメール送信について</v>
          </cell>
        </row>
        <row r="63">
          <cell r="A63">
            <v>21597</v>
          </cell>
          <cell r="J63" t="str">
            <v>QA環境　SFDCからのI/Fファイルの取込依頼</v>
          </cell>
        </row>
        <row r="64">
          <cell r="A64">
            <v>21598</v>
          </cell>
          <cell r="J64" t="str">
            <v>ARS問い合わせ画面変更依頼</v>
          </cell>
        </row>
        <row r="65">
          <cell r="A65">
            <v>21599</v>
          </cell>
          <cell r="J65" t="str">
            <v>バッチMBOXとの接続エラー</v>
          </cell>
        </row>
        <row r="66">
          <cell r="A66">
            <v>21600</v>
          </cell>
          <cell r="J66" t="str">
            <v xml:space="preserve"> ARS 返品データの調査</v>
          </cell>
        </row>
        <row r="67">
          <cell r="A67">
            <v>21601</v>
          </cell>
          <cell r="J67" t="str">
            <v>バッチMBOXとの接続エラー</v>
          </cell>
        </row>
        <row r="68">
          <cell r="A68">
            <v>21602</v>
          </cell>
          <cell r="J68" t="str">
            <v>JFLOWで申請を送る方法を教えてほしい</v>
          </cell>
        </row>
        <row r="69">
          <cell r="A69">
            <v>21603</v>
          </cell>
          <cell r="J69" t="str">
            <v>VCJQR002の承認プロセス確認について</v>
          </cell>
        </row>
        <row r="70">
          <cell r="A70">
            <v>21604</v>
          </cell>
          <cell r="J70" t="str">
            <v>2019年得意先別AOS,定期便売上データ集計</v>
          </cell>
        </row>
        <row r="71">
          <cell r="A71">
            <v>21605</v>
          </cell>
          <cell r="J71" t="str">
            <v>バーコードフォントの調査</v>
          </cell>
        </row>
        <row r="72">
          <cell r="A72">
            <v>21606</v>
          </cell>
          <cell r="J72" t="str">
            <v>Eagleタスク状況の確認</v>
          </cell>
        </row>
        <row r="73">
          <cell r="A73">
            <v>21607</v>
          </cell>
          <cell r="J73" t="str">
            <v>JJVPro Userの抽出</v>
          </cell>
        </row>
        <row r="74">
          <cell r="A74">
            <v>21608</v>
          </cell>
          <cell r="J74" t="str">
            <v>POS区分についての問い合わせ</v>
          </cell>
        </row>
        <row r="75">
          <cell r="A75">
            <v>21609</v>
          </cell>
          <cell r="J75" t="str">
            <v>POS区分についての問い合わせ</v>
          </cell>
        </row>
        <row r="76">
          <cell r="A76">
            <v>21610</v>
          </cell>
          <cell r="J76" t="str">
            <v>TritonAフラグの新設</v>
          </cell>
        </row>
        <row r="77">
          <cell r="A77">
            <v>21611</v>
          </cell>
          <cell r="J77" t="str">
            <v>高野さんの権限変更</v>
          </cell>
        </row>
        <row r="78">
          <cell r="A78">
            <v>21612</v>
          </cell>
          <cell r="J78" t="str">
            <v>安西さんのStagingアドレス変更</v>
          </cell>
        </row>
        <row r="79">
          <cell r="A79">
            <v>21613</v>
          </cell>
          <cell r="J79" t="str">
            <v>SFDCレポート作成方法</v>
          </cell>
        </row>
        <row r="80">
          <cell r="A80">
            <v>21614</v>
          </cell>
          <cell r="J80" t="str">
            <v>CommunityのTraining</v>
          </cell>
        </row>
        <row r="81">
          <cell r="A81">
            <v>21615</v>
          </cell>
          <cell r="J81" t="str">
            <v>ARSのQA機へのアカウント登録の方法</v>
          </cell>
        </row>
        <row r="82">
          <cell r="A82">
            <v>21616</v>
          </cell>
          <cell r="J82" t="str">
            <v>2020年の祝日カレンダー</v>
          </cell>
        </row>
        <row r="83">
          <cell r="A83">
            <v>21617</v>
          </cell>
          <cell r="J83" t="str">
            <v>DBAT0005.datの位置について</v>
          </cell>
        </row>
        <row r="84">
          <cell r="A84">
            <v>21618</v>
          </cell>
          <cell r="J84" t="str">
            <v>Triton-A(1Dayオアシス乱視)のロット番号の分類コードについて</v>
          </cell>
        </row>
        <row r="85">
          <cell r="A85">
            <v>21619</v>
          </cell>
          <cell r="J85" t="str">
            <v>SFD2ARS USER I/Fの取込失敗</v>
          </cell>
        </row>
        <row r="86">
          <cell r="A86">
            <v>21620</v>
          </cell>
          <cell r="J86" t="str">
            <v>カレンダーの共有方法について</v>
          </cell>
        </row>
        <row r="87">
          <cell r="A87">
            <v>21621</v>
          </cell>
          <cell r="J87" t="str">
            <v>DMSからの品目マスタのローカル品目コードについて</v>
          </cell>
        </row>
        <row r="88">
          <cell r="A88">
            <v>21622</v>
          </cell>
          <cell r="J88" t="str">
            <v>監査対応で返品受付票の施設都合理由の詳細を追加する</v>
          </cell>
        </row>
        <row r="89">
          <cell r="A89">
            <v>21623</v>
          </cell>
          <cell r="J89" t="str">
            <v>DMS2ARS LOT I/Fが失敗</v>
          </cell>
        </row>
        <row r="90">
          <cell r="A90">
            <v>21624</v>
          </cell>
          <cell r="J90" t="str">
            <v>MBOXアカウント作成</v>
          </cell>
        </row>
        <row r="91">
          <cell r="A91">
            <v>21625</v>
          </cell>
          <cell r="J91" t="str">
            <v>Chrome v80の調査</v>
          </cell>
        </row>
        <row r="92">
          <cell r="A92">
            <v>21626</v>
          </cell>
          <cell r="J92" t="str">
            <v>Chrome v80の調査</v>
          </cell>
        </row>
        <row r="93">
          <cell r="A93">
            <v>21627</v>
          </cell>
          <cell r="J93" t="str">
            <v>[J-FLOW] VCJIT004_0002196_ITリクエスト申請(IT Request)【ワークフロー新規登録_得意先紐付け変更申請:隈元量香/笹森ひろみ/角純子】</v>
          </cell>
        </row>
        <row r="94">
          <cell r="A94">
            <v>21628</v>
          </cell>
          <cell r="J94" t="str">
            <v>バートナー店舗抽出(月次)</v>
          </cell>
        </row>
        <row r="95">
          <cell r="A95">
            <v>21629</v>
          </cell>
          <cell r="J95" t="str">
            <v>Sold To MBOX接続エラー</v>
          </cell>
        </row>
        <row r="96">
          <cell r="A96">
            <v>21630</v>
          </cell>
          <cell r="J96" t="str">
            <v>ARSのインシデント　12月</v>
          </cell>
        </row>
        <row r="97">
          <cell r="A97">
            <v>21631</v>
          </cell>
          <cell r="J97" t="str">
            <v>韓さんのアカウント削除</v>
          </cell>
        </row>
        <row r="98">
          <cell r="A98">
            <v>21632</v>
          </cell>
          <cell r="J98" t="str">
            <v>Chatterを一斉投稿したい</v>
          </cell>
        </row>
        <row r="99">
          <cell r="A99">
            <v>21633</v>
          </cell>
          <cell r="J99" t="str">
            <v>1月の担当変更について</v>
          </cell>
        </row>
        <row r="100">
          <cell r="A100">
            <v>21634</v>
          </cell>
          <cell r="J100" t="str">
            <v>ユーザリストビューの提供</v>
          </cell>
        </row>
        <row r="101">
          <cell r="A101">
            <v>21635</v>
          </cell>
          <cell r="J101" t="str">
            <v>RGS承認の権限移譲</v>
          </cell>
        </row>
        <row r="102">
          <cell r="A102">
            <v>21636</v>
          </cell>
          <cell r="J102" t="str">
            <v>Sold To MBOX接続エラー</v>
          </cell>
        </row>
        <row r="103">
          <cell r="A103">
            <v>21637</v>
          </cell>
          <cell r="J103" t="str">
            <v>Sold To ログファイルのスタック</v>
          </cell>
        </row>
        <row r="104">
          <cell r="A104">
            <v>21638</v>
          </cell>
          <cell r="J104" t="str">
            <v>Chatterレポートの問い合わせ</v>
          </cell>
        </row>
        <row r="105">
          <cell r="A105">
            <v>21639</v>
          </cell>
          <cell r="J105" t="str">
            <v>紹介プライオリティの条件</v>
          </cell>
        </row>
        <row r="106">
          <cell r="A106">
            <v>21640</v>
          </cell>
          <cell r="J106" t="str">
            <v>1月の担当変更　ユーザ情報更新</v>
          </cell>
        </row>
        <row r="107">
          <cell r="A107">
            <v>21641</v>
          </cell>
          <cell r="J107" t="str">
            <v>退職されたSIS原田さんのコールログがレポートに反映されない</v>
          </cell>
        </row>
        <row r="108">
          <cell r="A108">
            <v>21642</v>
          </cell>
          <cell r="J108" t="str">
            <v>【Inquiry】Workbook usage dashboardへのアクセス確認</v>
          </cell>
        </row>
        <row r="109">
          <cell r="A109">
            <v>21643</v>
          </cell>
          <cell r="J109" t="str">
            <v>【Inquiry】Tableauの2020年以降の日付が表示されない</v>
          </cell>
        </row>
        <row r="110">
          <cell r="A110">
            <v>21644</v>
          </cell>
          <cell r="J110" t="str">
            <v>DMS品目マスタ追加対応</v>
          </cell>
        </row>
        <row r="111">
          <cell r="A111">
            <v>21645</v>
          </cell>
          <cell r="J111" t="str">
            <v>【Inquiry】以下に関するレポート情報提供
INC000021413069 - Summary of sales between 11/25 - 12/28 are different in SAP and SAP BW</v>
          </cell>
        </row>
        <row r="112">
          <cell r="A112">
            <v>21646</v>
          </cell>
          <cell r="J112" t="str">
            <v>【Inquiry】以下に関するレポート情報提供
INC000021413069 - Summary of sales between 11/25 - 12/28 are different in SAP and SAP BW</v>
          </cell>
        </row>
        <row r="113">
          <cell r="A113">
            <v>21647</v>
          </cell>
          <cell r="J113" t="str">
            <v>【Inquiry】Tableauから店舗単位の売上の抽出依頼</v>
          </cell>
        </row>
        <row r="114">
          <cell r="A114">
            <v>21648</v>
          </cell>
          <cell r="J114" t="str">
            <v>【Inquiry】「VIS-APP-JVC-IT-Users」へのユーザ追加申請依頼</v>
          </cell>
        </row>
        <row r="115">
          <cell r="A115">
            <v>21649</v>
          </cell>
          <cell r="J115" t="str">
            <v>【Inquiry】Tableauからのデータ抽出後のダウンロードデータに関しての調査依頼</v>
          </cell>
        </row>
        <row r="116">
          <cell r="A116">
            <v>21650</v>
          </cell>
          <cell r="J116" t="str">
            <v>【Inquiry】Data Lake Staging（QA）への取込依頼　Customer_DNA、AccountProfile</v>
          </cell>
        </row>
        <row r="117">
          <cell r="A117">
            <v>21651</v>
          </cell>
          <cell r="J117" t="str">
            <v>【Inquiry】VCJ Engine defect - INC000021420718</v>
          </cell>
        </row>
        <row r="118">
          <cell r="A118">
            <v>21652</v>
          </cell>
          <cell r="J118" t="str">
            <v>【Inquiry】JCR- Difference between BW report and BW IF data - INC000020710860</v>
          </cell>
        </row>
        <row r="119">
          <cell r="A119">
            <v>21653</v>
          </cell>
          <cell r="J119" t="str">
            <v>【Inquiry】【ご対応依頼】OAS調光レンズのDX　descriptionとQuantityの数量差異について</v>
          </cell>
        </row>
        <row r="120">
          <cell r="A120">
            <v>21654</v>
          </cell>
          <cell r="J120" t="str">
            <v>【Insident】Panorama　使用不可により、障害アナウンス</v>
          </cell>
        </row>
        <row r="121">
          <cell r="A121">
            <v>21655</v>
          </cell>
          <cell r="J121" t="str">
            <v>【Inquiry】Solace Dashboardに以下のAD Groupのアクセス権の付与依頼</v>
          </cell>
        </row>
        <row r="122">
          <cell r="A122">
            <v>21656</v>
          </cell>
          <cell r="J122" t="str">
            <v>【Inquiry】CDL新テーブルへのアクセス権付依頼</v>
          </cell>
        </row>
        <row r="123">
          <cell r="A123">
            <v>21657</v>
          </cell>
          <cell r="J123" t="str">
            <v>【Inquiry】データ抽出依頼
2019年のAOSと定期便のそれぞれ得意先別の売上情報がほしい</v>
          </cell>
        </row>
        <row r="124">
          <cell r="A124">
            <v>21658</v>
          </cell>
          <cell r="J124" t="str">
            <v>【Inquiry】Demand Generation dashboard で使用しているマニュアルファイル一式の提供依頼</v>
          </cell>
        </row>
        <row r="125">
          <cell r="A125">
            <v>21659</v>
          </cell>
          <cell r="J125" t="str">
            <v>RGS承認の権限移譲</v>
          </cell>
        </row>
        <row r="126">
          <cell r="A126">
            <v>21660</v>
          </cell>
          <cell r="J126" t="str">
            <v>1/31 13時のPOPオーダーについて</v>
          </cell>
        </row>
        <row r="127">
          <cell r="A127">
            <v>21661</v>
          </cell>
          <cell r="J127" t="str">
            <v>DMS2ARS LOT I/Fが失敗</v>
          </cell>
        </row>
        <row r="128">
          <cell r="A128">
            <v>21662</v>
          </cell>
          <cell r="J128" t="str">
            <v>ビジネスルール登録</v>
          </cell>
        </row>
        <row r="129">
          <cell r="A129">
            <v>21663</v>
          </cell>
          <cell r="J129" t="str">
            <v>J-flow権限申請について</v>
          </cell>
        </row>
        <row r="130">
          <cell r="A130">
            <v>21664</v>
          </cell>
          <cell r="J130" t="str">
            <v>海外ユーザ登録及びビジネスルールへの追加</v>
          </cell>
        </row>
        <row r="131">
          <cell r="A131">
            <v>21665</v>
          </cell>
          <cell r="J131" t="str">
            <v>ARS開発スケジュール</v>
          </cell>
        </row>
        <row r="132">
          <cell r="A132">
            <v>21666</v>
          </cell>
          <cell r="J132" t="str">
            <v>ACUVUE定例</v>
          </cell>
        </row>
        <row r="133">
          <cell r="A133">
            <v>21667</v>
          </cell>
          <cell r="J133" t="str">
            <v>Solaceのロットについて</v>
          </cell>
        </row>
        <row r="134">
          <cell r="A134">
            <v>21668</v>
          </cell>
          <cell r="J134" t="str">
            <v>MBOXアカウント登録</v>
          </cell>
        </row>
        <row r="135">
          <cell r="A135">
            <v>21669</v>
          </cell>
          <cell r="J135" t="str">
            <v>AOS誤植</v>
          </cell>
        </row>
        <row r="136">
          <cell r="A136">
            <v>21670</v>
          </cell>
          <cell r="J136" t="str">
            <v>日次CRMアップロードが失敗</v>
          </cell>
        </row>
        <row r="137">
          <cell r="A137">
            <v>21671</v>
          </cell>
          <cell r="J137" t="str">
            <v>DBAT005のTCIへの移管</v>
          </cell>
        </row>
        <row r="138">
          <cell r="A138">
            <v>21672</v>
          </cell>
          <cell r="J138" t="str">
            <v>New incentive report UAT支援</v>
          </cell>
        </row>
        <row r="139">
          <cell r="A139">
            <v>21673</v>
          </cell>
          <cell r="J139" t="str">
            <v>A2Mの購入履歴連携について</v>
          </cell>
        </row>
        <row r="140">
          <cell r="A140">
            <v>21674</v>
          </cell>
          <cell r="J140" t="str">
            <v>テストコード運用開始</v>
          </cell>
        </row>
        <row r="141">
          <cell r="A141">
            <v>21675</v>
          </cell>
          <cell r="J141" t="str">
            <v>SFDCアカウント登録</v>
          </cell>
        </row>
        <row r="142">
          <cell r="A142">
            <v>21676</v>
          </cell>
          <cell r="J142" t="str">
            <v>SFDCアカウント削除</v>
          </cell>
        </row>
        <row r="143">
          <cell r="A143">
            <v>21677</v>
          </cell>
          <cell r="J143" t="str">
            <v>Salesforce mobileの新しいバージョン</v>
          </cell>
        </row>
        <row r="144">
          <cell r="A144">
            <v>21678</v>
          </cell>
          <cell r="J144" t="str">
            <v>VCC得意先　OA調　レポートコンソールでの項目名</v>
          </cell>
        </row>
        <row r="145">
          <cell r="A145">
            <v>21679</v>
          </cell>
          <cell r="J145" t="str">
            <v>30000台の電話番号がININで確認できない</v>
          </cell>
        </row>
        <row r="146">
          <cell r="A146">
            <v>21680</v>
          </cell>
          <cell r="J146" t="str">
            <v>【定期便】初回購入ボーナス付与対象者に抽出されていない人がいる</v>
          </cell>
        </row>
        <row r="147">
          <cell r="A147">
            <v>21681</v>
          </cell>
          <cell r="J147" t="str">
            <v>New incentive report UAT支援</v>
          </cell>
        </row>
        <row r="148">
          <cell r="A148">
            <v>21682</v>
          </cell>
          <cell r="J148" t="str">
            <v>【Other EUS】desktopからlaptopへの機種変更について</v>
          </cell>
        </row>
        <row r="149">
          <cell r="A149">
            <v>21683</v>
          </cell>
          <cell r="J149" t="str">
            <v>Zabbix監視設定変更の依頼</v>
          </cell>
        </row>
        <row r="150">
          <cell r="A150">
            <v>21684</v>
          </cell>
          <cell r="J150" t="str">
            <v>VCC得意先のレポート出力でエラーが発生する</v>
          </cell>
        </row>
        <row r="151">
          <cell r="A151">
            <v>21685</v>
          </cell>
          <cell r="J151" t="str">
            <v>ARS２EGL I/FのMO 90Pフラグについて</v>
          </cell>
        </row>
        <row r="152">
          <cell r="A152">
            <v>21686</v>
          </cell>
          <cell r="J152" t="str">
            <v>ARSアカウントの作成</v>
          </cell>
        </row>
        <row r="153">
          <cell r="A153">
            <v>21687</v>
          </cell>
          <cell r="J153" t="str">
            <v>【確認依頼】ARSエクスポートについて</v>
          </cell>
        </row>
        <row r="154">
          <cell r="A154">
            <v>21688</v>
          </cell>
          <cell r="J154" t="str">
            <v>ARS営業メールアドレス変更</v>
          </cell>
        </row>
        <row r="155">
          <cell r="A155">
            <v>21689</v>
          </cell>
          <cell r="J155" t="str">
            <v>POPキャンセル　建国記念日</v>
          </cell>
        </row>
        <row r="156">
          <cell r="A156">
            <v>21690</v>
          </cell>
          <cell r="J156" t="str">
            <v>ARS KPI 2020/01</v>
          </cell>
        </row>
        <row r="157">
          <cell r="A157">
            <v>21691</v>
          </cell>
          <cell r="J157" t="str">
            <v>【定期便】定期便コードを上書きした場合の注文履歴の表示について</v>
          </cell>
        </row>
        <row r="158">
          <cell r="A158">
            <v>21692</v>
          </cell>
          <cell r="J158" t="str">
            <v>OGSM更新及びタイルのリンク変更</v>
          </cell>
        </row>
        <row r="159">
          <cell r="A159">
            <v>21693</v>
          </cell>
          <cell r="J159" t="str">
            <v>ARS返品受付票作成時のメール送信の条件の変更について</v>
          </cell>
        </row>
        <row r="160">
          <cell r="A160">
            <v>21694</v>
          </cell>
          <cell r="J160" t="str">
            <v>SFDCアカウント変更・登録</v>
          </cell>
        </row>
        <row r="161">
          <cell r="A161">
            <v>21695</v>
          </cell>
          <cell r="J161" t="str">
            <v>ARSとYLC-NET 5Fとのファイル共有方法について</v>
          </cell>
        </row>
        <row r="162">
          <cell r="A162">
            <v>21696</v>
          </cell>
          <cell r="J162" t="str">
            <v>SFDCアカウントの携帯番号の変更</v>
          </cell>
        </row>
        <row r="163">
          <cell r="A163">
            <v>21697</v>
          </cell>
          <cell r="J163" t="str">
            <v>リモートデスクトップ接続権限の確認</v>
          </cell>
        </row>
        <row r="164">
          <cell r="A164">
            <v>21698</v>
          </cell>
          <cell r="J164" t="str">
            <v>【定期便】注文のお知らせメールの箱数が違う</v>
          </cell>
        </row>
        <row r="165">
          <cell r="A165">
            <v>21699</v>
          </cell>
          <cell r="J165" t="str">
            <v>SAP BIアカウント申請</v>
          </cell>
        </row>
        <row r="166">
          <cell r="A166">
            <v>21700</v>
          </cell>
          <cell r="J166" t="str">
            <v>Triton-A/Brand eligibility check Regression test</v>
          </cell>
        </row>
        <row r="167">
          <cell r="A167">
            <v>21701</v>
          </cell>
          <cell r="J167" t="str">
            <v>BCTK005の実行ユーザー変更</v>
          </cell>
        </row>
        <row r="168">
          <cell r="A168">
            <v>21702</v>
          </cell>
          <cell r="J168" t="str">
            <v>ACUVUE管理者サイトID登録</v>
          </cell>
        </row>
        <row r="169">
          <cell r="A169">
            <v>21703</v>
          </cell>
          <cell r="J169" t="str">
            <v>問い合わせ画面に保存ができない</v>
          </cell>
        </row>
        <row r="170">
          <cell r="A170">
            <v>21704</v>
          </cell>
          <cell r="J170" t="str">
            <v>現行環境のOracleDB12.1のサポート期限が来年で切れてしまうため、OracleDB19（最新）のに更新したいとのこと</v>
          </cell>
        </row>
        <row r="171">
          <cell r="A171">
            <v>21705</v>
          </cell>
          <cell r="J171" t="str">
            <v>返品室でSAPに返品入帳される際にはLOT番号も同時に入帳されるのでしょうか？
また、もし返品入帳される際に、LOT番号をSAPに入力されるなら、入帳されたLOT番号をリストとして出力することができるでしょうか？</v>
          </cell>
        </row>
        <row r="172">
          <cell r="A172">
            <v>21706</v>
          </cell>
          <cell r="J172" t="str">
            <v>Copy&amp;Pasteに関わるレポート名の変更</v>
          </cell>
        </row>
        <row r="173">
          <cell r="A173">
            <v>21707</v>
          </cell>
          <cell r="J173" t="str">
            <v>TritonAに関わるキャンペーンについて</v>
          </cell>
        </row>
        <row r="174">
          <cell r="A174">
            <v>21708</v>
          </cell>
          <cell r="J174" t="str">
            <v>Teleサポートの運用について</v>
          </cell>
        </row>
        <row r="175">
          <cell r="A175">
            <v>21709</v>
          </cell>
          <cell r="J175" t="str">
            <v>Chatter投稿数のレポートについて</v>
          </cell>
        </row>
        <row r="176">
          <cell r="A176">
            <v>21710</v>
          </cell>
          <cell r="J176" t="str">
            <v>製品マスタのデコードについて</v>
          </cell>
        </row>
        <row r="177">
          <cell r="A177">
            <v>21711</v>
          </cell>
          <cell r="J177" t="str">
            <v>2/18有効開始のBill toがMBOXへPUTされていない</v>
          </cell>
        </row>
        <row r="178">
          <cell r="A178">
            <v>21712</v>
          </cell>
          <cell r="J178" t="str">
            <v>新野さんのChatter投稿が見られない</v>
          </cell>
        </row>
        <row r="179">
          <cell r="A179">
            <v>21713</v>
          </cell>
          <cell r="J179" t="str">
            <v>Chatterグループの所有者と名称の変更</v>
          </cell>
        </row>
        <row r="180">
          <cell r="A180">
            <v>21714</v>
          </cell>
          <cell r="J180" t="str">
            <v>メール送信履歴確認依頼</v>
          </cell>
        </row>
        <row r="181">
          <cell r="A181">
            <v>21715</v>
          </cell>
          <cell r="J181" t="str">
            <v>Chatter freeアカウント登録</v>
          </cell>
        </row>
        <row r="182">
          <cell r="A182">
            <v>21716</v>
          </cell>
          <cell r="J182" t="str">
            <v>JJVPro Userレポートで安西さんが見れる件数が少ない</v>
          </cell>
        </row>
        <row r="183">
          <cell r="A183">
            <v>21717</v>
          </cell>
          <cell r="J183" t="str">
            <v>Eagle KT</v>
          </cell>
        </row>
        <row r="184">
          <cell r="A184">
            <v>21718</v>
          </cell>
          <cell r="J184" t="str">
            <v>Windowsアカウントパスワード変更</v>
          </cell>
        </row>
        <row r="185">
          <cell r="A185">
            <v>21719</v>
          </cell>
          <cell r="J185" t="str">
            <v>MBOX新規作成について</v>
          </cell>
        </row>
        <row r="186">
          <cell r="A186">
            <v>21720</v>
          </cell>
          <cell r="J186" t="str">
            <v>Chatter投稿の削除について</v>
          </cell>
        </row>
        <row r="187">
          <cell r="A187">
            <v>21721</v>
          </cell>
          <cell r="J187" t="str">
            <v>権限移譲　上田さん⇒大野さん</v>
          </cell>
        </row>
        <row r="188">
          <cell r="A188">
            <v>21722</v>
          </cell>
          <cell r="J188" t="str">
            <v>POP10時分がMBOX未受信</v>
          </cell>
        </row>
        <row r="189">
          <cell r="A189">
            <v>21723</v>
          </cell>
          <cell r="J189" t="str">
            <v>施設案内情報のCopy&amp;Pasteの作成依頼</v>
          </cell>
        </row>
        <row r="190">
          <cell r="A190">
            <v>21724</v>
          </cell>
          <cell r="J190" t="str">
            <v>Chatterグループからの脱退について</v>
          </cell>
        </row>
        <row r="191">
          <cell r="A191">
            <v>21725</v>
          </cell>
          <cell r="J191" t="str">
            <v>MyACUVUE+ Admin toolのアカウント作成</v>
          </cell>
        </row>
        <row r="192">
          <cell r="A192">
            <v>21726</v>
          </cell>
          <cell r="J192" t="str">
            <v>PC機種変更について</v>
          </cell>
        </row>
        <row r="193">
          <cell r="A193">
            <v>21727</v>
          </cell>
          <cell r="J193" t="str">
            <v>【定期便】出荷メールに変数が出力されている</v>
          </cell>
        </row>
        <row r="194">
          <cell r="A194">
            <v>21728</v>
          </cell>
          <cell r="J194" t="str">
            <v>初期在庫の品目マスタの表示文言について</v>
          </cell>
        </row>
        <row r="195">
          <cell r="A195">
            <v>21729</v>
          </cell>
          <cell r="J195" t="str">
            <v>POP21日21時分がMBOX未受信</v>
          </cell>
        </row>
        <row r="196">
          <cell r="A196">
            <v>21730</v>
          </cell>
          <cell r="J196" t="str">
            <v>SFDCアカウント申請方法について</v>
          </cell>
        </row>
        <row r="197">
          <cell r="A197">
            <v>21731</v>
          </cell>
          <cell r="J197" t="str">
            <v>アカウント権限の変更</v>
          </cell>
        </row>
        <row r="198">
          <cell r="A198">
            <v>21732</v>
          </cell>
          <cell r="J198" t="str">
            <v>SFDCのレポートについて</v>
          </cell>
        </row>
        <row r="199">
          <cell r="A199">
            <v>21733</v>
          </cell>
          <cell r="J199" t="str">
            <v>同じACUVUEコードに処方が複数紐づいている</v>
          </cell>
        </row>
        <row r="200">
          <cell r="A200">
            <v>21734</v>
          </cell>
          <cell r="J200" t="str">
            <v>NewGroupNumECPIdImport error</v>
          </cell>
        </row>
        <row r="201">
          <cell r="A201">
            <v>21735</v>
          </cell>
          <cell r="J201" t="str">
            <v>メールアドレス変更</v>
          </cell>
        </row>
        <row r="202">
          <cell r="A202">
            <v>21736</v>
          </cell>
          <cell r="J202" t="str">
            <v>【Inquiry】（要確認）Calendar_d Tableについて
カレンダーマスタに設定されている値が不正。</v>
          </cell>
        </row>
        <row r="203">
          <cell r="A203">
            <v>21737</v>
          </cell>
          <cell r="J203" t="str">
            <v>【Inquiry】Growth Rebate Manegmentについて
■内容
Panorama Growth Rebate Manegment の【ブランチ】でソートする際のリストに新旧ブランチが混在している
■ご確認頂きたいこと
①表示されている【法人毎】の実績に影響がないか
②この状態はいつまで継続するか</v>
          </cell>
        </row>
        <row r="204">
          <cell r="A204">
            <v>21738</v>
          </cell>
          <cell r="J204" t="str">
            <v>【Inquiry】Solace dashboardのドキュメント有無確認</v>
          </cell>
        </row>
        <row r="205">
          <cell r="A205">
            <v>21739</v>
          </cell>
          <cell r="J205" t="str">
            <v>【Inquiry】チケット数の件数確認</v>
          </cell>
        </row>
        <row r="206">
          <cell r="A206">
            <v>21740</v>
          </cell>
          <cell r="J206" t="str">
            <v>【Inquiry】 JVC: Sales Dashboardにアクセス不可</v>
          </cell>
        </row>
        <row r="207">
          <cell r="A207">
            <v>21741</v>
          </cell>
          <cell r="J207" t="str">
            <v>【Inquiry】"Subscription Dashboard" cannot be connected - INC000021636038</v>
          </cell>
        </row>
        <row r="208">
          <cell r="A208">
            <v>21742</v>
          </cell>
          <cell r="J208" t="str">
            <v>【定期便】カードを更新したのにカード更新依頼のメールが来る</v>
          </cell>
        </row>
        <row r="209">
          <cell r="A209">
            <v>21743</v>
          </cell>
          <cell r="J209" t="str">
            <v>AOSの仕様に関する問い合わせ</v>
          </cell>
        </row>
        <row r="210">
          <cell r="A210">
            <v>21744</v>
          </cell>
          <cell r="J210" t="str">
            <v>【コンテンツ更新依頼書送付】【#-----】Epro パワー範囲注記追加【ASAP公開】</v>
          </cell>
        </row>
        <row r="211">
          <cell r="A211">
            <v>21745</v>
          </cell>
          <cell r="J211" t="str">
            <v>Store Hospital レポートと新規Hospitalレポート</v>
          </cell>
        </row>
        <row r="212">
          <cell r="A212">
            <v>21746</v>
          </cell>
          <cell r="J212" t="str">
            <v>削除したデータの件　ゴミ箱のご案内</v>
          </cell>
        </row>
        <row r="213">
          <cell r="A213">
            <v>21747</v>
          </cell>
          <cell r="J213" t="str">
            <v>山口香穂さんのアカウント</v>
          </cell>
        </row>
        <row r="214">
          <cell r="A214">
            <v>21748</v>
          </cell>
          <cell r="J214" t="str">
            <v>2/27有効開始のリカバリー</v>
          </cell>
        </row>
        <row r="215">
          <cell r="A215">
            <v>21749</v>
          </cell>
          <cell r="J215" t="str">
            <v>Store Hospital Junction登録に関する要望</v>
          </cell>
        </row>
        <row r="216">
          <cell r="A216">
            <v>21750</v>
          </cell>
          <cell r="J216" t="str">
            <v>Linuxバージョンアップ</v>
          </cell>
        </row>
        <row r="217">
          <cell r="A217">
            <v>21751</v>
          </cell>
          <cell r="J217" t="str">
            <v>NewGroupNumECPIdImport rror</v>
          </cell>
        </row>
        <row r="218">
          <cell r="A218">
            <v>21752</v>
          </cell>
          <cell r="J218" t="str">
            <v>AcuvueCodeClinicReport error</v>
          </cell>
        </row>
        <row r="219">
          <cell r="A219">
            <v>21753</v>
          </cell>
          <cell r="J219" t="str">
            <v>2/29 10時のPOP</v>
          </cell>
        </row>
        <row r="220">
          <cell r="A220">
            <v>21754</v>
          </cell>
          <cell r="J220" t="str">
            <v>2/28有効開始の新規の初期在庫</v>
          </cell>
        </row>
        <row r="221">
          <cell r="A221">
            <v>21755</v>
          </cell>
          <cell r="J221" t="str">
            <v>【定期便】当月期限のCCでも予約注文は作成されるか？</v>
          </cell>
        </row>
        <row r="222">
          <cell r="A222">
            <v>21756</v>
          </cell>
          <cell r="J222" t="str">
            <v>サマータイム対応</v>
          </cell>
        </row>
        <row r="223">
          <cell r="A223">
            <v>21757</v>
          </cell>
          <cell r="J223" t="str">
            <v>サマータイム対応</v>
          </cell>
        </row>
        <row r="224">
          <cell r="A224">
            <v>21758</v>
          </cell>
          <cell r="J224" t="str">
            <v>バッチエラー</v>
          </cell>
        </row>
        <row r="225">
          <cell r="A225">
            <v>21759</v>
          </cell>
          <cell r="J225" t="str">
            <v>コールログの集計レポートについて</v>
          </cell>
        </row>
        <row r="226">
          <cell r="A226">
            <v>21760</v>
          </cell>
          <cell r="J226" t="str">
            <v>ソフトウェアのインストールについて</v>
          </cell>
        </row>
        <row r="227">
          <cell r="A227">
            <v>21761</v>
          </cell>
          <cell r="J227" t="str">
            <v>PED, PAのSFDCアカウントとコストについて</v>
          </cell>
        </row>
        <row r="228">
          <cell r="A228">
            <v>21762</v>
          </cell>
          <cell r="J228" t="str">
            <v>J-Flowのアサイン作業の引継Meeting</v>
          </cell>
        </row>
        <row r="229">
          <cell r="A229">
            <v>21763</v>
          </cell>
          <cell r="J229" t="str">
            <v>BO設定が戻らなくなってしまった</v>
          </cell>
        </row>
        <row r="230">
          <cell r="A230">
            <v>21764</v>
          </cell>
          <cell r="J230" t="str">
            <v>【コンテンツ更新依頼書送付】【#0001226】Epro マニュアル更新【3/4公開】</v>
          </cell>
        </row>
        <row r="231">
          <cell r="A231">
            <v>21765</v>
          </cell>
          <cell r="J231" t="str">
            <v>パスワードリセット</v>
          </cell>
        </row>
        <row r="232">
          <cell r="A232">
            <v>21766</v>
          </cell>
          <cell r="J232" t="str">
            <v>OS patch用のテストスクリプト作成</v>
          </cell>
        </row>
        <row r="233">
          <cell r="A233">
            <v>21767</v>
          </cell>
          <cell r="J233" t="str">
            <v>新規会員登録用のメールが届かない</v>
          </cell>
        </row>
        <row r="234">
          <cell r="A234">
            <v>21768</v>
          </cell>
          <cell r="J234" t="str">
            <v>payment.acuvue.jnj.co.jpとは？</v>
          </cell>
        </row>
        <row r="235">
          <cell r="A235">
            <v>21769</v>
          </cell>
          <cell r="J235" t="str">
            <v>RGS承認者の変更</v>
          </cell>
        </row>
        <row r="236">
          <cell r="A236">
            <v>21770</v>
          </cell>
          <cell r="J236" t="str">
            <v>【定期便】キャンセルの理由の調査</v>
          </cell>
        </row>
        <row r="237">
          <cell r="A237">
            <v>21771</v>
          </cell>
          <cell r="J237" t="str">
            <v>AOS Admin tool にログインできない</v>
          </cell>
        </row>
        <row r="238">
          <cell r="A238">
            <v>21772</v>
          </cell>
          <cell r="J238" t="str">
            <v>AOS Stageにアクセスできない</v>
          </cell>
        </row>
        <row r="239">
          <cell r="A239">
            <v>21773</v>
          </cell>
          <cell r="J239" t="str">
            <v>MBOX接続障害</v>
          </cell>
        </row>
        <row r="240">
          <cell r="A240">
            <v>21774</v>
          </cell>
          <cell r="J240" t="str">
            <v>POP販促物注文、10時と13時で重複したレコードがある</v>
          </cell>
        </row>
        <row r="241">
          <cell r="A241">
            <v>21775</v>
          </cell>
          <cell r="J241" t="str">
            <v>MBOX接続障害
DMS2ARS LOT</v>
          </cell>
        </row>
        <row r="242">
          <cell r="A242">
            <v>21776</v>
          </cell>
          <cell r="J242" t="str">
            <v>KPI 2月度</v>
          </cell>
        </row>
        <row r="243">
          <cell r="A243">
            <v>21777</v>
          </cell>
          <cell r="J243" t="str">
            <v>Sales orderの送信エラー</v>
          </cell>
        </row>
        <row r="244">
          <cell r="A244">
            <v>21778</v>
          </cell>
          <cell r="J244" t="str">
            <v>価格マスタの送信エラー</v>
          </cell>
        </row>
        <row r="245">
          <cell r="A245">
            <v>21779</v>
          </cell>
          <cell r="J245" t="str">
            <v>Teikibin Delibery orderの抽出</v>
          </cell>
        </row>
        <row r="246">
          <cell r="A246">
            <v>21780</v>
          </cell>
          <cell r="J246" t="str">
            <v>[Other EUS] Teamsの不具合</v>
          </cell>
        </row>
        <row r="247">
          <cell r="A247">
            <v>21781</v>
          </cell>
          <cell r="J247" t="str">
            <v>[J-flow]海外ユーザの登録・ナレッジビュー権限付与</v>
          </cell>
        </row>
        <row r="248">
          <cell r="A248">
            <v>21782</v>
          </cell>
          <cell r="J248" t="str">
            <v>CIA監査指摘対応</v>
          </cell>
        </row>
        <row r="249">
          <cell r="A249">
            <v>21783</v>
          </cell>
          <cell r="J249" t="str">
            <v>WBS作成</v>
          </cell>
        </row>
        <row r="250">
          <cell r="A250">
            <v>21784</v>
          </cell>
          <cell r="J250" t="str">
            <v>AOSの施設マスタ取得元変更</v>
          </cell>
        </row>
        <row r="251">
          <cell r="A251">
            <v>21785</v>
          </cell>
          <cell r="J251" t="str">
            <v>Triton-A対応 UAT支援</v>
          </cell>
        </row>
        <row r="252">
          <cell r="A252">
            <v>21786</v>
          </cell>
          <cell r="J252" t="str">
            <v>【定期便】発行/使用コード数</v>
          </cell>
        </row>
        <row r="253">
          <cell r="A253">
            <v>21787</v>
          </cell>
          <cell r="J253" t="str">
            <v>[J-flow]ビジネスルール変更</v>
          </cell>
        </row>
        <row r="254">
          <cell r="A254">
            <v>21788</v>
          </cell>
          <cell r="J254" t="str">
            <v>[Intranet]「Board」ページの改修依頼</v>
          </cell>
        </row>
        <row r="255">
          <cell r="A255">
            <v>21789</v>
          </cell>
          <cell r="J255" t="str">
            <v>[Other EUS] 検証機の貸し出し</v>
          </cell>
        </row>
        <row r="256">
          <cell r="A256">
            <v>21790</v>
          </cell>
          <cell r="J256" t="str">
            <v>[J-flow]ビジネスルール変更</v>
          </cell>
        </row>
        <row r="257">
          <cell r="A257">
            <v>21791</v>
          </cell>
          <cell r="J257" t="str">
            <v>MyAcuvue1.0管理者アカウントの削除依頼</v>
          </cell>
        </row>
        <row r="258">
          <cell r="A258">
            <v>21792</v>
          </cell>
          <cell r="J258" t="str">
            <v>Triton-A対応 UAT支援</v>
          </cell>
        </row>
        <row r="259">
          <cell r="A259">
            <v>21793</v>
          </cell>
          <cell r="J259" t="str">
            <v>脆弱性診断のスケジュールについて</v>
          </cell>
        </row>
        <row r="260">
          <cell r="A260">
            <v>21794</v>
          </cell>
          <cell r="J260" t="str">
            <v>.comサイトから取り扱い店検索へのリンクについて</v>
          </cell>
        </row>
        <row r="261">
          <cell r="A261">
            <v>21795</v>
          </cell>
          <cell r="J261" t="str">
            <v>SAP BWのバージョンアップ</v>
          </cell>
        </row>
        <row r="262">
          <cell r="A262">
            <v>21796</v>
          </cell>
          <cell r="J262" t="str">
            <v>AOStoSFMCのファイルが連携されていない</v>
          </cell>
        </row>
        <row r="263">
          <cell r="A263">
            <v>21797</v>
          </cell>
          <cell r="J263" t="str">
            <v>日次CRMバッチが失敗</v>
          </cell>
        </row>
        <row r="264">
          <cell r="A264">
            <v>21798</v>
          </cell>
          <cell r="J264" t="str">
            <v>SFDCキャンペーンフラグと小野包装との連携</v>
          </cell>
        </row>
        <row r="265">
          <cell r="A265">
            <v>21799</v>
          </cell>
          <cell r="J265" t="str">
            <v>AOS新規登録時のメールが受信できない</v>
          </cell>
        </row>
        <row r="266">
          <cell r="A266">
            <v>21800</v>
          </cell>
          <cell r="J266" t="str">
            <v>【定期便】クレジットカード更新手続きメールについて</v>
          </cell>
        </row>
        <row r="267">
          <cell r="A267">
            <v>21801</v>
          </cell>
          <cell r="J267" t="str">
            <v>Q1 WLS,DB patch</v>
          </cell>
        </row>
        <row r="268">
          <cell r="A268">
            <v>21802</v>
          </cell>
          <cell r="J268" t="str">
            <v>ACMS利用規約更新</v>
          </cell>
        </row>
        <row r="269">
          <cell r="A269">
            <v>21803</v>
          </cell>
          <cell r="J269" t="str">
            <v>Transaction数調査</v>
          </cell>
        </row>
        <row r="270">
          <cell r="A270">
            <v>21686</v>
          </cell>
          <cell r="J270" t="str">
            <v>ARSアカウントの作成</v>
          </cell>
        </row>
        <row r="271">
          <cell r="A271">
            <v>21805</v>
          </cell>
          <cell r="J271" t="str">
            <v>SFDC IF エラー</v>
          </cell>
        </row>
        <row r="272">
          <cell r="A272">
            <v>21806</v>
          </cell>
          <cell r="J272" t="str">
            <v>クリオス IF エラー</v>
          </cell>
        </row>
        <row r="273">
          <cell r="A273">
            <v>21807</v>
          </cell>
          <cell r="J273" t="str">
            <v>NewGroupNumECPIdImport error</v>
          </cell>
        </row>
        <row r="274">
          <cell r="A274">
            <v>21808</v>
          </cell>
          <cell r="J274" t="str">
            <v>【定期便】左目が選択できなかった</v>
          </cell>
        </row>
        <row r="275">
          <cell r="A275">
            <v>21809</v>
          </cell>
          <cell r="J275" t="str">
            <v>Eagle個人情報の種類・件数の調査</v>
          </cell>
        </row>
        <row r="276">
          <cell r="A276">
            <v>21810</v>
          </cell>
          <cell r="J276" t="str">
            <v>共有PCの設定</v>
          </cell>
        </row>
        <row r="277">
          <cell r="A277">
            <v>21811</v>
          </cell>
          <cell r="J277" t="str">
            <v>ARS障害再発防止</v>
          </cell>
        </row>
        <row r="278">
          <cell r="A278">
            <v>21812</v>
          </cell>
          <cell r="J278" t="str">
            <v>状況コードが表示されていない</v>
          </cell>
        </row>
        <row r="279">
          <cell r="A279">
            <v>21813</v>
          </cell>
          <cell r="J279" t="str">
            <v>AOSのI/F検討</v>
          </cell>
        </row>
        <row r="280">
          <cell r="A280">
            <v>21814</v>
          </cell>
          <cell r="J280" t="str">
            <v>ライセンスについての質問</v>
          </cell>
        </row>
        <row r="281">
          <cell r="A281">
            <v>21815</v>
          </cell>
          <cell r="J281" t="str">
            <v>得意先コードの重複</v>
          </cell>
        </row>
        <row r="282">
          <cell r="A282">
            <v>21816</v>
          </cell>
          <cell r="J282" t="str">
            <v>ZZ KPIのレコードタイプ追加</v>
          </cell>
        </row>
        <row r="283">
          <cell r="A283">
            <v>21817</v>
          </cell>
          <cell r="J283" t="str">
            <v>塩澤さんのアカウント</v>
          </cell>
        </row>
        <row r="284">
          <cell r="A284">
            <v>21818</v>
          </cell>
          <cell r="J284" t="str">
            <v>キャンペーンフラグの小野包装へのI/Fの可否について</v>
          </cell>
        </row>
        <row r="285">
          <cell r="A285">
            <v>21819</v>
          </cell>
          <cell r="J285" t="str">
            <v>POPオーダー　3/13 21時分</v>
          </cell>
        </row>
        <row r="286">
          <cell r="A286">
            <v>21820</v>
          </cell>
          <cell r="J286" t="str">
            <v>POPオーダーのキャンセル　春分の日</v>
          </cell>
        </row>
        <row r="287">
          <cell r="A287">
            <v>21821</v>
          </cell>
          <cell r="J287" t="str">
            <v>上田さんの権限移譲</v>
          </cell>
        </row>
        <row r="288">
          <cell r="A288">
            <v>21822</v>
          </cell>
          <cell r="J288" t="str">
            <v>Region追加の影響</v>
          </cell>
        </row>
        <row r="289">
          <cell r="A289">
            <v>21823</v>
          </cell>
          <cell r="J289" t="str">
            <v>初期在庫　品目マスタのメンテナンス</v>
          </cell>
        </row>
        <row r="290">
          <cell r="A290">
            <v>21824</v>
          </cell>
          <cell r="J290" t="str">
            <v>Sold To I/Fの再発防止策について</v>
          </cell>
        </row>
        <row r="291">
          <cell r="A291">
            <v>21825</v>
          </cell>
          <cell r="J291" t="str">
            <v>処方医療情報レポート</v>
          </cell>
        </row>
        <row r="292">
          <cell r="A292">
            <v>21826</v>
          </cell>
          <cell r="J292" t="str">
            <v>POPオーダー　3/21 10時分</v>
          </cell>
        </row>
        <row r="293">
          <cell r="A293">
            <v>21827</v>
          </cell>
          <cell r="J293" t="str">
            <v>Coachingのデータメンテ</v>
          </cell>
        </row>
        <row r="294">
          <cell r="A294">
            <v>21828</v>
          </cell>
          <cell r="J294" t="str">
            <v>BA Meeting</v>
          </cell>
        </row>
        <row r="295">
          <cell r="A295">
            <v>21829</v>
          </cell>
          <cell r="J295" t="str">
            <v>奈緒子さんの引継</v>
          </cell>
        </row>
        <row r="296">
          <cell r="A296">
            <v>21830</v>
          </cell>
          <cell r="J296" t="str">
            <v>POPオーダー　3/30 10時分</v>
          </cell>
        </row>
        <row r="297">
          <cell r="A297">
            <v>21831</v>
          </cell>
          <cell r="J297" t="str">
            <v>【Inquiry】POS dashboardとGrowth rebate managementの数値の差異について</v>
          </cell>
        </row>
        <row r="298">
          <cell r="A298">
            <v>21832</v>
          </cell>
          <cell r="J298" t="str">
            <v>【Inquiry】【Sales Dashboard】ファイル名「SFE_CC_DF10P5P」でPayer/Outlet毎の構成の方法によって合計値が異なる
■内容
【Sales Dashboard】ファイル名「SFE_CC_DF10P5P」でPayer/Outlet毎の構成の方法によって合計値が異なる
■ご確認頂きたいこと
	添付エクセルファイル内のby Payer/by Outletで合計値が異なる理由
	どちらの内容を正と判断していいのか</v>
          </cell>
        </row>
        <row r="299">
          <cell r="A299">
            <v>21833</v>
          </cell>
          <cell r="J299" t="str">
            <v>【Inquiry】 Panoramaにアクセス不可</v>
          </cell>
        </row>
        <row r="300">
          <cell r="A300">
            <v>21834</v>
          </cell>
          <cell r="J300" t="str">
            <v>【Insident】Panorama3/11のデータが更新されていない INC000021773582</v>
          </cell>
        </row>
        <row r="301">
          <cell r="A301">
            <v>21835</v>
          </cell>
          <cell r="J301" t="str">
            <v>【Inquiry】 Panoramaにアクセス不可(名古屋/小林宏さん)</v>
          </cell>
        </row>
        <row r="302">
          <cell r="A302">
            <v>21836</v>
          </cell>
          <cell r="J302" t="str">
            <v>【Inquiry】 松本直子さんの承認グループからの削除依頼</v>
          </cell>
        </row>
        <row r="303">
          <cell r="A303">
            <v>21837</v>
          </cell>
          <cell r="J303" t="str">
            <v>【Inquiry】 POSデータ未反映分のUPLOAD確認
土井さんからの再UPLOAD依頼分の確認</v>
          </cell>
        </row>
        <row r="304">
          <cell r="A304">
            <v>21838</v>
          </cell>
          <cell r="J304" t="str">
            <v>Panorama　KT資料作成、KT</v>
          </cell>
        </row>
        <row r="305">
          <cell r="A305">
            <v>21839</v>
          </cell>
          <cell r="J305" t="str">
            <v>【Inquiry】 Triton Aのトランザクションが発生しているか？
Triton Aのトランザクションがレポートに表示されているか？</v>
          </cell>
        </row>
        <row r="306">
          <cell r="A306">
            <v>21840</v>
          </cell>
          <cell r="J306" t="str">
            <v>SFDCキャンペーンフラグ</v>
          </cell>
        </row>
        <row r="307">
          <cell r="A307">
            <v>21841</v>
          </cell>
          <cell r="J307" t="str">
            <v>SA:Lens出荷状況において、Item Name１の表示文字数を増やすことは可能か？</v>
          </cell>
        </row>
        <row r="308">
          <cell r="A308">
            <v>21842</v>
          </cell>
          <cell r="J308" t="str">
            <v>Titon-A関連お役立ちサイト更新</v>
          </cell>
        </row>
        <row r="309">
          <cell r="A309">
            <v>21843</v>
          </cell>
          <cell r="J309" t="str">
            <v>【Eagle】コンテンツ更新依頼（お客様直送サービス 利用規約の更新）</v>
          </cell>
        </row>
        <row r="310">
          <cell r="A310">
            <v>21844</v>
          </cell>
          <cell r="J310" t="str">
            <v>consumer profileのcreated_dateについて</v>
          </cell>
        </row>
        <row r="311">
          <cell r="A311">
            <v>21845</v>
          </cell>
          <cell r="J311" t="str">
            <v>問い合わせ画面にて、保存ボタンを押下するとポップアップが発生する</v>
          </cell>
        </row>
        <row r="312">
          <cell r="A312">
            <v>21846</v>
          </cell>
          <cell r="J312" t="str">
            <v>問い合わせ画面にて新規リクエストが作成、または変更できない</v>
          </cell>
        </row>
        <row r="313">
          <cell r="A313">
            <v>21847</v>
          </cell>
          <cell r="J313" t="str">
            <v>Canvasの担当者について</v>
          </cell>
        </row>
        <row r="314">
          <cell r="A314">
            <v>21848</v>
          </cell>
          <cell r="J314" t="str">
            <v>得意先レポートの質問</v>
          </cell>
        </row>
        <row r="315">
          <cell r="A315">
            <v>21849</v>
          </cell>
          <cell r="J315" t="str">
            <v>EMA,、FJYの他システム連携がされていない</v>
          </cell>
        </row>
        <row r="316">
          <cell r="A316">
            <v>21850</v>
          </cell>
          <cell r="J316" t="str">
            <v>新製品対応リリース障害</v>
          </cell>
        </row>
        <row r="317">
          <cell r="A317">
            <v>21851</v>
          </cell>
          <cell r="J317" t="str">
            <v>取扱店検索の不具合</v>
          </cell>
        </row>
        <row r="318">
          <cell r="A318">
            <v>21852</v>
          </cell>
          <cell r="J318" t="str">
            <v>[J-Flow]ビルトイングループの追加</v>
          </cell>
        </row>
        <row r="319">
          <cell r="A319">
            <v>21853</v>
          </cell>
          <cell r="J319" t="str">
            <v>WebTrackerのサーバー変更依頼</v>
          </cell>
        </row>
        <row r="320">
          <cell r="A320">
            <v>21854</v>
          </cell>
          <cell r="J320" t="str">
            <v>DL-VISJPTO-SFE-GSに海老澤さんを追加</v>
          </cell>
        </row>
        <row r="321">
          <cell r="A321">
            <v>21855</v>
          </cell>
          <cell r="J321" t="str">
            <v>SFDC_JPN_ETL_ACCOUNT.csvの取り込みファイルなし</v>
          </cell>
        </row>
        <row r="322">
          <cell r="A322">
            <v>21856</v>
          </cell>
          <cell r="J322" t="str">
            <v>SFDC_JPN_ETL_ACCOUNT.csvがMBOXにpushされていない</v>
          </cell>
        </row>
        <row r="323">
          <cell r="A323">
            <v>21857</v>
          </cell>
          <cell r="J323" t="str">
            <v>ARS KPI 2020</v>
          </cell>
        </row>
        <row r="324">
          <cell r="A324">
            <v>21858</v>
          </cell>
          <cell r="J324" t="str">
            <v>MBOX-QAのアカウントについて</v>
          </cell>
        </row>
        <row r="325">
          <cell r="A325">
            <v>21859</v>
          </cell>
          <cell r="J325" t="str">
            <v>ロット一覧が文字化けする</v>
          </cell>
        </row>
        <row r="326">
          <cell r="A326">
            <v>21860</v>
          </cell>
          <cell r="J326" t="str">
            <v>ドキュメント作成</v>
          </cell>
        </row>
        <row r="327">
          <cell r="A327">
            <v>21861</v>
          </cell>
          <cell r="J327" t="str">
            <v>今日登録した販促物をSFDCで注文したい</v>
          </cell>
        </row>
        <row r="328">
          <cell r="A328">
            <v>21862</v>
          </cell>
          <cell r="J328" t="str">
            <v>SFDC新規得意先コードの重複【87190】</v>
          </cell>
        </row>
        <row r="329">
          <cell r="A329">
            <v>21863</v>
          </cell>
          <cell r="J329" t="str">
            <v>セキュリティアップデートに関する事前告知期間について</v>
          </cell>
        </row>
        <row r="330">
          <cell r="A330">
            <v>21864</v>
          </cell>
          <cell r="J330" t="str">
            <v>ARS開発予定の提供</v>
          </cell>
        </row>
        <row r="331">
          <cell r="A331">
            <v>21865</v>
          </cell>
          <cell r="J331" t="str">
            <v>【データファイルが存在しない】SFDC⇒ARS</v>
          </cell>
        </row>
        <row r="332">
          <cell r="A332">
            <v>21866</v>
          </cell>
          <cell r="J332" t="str">
            <v>AcuvueCodeClinicReport error</v>
          </cell>
        </row>
        <row r="333">
          <cell r="A333">
            <v>21867</v>
          </cell>
          <cell r="J333" t="str">
            <v>価格マスタ取り込みエラー</v>
          </cell>
        </row>
        <row r="334">
          <cell r="A334">
            <v>21868</v>
          </cell>
          <cell r="J334" t="str">
            <v>会員ステータス取得時にエラー発生</v>
          </cell>
        </row>
        <row r="335">
          <cell r="A335">
            <v>21869</v>
          </cell>
          <cell r="J335" t="str">
            <v>6月受注開始の施設について</v>
          </cell>
        </row>
        <row r="336">
          <cell r="A336">
            <v>21870</v>
          </cell>
          <cell r="J336" t="str">
            <v>ARS画面のゆがみについて</v>
          </cell>
        </row>
        <row r="337">
          <cell r="A337">
            <v>21871</v>
          </cell>
          <cell r="J337" t="str">
            <v>MyAcuvue+のテストスクリプト作成/テスト実施</v>
          </cell>
        </row>
        <row r="338">
          <cell r="A338">
            <v>21872</v>
          </cell>
          <cell r="J338" t="str">
            <v>Store Locatorのテストスクリプト作成/テスト実施</v>
          </cell>
        </row>
        <row r="339">
          <cell r="A339">
            <v>21873</v>
          </cell>
          <cell r="J339" t="str">
            <v>アイケアパートナー加盟店の一覧抽出</v>
          </cell>
        </row>
        <row r="340">
          <cell r="A340">
            <v>21874</v>
          </cell>
          <cell r="J340" t="str">
            <v>環境構築およびドキュメント作成</v>
          </cell>
        </row>
        <row r="341">
          <cell r="A341">
            <v>21875</v>
          </cell>
          <cell r="J341" t="str">
            <v>定常作業KTおよびドキュメント作成</v>
          </cell>
        </row>
        <row r="342">
          <cell r="A342">
            <v>21876</v>
          </cell>
          <cell r="J342" t="str">
            <v>非定常作業KTおよびドキュメント作成</v>
          </cell>
        </row>
        <row r="343">
          <cell r="A343">
            <v>21877</v>
          </cell>
          <cell r="J343" t="str">
            <v>【Inquiry】SPA HANAのMigration対応</v>
          </cell>
        </row>
        <row r="344">
          <cell r="A344">
            <v>21878</v>
          </cell>
          <cell r="J344" t="str">
            <v>【Inquiry】DLの宛先変更対応</v>
          </cell>
        </row>
        <row r="345">
          <cell r="A345">
            <v>21879</v>
          </cell>
          <cell r="J345" t="str">
            <v>ITリクエスト申請(IT Request)【承認者追加】</v>
          </cell>
        </row>
        <row r="346">
          <cell r="A346">
            <v>21880</v>
          </cell>
          <cell r="J346" t="str">
            <v>AC/定期便コード期限別の累計集計</v>
          </cell>
        </row>
        <row r="347">
          <cell r="A347">
            <v>21881</v>
          </cell>
          <cell r="J347" t="str">
            <v>会員ステータス取得時にエラー発生</v>
          </cell>
        </row>
        <row r="348">
          <cell r="A348">
            <v>21882</v>
          </cell>
          <cell r="J348" t="str">
            <v>【定期便】価格差異</v>
          </cell>
        </row>
        <row r="349">
          <cell r="A349">
            <v>21883</v>
          </cell>
          <cell r="J349" t="str">
            <v>特殊文字使用禁止の注記削除</v>
          </cell>
        </row>
        <row r="350">
          <cell r="A350">
            <v>21884</v>
          </cell>
          <cell r="J350" t="str">
            <v>[Incident]DCPDデータ未連携</v>
          </cell>
        </row>
        <row r="351">
          <cell r="A351">
            <v>21885</v>
          </cell>
          <cell r="J351" t="str">
            <v>Triton-A対応 障害アナウンス</v>
          </cell>
        </row>
        <row r="352">
          <cell r="A352">
            <v>21886</v>
          </cell>
          <cell r="J352" t="str">
            <v>[Incident]DailyCheckにてDxの差異発生</v>
          </cell>
        </row>
        <row r="353">
          <cell r="A353">
            <v>21887</v>
          </cell>
          <cell r="J353" t="str">
            <v>Cybersourceのセキュリティキーが切れた</v>
          </cell>
        </row>
        <row r="354">
          <cell r="A354">
            <v>21888</v>
          </cell>
          <cell r="J354" t="str">
            <v>Eagle Overviewの作成</v>
          </cell>
        </row>
        <row r="355">
          <cell r="A355">
            <v>21889</v>
          </cell>
          <cell r="J355" t="str">
            <v>AOS DB接続の手続き</v>
          </cell>
        </row>
        <row r="356">
          <cell r="A356">
            <v>21890</v>
          </cell>
          <cell r="J356" t="str">
            <v>代引き店舗の設定について</v>
          </cell>
        </row>
        <row r="357">
          <cell r="A357">
            <v>21891</v>
          </cell>
          <cell r="J357" t="str">
            <v>[Incident]POSデータ取り込み依頼</v>
          </cell>
        </row>
        <row r="358">
          <cell r="A358">
            <v>21892</v>
          </cell>
          <cell r="J358" t="str">
            <v>SFDCチームのMBOX関連依頼</v>
          </cell>
        </row>
        <row r="359">
          <cell r="A359">
            <v>21893</v>
          </cell>
          <cell r="J359" t="str">
            <v>【データファイルが存在しない】SFDC⇒ARS</v>
          </cell>
        </row>
        <row r="360">
          <cell r="A360">
            <v>21894</v>
          </cell>
          <cell r="J360" t="str">
            <v>【データファイルが存在しない】SFDC⇒ARS</v>
          </cell>
        </row>
        <row r="361">
          <cell r="A361">
            <v>21895</v>
          </cell>
          <cell r="J361" t="str">
            <v>【データファイルが存在しない】SFDC⇒ARS</v>
          </cell>
        </row>
        <row r="362">
          <cell r="A362">
            <v>21896</v>
          </cell>
          <cell r="J362" t="str">
            <v>MBOXメンテナンスの影響確認</v>
          </cell>
        </row>
        <row r="363">
          <cell r="A363">
            <v>21897</v>
          </cell>
          <cell r="J363" t="str">
            <v>絹村さんにメールが届かない</v>
          </cell>
        </row>
        <row r="364">
          <cell r="A364">
            <v>21898</v>
          </cell>
          <cell r="J364" t="str">
            <v>施設マスタ再取り込み</v>
          </cell>
        </row>
        <row r="365">
          <cell r="A365">
            <v>21899</v>
          </cell>
          <cell r="J365" t="str">
            <v>施設マスタ再取り込み</v>
          </cell>
        </row>
        <row r="366">
          <cell r="A366">
            <v>21900</v>
          </cell>
          <cell r="J366" t="str">
            <v>施設マスタ再取り込み</v>
          </cell>
        </row>
        <row r="367">
          <cell r="A367">
            <v>21901</v>
          </cell>
          <cell r="J367" t="str">
            <v>[Incident]Subscription DashboardのVIEW障害対応</v>
          </cell>
        </row>
        <row r="368">
          <cell r="A368">
            <v>21902</v>
          </cell>
          <cell r="J368" t="str">
            <v>WM2ARS_CSTMSバッチのImportエラー</v>
          </cell>
        </row>
        <row r="369">
          <cell r="A369">
            <v>21903</v>
          </cell>
          <cell r="J369" t="str">
            <v>ITリクエスト申請(IT Request)【ワークフロー新規/変更依頼　※J-FLOW　VCJAM008】</v>
          </cell>
        </row>
        <row r="370">
          <cell r="A370">
            <v>21904</v>
          </cell>
          <cell r="J370" t="str">
            <v>Notice of removing Samba packages from VPCx Prod  servers</v>
          </cell>
        </row>
        <row r="371">
          <cell r="A371">
            <v>21905</v>
          </cell>
          <cell r="J371" t="str">
            <v>【定期便】不正アクセスがないか確認してほしい</v>
          </cell>
        </row>
        <row r="372">
          <cell r="A372">
            <v>21906</v>
          </cell>
          <cell r="J372" t="str">
            <v>AWSAJUSGP1139のTAOグループ変更</v>
          </cell>
        </row>
        <row r="373">
          <cell r="A373">
            <v>21907</v>
          </cell>
          <cell r="J373" t="str">
            <v>AOS Royalty Reportの宛先変更</v>
          </cell>
        </row>
        <row r="374">
          <cell r="A374">
            <v>21908</v>
          </cell>
          <cell r="J374" t="str">
            <v>aos_daily_export-202003162002.zipがロードエラー</v>
          </cell>
        </row>
        <row r="375">
          <cell r="A375">
            <v>21909</v>
          </cell>
          <cell r="J375" t="str">
            <v xml:space="preserve"> AcuvueCodeClinicReportエラー</v>
          </cell>
        </row>
        <row r="376">
          <cell r="A376">
            <v>21910</v>
          </cell>
          <cell r="J376" t="str">
            <v>Update FTP interface to a compliance interface protocol</v>
          </cell>
        </row>
        <row r="377">
          <cell r="A377">
            <v>21911</v>
          </cell>
          <cell r="J377" t="str">
            <v>お役立ちサイトの更新依頼</v>
          </cell>
        </row>
        <row r="378">
          <cell r="A378">
            <v>21912</v>
          </cell>
          <cell r="J378" t="str">
            <v>SAP BWのアナウンスに対しての問合せ対応</v>
          </cell>
        </row>
        <row r="379">
          <cell r="A379">
            <v>21913</v>
          </cell>
          <cell r="J379" t="str">
            <v>SAP BWのアナウンスに対しての問合せ対応</v>
          </cell>
        </row>
        <row r="380">
          <cell r="A380">
            <v>21914</v>
          </cell>
          <cell r="J380" t="str">
            <v>SAP BWのアナウンスに対しての問合せ対応</v>
          </cell>
        </row>
        <row r="381">
          <cell r="A381">
            <v>21915</v>
          </cell>
          <cell r="J381" t="str">
            <v>カレンダーマスタについて</v>
          </cell>
        </row>
        <row r="382">
          <cell r="A382">
            <v>21916</v>
          </cell>
          <cell r="J382" t="str">
            <v>SFCDKT</v>
          </cell>
        </row>
        <row r="383">
          <cell r="A383">
            <v>21917</v>
          </cell>
          <cell r="J383" t="str">
            <v>テストデータ作成依頼</v>
          </cell>
        </row>
        <row r="384">
          <cell r="A384">
            <v>21918</v>
          </cell>
          <cell r="J384" t="str">
            <v>Eagle Enhancementリスト作成</v>
          </cell>
        </row>
        <row r="385">
          <cell r="A385">
            <v>21919</v>
          </cell>
          <cell r="J385" t="str">
            <v>RHEL OS Patching Schedule || ITSSGSGLSP01863</v>
          </cell>
        </row>
        <row r="386">
          <cell r="A386">
            <v>21920</v>
          </cell>
          <cell r="J386" t="str">
            <v>新規MBOX project作成依頼</v>
          </cell>
        </row>
        <row r="387">
          <cell r="A387">
            <v>21921</v>
          </cell>
          <cell r="J387" t="str">
            <v>MBOX Admin権限付与</v>
          </cell>
        </row>
        <row r="388">
          <cell r="A388">
            <v>21922</v>
          </cell>
          <cell r="J388" t="str">
            <v>ナレッジビューの修正について</v>
          </cell>
        </row>
        <row r="389">
          <cell r="A389">
            <v>21923</v>
          </cell>
          <cell r="J389" t="str">
            <v>【データファイルが存在しない】SFDC⇒ARS</v>
          </cell>
        </row>
        <row r="390">
          <cell r="A390">
            <v>21924</v>
          </cell>
          <cell r="J390" t="str">
            <v>ITリクエスト申請(IT Request)【J-flowおよびSFDCアカウント申請　登録 Ping Ping / 削除 Yin Lan】</v>
          </cell>
        </row>
        <row r="391">
          <cell r="A391">
            <v>21925</v>
          </cell>
          <cell r="J391" t="str">
            <v>Eagle Stageテストデータ作成依頼</v>
          </cell>
        </row>
        <row r="392">
          <cell r="A392">
            <v>21926</v>
          </cell>
          <cell r="J392" t="str">
            <v>[Incident] Sales Review Sheet 年表示</v>
          </cell>
        </row>
        <row r="393">
          <cell r="A393">
            <v>21927</v>
          </cell>
          <cell r="J393" t="str">
            <v>欠損AOSデータ</v>
          </cell>
        </row>
        <row r="394">
          <cell r="A394">
            <v>21928</v>
          </cell>
          <cell r="J394" t="str">
            <v>定期便のデータについて</v>
          </cell>
        </row>
        <row r="395">
          <cell r="A395">
            <v>21929</v>
          </cell>
          <cell r="J395" t="str">
            <v>Oracleバージョンアップ</v>
          </cell>
        </row>
        <row r="396">
          <cell r="A396">
            <v>21930</v>
          </cell>
          <cell r="J396" t="str">
            <v>AOS, 定期便関連のデータ定義について</v>
          </cell>
        </row>
        <row r="397">
          <cell r="A397">
            <v>21931</v>
          </cell>
          <cell r="J397" t="str">
            <v>[Other EUS] Office365のライセンスについて</v>
          </cell>
        </row>
        <row r="398">
          <cell r="A398">
            <v>21932</v>
          </cell>
          <cell r="J398" t="str">
            <v>[JFLOW]申請書の自動却下についてお問い合わせ</v>
          </cell>
        </row>
        <row r="399">
          <cell r="A399">
            <v>21933</v>
          </cell>
          <cell r="J399" t="str">
            <v>[JFLOW]中澤大起さんのビジネスルールの登録</v>
          </cell>
        </row>
        <row r="400">
          <cell r="A400">
            <v>21934</v>
          </cell>
          <cell r="J400" t="str">
            <v>[JFLOW]QA環境へのアクセス権限依頼</v>
          </cell>
        </row>
        <row r="401">
          <cell r="A401">
            <v>21935</v>
          </cell>
          <cell r="J401" t="str">
            <v>[JFLOW]ワークフローの強制完了</v>
          </cell>
        </row>
        <row r="402">
          <cell r="A402">
            <v>21936</v>
          </cell>
          <cell r="J402" t="str">
            <v>[イントラ]Supportページの更新</v>
          </cell>
        </row>
        <row r="403">
          <cell r="A403">
            <v>21937</v>
          </cell>
          <cell r="J403" t="str">
            <v>[JFLOW]申請書VCJFI006について</v>
          </cell>
        </row>
        <row r="404">
          <cell r="A404">
            <v>21938</v>
          </cell>
          <cell r="J404" t="str">
            <v>[JFLOW]VCJAM008の印刷設定</v>
          </cell>
        </row>
        <row r="405">
          <cell r="A405">
            <v>21939</v>
          </cell>
          <cell r="J405" t="str">
            <v>[JFLOW]ビジネスルールの登録</v>
          </cell>
        </row>
        <row r="406">
          <cell r="A406">
            <v>21940</v>
          </cell>
          <cell r="J406" t="str">
            <v>定期便トップ画面が表示されない</v>
          </cell>
        </row>
        <row r="407">
          <cell r="A407">
            <v>21941</v>
          </cell>
          <cell r="J407" t="str">
            <v>[Incident]DCPDデータ未連携</v>
          </cell>
        </row>
        <row r="408">
          <cell r="A408">
            <v>21942</v>
          </cell>
          <cell r="J408" t="str">
            <v>BOIバッチエラー</v>
          </cell>
        </row>
        <row r="409">
          <cell r="A409">
            <v>21943</v>
          </cell>
          <cell r="J409" t="str">
            <v>INVバッチエラー</v>
          </cell>
        </row>
        <row r="410">
          <cell r="A410">
            <v>21944</v>
          </cell>
          <cell r="J410" t="str">
            <v>価格マスタ取り込みエラー</v>
          </cell>
        </row>
        <row r="411">
          <cell r="A411">
            <v>21945</v>
          </cell>
          <cell r="J411" t="str">
            <v>日次csvアップロードエラー</v>
          </cell>
        </row>
        <row r="412">
          <cell r="A412">
            <v>21946</v>
          </cell>
          <cell r="J412" t="str">
            <v>eCommerce人数抽出依頼</v>
          </cell>
        </row>
        <row r="413">
          <cell r="A413">
            <v>21947</v>
          </cell>
          <cell r="J413" t="str">
            <v>キクチ様の注文不可</v>
          </cell>
        </row>
        <row r="414">
          <cell r="A414">
            <v>21948</v>
          </cell>
          <cell r="J414" t="str">
            <v>CONSUMER_ACUVUE_CODE_RXのrx_idに関する問い合わせ</v>
          </cell>
        </row>
        <row r="415">
          <cell r="A415">
            <v>21949</v>
          </cell>
          <cell r="J415" t="str">
            <v>CEH開発</v>
          </cell>
        </row>
        <row r="416">
          <cell r="A416">
            <v>21950</v>
          </cell>
          <cell r="J416" t="str">
            <v>SFDC_JPN_ETL_ACCOUNT importエラー</v>
          </cell>
        </row>
        <row r="417">
          <cell r="A417">
            <v>21951</v>
          </cell>
          <cell r="J417" t="str">
            <v>店舗画像が表示されない件</v>
          </cell>
        </row>
        <row r="418">
          <cell r="A418">
            <v>21952</v>
          </cell>
          <cell r="J418" t="str">
            <v>ITリクエスト申請(IT Request)【Request for JFLOW Access for 3 Users】</v>
          </cell>
        </row>
        <row r="419">
          <cell r="A419">
            <v>21953</v>
          </cell>
          <cell r="J419" t="str">
            <v>SFDC_JPN_ETL_USER MBOX接続エラー</v>
          </cell>
        </row>
        <row r="420">
          <cell r="A420">
            <v>21954</v>
          </cell>
          <cell r="J420" t="str">
            <v>テストデータ作成依頼</v>
          </cell>
        </row>
        <row r="421">
          <cell r="A421">
            <v>21955</v>
          </cell>
          <cell r="J421" t="str">
            <v>Paymetricエラー対応依頼</v>
          </cell>
        </row>
        <row r="422">
          <cell r="A422">
            <v>21956</v>
          </cell>
          <cell r="J422" t="str">
            <v>MBOXフォルダ作成・権限付与</v>
          </cell>
        </row>
        <row r="423">
          <cell r="A423">
            <v>21957</v>
          </cell>
          <cell r="J423" t="str">
            <v>MBOXフォルダ作成・権限付与</v>
          </cell>
        </row>
        <row r="424">
          <cell r="A424">
            <v>21958</v>
          </cell>
          <cell r="J424" t="str">
            <v>新製品Protean2</v>
          </cell>
        </row>
        <row r="425">
          <cell r="A425">
            <v>21959</v>
          </cell>
          <cell r="J425" t="str">
            <v>データ抽出依頼</v>
          </cell>
        </row>
        <row r="426">
          <cell r="A426">
            <v>21960</v>
          </cell>
          <cell r="J426" t="str">
            <v>データ抽出依頼</v>
          </cell>
        </row>
        <row r="427">
          <cell r="A427">
            <v>21961</v>
          </cell>
          <cell r="J427" t="str">
            <v>取扱い店検索管理画面アカウント作成</v>
          </cell>
        </row>
        <row r="428">
          <cell r="A428">
            <v>21962</v>
          </cell>
          <cell r="J428" t="str">
            <v>データ抽出依頼</v>
          </cell>
        </row>
        <row r="429">
          <cell r="A429">
            <v>21963</v>
          </cell>
          <cell r="J429" t="str">
            <v>CONSUMER_ACUVUE_CODE_RXのrx_idがNull</v>
          </cell>
        </row>
        <row r="430">
          <cell r="A430">
            <v>21964</v>
          </cell>
          <cell r="J430" t="str">
            <v>subus_detaiとorder_headerの関連性について</v>
          </cell>
        </row>
        <row r="431">
          <cell r="A431">
            <v>21965</v>
          </cell>
          <cell r="J431" t="str">
            <v>3/15のacuvue_code欠損</v>
          </cell>
        </row>
        <row r="432">
          <cell r="A432">
            <v>21966</v>
          </cell>
          <cell r="J432" t="str">
            <v>canceledのフォーマット不正</v>
          </cell>
        </row>
        <row r="433">
          <cell r="A433">
            <v>21967</v>
          </cell>
          <cell r="J433" t="str">
            <v>status_3のデータが不正更新</v>
          </cell>
        </row>
        <row r="434">
          <cell r="A434">
            <v>21968</v>
          </cell>
          <cell r="J434" t="str">
            <v>AOS連携の定常チェック検討</v>
          </cell>
        </row>
        <row r="435">
          <cell r="A435">
            <v>21969</v>
          </cell>
          <cell r="J435" t="str">
            <v>Paymetricエラー</v>
          </cell>
        </row>
        <row r="436">
          <cell r="A436">
            <v>21970</v>
          </cell>
          <cell r="J436" t="str">
            <v>NewGroupNumECPIdImport error</v>
          </cell>
        </row>
        <row r="437">
          <cell r="A437">
            <v>21971</v>
          </cell>
          <cell r="J437" t="str">
            <v>価格マスタ取り込みエラー</v>
          </cell>
        </row>
        <row r="438">
          <cell r="A438">
            <v>21972</v>
          </cell>
          <cell r="J438" t="str">
            <v>ACUVUE DEV DBについて</v>
          </cell>
        </row>
        <row r="439">
          <cell r="A439">
            <v>21973</v>
          </cell>
          <cell r="J439" t="str">
            <v>ACUVUE CODEについて</v>
          </cell>
        </row>
        <row r="440">
          <cell r="A440">
            <v>21974</v>
          </cell>
          <cell r="J440" t="str">
            <v>Marketing Cloud　FTP仕様変更について</v>
          </cell>
        </row>
        <row r="441">
          <cell r="A441">
            <v>21975</v>
          </cell>
          <cell r="J441" t="str">
            <v>ARS overview作成</v>
          </cell>
        </row>
        <row r="442">
          <cell r="A442">
            <v>21976</v>
          </cell>
          <cell r="J442" t="str">
            <v>e-proお知らせの新規登録ができない</v>
          </cell>
        </row>
        <row r="443">
          <cell r="A443">
            <v>21977</v>
          </cell>
          <cell r="J443" t="str">
            <v>Protean2新製品対応</v>
          </cell>
        </row>
        <row r="444">
          <cell r="A444">
            <v>21978</v>
          </cell>
          <cell r="J444" t="str">
            <v>MyAcuvue連携障害</v>
          </cell>
        </row>
        <row r="445">
          <cell r="A445">
            <v>21979</v>
          </cell>
          <cell r="J445" t="str">
            <v>VCJIT004_0002275_ITリクエスト申請(IT Request)【Request for JFLOW Access for 3 Users】</v>
          </cell>
        </row>
        <row r="446">
          <cell r="A446">
            <v>21980</v>
          </cell>
          <cell r="J446" t="str">
            <v>SFDC_JPN_ETL_USER インポートエラー</v>
          </cell>
        </row>
        <row r="447">
          <cell r="A447">
            <v>21981</v>
          </cell>
          <cell r="J447" t="str">
            <v>WM2ARS_CSTMSインポートエラー</v>
          </cell>
        </row>
        <row r="448">
          <cell r="A448">
            <v>21982</v>
          </cell>
          <cell r="J448" t="str">
            <v>WM2ARS_CSTMSインポートエラー</v>
          </cell>
        </row>
        <row r="449">
          <cell r="A449">
            <v>21983</v>
          </cell>
          <cell r="J449" t="str">
            <v>ITリクエスト申請(IT Request)【ワークフロー新規/変更依頼_DBA顧客マスタメンテナンス申請】</v>
          </cell>
        </row>
        <row r="450">
          <cell r="A450">
            <v>21984</v>
          </cell>
          <cell r="J450" t="str">
            <v>AMO J-Flow新規WorkFlow開発</v>
          </cell>
        </row>
        <row r="451">
          <cell r="A451">
            <v>21985</v>
          </cell>
          <cell r="J451" t="str">
            <v>NewGroupNumECPIdImport error</v>
          </cell>
        </row>
        <row r="452">
          <cell r="A452">
            <v>21986</v>
          </cell>
          <cell r="J452" t="str">
            <v>証明書更新確認</v>
          </cell>
        </row>
        <row r="453">
          <cell r="A453">
            <v>21987</v>
          </cell>
          <cell r="J453" t="str">
            <v>e-eyes.pro.jpがCloudflareに属していない</v>
          </cell>
        </row>
        <row r="454">
          <cell r="A454">
            <v>21988</v>
          </cell>
          <cell r="J454" t="str">
            <v>ARSアカウントのパスワードがわからない</v>
          </cell>
        </row>
        <row r="455">
          <cell r="A455">
            <v>21989</v>
          </cell>
          <cell r="J455" t="str">
            <v>ARSアカウントのパスワードがわからない</v>
          </cell>
        </row>
        <row r="456">
          <cell r="A456">
            <v>21990</v>
          </cell>
          <cell r="J456" t="str">
            <v>ARSアカウントのパスワードがわからない</v>
          </cell>
        </row>
        <row r="457">
          <cell r="A457">
            <v>21991</v>
          </cell>
          <cell r="J457" t="str">
            <v>ARS上でのProtean2新製品対応</v>
          </cell>
        </row>
        <row r="458">
          <cell r="A458">
            <v>21992</v>
          </cell>
          <cell r="J458" t="str">
            <v>本番環境で地図が表示されない件</v>
          </cell>
        </row>
        <row r="459">
          <cell r="A459">
            <v>21993</v>
          </cell>
          <cell r="J459" t="str">
            <v>海外ユーザ登録及びビジネスルールへの追加</v>
          </cell>
        </row>
        <row r="460">
          <cell r="A460">
            <v>21994</v>
          </cell>
          <cell r="J460" t="str">
            <v>ARS棚卸作業</v>
          </cell>
        </row>
        <row r="461">
          <cell r="A461">
            <v>21995</v>
          </cell>
          <cell r="J461" t="str">
            <v>本番環境で地図が表示されない件</v>
          </cell>
        </row>
        <row r="462">
          <cell r="A462">
            <v>21996</v>
          </cell>
          <cell r="J462" t="str">
            <v>ナレッジビューの抽出箇所の変更</v>
          </cell>
        </row>
        <row r="463">
          <cell r="A463">
            <v>21997</v>
          </cell>
          <cell r="J463" t="str">
            <v>海外ユーザのJFLOWユーザ登録、ビジネスルール追加</v>
          </cell>
        </row>
        <row r="464">
          <cell r="A464">
            <v>21998</v>
          </cell>
          <cell r="J464" t="str">
            <v>取扱い店検索の縮尺変更依頼</v>
          </cell>
        </row>
        <row r="465">
          <cell r="A465">
            <v>21999</v>
          </cell>
          <cell r="J465" t="str">
            <v>Web管理ツール_ID削除</v>
          </cell>
        </row>
        <row r="466">
          <cell r="A466">
            <v>22000</v>
          </cell>
          <cell r="J466" t="str">
            <v>AOStoSFMCのファイルが連携されていない</v>
          </cell>
        </row>
        <row r="467">
          <cell r="A467">
            <v>22001</v>
          </cell>
          <cell r="J467" t="str">
            <v>COVID-19アイコンの追加</v>
          </cell>
        </row>
        <row r="468">
          <cell r="A468">
            <v>22002</v>
          </cell>
          <cell r="J468" t="str">
            <v>お使いのスタンドアロンPC with Win XPの調査について</v>
          </cell>
        </row>
        <row r="469">
          <cell r="A469">
            <v>22003</v>
          </cell>
          <cell r="J469" t="str">
            <v>J-FLOW　顧客マスタメンテナンスについて</v>
          </cell>
        </row>
        <row r="470">
          <cell r="A470">
            <v>22004</v>
          </cell>
          <cell r="J470" t="str">
            <v>販促物の取り下げ</v>
          </cell>
        </row>
        <row r="471">
          <cell r="A471">
            <v>22005</v>
          </cell>
          <cell r="J471" t="str">
            <v>定期便レポート</v>
          </cell>
        </row>
        <row r="472">
          <cell r="A472">
            <v>22006</v>
          </cell>
          <cell r="J472" t="str">
            <v>Contact from Cognos technical team</v>
          </cell>
        </row>
        <row r="473">
          <cell r="A473">
            <v>22007</v>
          </cell>
          <cell r="J473" t="str">
            <v>リダイレクト管理システムのbasic認証パスワードについて</v>
          </cell>
        </row>
        <row r="474">
          <cell r="A474">
            <v>22008</v>
          </cell>
          <cell r="J474" t="str">
            <v>ナレッジビュー権限の申請</v>
          </cell>
        </row>
        <row r="475">
          <cell r="A475">
            <v>22009</v>
          </cell>
          <cell r="J475" t="str">
            <v>Importバッチのエラーについての調査</v>
          </cell>
        </row>
        <row r="476">
          <cell r="A476">
            <v>22010</v>
          </cell>
          <cell r="J476" t="str">
            <v>[Incident]CustomerData未連携</v>
          </cell>
        </row>
        <row r="477">
          <cell r="A477">
            <v>22011</v>
          </cell>
          <cell r="J477" t="str">
            <v>[Incident]SalesData未連携</v>
          </cell>
        </row>
        <row r="478">
          <cell r="A478">
            <v>22012</v>
          </cell>
          <cell r="J478" t="str">
            <v>[Incident]AOSD障害による未連携Data</v>
          </cell>
        </row>
        <row r="479">
          <cell r="A479">
            <v>22013</v>
          </cell>
          <cell r="J479" t="str">
            <v>[Inquiry] AOSのMBOX接続先確認</v>
          </cell>
        </row>
        <row r="480">
          <cell r="A480">
            <v>22014</v>
          </cell>
          <cell r="J480" t="str">
            <v>[CR] BIのInterface精査</v>
          </cell>
        </row>
        <row r="481">
          <cell r="A481">
            <v>22015</v>
          </cell>
          <cell r="J481" t="str">
            <v>【ARS】Tele-Approachフラグ
ARSのTele-Approachフラグの選択肢を増やしてほしい</v>
          </cell>
        </row>
        <row r="482">
          <cell r="A482">
            <v>22016</v>
          </cell>
          <cell r="J482" t="str">
            <v>[定期便]定期便コードを登録しようとすると500エラーになる</v>
          </cell>
        </row>
        <row r="483">
          <cell r="A483">
            <v>22017</v>
          </cell>
          <cell r="J483" t="str">
            <v>UAT支援</v>
          </cell>
        </row>
        <row r="484">
          <cell r="A484">
            <v>22018</v>
          </cell>
          <cell r="J484" t="str">
            <v>イーエムエーよりI/Fファイルの未受信報告</v>
          </cell>
        </row>
        <row r="485">
          <cell r="A485">
            <v>22019</v>
          </cell>
          <cell r="J485" t="str">
            <v>ACUVUEコード発行</v>
          </cell>
        </row>
        <row r="486">
          <cell r="A486">
            <v>22020</v>
          </cell>
          <cell r="J486" t="str">
            <v>Marketing Cloud　FTP仕様変更のテスト</v>
          </cell>
        </row>
        <row r="487">
          <cell r="A487">
            <v>22021</v>
          </cell>
          <cell r="J487" t="str">
            <v>MyACUVUE1.0管理画面使用状況の確認</v>
          </cell>
        </row>
        <row r="488">
          <cell r="A488">
            <v>22022</v>
          </cell>
          <cell r="J488" t="str">
            <v>アキュビューQA機外部ベンダーアクセスアカウントのパスワード変更</v>
          </cell>
        </row>
        <row r="489">
          <cell r="A489">
            <v>22023</v>
          </cell>
          <cell r="J489" t="str">
            <v>MA+のロットマスタ取り込み失敗について</v>
          </cell>
        </row>
        <row r="490">
          <cell r="A490">
            <v>22024</v>
          </cell>
          <cell r="J490" t="str">
            <v>データ抽出依頼</v>
          </cell>
        </row>
        <row r="491">
          <cell r="A491">
            <v>22025</v>
          </cell>
          <cell r="J491" t="str">
            <v>データ抽出依頼</v>
          </cell>
        </row>
        <row r="492">
          <cell r="A492">
            <v>22026</v>
          </cell>
          <cell r="J492" t="str">
            <v>[定期便]BI向けレポート不備</v>
          </cell>
        </row>
        <row r="493">
          <cell r="A493">
            <v>22027</v>
          </cell>
          <cell r="J493" t="str">
            <v>[定期便]BI向けレポート不備</v>
          </cell>
        </row>
        <row r="494">
          <cell r="A494">
            <v>22028</v>
          </cell>
          <cell r="J494" t="str">
            <v>[SR]AOSデータ抽出</v>
          </cell>
        </row>
        <row r="495">
          <cell r="A495">
            <v>22029</v>
          </cell>
          <cell r="J495" t="str">
            <v>AMO J-Flow新規WorkFlow開発サポート</v>
          </cell>
        </row>
        <row r="496">
          <cell r="A496">
            <v>22030</v>
          </cell>
          <cell r="J496" t="str">
            <v>[Incident] SUBS_DETAILデータ未連携</v>
          </cell>
        </row>
        <row r="497">
          <cell r="A497">
            <v>22031</v>
          </cell>
          <cell r="J497" t="str">
            <v>バッチテストデータ</v>
          </cell>
        </row>
        <row r="498">
          <cell r="A498">
            <v>22032</v>
          </cell>
          <cell r="J498" t="str">
            <v>Eproの請求データやロット番号等の表示について</v>
          </cell>
        </row>
        <row r="499">
          <cell r="A499">
            <v>22033</v>
          </cell>
          <cell r="J499" t="str">
            <v>[定期便]UAT支援</v>
          </cell>
        </row>
        <row r="500">
          <cell r="A500">
            <v>22034</v>
          </cell>
          <cell r="J500" t="str">
            <v>Eagle マンスリーデータについて</v>
          </cell>
        </row>
        <row r="501">
          <cell r="A501">
            <v>22035</v>
          </cell>
          <cell r="J501" t="str">
            <v>ネコポス対応について</v>
          </cell>
        </row>
        <row r="502">
          <cell r="A502">
            <v>22036</v>
          </cell>
          <cell r="J502" t="str">
            <v>[Inquiry]AOSのIFファイルのS3格納場所の確認</v>
          </cell>
        </row>
        <row r="503">
          <cell r="A503">
            <v>22037</v>
          </cell>
          <cell r="J503" t="str">
            <v>[Incident] SUBS_DETAILデータ未連携</v>
          </cell>
        </row>
        <row r="504">
          <cell r="A504">
            <v>22038</v>
          </cell>
          <cell r="J504" t="str">
            <v>[Incident] FSMCIFファイル未作成</v>
          </cell>
        </row>
        <row r="505">
          <cell r="A505">
            <v>22039</v>
          </cell>
          <cell r="J505" t="str">
            <v>Appsflyer Data Locker対応</v>
          </cell>
        </row>
        <row r="506">
          <cell r="A506">
            <v>22040</v>
          </cell>
          <cell r="J506" t="str">
            <v>ETL処理一覧の作成</v>
          </cell>
        </row>
        <row r="507">
          <cell r="A507">
            <v>22041</v>
          </cell>
          <cell r="J507" t="str">
            <v>[Incident] Acquire_user_Target未取込</v>
          </cell>
        </row>
        <row r="508">
          <cell r="A508">
            <v>22042</v>
          </cell>
          <cell r="J508" t="str">
            <v>[SR] カレンダーマスター作成</v>
          </cell>
        </row>
        <row r="509">
          <cell r="A509">
            <v>22043</v>
          </cell>
          <cell r="J509" t="str">
            <v>WM2ARS_CSTMSバッチのImportエラー</v>
          </cell>
        </row>
        <row r="510">
          <cell r="A510">
            <v>22044</v>
          </cell>
          <cell r="J510" t="str">
            <v>Incentiv連携監視</v>
          </cell>
        </row>
        <row r="511">
          <cell r="A511">
            <v>22045</v>
          </cell>
          <cell r="J511" t="str">
            <v>MBOX操作手順書更新</v>
          </cell>
        </row>
        <row r="512">
          <cell r="A512">
            <v>22046</v>
          </cell>
          <cell r="J512" t="str">
            <v>[定期便] ID・PWの自動登録について</v>
          </cell>
        </row>
        <row r="513">
          <cell r="A513">
            <v>22047</v>
          </cell>
          <cell r="J513" t="str">
            <v>アキュビューユーザーガイドブックの差し替え</v>
          </cell>
        </row>
        <row r="514">
          <cell r="A514">
            <v>22048</v>
          </cell>
          <cell r="J514" t="str">
            <v>不正なパラメータによるアクセスエラー</v>
          </cell>
        </row>
        <row r="515">
          <cell r="A515">
            <v>22049</v>
          </cell>
          <cell r="J515" t="str">
            <v>NewGroupNumECPIdImport error</v>
          </cell>
        </row>
        <row r="516">
          <cell r="A516">
            <v>22050</v>
          </cell>
          <cell r="J516" t="str">
            <v>得意先申請のエラーについて</v>
          </cell>
        </row>
        <row r="517">
          <cell r="A517">
            <v>22051</v>
          </cell>
          <cell r="J517" t="str">
            <v>新規得意先申請時の編集不可について</v>
          </cell>
        </row>
        <row r="518">
          <cell r="A518">
            <v>22052</v>
          </cell>
          <cell r="J518" t="str">
            <v>Chatter freeアカウントについて</v>
          </cell>
        </row>
        <row r="519">
          <cell r="A519">
            <v>22053</v>
          </cell>
          <cell r="J519" t="str">
            <v>使用できなくなったCopy&amp;Pasteの確認および修正</v>
          </cell>
        </row>
        <row r="520">
          <cell r="A520">
            <v>22054</v>
          </cell>
          <cell r="J520" t="str">
            <v>Chatter投稿数のレポートについて</v>
          </cell>
        </row>
        <row r="521">
          <cell r="A521">
            <v>22055</v>
          </cell>
          <cell r="J521" t="str">
            <v>Chatter投稿数について</v>
          </cell>
        </row>
        <row r="522">
          <cell r="A522">
            <v>22056</v>
          </cell>
          <cell r="J522" t="str">
            <v>POP Orderにおいて連携されていないデータが存在している</v>
          </cell>
        </row>
        <row r="523">
          <cell r="A523">
            <v>22057</v>
          </cell>
          <cell r="J523" t="str">
            <v>訪問に関するレポートについて</v>
          </cell>
        </row>
        <row r="524">
          <cell r="A524">
            <v>22058</v>
          </cell>
          <cell r="J524" t="str">
            <v>アイオプトおまかせプラン→AOSの流出について</v>
          </cell>
        </row>
        <row r="525">
          <cell r="A525">
            <v>22059</v>
          </cell>
          <cell r="J525" t="str">
            <v>SAPへの注文再送</v>
          </cell>
        </row>
        <row r="526">
          <cell r="A526">
            <v>22060</v>
          </cell>
          <cell r="J526" t="str">
            <v>ダウンロード後に保存できない</v>
          </cell>
        </row>
        <row r="527">
          <cell r="A527">
            <v>22061</v>
          </cell>
          <cell r="J527" t="str">
            <v>日本語名称のほかに英語名称の項目を追加</v>
          </cell>
        </row>
        <row r="528">
          <cell r="A528">
            <v>22062</v>
          </cell>
          <cell r="J528" t="str">
            <v>Salesorder error</v>
          </cell>
        </row>
        <row r="529">
          <cell r="A529">
            <v>22063</v>
          </cell>
          <cell r="J529" t="str">
            <v xml:space="preserve">sendmail error: </v>
          </cell>
        </row>
        <row r="530">
          <cell r="A530">
            <v>22064</v>
          </cell>
          <cell r="J530" t="str">
            <v>Paymetric security key発行(本番)</v>
          </cell>
        </row>
        <row r="531">
          <cell r="A531">
            <v>22065</v>
          </cell>
          <cell r="J531" t="str">
            <v>[Inquery] SAPとtableauの金額差異について</v>
          </cell>
        </row>
        <row r="532">
          <cell r="A532">
            <v>22066</v>
          </cell>
          <cell r="J532" t="str">
            <v>Control-M権限</v>
          </cell>
        </row>
        <row r="533">
          <cell r="A533">
            <v>22067</v>
          </cell>
          <cell r="J533" t="str">
            <v>MyAcuvueのMonthly JOBの停止確認</v>
          </cell>
        </row>
        <row r="534">
          <cell r="A534">
            <v>22068</v>
          </cell>
          <cell r="J534" t="str">
            <v>[Inquery] SFDCの訪問フラグ</v>
          </cell>
        </row>
        <row r="535">
          <cell r="A535">
            <v>22069</v>
          </cell>
          <cell r="J535" t="str">
            <v>[Inquery] カレンダーマスタの稼働日について</v>
          </cell>
        </row>
        <row r="536">
          <cell r="A536">
            <v>22070</v>
          </cell>
          <cell r="J536" t="str">
            <v>[Incident] SUBS_DETAILデータ未連携(7/6)</v>
          </cell>
        </row>
        <row r="537">
          <cell r="A537">
            <v>22071</v>
          </cell>
          <cell r="J537" t="str">
            <v>ARS Oracleバージョンアップ</v>
          </cell>
        </row>
        <row r="538">
          <cell r="A538">
            <v>22072</v>
          </cell>
          <cell r="J538" t="str">
            <v>AOS/JELS was down due to DB storage is full</v>
          </cell>
        </row>
        <row r="539">
          <cell r="A539">
            <v>22073</v>
          </cell>
          <cell r="J539" t="str">
            <v>送料設定不備</v>
          </cell>
        </row>
        <row r="540">
          <cell r="A540">
            <v>22074</v>
          </cell>
          <cell r="J540" t="str">
            <v>DBアカウント登録</v>
          </cell>
        </row>
        <row r="541">
          <cell r="A541">
            <v>22075</v>
          </cell>
          <cell r="J541" t="str">
            <v>[Incident] SUBS_DETAILデータ未連携(7/9)</v>
          </cell>
        </row>
        <row r="542">
          <cell r="A542">
            <v>22076</v>
          </cell>
          <cell r="J542" t="str">
            <v>[Incident] SFMC未作成</v>
          </cell>
        </row>
        <row r="543">
          <cell r="A543">
            <v>22077</v>
          </cell>
          <cell r="J543" t="str">
            <v>第三者のマイページ画面が表示された</v>
          </cell>
        </row>
        <row r="544">
          <cell r="A544">
            <v>22078</v>
          </cell>
          <cell r="J544" t="str">
            <v>返品受付票画面のレポート出力について</v>
          </cell>
        </row>
        <row r="545">
          <cell r="A545">
            <v>22079</v>
          </cell>
          <cell r="J545" t="str">
            <v>Paymetric error</v>
          </cell>
        </row>
        <row r="546">
          <cell r="A546">
            <v>22080</v>
          </cell>
          <cell r="J546" t="str">
            <v>MBOXアカウント作成</v>
          </cell>
        </row>
        <row r="547">
          <cell r="A547">
            <v>22081</v>
          </cell>
          <cell r="J547" t="str">
            <v>DL作成・アラートメール宛先変更依頼</v>
          </cell>
        </row>
        <row r="548">
          <cell r="A548">
            <v>22082</v>
          </cell>
          <cell r="J548" t="str">
            <v>AOS返品伝票のステータスがおかしい</v>
          </cell>
        </row>
        <row r="549">
          <cell r="A549">
            <v>22083</v>
          </cell>
          <cell r="J549" t="str">
            <v>AOS日次チェック</v>
          </cell>
        </row>
        <row r="550">
          <cell r="A550">
            <v>22084</v>
          </cell>
          <cell r="J550" t="str">
            <v>[Incident] Salesデータ未連携</v>
          </cell>
        </row>
        <row r="551">
          <cell r="A551">
            <v>22085</v>
          </cell>
          <cell r="J551" t="str">
            <v>SubscriptionDashbaordのデータ抽出</v>
          </cell>
        </row>
        <row r="552">
          <cell r="A552">
            <v>22086</v>
          </cell>
          <cell r="J552" t="str">
            <v>[CR] EST_SHIP_CHARGE項目追加</v>
          </cell>
        </row>
        <row r="553">
          <cell r="A553">
            <v>22087</v>
          </cell>
          <cell r="J553" t="str">
            <v>ブランドマスタと品目マスタのJOINについて</v>
          </cell>
        </row>
        <row r="554">
          <cell r="A554">
            <v>22088</v>
          </cell>
          <cell r="J554" t="str">
            <v>[Inquery] 不明なchange freeze requestについて</v>
          </cell>
        </row>
        <row r="555">
          <cell r="A555">
            <v>22089</v>
          </cell>
          <cell r="J555" t="str">
            <v>WM2ARS_CSTMSバッチのImportエラー</v>
          </cell>
        </row>
        <row r="556">
          <cell r="A556">
            <v>22090</v>
          </cell>
          <cell r="J556" t="str">
            <v>購入時と異なるクレカが登録されている場合に返品による返金は可能か？</v>
          </cell>
        </row>
        <row r="557">
          <cell r="A557">
            <v>22091</v>
          </cell>
          <cell r="J557" t="str">
            <v>E-proお客様情報削除操作時のエラーメッセージについて</v>
          </cell>
        </row>
        <row r="558">
          <cell r="A558">
            <v>22092</v>
          </cell>
          <cell r="J558" t="str">
            <v>BI向けレポート不備</v>
          </cell>
        </row>
        <row r="559">
          <cell r="A559">
            <v>22093</v>
          </cell>
          <cell r="J559" t="str">
            <v>新リージョン創設に伴うMaster変更による影響範囲の確認</v>
          </cell>
        </row>
        <row r="560">
          <cell r="A560">
            <v>22094</v>
          </cell>
          <cell r="J560" t="str">
            <v>[Incident] SFMC未連携(7/20)</v>
          </cell>
        </row>
        <row r="561">
          <cell r="A561">
            <v>22095</v>
          </cell>
          <cell r="J561" t="str">
            <v>[Weekly Mtg] Analytics Weekly</v>
          </cell>
        </row>
        <row r="562">
          <cell r="A562">
            <v>22096</v>
          </cell>
          <cell r="J562" t="str">
            <v>Skywalker MBoX related issue</v>
          </cell>
        </row>
        <row r="563">
          <cell r="A563">
            <v>22097</v>
          </cell>
          <cell r="J563" t="str">
            <v>Cloudflare outage</v>
          </cell>
        </row>
        <row r="564">
          <cell r="A564">
            <v>22098</v>
          </cell>
          <cell r="J564" t="str">
            <v xml:space="preserve">Modification Request for Tableau Report </v>
          </cell>
        </row>
        <row r="565">
          <cell r="A565">
            <v>22099</v>
          </cell>
          <cell r="J565" t="str">
            <v>SFMC障害連絡について</v>
          </cell>
        </row>
        <row r="566">
          <cell r="A566">
            <v>22100</v>
          </cell>
          <cell r="J566" t="str">
            <v>定業作業自動化について</v>
          </cell>
        </row>
        <row r="567">
          <cell r="A567">
            <v>22101</v>
          </cell>
          <cell r="J567" t="str">
            <v xml:space="preserve">ARSアカウントの登録依頼
</v>
          </cell>
        </row>
        <row r="568">
          <cell r="A568">
            <v>22102</v>
          </cell>
          <cell r="J568" t="str">
            <v>Talendの処理のロジック変更</v>
          </cell>
        </row>
        <row r="569">
          <cell r="A569">
            <v>22103</v>
          </cell>
          <cell r="J569" t="str">
            <v>Callオブジェクトの検証について</v>
          </cell>
        </row>
        <row r="570">
          <cell r="A570">
            <v>22104</v>
          </cell>
          <cell r="J570" t="str">
            <v>Initial Stock Orderのメールが届いていない</v>
          </cell>
        </row>
        <row r="571">
          <cell r="A571">
            <v>22105</v>
          </cell>
          <cell r="J571" t="str">
            <v>SFDCアカウント申請内容の詳細確認</v>
          </cell>
        </row>
        <row r="572">
          <cell r="A572">
            <v>22106</v>
          </cell>
          <cell r="J572" t="str">
            <v>レコードタイプStaffおよび職種Drの情報について</v>
          </cell>
        </row>
        <row r="573">
          <cell r="A573">
            <v>22107</v>
          </cell>
          <cell r="J573" t="str">
            <v>訪問禁止フラグについて</v>
          </cell>
        </row>
        <row r="574">
          <cell r="A574">
            <v>22108</v>
          </cell>
          <cell r="J574" t="str">
            <v>SFDCのデータ連携タイミングについて</v>
          </cell>
        </row>
        <row r="575">
          <cell r="A575">
            <v>22109</v>
          </cell>
          <cell r="J575" t="str">
            <v>SFDC PLO Mtg</v>
          </cell>
        </row>
        <row r="576">
          <cell r="A576">
            <v>22110</v>
          </cell>
          <cell r="J576" t="str">
            <v>POP Orderについての連携検証</v>
          </cell>
        </row>
        <row r="577">
          <cell r="A577">
            <v>22111</v>
          </cell>
          <cell r="J577" t="str">
            <v>得意先の定期便フラグについて</v>
          </cell>
        </row>
        <row r="578">
          <cell r="A578">
            <v>22112</v>
          </cell>
          <cell r="J578" t="str">
            <v>Ultmarcデータに関する擦り合わせMtg</v>
          </cell>
        </row>
        <row r="579">
          <cell r="A579">
            <v>22113</v>
          </cell>
          <cell r="J579" t="str">
            <v>SFDCアカウントのプロファイルおよびロールの確認</v>
          </cell>
        </row>
        <row r="580">
          <cell r="A580">
            <v>22114</v>
          </cell>
          <cell r="J580" t="str">
            <v>データインポートウィザードに関するMtg</v>
          </cell>
        </row>
        <row r="581">
          <cell r="A581">
            <v>22115</v>
          </cell>
          <cell r="J581" t="str">
            <v>SAM/RAMが新規得意先申請を作成する際にエラーが表示された</v>
          </cell>
        </row>
        <row r="582">
          <cell r="A582">
            <v>22116</v>
          </cell>
          <cell r="J582" t="str">
            <v>IFListの更新について</v>
          </cell>
        </row>
        <row r="583">
          <cell r="A583">
            <v>22117</v>
          </cell>
          <cell r="J583" t="str">
            <v>リージョン変更対応に伴う影響について</v>
          </cell>
        </row>
        <row r="584">
          <cell r="A584">
            <v>22118</v>
          </cell>
          <cell r="J584" t="str">
            <v>Copy&amp;Pasteの修正および大隈さんへのCpy&amp;Pasteについての利用方法回答</v>
          </cell>
        </row>
        <row r="585">
          <cell r="A585">
            <v>22119</v>
          </cell>
          <cell r="J585" t="str">
            <v>SFDC→SAP POP Order IFの変更について</v>
          </cell>
        </row>
        <row r="586">
          <cell r="A586">
            <v>22120</v>
          </cell>
          <cell r="J586" t="str">
            <v>SAアカウントのパスワードが自分で変更できない</v>
          </cell>
        </row>
        <row r="587">
          <cell r="A587">
            <v>22121</v>
          </cell>
          <cell r="J587" t="str">
            <v>POP Orderの連携について</v>
          </cell>
        </row>
        <row r="588">
          <cell r="A588">
            <v>22122</v>
          </cell>
          <cell r="J588" t="str">
            <v>TritonAの価格データの確認</v>
          </cell>
        </row>
        <row r="589">
          <cell r="A589">
            <v>22123</v>
          </cell>
          <cell r="J589" t="str">
            <v>一部得意先のコードについて</v>
          </cell>
        </row>
        <row r="590">
          <cell r="A590">
            <v>22124</v>
          </cell>
          <cell r="J590" t="str">
            <v>SFDCでログインがうまくいかない件について</v>
          </cell>
        </row>
        <row r="591">
          <cell r="A591">
            <v>22125</v>
          </cell>
          <cell r="J591" t="str">
            <v>得意先の所有者が担当者になっていない得意先がいくつか存在する</v>
          </cell>
        </row>
        <row r="592">
          <cell r="A592">
            <v>22126</v>
          </cell>
          <cell r="J592" t="str">
            <v>サブドメインの作成方法について</v>
          </cell>
        </row>
        <row r="593">
          <cell r="A593">
            <v>22127</v>
          </cell>
          <cell r="J593" t="str">
            <v>KAIZENが無効になった</v>
          </cell>
        </row>
        <row r="594">
          <cell r="A594">
            <v>22128</v>
          </cell>
          <cell r="J594" t="str">
            <v>UAT支援</v>
          </cell>
        </row>
        <row r="595">
          <cell r="A595">
            <v>22129</v>
          </cell>
          <cell r="J595" t="str">
            <v>emailsender error</v>
          </cell>
        </row>
        <row r="596">
          <cell r="A596">
            <v>22130</v>
          </cell>
          <cell r="J596" t="str">
            <v>UAT支援</v>
          </cell>
        </row>
        <row r="597">
          <cell r="A597">
            <v>22131</v>
          </cell>
          <cell r="J597" t="str">
            <v>warehouse_t.t_jcr_customer_d_histの更新方法</v>
          </cell>
        </row>
        <row r="598">
          <cell r="A598">
            <v>22132</v>
          </cell>
          <cell r="J598" t="str">
            <v>グローバルサポートのサービス品質について</v>
          </cell>
        </row>
        <row r="599">
          <cell r="A599">
            <v>22133</v>
          </cell>
          <cell r="J599" t="str">
            <v>返品受付画面の修正</v>
          </cell>
        </row>
        <row r="600">
          <cell r="A600">
            <v>22134</v>
          </cell>
          <cell r="J600" t="str">
            <v>古い申請書が回ってきたという問い合わせ</v>
          </cell>
        </row>
        <row r="601">
          <cell r="A601">
            <v>22135</v>
          </cell>
          <cell r="J601" t="str">
            <v>J-flowのHCC申請に関する承認者の変更について</v>
          </cell>
        </row>
        <row r="602">
          <cell r="A602">
            <v>22136</v>
          </cell>
          <cell r="J602" t="str">
            <v>テストデータ作成</v>
          </cell>
        </row>
        <row r="603">
          <cell r="A603">
            <v>22137</v>
          </cell>
          <cell r="J603" t="str">
            <v>マイアカウントのクレジットカード情報認証について</v>
          </cell>
        </row>
        <row r="604">
          <cell r="A604">
            <v>22138</v>
          </cell>
          <cell r="J604" t="str">
            <v>UAT支援</v>
          </cell>
        </row>
        <row r="605">
          <cell r="A605">
            <v>22139</v>
          </cell>
          <cell r="J605" t="str">
            <v>コンテンツ更新 バーコード更新</v>
          </cell>
        </row>
        <row r="606">
          <cell r="A606">
            <v>22140</v>
          </cell>
          <cell r="J606" t="str">
            <v>Solace Triton-Aナショナルローンチ</v>
          </cell>
        </row>
        <row r="607">
          <cell r="A607">
            <v>22141</v>
          </cell>
          <cell r="J607" t="str">
            <v>Web-inの1DO乱に価格が表示される</v>
          </cell>
        </row>
        <row r="608">
          <cell r="A608">
            <v>22142</v>
          </cell>
          <cell r="J608" t="str">
            <v>WM2ARS_CSTMSバッチのImportエラー</v>
          </cell>
        </row>
        <row r="609">
          <cell r="A609">
            <v>22143</v>
          </cell>
          <cell r="J609" t="str">
            <v>ITリクエスト申請(IT Request)【アカウント申請（ARS）_レポートコンソール「Mail:User」の権限付与】</v>
          </cell>
        </row>
        <row r="610">
          <cell r="A610">
            <v>22144</v>
          </cell>
          <cell r="J610" t="str">
            <v>ITリクエスト申請(IT Request)【アカウント申請（ARS）_レポートコンソール「Mail:User」の権限付与】</v>
          </cell>
        </row>
        <row r="611">
          <cell r="A611">
            <v>22145</v>
          </cell>
          <cell r="J611" t="str">
            <v xml:space="preserve">ARSアカウントの削除
</v>
          </cell>
        </row>
        <row r="612">
          <cell r="A612">
            <v>22146</v>
          </cell>
          <cell r="J612" t="str">
            <v>SAP BWのFavorites migration</v>
          </cell>
        </row>
        <row r="613">
          <cell r="A613">
            <v>22147</v>
          </cell>
          <cell r="J613" t="str">
            <v xml:space="preserve">ARSアカウントの削除
</v>
          </cell>
        </row>
        <row r="614">
          <cell r="A614">
            <v>22148</v>
          </cell>
          <cell r="J614" t="str">
            <v>アカウント権限の削除</v>
          </cell>
        </row>
        <row r="615">
          <cell r="A615">
            <v>22149</v>
          </cell>
          <cell r="J615" t="str">
            <v>ビジネスルールの変更、アカウント権限の変更</v>
          </cell>
        </row>
        <row r="616">
          <cell r="A616">
            <v>22150</v>
          </cell>
          <cell r="J616" t="str">
            <v>【ARS改修依頼】返品受付票/本部一括返品2</v>
          </cell>
        </row>
        <row r="617">
          <cell r="A617">
            <v>22151</v>
          </cell>
          <cell r="J617" t="str">
            <v>ビジネスルールの変更、アカウント権限の変更</v>
          </cell>
        </row>
        <row r="618">
          <cell r="A618">
            <v>22152</v>
          </cell>
          <cell r="J618" t="str">
            <v>JFLOW申請の通知設定</v>
          </cell>
        </row>
        <row r="619">
          <cell r="A619">
            <v>22153</v>
          </cell>
          <cell r="J619" t="str">
            <v>WM2ARS_CSTMSバッチのImportエラー</v>
          </cell>
        </row>
        <row r="620">
          <cell r="A620">
            <v>22154</v>
          </cell>
          <cell r="J620" t="str">
            <v>ARSアカウントの作成</v>
          </cell>
        </row>
        <row r="621">
          <cell r="A621">
            <v>22155</v>
          </cell>
          <cell r="J621" t="str">
            <v>SAPからの月跨ぎデータ連携</v>
          </cell>
        </row>
        <row r="622">
          <cell r="A622">
            <v>22156</v>
          </cell>
          <cell r="J622" t="str">
            <v>MyAcuvue+の件数差異</v>
          </cell>
        </row>
        <row r="623">
          <cell r="A623">
            <v>22157</v>
          </cell>
          <cell r="J623" t="str">
            <v>Material Group5のコード体系について</v>
          </cell>
        </row>
        <row r="624">
          <cell r="A624">
            <v>22158</v>
          </cell>
          <cell r="J624" t="str">
            <v>Material Group5のコード体系について</v>
          </cell>
        </row>
        <row r="625">
          <cell r="A625">
            <v>22159</v>
          </cell>
          <cell r="J625" t="str">
            <v>テストアカウント作成</v>
          </cell>
        </row>
        <row r="626">
          <cell r="A626">
            <v>22160</v>
          </cell>
          <cell r="J626" t="str">
            <v>コンビニ払いの時の手数料について</v>
          </cell>
        </row>
        <row r="627">
          <cell r="A627">
            <v>22161</v>
          </cell>
          <cell r="J627" t="str">
            <v>LドライブからSharepointへの移行</v>
          </cell>
        </row>
        <row r="628">
          <cell r="A628">
            <v>22162</v>
          </cell>
          <cell r="J628" t="str">
            <v>WebTrackr個人情報削除</v>
          </cell>
        </row>
        <row r="629">
          <cell r="A629">
            <v>22163</v>
          </cell>
          <cell r="J629" t="str">
            <v>[J-FLOW] VCJIT004_0002317_ITリクエスト申請(IT Request)【CEH　価格登録申請の通知人、SO処理担当者変更】&lt;IT処理 | IT Process&gt;</v>
          </cell>
        </row>
        <row r="630">
          <cell r="A630">
            <v>22164</v>
          </cell>
          <cell r="J630" t="str">
            <v>WM2ARS_CSTMSバッチのImportエラー</v>
          </cell>
        </row>
        <row r="631">
          <cell r="A631">
            <v>22165</v>
          </cell>
          <cell r="J631" t="str">
            <v>Material Group5のコード体系について</v>
          </cell>
        </row>
        <row r="632">
          <cell r="A632">
            <v>22166</v>
          </cell>
          <cell r="J632" t="str">
            <v>MBOXメンテナンス日変更依頼</v>
          </cell>
        </row>
        <row r="633">
          <cell r="A633">
            <v>22167</v>
          </cell>
          <cell r="J633" t="str">
            <v>利用規約画面の表示について</v>
          </cell>
        </row>
        <row r="634">
          <cell r="A634">
            <v>22168</v>
          </cell>
          <cell r="J634" t="str">
            <v>GTMタグ周りプレビュー確認のお願い</v>
          </cell>
        </row>
        <row r="635">
          <cell r="A635">
            <v>22169</v>
          </cell>
          <cell r="J635" t="str">
            <v>発行ACUVUEコードと発行店数の集計</v>
          </cell>
        </row>
        <row r="636">
          <cell r="A636">
            <v>22170</v>
          </cell>
          <cell r="J636" t="str">
            <v>AOS Admin tool でクーポンが登録できない</v>
          </cell>
        </row>
        <row r="637">
          <cell r="A637">
            <v>22171</v>
          </cell>
          <cell r="J637" t="str">
            <v>Panoramaが更新されてない</v>
          </cell>
        </row>
        <row r="638">
          <cell r="A638">
            <v>22172</v>
          </cell>
          <cell r="J638" t="str">
            <v>&lt;JFLOW&gt;VCJIT004_0002326_ITリクエスト申請(IT Request)【ワークフロー新規/変更依頼】</v>
          </cell>
        </row>
        <row r="639">
          <cell r="A639">
            <v>22173</v>
          </cell>
          <cell r="J639" t="str">
            <v>予約注文の金額が誤っている</v>
          </cell>
        </row>
        <row r="640">
          <cell r="A640">
            <v>22174</v>
          </cell>
          <cell r="J640" t="str">
            <v>障害アナウンスアドレス追加</v>
          </cell>
        </row>
        <row r="641">
          <cell r="A641">
            <v>22175</v>
          </cell>
          <cell r="J641" t="str">
            <v>AODのDailyCheck縮小検討</v>
          </cell>
        </row>
        <row r="642">
          <cell r="A642">
            <v>22176</v>
          </cell>
          <cell r="J642" t="str">
            <v>MG5構成変更による影響調査</v>
          </cell>
        </row>
        <row r="643">
          <cell r="A643">
            <v>22177</v>
          </cell>
          <cell r="J643" t="str">
            <v>tableau license棚卸し</v>
          </cell>
        </row>
        <row r="644">
          <cell r="A644">
            <v>22178</v>
          </cell>
          <cell r="J644" t="str">
            <v>SAPで新規ユーザ獲得ロイヤリティ取り込みがエラー</v>
          </cell>
        </row>
        <row r="645">
          <cell r="A645">
            <v>22179</v>
          </cell>
          <cell r="J645" t="str">
            <v>TritonA全国ローンチ</v>
          </cell>
        </row>
        <row r="646">
          <cell r="A646">
            <v>22180</v>
          </cell>
          <cell r="J646" t="str">
            <v>Panorama更新さｒていない(8/29)</v>
          </cell>
        </row>
        <row r="647">
          <cell r="A647">
            <v>22181</v>
          </cell>
          <cell r="J647" t="str">
            <v>Talendセットアップ</v>
          </cell>
        </row>
        <row r="648">
          <cell r="A648">
            <v>22182</v>
          </cell>
          <cell r="J648" t="str">
            <v>POP Orderの連携について</v>
          </cell>
        </row>
        <row r="649">
          <cell r="A649">
            <v>22183</v>
          </cell>
          <cell r="J649" t="str">
            <v>SFDCログイン後Lightningに切り替えができない件について</v>
          </cell>
        </row>
        <row r="650">
          <cell r="A650">
            <v>22184</v>
          </cell>
          <cell r="J650" t="str">
            <v>新規得意先の承認フローの修正について</v>
          </cell>
        </row>
        <row r="651">
          <cell r="A651">
            <v>22185</v>
          </cell>
          <cell r="J651" t="str">
            <v>Sold Toの新規得意先が連携されていない</v>
          </cell>
        </row>
        <row r="652">
          <cell r="A652">
            <v>22186</v>
          </cell>
          <cell r="J652" t="str">
            <v>SFDC-ARS間のデータについて</v>
          </cell>
        </row>
        <row r="653">
          <cell r="A653">
            <v>22187</v>
          </cell>
          <cell r="J653" t="str">
            <v>新規得意先コードの重複について</v>
          </cell>
        </row>
        <row r="654">
          <cell r="A654">
            <v>22188</v>
          </cell>
          <cell r="J654" t="str">
            <v>新リージョン対応に関する確認</v>
          </cell>
        </row>
        <row r="655">
          <cell r="A655">
            <v>22189</v>
          </cell>
          <cell r="J655" t="str">
            <v>ユーザのアカウント設定に関する確認</v>
          </cell>
        </row>
        <row r="656">
          <cell r="A656">
            <v>22190</v>
          </cell>
          <cell r="J656" t="str">
            <v>初期在庫の重複に関して</v>
          </cell>
        </row>
        <row r="657">
          <cell r="A657">
            <v>22191</v>
          </cell>
          <cell r="J657" t="str">
            <v>POP Orderの連携について</v>
          </cell>
        </row>
        <row r="658">
          <cell r="A658">
            <v>22192</v>
          </cell>
          <cell r="J658" t="str">
            <v>アカウントのアドレスの変更について</v>
          </cell>
        </row>
        <row r="659">
          <cell r="A659">
            <v>22193</v>
          </cell>
          <cell r="J659" t="str">
            <v>Price Informationの確認</v>
          </cell>
        </row>
        <row r="660">
          <cell r="A660">
            <v>22194</v>
          </cell>
          <cell r="J660" t="str">
            <v>眼科契約先の確認について</v>
          </cell>
        </row>
        <row r="661">
          <cell r="A661">
            <v>22195</v>
          </cell>
          <cell r="J661" t="str">
            <v>8/30分の新規得意先がSFDC上で更新の確認が取れていない</v>
          </cell>
        </row>
        <row r="662">
          <cell r="A662">
            <v>22196</v>
          </cell>
          <cell r="J662" t="str">
            <v>ナショナルローンチについて</v>
          </cell>
        </row>
        <row r="663">
          <cell r="A663">
            <v>22197</v>
          </cell>
          <cell r="J663" t="str">
            <v xml:space="preserve">QA環境 ARS Oracleバージョンアップ </v>
          </cell>
        </row>
        <row r="664">
          <cell r="A664">
            <v>22198</v>
          </cell>
          <cell r="J664" t="str">
            <v>MyAcuvue+テストデータ削除</v>
          </cell>
        </row>
        <row r="665">
          <cell r="A665">
            <v>22199</v>
          </cell>
          <cell r="J665" t="str">
            <v>UATサポート</v>
          </cell>
        </row>
        <row r="666">
          <cell r="A666">
            <v>22200</v>
          </cell>
          <cell r="J666" t="str">
            <v>OS upgrade</v>
          </cell>
        </row>
        <row r="667">
          <cell r="A667">
            <v>22201</v>
          </cell>
          <cell r="J667" t="str">
            <v>AOSロイヤリティレポート失敗</v>
          </cell>
        </row>
        <row r="668">
          <cell r="A668">
            <v>22202</v>
          </cell>
          <cell r="J668" t="str">
            <v>DL-VISJPTO-AOSITにメールが届いていない</v>
          </cell>
        </row>
        <row r="669">
          <cell r="A669">
            <v>22203</v>
          </cell>
          <cell r="J669" t="str">
            <v>定期便注文確認画面の表示不備</v>
          </cell>
        </row>
        <row r="670">
          <cell r="A670">
            <v>22204</v>
          </cell>
          <cell r="J670" t="str">
            <v>代理承認設定（SA Manager）</v>
          </cell>
        </row>
        <row r="671">
          <cell r="A671">
            <v>22205</v>
          </cell>
          <cell r="J671" t="str">
            <v>WM2ARS_CSTMSバッチのImportエラー</v>
          </cell>
        </row>
        <row r="672">
          <cell r="A672">
            <v>22206</v>
          </cell>
          <cell r="J672" t="str">
            <v xml:space="preserve">  VCJIT004_0002338_ITリクエスト申請(IT Request)【ワークフロー新規/変更依頼】</v>
          </cell>
        </row>
        <row r="673">
          <cell r="A673">
            <v>22207</v>
          </cell>
          <cell r="J673" t="str">
            <v xml:space="preserve">  VCJIT004_0002339_ITリクエスト申請(IT Request)【VCJワークフロー変更依頼】</v>
          </cell>
        </row>
        <row r="674">
          <cell r="A674">
            <v>22208</v>
          </cell>
          <cell r="J674" t="str">
            <v>AOSの新規登録者数の集計/Daily</v>
          </cell>
        </row>
        <row r="675">
          <cell r="A675">
            <v>22209</v>
          </cell>
          <cell r="J675" t="str">
            <v>ICBM/ICUのインストール依頼</v>
          </cell>
        </row>
        <row r="676">
          <cell r="A676">
            <v>22210</v>
          </cell>
          <cell r="J676" t="str">
            <v>登録できないACUVUEコードについて</v>
          </cell>
        </row>
        <row r="677">
          <cell r="A677">
            <v>22211</v>
          </cell>
          <cell r="J677" t="str">
            <v>取扱店検索の開発</v>
          </cell>
        </row>
        <row r="678">
          <cell r="A678">
            <v>22212</v>
          </cell>
          <cell r="J678"/>
        </row>
        <row r="679">
          <cell r="A679">
            <v>22213</v>
          </cell>
          <cell r="J679"/>
        </row>
        <row r="680">
          <cell r="A680">
            <v>22214</v>
          </cell>
          <cell r="J680"/>
        </row>
        <row r="681">
          <cell r="A681">
            <v>22215</v>
          </cell>
          <cell r="J681"/>
        </row>
        <row r="682">
          <cell r="A682">
            <v>22216</v>
          </cell>
          <cell r="J682"/>
        </row>
        <row r="683">
          <cell r="A683">
            <v>22217</v>
          </cell>
          <cell r="J683"/>
        </row>
        <row r="684">
          <cell r="A684">
            <v>22218</v>
          </cell>
          <cell r="J684"/>
        </row>
        <row r="685">
          <cell r="A685">
            <v>22219</v>
          </cell>
          <cell r="J685"/>
        </row>
        <row r="686">
          <cell r="A686">
            <v>22220</v>
          </cell>
          <cell r="J686"/>
        </row>
        <row r="687">
          <cell r="A687">
            <v>22221</v>
          </cell>
          <cell r="J687"/>
        </row>
        <row r="688">
          <cell r="A688">
            <v>22222</v>
          </cell>
          <cell r="J688"/>
        </row>
        <row r="689">
          <cell r="A689">
            <v>22223</v>
          </cell>
          <cell r="J689"/>
        </row>
        <row r="690">
          <cell r="A690">
            <v>22224</v>
          </cell>
          <cell r="J690"/>
        </row>
        <row r="691">
          <cell r="A691">
            <v>22225</v>
          </cell>
          <cell r="J691"/>
        </row>
        <row r="692">
          <cell r="A692">
            <v>22226</v>
          </cell>
          <cell r="J692"/>
        </row>
        <row r="693">
          <cell r="A693">
            <v>22227</v>
          </cell>
          <cell r="J693"/>
        </row>
        <row r="694">
          <cell r="A694">
            <v>22228</v>
          </cell>
          <cell r="J694"/>
        </row>
        <row r="695">
          <cell r="A695">
            <v>22229</v>
          </cell>
          <cell r="J695"/>
        </row>
        <row r="696">
          <cell r="A696">
            <v>22230</v>
          </cell>
          <cell r="J696"/>
        </row>
        <row r="697">
          <cell r="A697">
            <v>22231</v>
          </cell>
          <cell r="J697"/>
        </row>
        <row r="698">
          <cell r="A698">
            <v>22232</v>
          </cell>
          <cell r="J698"/>
        </row>
        <row r="699">
          <cell r="A699">
            <v>22233</v>
          </cell>
          <cell r="J699"/>
        </row>
        <row r="700">
          <cell r="A700">
            <v>22234</v>
          </cell>
          <cell r="J700"/>
        </row>
        <row r="701">
          <cell r="A701">
            <v>22235</v>
          </cell>
          <cell r="J701"/>
        </row>
        <row r="702">
          <cell r="A702">
            <v>22236</v>
          </cell>
          <cell r="J702"/>
        </row>
        <row r="703">
          <cell r="A703">
            <v>22237</v>
          </cell>
          <cell r="J703"/>
        </row>
        <row r="704">
          <cell r="A704">
            <v>22238</v>
          </cell>
          <cell r="J704"/>
        </row>
        <row r="705">
          <cell r="A705">
            <v>22239</v>
          </cell>
          <cell r="J705"/>
        </row>
        <row r="706">
          <cell r="A706">
            <v>22240</v>
          </cell>
          <cell r="J706"/>
        </row>
        <row r="707">
          <cell r="A707">
            <v>22241</v>
          </cell>
          <cell r="J707"/>
        </row>
        <row r="708">
          <cell r="A708">
            <v>22242</v>
          </cell>
          <cell r="J708"/>
        </row>
        <row r="709">
          <cell r="A709">
            <v>22243</v>
          </cell>
          <cell r="J709"/>
        </row>
        <row r="710">
          <cell r="A710">
            <v>22244</v>
          </cell>
          <cell r="J710"/>
        </row>
        <row r="711">
          <cell r="A711">
            <v>22245</v>
          </cell>
          <cell r="J711"/>
        </row>
        <row r="712">
          <cell r="A712">
            <v>22246</v>
          </cell>
          <cell r="J712"/>
        </row>
        <row r="713">
          <cell r="A713">
            <v>22247</v>
          </cell>
          <cell r="J713"/>
        </row>
        <row r="714">
          <cell r="A714">
            <v>22248</v>
          </cell>
          <cell r="J714"/>
        </row>
        <row r="715">
          <cell r="A715">
            <v>22249</v>
          </cell>
          <cell r="J715"/>
        </row>
        <row r="716">
          <cell r="A716">
            <v>22250</v>
          </cell>
          <cell r="J716"/>
        </row>
        <row r="717">
          <cell r="A717">
            <v>22251</v>
          </cell>
          <cell r="J717"/>
        </row>
        <row r="718">
          <cell r="A718">
            <v>22252</v>
          </cell>
          <cell r="J718"/>
        </row>
        <row r="719">
          <cell r="A719">
            <v>22253</v>
          </cell>
          <cell r="J719"/>
        </row>
        <row r="720">
          <cell r="A720">
            <v>22254</v>
          </cell>
          <cell r="J720"/>
        </row>
        <row r="721">
          <cell r="A721">
            <v>22255</v>
          </cell>
          <cell r="J721"/>
        </row>
        <row r="722">
          <cell r="A722">
            <v>22256</v>
          </cell>
          <cell r="J722"/>
        </row>
        <row r="723">
          <cell r="A723">
            <v>22257</v>
          </cell>
          <cell r="J723"/>
        </row>
        <row r="724">
          <cell r="A724">
            <v>22258</v>
          </cell>
          <cell r="J724"/>
        </row>
        <row r="725">
          <cell r="A725">
            <v>22259</v>
          </cell>
          <cell r="J725"/>
        </row>
        <row r="726">
          <cell r="A726">
            <v>22260</v>
          </cell>
          <cell r="J726"/>
        </row>
        <row r="727">
          <cell r="A727">
            <v>22261</v>
          </cell>
          <cell r="J727"/>
        </row>
        <row r="728">
          <cell r="A728"/>
          <cell r="J728"/>
        </row>
        <row r="729">
          <cell r="A729"/>
          <cell r="J729"/>
        </row>
        <row r="730">
          <cell r="A730"/>
          <cell r="J730"/>
        </row>
        <row r="731">
          <cell r="A731"/>
          <cell r="J731"/>
        </row>
        <row r="732">
          <cell r="A732"/>
          <cell r="J732"/>
        </row>
        <row r="733">
          <cell r="A733"/>
          <cell r="J733"/>
        </row>
        <row r="734">
          <cell r="A734"/>
          <cell r="J734"/>
        </row>
        <row r="735">
          <cell r="A735"/>
          <cell r="J735"/>
        </row>
        <row r="736">
          <cell r="A736"/>
          <cell r="J736"/>
        </row>
        <row r="737">
          <cell r="A737"/>
          <cell r="J737"/>
        </row>
        <row r="738">
          <cell r="A738"/>
          <cell r="J738"/>
        </row>
        <row r="739">
          <cell r="A739"/>
          <cell r="J739"/>
        </row>
        <row r="740">
          <cell r="A740"/>
          <cell r="J740"/>
        </row>
        <row r="741">
          <cell r="A741"/>
          <cell r="J741"/>
        </row>
        <row r="742">
          <cell r="A742"/>
          <cell r="J742"/>
        </row>
        <row r="743">
          <cell r="A743"/>
          <cell r="J743"/>
        </row>
        <row r="744">
          <cell r="A744"/>
          <cell r="J744"/>
        </row>
        <row r="745">
          <cell r="A745"/>
          <cell r="J745"/>
        </row>
        <row r="746">
          <cell r="A746"/>
          <cell r="J746"/>
        </row>
        <row r="747">
          <cell r="A747"/>
          <cell r="J747"/>
        </row>
        <row r="748">
          <cell r="A748"/>
          <cell r="J748"/>
        </row>
        <row r="749">
          <cell r="A749"/>
          <cell r="J749"/>
        </row>
        <row r="750">
          <cell r="A750"/>
          <cell r="J750"/>
        </row>
        <row r="751">
          <cell r="A751"/>
          <cell r="J751"/>
        </row>
        <row r="752">
          <cell r="A752"/>
          <cell r="J752"/>
        </row>
        <row r="753">
          <cell r="A753"/>
          <cell r="J753"/>
        </row>
        <row r="754">
          <cell r="A754"/>
          <cell r="J754"/>
        </row>
        <row r="755">
          <cell r="A755"/>
          <cell r="J755"/>
        </row>
        <row r="756">
          <cell r="A756"/>
          <cell r="J756"/>
        </row>
        <row r="757">
          <cell r="A757"/>
          <cell r="J757"/>
        </row>
        <row r="758">
          <cell r="A758"/>
          <cell r="J758"/>
        </row>
        <row r="759">
          <cell r="A759"/>
          <cell r="J759"/>
        </row>
        <row r="760">
          <cell r="A760"/>
          <cell r="J760"/>
        </row>
        <row r="761">
          <cell r="A761"/>
          <cell r="J761"/>
        </row>
        <row r="762">
          <cell r="A762"/>
          <cell r="J762"/>
        </row>
        <row r="763">
          <cell r="A763"/>
          <cell r="J763"/>
        </row>
        <row r="764">
          <cell r="A764"/>
          <cell r="J764"/>
        </row>
        <row r="765">
          <cell r="A765"/>
          <cell r="J765"/>
        </row>
        <row r="766">
          <cell r="A766"/>
          <cell r="J766"/>
        </row>
        <row r="767">
          <cell r="A767"/>
          <cell r="J767"/>
        </row>
        <row r="768">
          <cell r="A768"/>
          <cell r="J768"/>
        </row>
        <row r="769">
          <cell r="A769"/>
          <cell r="J769"/>
        </row>
        <row r="770">
          <cell r="A770"/>
          <cell r="J770"/>
        </row>
        <row r="771">
          <cell r="A771"/>
          <cell r="J771"/>
        </row>
        <row r="772">
          <cell r="A772"/>
          <cell r="J772"/>
        </row>
        <row r="773">
          <cell r="A773"/>
          <cell r="J773"/>
        </row>
        <row r="774">
          <cell r="A774"/>
          <cell r="J774"/>
        </row>
        <row r="775">
          <cell r="A775"/>
          <cell r="J775"/>
        </row>
        <row r="776">
          <cell r="A776"/>
          <cell r="J776"/>
        </row>
        <row r="777">
          <cell r="A777"/>
          <cell r="J777"/>
        </row>
        <row r="778">
          <cell r="A778"/>
          <cell r="J778"/>
        </row>
        <row r="779">
          <cell r="A779"/>
          <cell r="J779"/>
        </row>
        <row r="780">
          <cell r="A780"/>
          <cell r="J780"/>
        </row>
        <row r="781">
          <cell r="A781"/>
          <cell r="J781"/>
        </row>
        <row r="782">
          <cell r="A782"/>
          <cell r="J782"/>
        </row>
        <row r="783">
          <cell r="A783"/>
          <cell r="J783"/>
        </row>
        <row r="784">
          <cell r="A784"/>
          <cell r="J784"/>
        </row>
        <row r="785">
          <cell r="A785"/>
          <cell r="J785"/>
        </row>
        <row r="786">
          <cell r="A786"/>
          <cell r="J786"/>
        </row>
        <row r="787">
          <cell r="A787"/>
          <cell r="J787"/>
        </row>
        <row r="788">
          <cell r="A788"/>
          <cell r="J788"/>
        </row>
        <row r="789">
          <cell r="A789"/>
          <cell r="J789"/>
        </row>
        <row r="790">
          <cell r="A790"/>
          <cell r="J790"/>
        </row>
        <row r="791">
          <cell r="A791"/>
          <cell r="J791"/>
        </row>
        <row r="792">
          <cell r="A792"/>
          <cell r="J792"/>
        </row>
        <row r="793">
          <cell r="A793"/>
          <cell r="J793"/>
        </row>
        <row r="794">
          <cell r="A794"/>
          <cell r="J794"/>
        </row>
        <row r="795">
          <cell r="A795"/>
          <cell r="J795"/>
        </row>
        <row r="796">
          <cell r="A796"/>
          <cell r="J796"/>
        </row>
        <row r="797">
          <cell r="A797"/>
          <cell r="J797"/>
        </row>
        <row r="798">
          <cell r="A798"/>
          <cell r="J798"/>
        </row>
        <row r="799">
          <cell r="A799"/>
          <cell r="J799"/>
        </row>
        <row r="800">
          <cell r="A800"/>
          <cell r="J800"/>
        </row>
        <row r="801">
          <cell r="A801"/>
          <cell r="J801"/>
        </row>
        <row r="802">
          <cell r="A802"/>
          <cell r="J802"/>
        </row>
        <row r="803">
          <cell r="A803"/>
          <cell r="J803"/>
        </row>
        <row r="804">
          <cell r="A804"/>
          <cell r="J804"/>
        </row>
        <row r="805">
          <cell r="A805"/>
          <cell r="J805"/>
        </row>
        <row r="806">
          <cell r="A806"/>
          <cell r="J806"/>
        </row>
        <row r="807">
          <cell r="A807"/>
          <cell r="J807"/>
        </row>
        <row r="808">
          <cell r="A808"/>
          <cell r="J808"/>
        </row>
        <row r="809">
          <cell r="A809"/>
          <cell r="J809"/>
        </row>
        <row r="810">
          <cell r="A810"/>
          <cell r="J810"/>
        </row>
        <row r="811">
          <cell r="A811"/>
          <cell r="J811"/>
        </row>
        <row r="812">
          <cell r="A812"/>
          <cell r="J812"/>
        </row>
        <row r="813">
          <cell r="A813"/>
          <cell r="J813"/>
        </row>
        <row r="814">
          <cell r="A814"/>
          <cell r="J814"/>
        </row>
        <row r="815">
          <cell r="A815"/>
          <cell r="J815"/>
        </row>
        <row r="816">
          <cell r="A816"/>
          <cell r="J816"/>
        </row>
        <row r="817">
          <cell r="A817"/>
          <cell r="J817"/>
        </row>
        <row r="818">
          <cell r="A818"/>
          <cell r="J818"/>
        </row>
        <row r="819">
          <cell r="A819"/>
          <cell r="J819"/>
        </row>
        <row r="820">
          <cell r="A820"/>
          <cell r="J820"/>
        </row>
        <row r="821">
          <cell r="A821"/>
          <cell r="J821"/>
        </row>
        <row r="822">
          <cell r="A822"/>
          <cell r="J822"/>
        </row>
        <row r="823">
          <cell r="A823"/>
          <cell r="J823"/>
        </row>
        <row r="824">
          <cell r="A824"/>
          <cell r="J824"/>
        </row>
        <row r="825">
          <cell r="A825"/>
          <cell r="J825"/>
        </row>
        <row r="826">
          <cell r="A826"/>
          <cell r="J826"/>
        </row>
        <row r="827">
          <cell r="A827"/>
          <cell r="J827"/>
        </row>
        <row r="828">
          <cell r="A828"/>
          <cell r="J828"/>
        </row>
        <row r="829">
          <cell r="A829"/>
          <cell r="J829"/>
        </row>
        <row r="830">
          <cell r="A830"/>
          <cell r="J830"/>
        </row>
        <row r="831">
          <cell r="A831"/>
          <cell r="J831"/>
        </row>
        <row r="832">
          <cell r="A832"/>
          <cell r="J832"/>
        </row>
        <row r="833">
          <cell r="A833"/>
          <cell r="J833"/>
        </row>
        <row r="834">
          <cell r="A834"/>
          <cell r="J834"/>
        </row>
        <row r="835">
          <cell r="A835"/>
          <cell r="J835"/>
        </row>
        <row r="836">
          <cell r="A836"/>
          <cell r="J836"/>
        </row>
        <row r="837">
          <cell r="A837"/>
          <cell r="J837"/>
        </row>
        <row r="838">
          <cell r="A838"/>
          <cell r="J838"/>
        </row>
        <row r="839">
          <cell r="A839"/>
          <cell r="J839"/>
        </row>
        <row r="840">
          <cell r="A840"/>
          <cell r="J840"/>
        </row>
        <row r="841">
          <cell r="A841"/>
          <cell r="J841"/>
        </row>
        <row r="842">
          <cell r="A842"/>
          <cell r="J842"/>
        </row>
        <row r="843">
          <cell r="A843"/>
          <cell r="J843"/>
        </row>
        <row r="844">
          <cell r="A844"/>
          <cell r="J844"/>
        </row>
        <row r="845">
          <cell r="A845"/>
          <cell r="J845"/>
        </row>
        <row r="846">
          <cell r="A846"/>
          <cell r="J846"/>
        </row>
        <row r="847">
          <cell r="A847"/>
          <cell r="J847"/>
        </row>
        <row r="848">
          <cell r="A848"/>
          <cell r="J848"/>
        </row>
        <row r="849">
          <cell r="A849"/>
          <cell r="J849"/>
        </row>
        <row r="850">
          <cell r="A850"/>
          <cell r="J850"/>
        </row>
        <row r="851">
          <cell r="A851"/>
          <cell r="J851"/>
        </row>
        <row r="852">
          <cell r="A852"/>
          <cell r="J852"/>
        </row>
        <row r="853">
          <cell r="A853"/>
          <cell r="J853"/>
        </row>
        <row r="854">
          <cell r="A854"/>
          <cell r="J854"/>
        </row>
        <row r="855">
          <cell r="A855"/>
          <cell r="J855"/>
        </row>
        <row r="856">
          <cell r="A856"/>
          <cell r="J856"/>
        </row>
        <row r="857">
          <cell r="A857"/>
          <cell r="J857"/>
        </row>
        <row r="858">
          <cell r="A858"/>
          <cell r="J858"/>
        </row>
        <row r="859">
          <cell r="A859"/>
          <cell r="J859"/>
        </row>
        <row r="860">
          <cell r="A860"/>
          <cell r="J860"/>
        </row>
        <row r="861">
          <cell r="A861"/>
          <cell r="J861"/>
        </row>
        <row r="862">
          <cell r="A862"/>
          <cell r="J862"/>
        </row>
        <row r="863">
          <cell r="A863"/>
          <cell r="J863"/>
        </row>
        <row r="864">
          <cell r="A864"/>
          <cell r="J864"/>
        </row>
        <row r="865">
          <cell r="A865"/>
          <cell r="J865"/>
        </row>
        <row r="866">
          <cell r="A866"/>
          <cell r="J866"/>
        </row>
        <row r="867">
          <cell r="A867"/>
          <cell r="J867"/>
        </row>
        <row r="868">
          <cell r="A868"/>
          <cell r="J868"/>
        </row>
        <row r="869">
          <cell r="A869"/>
          <cell r="J869"/>
        </row>
        <row r="870">
          <cell r="A870"/>
          <cell r="J870"/>
        </row>
        <row r="871">
          <cell r="A871"/>
          <cell r="J871"/>
        </row>
        <row r="872">
          <cell r="A872"/>
          <cell r="J872"/>
        </row>
        <row r="873">
          <cell r="A873"/>
          <cell r="J873"/>
        </row>
        <row r="874">
          <cell r="A874"/>
          <cell r="J874"/>
        </row>
        <row r="875">
          <cell r="A875"/>
          <cell r="J875"/>
        </row>
        <row r="876">
          <cell r="A876"/>
          <cell r="J876"/>
        </row>
        <row r="877">
          <cell r="A877"/>
          <cell r="J877"/>
        </row>
        <row r="878">
          <cell r="A878"/>
          <cell r="J878"/>
        </row>
        <row r="879">
          <cell r="A879"/>
          <cell r="J879"/>
        </row>
        <row r="880">
          <cell r="A880"/>
          <cell r="J880"/>
        </row>
        <row r="881">
          <cell r="A881"/>
          <cell r="J881"/>
        </row>
        <row r="882">
          <cell r="A882"/>
          <cell r="J882"/>
        </row>
        <row r="883">
          <cell r="A883"/>
          <cell r="J883"/>
        </row>
        <row r="884">
          <cell r="A884"/>
          <cell r="J884"/>
        </row>
        <row r="885">
          <cell r="A885"/>
          <cell r="J885"/>
        </row>
        <row r="886">
          <cell r="A886"/>
          <cell r="J886"/>
        </row>
        <row r="887">
          <cell r="A887"/>
          <cell r="J887"/>
        </row>
        <row r="888">
          <cell r="A888"/>
          <cell r="J888"/>
        </row>
        <row r="889">
          <cell r="A889"/>
          <cell r="J889"/>
        </row>
        <row r="890">
          <cell r="A890"/>
          <cell r="J890"/>
        </row>
        <row r="891">
          <cell r="A891"/>
          <cell r="J891"/>
        </row>
        <row r="892">
          <cell r="A892"/>
          <cell r="J892"/>
        </row>
        <row r="893">
          <cell r="A893"/>
          <cell r="J893"/>
        </row>
        <row r="894">
          <cell r="A894"/>
          <cell r="J894"/>
        </row>
        <row r="895">
          <cell r="A895"/>
          <cell r="J895"/>
        </row>
        <row r="896">
          <cell r="A896"/>
          <cell r="J896"/>
        </row>
        <row r="897">
          <cell r="A897"/>
          <cell r="J897"/>
        </row>
        <row r="898">
          <cell r="A898"/>
          <cell r="J898"/>
        </row>
        <row r="899">
          <cell r="A899"/>
          <cell r="J899"/>
        </row>
        <row r="900">
          <cell r="A900"/>
          <cell r="J900"/>
        </row>
        <row r="901">
          <cell r="A901"/>
          <cell r="J901"/>
        </row>
        <row r="902">
          <cell r="A902"/>
          <cell r="J902"/>
        </row>
        <row r="903">
          <cell r="A903"/>
          <cell r="J903"/>
        </row>
        <row r="904">
          <cell r="A904"/>
          <cell r="J904"/>
        </row>
        <row r="905">
          <cell r="A905"/>
          <cell r="J905"/>
        </row>
        <row r="906">
          <cell r="A906"/>
          <cell r="J906"/>
        </row>
        <row r="907">
          <cell r="A907"/>
          <cell r="J907"/>
        </row>
        <row r="908">
          <cell r="A908"/>
          <cell r="J908"/>
        </row>
        <row r="909">
          <cell r="A909"/>
          <cell r="J909"/>
        </row>
        <row r="910">
          <cell r="A910"/>
          <cell r="J910"/>
        </row>
        <row r="911">
          <cell r="A911"/>
          <cell r="J911"/>
        </row>
        <row r="912">
          <cell r="A912"/>
          <cell r="J912"/>
        </row>
        <row r="913">
          <cell r="A913"/>
          <cell r="J913"/>
        </row>
        <row r="914">
          <cell r="A914"/>
          <cell r="J914"/>
        </row>
        <row r="915">
          <cell r="A915"/>
          <cell r="J915"/>
        </row>
        <row r="916">
          <cell r="A916"/>
          <cell r="J916"/>
        </row>
        <row r="917">
          <cell r="A917"/>
          <cell r="J917"/>
        </row>
        <row r="918">
          <cell r="A918"/>
          <cell r="J918"/>
        </row>
        <row r="919">
          <cell r="A919"/>
          <cell r="J919"/>
        </row>
        <row r="920">
          <cell r="A920"/>
          <cell r="J920"/>
        </row>
        <row r="921">
          <cell r="A921"/>
          <cell r="J921"/>
        </row>
        <row r="922">
          <cell r="A922"/>
          <cell r="J922"/>
        </row>
        <row r="923">
          <cell r="A923"/>
          <cell r="J923"/>
        </row>
        <row r="924">
          <cell r="A924"/>
          <cell r="J924"/>
        </row>
        <row r="925">
          <cell r="A925"/>
          <cell r="J925"/>
        </row>
        <row r="926">
          <cell r="A926"/>
          <cell r="J926"/>
        </row>
        <row r="927">
          <cell r="A927"/>
          <cell r="J927"/>
        </row>
        <row r="928">
          <cell r="A928"/>
          <cell r="J928"/>
        </row>
        <row r="929">
          <cell r="A929"/>
          <cell r="J929"/>
        </row>
        <row r="930">
          <cell r="A930"/>
          <cell r="J930"/>
        </row>
        <row r="931">
          <cell r="A931"/>
          <cell r="J931"/>
        </row>
        <row r="932">
          <cell r="A932"/>
          <cell r="J932"/>
        </row>
        <row r="933">
          <cell r="A933"/>
          <cell r="J933"/>
        </row>
        <row r="934">
          <cell r="A934"/>
          <cell r="J934"/>
        </row>
        <row r="935">
          <cell r="A935"/>
          <cell r="J935"/>
        </row>
        <row r="936">
          <cell r="A936"/>
          <cell r="J936"/>
        </row>
        <row r="937">
          <cell r="A937"/>
          <cell r="J937"/>
        </row>
        <row r="938">
          <cell r="A938"/>
          <cell r="J938"/>
        </row>
        <row r="939">
          <cell r="A939"/>
          <cell r="J939"/>
        </row>
        <row r="940">
          <cell r="A940"/>
          <cell r="J940"/>
        </row>
        <row r="941">
          <cell r="A941"/>
          <cell r="J941"/>
        </row>
        <row r="942">
          <cell r="A942"/>
          <cell r="J942"/>
        </row>
        <row r="943">
          <cell r="A943"/>
          <cell r="J943"/>
        </row>
        <row r="944">
          <cell r="A944"/>
          <cell r="J944"/>
        </row>
        <row r="945">
          <cell r="A945"/>
          <cell r="J945"/>
        </row>
        <row r="946">
          <cell r="A946"/>
          <cell r="J946"/>
        </row>
        <row r="947">
          <cell r="A947"/>
          <cell r="J947"/>
        </row>
        <row r="948">
          <cell r="A948"/>
          <cell r="J948"/>
        </row>
        <row r="949">
          <cell r="A949"/>
          <cell r="J949"/>
        </row>
        <row r="950">
          <cell r="A950"/>
          <cell r="J950"/>
        </row>
        <row r="951">
          <cell r="A951"/>
          <cell r="J951"/>
        </row>
        <row r="952">
          <cell r="A952"/>
          <cell r="J952"/>
        </row>
        <row r="953">
          <cell r="A953"/>
          <cell r="J953"/>
        </row>
        <row r="954">
          <cell r="A954"/>
          <cell r="J954"/>
        </row>
        <row r="955">
          <cell r="A955"/>
          <cell r="J955"/>
        </row>
        <row r="956">
          <cell r="A956"/>
          <cell r="J956"/>
        </row>
        <row r="957">
          <cell r="A957"/>
          <cell r="J957"/>
        </row>
        <row r="958">
          <cell r="A958"/>
          <cell r="J958"/>
        </row>
        <row r="959">
          <cell r="A959"/>
          <cell r="J959"/>
        </row>
        <row r="960">
          <cell r="A960"/>
          <cell r="J960"/>
        </row>
        <row r="961">
          <cell r="A961"/>
          <cell r="J961"/>
        </row>
        <row r="962">
          <cell r="A962"/>
          <cell r="J962"/>
        </row>
        <row r="963">
          <cell r="A963"/>
          <cell r="J963"/>
        </row>
        <row r="964">
          <cell r="A964"/>
          <cell r="J964"/>
        </row>
        <row r="965">
          <cell r="A965"/>
          <cell r="J965"/>
        </row>
        <row r="966">
          <cell r="A966"/>
          <cell r="J966"/>
        </row>
        <row r="967">
          <cell r="A967"/>
          <cell r="J967"/>
        </row>
        <row r="968">
          <cell r="A968"/>
          <cell r="J968"/>
        </row>
        <row r="969">
          <cell r="A969"/>
          <cell r="J969"/>
        </row>
        <row r="970">
          <cell r="A970"/>
          <cell r="J970"/>
        </row>
        <row r="971">
          <cell r="A971"/>
          <cell r="J971"/>
        </row>
        <row r="972">
          <cell r="A972"/>
          <cell r="J972"/>
        </row>
        <row r="973">
          <cell r="A973"/>
          <cell r="J973"/>
        </row>
        <row r="974">
          <cell r="A974"/>
          <cell r="J974"/>
        </row>
        <row r="975">
          <cell r="A975"/>
          <cell r="J975"/>
        </row>
        <row r="976">
          <cell r="A976"/>
          <cell r="J976"/>
        </row>
        <row r="977">
          <cell r="A977"/>
          <cell r="J977"/>
        </row>
        <row r="978">
          <cell r="A978"/>
          <cell r="J978"/>
        </row>
        <row r="979">
          <cell r="A979"/>
          <cell r="J979"/>
        </row>
        <row r="980">
          <cell r="A980"/>
          <cell r="J980"/>
        </row>
        <row r="981">
          <cell r="A981"/>
          <cell r="J981"/>
        </row>
        <row r="982">
          <cell r="A982"/>
          <cell r="J982"/>
        </row>
        <row r="983">
          <cell r="A983"/>
          <cell r="J983"/>
        </row>
        <row r="984">
          <cell r="A984"/>
          <cell r="J984"/>
        </row>
        <row r="985">
          <cell r="A985"/>
          <cell r="J985"/>
        </row>
        <row r="986">
          <cell r="A986"/>
          <cell r="J986"/>
        </row>
        <row r="987">
          <cell r="A987"/>
          <cell r="J987"/>
        </row>
        <row r="988">
          <cell r="A988"/>
          <cell r="J988"/>
        </row>
        <row r="989">
          <cell r="A989"/>
          <cell r="J989"/>
        </row>
        <row r="990">
          <cell r="A990"/>
          <cell r="J990"/>
        </row>
        <row r="991">
          <cell r="A991"/>
          <cell r="J991"/>
        </row>
        <row r="992">
          <cell r="A992"/>
          <cell r="J992"/>
        </row>
        <row r="993">
          <cell r="A993"/>
          <cell r="J993"/>
        </row>
        <row r="994">
          <cell r="A994"/>
          <cell r="J994"/>
        </row>
        <row r="995">
          <cell r="A995"/>
          <cell r="J995"/>
        </row>
        <row r="996">
          <cell r="A996"/>
          <cell r="J996"/>
        </row>
        <row r="997">
          <cell r="A997"/>
          <cell r="J997"/>
        </row>
        <row r="998">
          <cell r="A998"/>
          <cell r="J998"/>
        </row>
        <row r="999">
          <cell r="A999"/>
          <cell r="J999"/>
        </row>
        <row r="1000">
          <cell r="A1000"/>
          <cell r="J1000"/>
        </row>
        <row r="1001">
          <cell r="A1001"/>
          <cell r="J1001"/>
        </row>
        <row r="1002">
          <cell r="A1002"/>
          <cell r="J1002"/>
        </row>
        <row r="1003">
          <cell r="A1003"/>
          <cell r="J1003"/>
        </row>
        <row r="1004">
          <cell r="A1004"/>
          <cell r="J1004"/>
        </row>
        <row r="1005">
          <cell r="A1005"/>
          <cell r="J1005"/>
        </row>
        <row r="1006">
          <cell r="A1006"/>
          <cell r="J1006"/>
        </row>
        <row r="1007">
          <cell r="A1007"/>
          <cell r="J1007"/>
        </row>
        <row r="1008">
          <cell r="A1008"/>
          <cell r="J1008"/>
        </row>
        <row r="1009">
          <cell r="A1009"/>
          <cell r="J1009"/>
        </row>
        <row r="1010">
          <cell r="A1010"/>
          <cell r="J1010"/>
        </row>
        <row r="1011">
          <cell r="A1011"/>
          <cell r="J1011"/>
        </row>
        <row r="1012">
          <cell r="A1012"/>
          <cell r="J1012"/>
        </row>
        <row r="1013">
          <cell r="A1013"/>
          <cell r="J1013"/>
        </row>
        <row r="1014">
          <cell r="A1014"/>
          <cell r="J1014"/>
        </row>
        <row r="1015">
          <cell r="A1015"/>
          <cell r="J1015"/>
        </row>
        <row r="1016">
          <cell r="A1016"/>
          <cell r="J1016"/>
        </row>
        <row r="1017">
          <cell r="A1017"/>
          <cell r="J1017"/>
        </row>
        <row r="1018">
          <cell r="A1018"/>
          <cell r="J1018"/>
        </row>
        <row r="1019">
          <cell r="A1019"/>
          <cell r="J1019"/>
        </row>
        <row r="1020">
          <cell r="A1020"/>
          <cell r="J1020"/>
        </row>
        <row r="1021">
          <cell r="A1021"/>
          <cell r="J1021"/>
        </row>
        <row r="1022">
          <cell r="A1022"/>
          <cell r="J1022"/>
        </row>
        <row r="1023">
          <cell r="A1023"/>
          <cell r="J1023"/>
        </row>
        <row r="1024">
          <cell r="A1024"/>
          <cell r="J1024"/>
        </row>
        <row r="1025">
          <cell r="A1025"/>
          <cell r="J1025"/>
        </row>
        <row r="1026">
          <cell r="A1026"/>
          <cell r="J1026"/>
        </row>
        <row r="1027">
          <cell r="A1027"/>
          <cell r="J1027"/>
        </row>
        <row r="1028">
          <cell r="A1028"/>
          <cell r="J1028"/>
        </row>
        <row r="1029">
          <cell r="A1029"/>
          <cell r="J1029"/>
        </row>
        <row r="1030">
          <cell r="A1030"/>
          <cell r="J1030"/>
        </row>
        <row r="1031">
          <cell r="A1031"/>
          <cell r="J1031"/>
        </row>
        <row r="1032">
          <cell r="A1032"/>
          <cell r="J1032"/>
        </row>
        <row r="1033">
          <cell r="A1033"/>
          <cell r="J1033"/>
        </row>
        <row r="1034">
          <cell r="A1034"/>
          <cell r="J1034"/>
        </row>
        <row r="1035">
          <cell r="A1035"/>
          <cell r="J1035"/>
        </row>
        <row r="1036">
          <cell r="A1036"/>
          <cell r="J1036"/>
        </row>
        <row r="1037">
          <cell r="A1037"/>
          <cell r="J1037"/>
        </row>
        <row r="1038">
          <cell r="A1038"/>
          <cell r="J1038"/>
        </row>
        <row r="1039">
          <cell r="A1039"/>
          <cell r="J1039"/>
        </row>
        <row r="1040">
          <cell r="A1040"/>
          <cell r="J1040"/>
        </row>
        <row r="1041">
          <cell r="A1041"/>
          <cell r="J1041"/>
        </row>
        <row r="1042">
          <cell r="A1042"/>
          <cell r="J1042"/>
        </row>
        <row r="1043">
          <cell r="A1043"/>
          <cell r="J1043"/>
        </row>
        <row r="1044">
          <cell r="A1044"/>
          <cell r="J1044"/>
        </row>
        <row r="1045">
          <cell r="A1045"/>
          <cell r="J1045"/>
        </row>
        <row r="1046">
          <cell r="A1046"/>
          <cell r="J1046"/>
        </row>
        <row r="1047">
          <cell r="A1047"/>
          <cell r="J1047"/>
        </row>
        <row r="1048">
          <cell r="A1048"/>
          <cell r="J1048"/>
        </row>
        <row r="1049">
          <cell r="A1049"/>
          <cell r="J1049"/>
        </row>
        <row r="1050">
          <cell r="A1050"/>
          <cell r="J1050"/>
        </row>
        <row r="1051">
          <cell r="A1051"/>
          <cell r="J1051"/>
        </row>
        <row r="1052">
          <cell r="A1052"/>
          <cell r="J1052"/>
        </row>
        <row r="1053">
          <cell r="A1053"/>
          <cell r="J1053"/>
        </row>
        <row r="1054">
          <cell r="A1054"/>
          <cell r="J1054"/>
        </row>
        <row r="1055">
          <cell r="A1055"/>
          <cell r="J1055"/>
        </row>
        <row r="1056">
          <cell r="A1056"/>
          <cell r="J1056"/>
        </row>
        <row r="1057">
          <cell r="A1057"/>
          <cell r="J1057"/>
        </row>
        <row r="1058">
          <cell r="A1058"/>
          <cell r="J1058"/>
        </row>
        <row r="1059">
          <cell r="A1059"/>
          <cell r="J1059"/>
        </row>
        <row r="1060">
          <cell r="A1060"/>
          <cell r="J1060"/>
        </row>
        <row r="1061">
          <cell r="A1061"/>
          <cell r="J1061"/>
        </row>
        <row r="1062">
          <cell r="A1062"/>
          <cell r="J1062"/>
        </row>
        <row r="1063">
          <cell r="A1063"/>
          <cell r="J1063"/>
        </row>
        <row r="1064">
          <cell r="A1064"/>
          <cell r="J1064"/>
        </row>
        <row r="1065">
          <cell r="A1065"/>
          <cell r="J1065"/>
        </row>
        <row r="1066">
          <cell r="A1066"/>
          <cell r="J1066"/>
        </row>
        <row r="1067">
          <cell r="A1067"/>
          <cell r="J1067"/>
        </row>
        <row r="1068">
          <cell r="A1068"/>
          <cell r="J1068"/>
        </row>
        <row r="1069">
          <cell r="A1069"/>
          <cell r="J1069"/>
        </row>
        <row r="1070">
          <cell r="A1070"/>
          <cell r="J1070"/>
        </row>
        <row r="1071">
          <cell r="A1071"/>
          <cell r="J1071"/>
        </row>
        <row r="1072">
          <cell r="A1072"/>
          <cell r="J1072"/>
        </row>
        <row r="1073">
          <cell r="A1073"/>
          <cell r="J1073"/>
        </row>
        <row r="1074">
          <cell r="A1074"/>
          <cell r="J1074"/>
        </row>
        <row r="1075">
          <cell r="A1075"/>
          <cell r="J1075"/>
        </row>
        <row r="1076">
          <cell r="A1076"/>
          <cell r="J1076"/>
        </row>
        <row r="1077">
          <cell r="A1077"/>
          <cell r="J1077"/>
        </row>
        <row r="1078">
          <cell r="A1078"/>
          <cell r="J1078"/>
        </row>
        <row r="1079">
          <cell r="A1079"/>
          <cell r="J1079"/>
        </row>
        <row r="1080">
          <cell r="A1080"/>
          <cell r="J1080"/>
        </row>
        <row r="1081">
          <cell r="A1081"/>
          <cell r="J1081"/>
        </row>
        <row r="1082">
          <cell r="A1082"/>
          <cell r="J1082"/>
        </row>
        <row r="1083">
          <cell r="A1083"/>
          <cell r="J1083"/>
        </row>
        <row r="1084">
          <cell r="A1084"/>
          <cell r="J1084"/>
        </row>
        <row r="1085">
          <cell r="A1085"/>
          <cell r="J1085"/>
        </row>
        <row r="1086">
          <cell r="A1086"/>
          <cell r="J1086"/>
        </row>
        <row r="1087">
          <cell r="A1087"/>
          <cell r="J1087"/>
        </row>
        <row r="1088">
          <cell r="A1088"/>
          <cell r="J1088"/>
        </row>
        <row r="1089">
          <cell r="A1089"/>
          <cell r="J1089"/>
        </row>
        <row r="1090">
          <cell r="A1090"/>
          <cell r="J1090"/>
        </row>
        <row r="1091">
          <cell r="A1091"/>
          <cell r="J1091"/>
        </row>
        <row r="1092">
          <cell r="A1092"/>
          <cell r="J1092"/>
        </row>
        <row r="1093">
          <cell r="A1093"/>
          <cell r="J1093"/>
        </row>
        <row r="1094">
          <cell r="A1094"/>
          <cell r="J1094"/>
        </row>
        <row r="1095">
          <cell r="A1095"/>
          <cell r="J1095"/>
        </row>
        <row r="1096">
          <cell r="A1096"/>
          <cell r="J1096"/>
        </row>
        <row r="1097">
          <cell r="A1097"/>
          <cell r="J1097"/>
        </row>
        <row r="1098">
          <cell r="A1098"/>
          <cell r="J1098"/>
        </row>
        <row r="1099">
          <cell r="A1099"/>
          <cell r="J1099"/>
        </row>
        <row r="1100">
          <cell r="A1100"/>
          <cell r="J1100"/>
        </row>
        <row r="1101">
          <cell r="A1101"/>
          <cell r="J1101"/>
        </row>
        <row r="1102">
          <cell r="A1102"/>
          <cell r="J1102"/>
        </row>
        <row r="1103">
          <cell r="A1103"/>
          <cell r="J1103"/>
        </row>
        <row r="1104">
          <cell r="A1104"/>
          <cell r="J1104"/>
        </row>
        <row r="1105">
          <cell r="A1105"/>
          <cell r="J1105"/>
        </row>
        <row r="1106">
          <cell r="A1106"/>
          <cell r="J1106"/>
        </row>
        <row r="1107">
          <cell r="A1107"/>
          <cell r="J1107"/>
        </row>
        <row r="1108">
          <cell r="A1108"/>
          <cell r="J1108"/>
        </row>
        <row r="1109">
          <cell r="A1109"/>
          <cell r="J1109"/>
        </row>
        <row r="1110">
          <cell r="A1110"/>
          <cell r="J1110"/>
        </row>
        <row r="1111">
          <cell r="A1111"/>
          <cell r="J1111"/>
        </row>
        <row r="1112">
          <cell r="A1112"/>
          <cell r="J1112"/>
        </row>
        <row r="1113">
          <cell r="A1113"/>
          <cell r="J1113"/>
        </row>
        <row r="1114">
          <cell r="A1114"/>
          <cell r="J1114"/>
        </row>
        <row r="1115">
          <cell r="A1115"/>
          <cell r="J1115"/>
        </row>
        <row r="1116">
          <cell r="A1116"/>
          <cell r="J1116"/>
        </row>
        <row r="1117">
          <cell r="A1117"/>
          <cell r="J1117"/>
        </row>
        <row r="1118">
          <cell r="A1118"/>
          <cell r="J1118"/>
        </row>
        <row r="1119">
          <cell r="A1119"/>
          <cell r="J1119"/>
        </row>
        <row r="1120">
          <cell r="A1120"/>
          <cell r="J1120"/>
        </row>
        <row r="1121">
          <cell r="A1121"/>
          <cell r="J1121"/>
        </row>
        <row r="1122">
          <cell r="A1122"/>
          <cell r="J1122"/>
        </row>
        <row r="1123">
          <cell r="A1123"/>
          <cell r="J1123"/>
        </row>
        <row r="1124">
          <cell r="A1124"/>
          <cell r="J1124"/>
        </row>
        <row r="1125">
          <cell r="A1125"/>
          <cell r="J1125"/>
        </row>
        <row r="1126">
          <cell r="A1126"/>
          <cell r="J1126"/>
        </row>
        <row r="1127">
          <cell r="A1127"/>
          <cell r="J1127"/>
        </row>
        <row r="1128">
          <cell r="A1128"/>
          <cell r="J1128"/>
        </row>
        <row r="1129">
          <cell r="A1129"/>
          <cell r="J1129"/>
        </row>
        <row r="1130">
          <cell r="A1130"/>
          <cell r="J1130"/>
        </row>
        <row r="1131">
          <cell r="A1131"/>
          <cell r="J1131"/>
        </row>
        <row r="1132">
          <cell r="A1132"/>
          <cell r="J1132"/>
        </row>
        <row r="1133">
          <cell r="A1133"/>
          <cell r="J1133"/>
        </row>
        <row r="1134">
          <cell r="A1134"/>
          <cell r="J1134"/>
        </row>
        <row r="1135">
          <cell r="A1135"/>
          <cell r="J1135"/>
        </row>
        <row r="1136">
          <cell r="A1136"/>
          <cell r="J1136"/>
        </row>
        <row r="1137">
          <cell r="A1137"/>
          <cell r="J1137"/>
        </row>
        <row r="1138">
          <cell r="A1138"/>
          <cell r="J1138"/>
        </row>
        <row r="1139">
          <cell r="A1139"/>
          <cell r="J1139"/>
        </row>
        <row r="1140">
          <cell r="A1140"/>
          <cell r="J1140"/>
        </row>
        <row r="1141">
          <cell r="A1141"/>
          <cell r="J1141"/>
        </row>
        <row r="1142">
          <cell r="A1142"/>
          <cell r="J1142"/>
        </row>
        <row r="1143">
          <cell r="A1143"/>
          <cell r="J1143"/>
        </row>
        <row r="1144">
          <cell r="A1144"/>
          <cell r="J1144"/>
        </row>
        <row r="1145">
          <cell r="A1145"/>
          <cell r="J1145"/>
        </row>
        <row r="1146">
          <cell r="A1146"/>
          <cell r="J1146"/>
        </row>
        <row r="1147">
          <cell r="A1147"/>
          <cell r="J1147"/>
        </row>
        <row r="1148">
          <cell r="A1148"/>
          <cell r="J1148"/>
        </row>
        <row r="1149">
          <cell r="A1149"/>
          <cell r="J1149"/>
        </row>
        <row r="1150">
          <cell r="A1150"/>
          <cell r="J1150"/>
        </row>
        <row r="1151">
          <cell r="A1151"/>
          <cell r="J1151"/>
        </row>
        <row r="1152">
          <cell r="A1152"/>
          <cell r="J1152"/>
        </row>
        <row r="1153">
          <cell r="A1153"/>
          <cell r="J1153"/>
        </row>
        <row r="1154">
          <cell r="A1154"/>
          <cell r="J1154"/>
        </row>
        <row r="1155">
          <cell r="A1155"/>
          <cell r="J1155"/>
        </row>
        <row r="1156">
          <cell r="A1156"/>
          <cell r="J1156"/>
        </row>
        <row r="1157">
          <cell r="A1157"/>
          <cell r="J1157"/>
        </row>
        <row r="1158">
          <cell r="A1158"/>
          <cell r="J1158"/>
        </row>
        <row r="1159">
          <cell r="A1159"/>
          <cell r="J1159"/>
        </row>
        <row r="1160">
          <cell r="A1160"/>
          <cell r="J1160"/>
        </row>
        <row r="1161">
          <cell r="A1161"/>
          <cell r="J1161"/>
        </row>
        <row r="1162">
          <cell r="A1162"/>
          <cell r="J1162"/>
        </row>
        <row r="1163">
          <cell r="A1163"/>
          <cell r="J1163"/>
        </row>
        <row r="1164">
          <cell r="A1164"/>
          <cell r="J1164"/>
        </row>
        <row r="1165">
          <cell r="A1165"/>
          <cell r="J1165"/>
        </row>
        <row r="1166">
          <cell r="A1166"/>
          <cell r="J1166"/>
        </row>
        <row r="1167">
          <cell r="A1167"/>
          <cell r="J1167"/>
        </row>
        <row r="1168">
          <cell r="A1168"/>
          <cell r="J1168"/>
        </row>
        <row r="1169">
          <cell r="A1169"/>
          <cell r="J1169"/>
        </row>
        <row r="1170">
          <cell r="A1170"/>
          <cell r="J1170"/>
        </row>
        <row r="1171">
          <cell r="A1171"/>
          <cell r="J1171"/>
        </row>
        <row r="1172">
          <cell r="A1172"/>
          <cell r="J1172"/>
        </row>
        <row r="1173">
          <cell r="A1173"/>
          <cell r="J1173"/>
        </row>
        <row r="1174">
          <cell r="A1174"/>
          <cell r="J1174"/>
        </row>
        <row r="1175">
          <cell r="A1175"/>
          <cell r="J1175"/>
        </row>
        <row r="1176">
          <cell r="A1176"/>
          <cell r="J1176"/>
        </row>
        <row r="1177">
          <cell r="A1177"/>
          <cell r="J1177"/>
        </row>
        <row r="1178">
          <cell r="A1178"/>
          <cell r="J1178"/>
        </row>
        <row r="1179">
          <cell r="A1179"/>
          <cell r="J1179"/>
        </row>
        <row r="1180">
          <cell r="A1180"/>
          <cell r="J1180"/>
        </row>
        <row r="1181">
          <cell r="A1181"/>
          <cell r="J1181"/>
        </row>
        <row r="1182">
          <cell r="A1182"/>
          <cell r="J1182"/>
        </row>
        <row r="1183">
          <cell r="A1183"/>
          <cell r="J1183"/>
        </row>
        <row r="1184">
          <cell r="A1184"/>
          <cell r="J1184"/>
        </row>
        <row r="1185">
          <cell r="A1185"/>
          <cell r="J1185"/>
        </row>
        <row r="1186">
          <cell r="A1186"/>
          <cell r="J1186"/>
        </row>
        <row r="1187">
          <cell r="A1187"/>
          <cell r="J1187"/>
        </row>
        <row r="1188">
          <cell r="A1188"/>
          <cell r="J1188"/>
        </row>
        <row r="1189">
          <cell r="A1189"/>
          <cell r="J1189"/>
        </row>
        <row r="1190">
          <cell r="A1190"/>
          <cell r="J1190"/>
        </row>
        <row r="1191">
          <cell r="A1191"/>
          <cell r="J1191"/>
        </row>
        <row r="1192">
          <cell r="A1192"/>
          <cell r="J1192"/>
        </row>
        <row r="1193">
          <cell r="A1193"/>
          <cell r="J1193"/>
        </row>
        <row r="1194">
          <cell r="A1194"/>
          <cell r="J1194"/>
        </row>
        <row r="1195">
          <cell r="A1195"/>
          <cell r="J1195"/>
        </row>
        <row r="1196">
          <cell r="A1196"/>
          <cell r="J1196"/>
        </row>
        <row r="1197">
          <cell r="A1197"/>
          <cell r="J1197"/>
        </row>
        <row r="1198">
          <cell r="A1198"/>
          <cell r="J1198"/>
        </row>
        <row r="1199">
          <cell r="A1199"/>
          <cell r="J1199"/>
        </row>
        <row r="1200">
          <cell r="A1200"/>
          <cell r="J1200"/>
        </row>
        <row r="1201">
          <cell r="A1201"/>
          <cell r="J1201"/>
        </row>
        <row r="1202">
          <cell r="A1202"/>
          <cell r="J1202"/>
        </row>
        <row r="1203">
          <cell r="A1203"/>
          <cell r="J1203"/>
        </row>
        <row r="1204">
          <cell r="A1204"/>
          <cell r="J1204"/>
        </row>
        <row r="1205">
          <cell r="A1205"/>
          <cell r="J1205"/>
        </row>
        <row r="1206">
          <cell r="A1206"/>
          <cell r="J1206"/>
        </row>
        <row r="1207">
          <cell r="A1207"/>
          <cell r="J1207"/>
        </row>
        <row r="1208">
          <cell r="A1208"/>
          <cell r="J1208"/>
        </row>
        <row r="1209">
          <cell r="A1209"/>
          <cell r="J1209"/>
        </row>
        <row r="1210">
          <cell r="A1210"/>
          <cell r="J1210"/>
        </row>
        <row r="1211">
          <cell r="A1211"/>
          <cell r="J1211"/>
        </row>
        <row r="1212">
          <cell r="A1212"/>
          <cell r="J1212"/>
        </row>
        <row r="1213">
          <cell r="A1213"/>
          <cell r="J1213"/>
        </row>
        <row r="1214">
          <cell r="A1214"/>
          <cell r="J1214"/>
        </row>
        <row r="1215">
          <cell r="A1215"/>
          <cell r="J1215"/>
        </row>
        <row r="1216">
          <cell r="A1216"/>
          <cell r="J1216"/>
        </row>
        <row r="1217">
          <cell r="A1217"/>
          <cell r="J1217"/>
        </row>
        <row r="1218">
          <cell r="A1218"/>
          <cell r="J1218"/>
        </row>
        <row r="1219">
          <cell r="A1219"/>
          <cell r="J1219"/>
        </row>
        <row r="1220">
          <cell r="A1220"/>
          <cell r="J1220"/>
        </row>
        <row r="1221">
          <cell r="A1221"/>
          <cell r="J1221"/>
        </row>
        <row r="1222">
          <cell r="A1222"/>
          <cell r="J1222"/>
        </row>
        <row r="1223">
          <cell r="A1223"/>
          <cell r="J1223"/>
        </row>
        <row r="1224">
          <cell r="A1224"/>
          <cell r="J1224"/>
        </row>
        <row r="1225">
          <cell r="A1225"/>
          <cell r="J1225"/>
        </row>
        <row r="1226">
          <cell r="A1226"/>
          <cell r="J1226"/>
        </row>
        <row r="1227">
          <cell r="A1227"/>
          <cell r="J1227"/>
        </row>
        <row r="1228">
          <cell r="A1228"/>
          <cell r="J1228"/>
        </row>
        <row r="1229">
          <cell r="A1229"/>
          <cell r="J1229"/>
        </row>
        <row r="1230">
          <cell r="A1230"/>
          <cell r="J1230"/>
        </row>
        <row r="1231">
          <cell r="A1231"/>
          <cell r="J1231"/>
        </row>
        <row r="1232">
          <cell r="A1232"/>
          <cell r="J1232"/>
        </row>
        <row r="1233">
          <cell r="A1233"/>
          <cell r="J1233"/>
        </row>
        <row r="1234">
          <cell r="A1234"/>
          <cell r="J1234"/>
        </row>
        <row r="1235">
          <cell r="A1235"/>
          <cell r="J1235"/>
        </row>
        <row r="1236">
          <cell r="A1236"/>
          <cell r="J1236"/>
        </row>
        <row r="1237">
          <cell r="A1237"/>
          <cell r="J1237"/>
        </row>
        <row r="1238">
          <cell r="A1238"/>
          <cell r="J1238"/>
        </row>
        <row r="1239">
          <cell r="A1239"/>
          <cell r="J1239"/>
        </row>
        <row r="1240">
          <cell r="A1240"/>
          <cell r="J1240"/>
        </row>
        <row r="1241">
          <cell r="A1241"/>
          <cell r="J1241"/>
        </row>
        <row r="1242">
          <cell r="A1242"/>
          <cell r="J1242"/>
        </row>
        <row r="1243">
          <cell r="A1243"/>
          <cell r="J1243"/>
        </row>
        <row r="1244">
          <cell r="A1244"/>
          <cell r="J1244"/>
        </row>
        <row r="1245">
          <cell r="A1245"/>
          <cell r="J1245"/>
        </row>
        <row r="1246">
          <cell r="A1246"/>
          <cell r="J1246"/>
        </row>
        <row r="1247">
          <cell r="A1247"/>
          <cell r="J1247"/>
        </row>
        <row r="1248">
          <cell r="A1248"/>
          <cell r="J1248"/>
        </row>
        <row r="1249">
          <cell r="A1249"/>
          <cell r="J1249"/>
        </row>
        <row r="1250">
          <cell r="A1250"/>
          <cell r="J1250"/>
        </row>
        <row r="1251">
          <cell r="A1251"/>
          <cell r="J1251"/>
        </row>
        <row r="1252">
          <cell r="A1252"/>
          <cell r="J1252"/>
        </row>
        <row r="1253">
          <cell r="A1253"/>
          <cell r="J1253"/>
        </row>
        <row r="1254">
          <cell r="A1254"/>
          <cell r="J1254"/>
        </row>
        <row r="1255">
          <cell r="A1255"/>
          <cell r="J1255"/>
        </row>
        <row r="1256">
          <cell r="A1256"/>
          <cell r="J1256"/>
        </row>
        <row r="1257">
          <cell r="A1257"/>
          <cell r="J1257"/>
        </row>
        <row r="1258">
          <cell r="A1258"/>
          <cell r="J1258"/>
        </row>
        <row r="1259">
          <cell r="A1259"/>
          <cell r="J1259"/>
        </row>
        <row r="1260">
          <cell r="A1260"/>
          <cell r="J1260"/>
        </row>
        <row r="1261">
          <cell r="A1261"/>
          <cell r="J1261"/>
        </row>
        <row r="1262">
          <cell r="A1262"/>
          <cell r="J1262"/>
        </row>
        <row r="1263">
          <cell r="A1263"/>
          <cell r="J1263"/>
        </row>
        <row r="1264">
          <cell r="A1264"/>
          <cell r="J1264"/>
        </row>
        <row r="1265">
          <cell r="A1265"/>
          <cell r="J1265"/>
        </row>
        <row r="1266">
          <cell r="A1266"/>
          <cell r="J1266"/>
        </row>
        <row r="1267">
          <cell r="A1267"/>
          <cell r="J1267"/>
        </row>
        <row r="1268">
          <cell r="A1268"/>
          <cell r="J1268"/>
        </row>
        <row r="1269">
          <cell r="A1269"/>
          <cell r="J1269"/>
        </row>
        <row r="1270">
          <cell r="A1270"/>
          <cell r="J1270"/>
        </row>
        <row r="1271">
          <cell r="A1271"/>
          <cell r="J1271"/>
        </row>
        <row r="1272">
          <cell r="A1272"/>
          <cell r="J1272"/>
        </row>
        <row r="1273">
          <cell r="A1273"/>
          <cell r="J1273"/>
        </row>
        <row r="1274">
          <cell r="A1274"/>
          <cell r="J1274"/>
        </row>
        <row r="1275">
          <cell r="A1275"/>
          <cell r="J1275"/>
        </row>
        <row r="1276">
          <cell r="A1276"/>
          <cell r="J1276"/>
        </row>
        <row r="1277">
          <cell r="A1277"/>
          <cell r="J1277"/>
        </row>
        <row r="1278">
          <cell r="A1278"/>
          <cell r="J1278"/>
        </row>
        <row r="1279">
          <cell r="A1279"/>
          <cell r="J1279"/>
        </row>
        <row r="1280">
          <cell r="A1280"/>
          <cell r="J1280"/>
        </row>
        <row r="1281">
          <cell r="A1281"/>
          <cell r="J1281"/>
        </row>
        <row r="1282">
          <cell r="A1282"/>
          <cell r="J1282"/>
        </row>
        <row r="1283">
          <cell r="A1283"/>
          <cell r="J1283"/>
        </row>
        <row r="1284">
          <cell r="A1284"/>
          <cell r="J1284"/>
        </row>
        <row r="1285">
          <cell r="A1285"/>
          <cell r="J1285"/>
        </row>
        <row r="1286">
          <cell r="A1286"/>
          <cell r="J1286"/>
        </row>
        <row r="1287">
          <cell r="A1287"/>
          <cell r="J1287"/>
        </row>
        <row r="1288">
          <cell r="A1288"/>
          <cell r="J1288"/>
        </row>
        <row r="1289">
          <cell r="A1289"/>
          <cell r="J1289"/>
        </row>
        <row r="1290">
          <cell r="A1290"/>
          <cell r="J1290"/>
        </row>
        <row r="1291">
          <cell r="A1291"/>
          <cell r="J1291"/>
        </row>
        <row r="1292">
          <cell r="A1292"/>
          <cell r="J1292"/>
        </row>
        <row r="1293">
          <cell r="A1293"/>
          <cell r="J1293"/>
        </row>
        <row r="1294">
          <cell r="A1294"/>
          <cell r="J1294"/>
        </row>
        <row r="1295">
          <cell r="A1295"/>
          <cell r="J1295"/>
        </row>
        <row r="1296">
          <cell r="A1296"/>
          <cell r="J1296"/>
        </row>
        <row r="1297">
          <cell r="A1297"/>
          <cell r="J1297"/>
        </row>
        <row r="1298">
          <cell r="A1298"/>
          <cell r="J1298"/>
        </row>
        <row r="1299">
          <cell r="A1299"/>
          <cell r="J1299"/>
        </row>
        <row r="1300">
          <cell r="A1300"/>
          <cell r="J1300"/>
        </row>
        <row r="1301">
          <cell r="A1301"/>
          <cell r="J1301"/>
        </row>
        <row r="1302">
          <cell r="A1302"/>
          <cell r="J1302"/>
        </row>
        <row r="1303">
          <cell r="A1303"/>
          <cell r="J1303"/>
        </row>
        <row r="1304">
          <cell r="A1304"/>
          <cell r="J1304"/>
        </row>
        <row r="1305">
          <cell r="A1305"/>
          <cell r="J1305"/>
        </row>
        <row r="1306">
          <cell r="A1306"/>
          <cell r="J1306"/>
        </row>
        <row r="1307">
          <cell r="A1307"/>
          <cell r="J1307"/>
        </row>
        <row r="1308">
          <cell r="A1308"/>
          <cell r="J1308"/>
        </row>
        <row r="1309">
          <cell r="A1309"/>
          <cell r="J1309"/>
        </row>
        <row r="1310">
          <cell r="A1310"/>
          <cell r="J1310"/>
        </row>
        <row r="1311">
          <cell r="A1311"/>
          <cell r="J1311"/>
        </row>
        <row r="1312">
          <cell r="A1312"/>
          <cell r="J1312"/>
        </row>
        <row r="1313">
          <cell r="A1313"/>
          <cell r="J1313"/>
        </row>
        <row r="1314">
          <cell r="A1314"/>
          <cell r="J1314"/>
        </row>
        <row r="1315">
          <cell r="A1315"/>
          <cell r="J1315"/>
        </row>
        <row r="1316">
          <cell r="A1316"/>
          <cell r="J1316"/>
        </row>
        <row r="1317">
          <cell r="A1317"/>
          <cell r="J1317"/>
        </row>
        <row r="1318">
          <cell r="A1318"/>
          <cell r="J1318"/>
        </row>
        <row r="1319">
          <cell r="A1319"/>
          <cell r="J1319"/>
        </row>
        <row r="1320">
          <cell r="A1320"/>
          <cell r="J1320"/>
        </row>
        <row r="1321">
          <cell r="A1321"/>
          <cell r="J1321"/>
        </row>
        <row r="1322">
          <cell r="A1322"/>
          <cell r="J1322"/>
        </row>
        <row r="1323">
          <cell r="A1323"/>
          <cell r="J1323"/>
        </row>
        <row r="1324">
          <cell r="A1324"/>
          <cell r="J1324"/>
        </row>
        <row r="1325">
          <cell r="A1325"/>
          <cell r="J1325"/>
        </row>
        <row r="1326">
          <cell r="A1326"/>
          <cell r="J1326"/>
        </row>
        <row r="1327">
          <cell r="A1327"/>
          <cell r="J1327"/>
        </row>
        <row r="1328">
          <cell r="A1328"/>
          <cell r="J1328"/>
        </row>
        <row r="1329">
          <cell r="A1329"/>
          <cell r="J1329"/>
        </row>
        <row r="1330">
          <cell r="A1330"/>
          <cell r="J1330"/>
        </row>
        <row r="1331">
          <cell r="A1331"/>
          <cell r="J1331"/>
        </row>
        <row r="1332">
          <cell r="A1332"/>
          <cell r="J1332"/>
        </row>
        <row r="1333">
          <cell r="A1333"/>
          <cell r="J1333"/>
        </row>
        <row r="1334">
          <cell r="A1334"/>
          <cell r="J1334"/>
        </row>
        <row r="1335">
          <cell r="A1335"/>
          <cell r="J1335"/>
        </row>
        <row r="1336">
          <cell r="A1336"/>
          <cell r="J1336"/>
        </row>
        <row r="1337">
          <cell r="A1337"/>
          <cell r="J1337"/>
        </row>
        <row r="1338">
          <cell r="A1338"/>
          <cell r="J1338"/>
        </row>
        <row r="1339">
          <cell r="A1339"/>
          <cell r="J1339"/>
        </row>
        <row r="1340">
          <cell r="A1340"/>
          <cell r="J1340"/>
        </row>
        <row r="1341">
          <cell r="A1341"/>
          <cell r="J1341"/>
        </row>
        <row r="1342">
          <cell r="A1342"/>
          <cell r="J1342"/>
        </row>
        <row r="1343">
          <cell r="A1343"/>
          <cell r="J1343"/>
        </row>
        <row r="1344">
          <cell r="A1344"/>
          <cell r="J1344"/>
        </row>
        <row r="1345">
          <cell r="A1345"/>
          <cell r="J1345"/>
        </row>
        <row r="1346">
          <cell r="A1346"/>
          <cell r="J1346"/>
        </row>
        <row r="1347">
          <cell r="A1347"/>
          <cell r="J1347"/>
        </row>
        <row r="1348">
          <cell r="A1348"/>
          <cell r="J1348"/>
        </row>
        <row r="1349">
          <cell r="A1349"/>
          <cell r="J1349"/>
        </row>
        <row r="1350">
          <cell r="A1350"/>
          <cell r="J1350"/>
        </row>
        <row r="1351">
          <cell r="A1351"/>
          <cell r="J1351"/>
        </row>
        <row r="1352">
          <cell r="A1352"/>
          <cell r="J1352"/>
        </row>
        <row r="1353">
          <cell r="A1353"/>
          <cell r="J1353"/>
        </row>
        <row r="1354">
          <cell r="A1354"/>
          <cell r="J1354"/>
        </row>
        <row r="1355">
          <cell r="A1355"/>
          <cell r="J1355"/>
        </row>
        <row r="1356">
          <cell r="A1356"/>
          <cell r="J1356"/>
        </row>
        <row r="1357">
          <cell r="A1357"/>
          <cell r="J1357"/>
        </row>
        <row r="1358">
          <cell r="A1358"/>
          <cell r="J1358"/>
        </row>
        <row r="1359">
          <cell r="A1359"/>
          <cell r="J1359"/>
        </row>
        <row r="1360">
          <cell r="A1360"/>
          <cell r="J1360"/>
        </row>
        <row r="1361">
          <cell r="A1361"/>
          <cell r="J1361"/>
        </row>
        <row r="1362">
          <cell r="A1362"/>
          <cell r="J1362"/>
        </row>
        <row r="1363">
          <cell r="A1363"/>
          <cell r="J1363"/>
        </row>
        <row r="1364">
          <cell r="A1364"/>
          <cell r="J1364"/>
        </row>
        <row r="1365">
          <cell r="A1365"/>
          <cell r="J1365"/>
        </row>
        <row r="1366">
          <cell r="A1366"/>
          <cell r="J1366"/>
        </row>
        <row r="1367">
          <cell r="A1367"/>
          <cell r="J1367"/>
        </row>
        <row r="1368">
          <cell r="A1368"/>
          <cell r="J1368"/>
        </row>
        <row r="1369">
          <cell r="A1369"/>
          <cell r="J1369"/>
        </row>
        <row r="1370">
          <cell r="A1370"/>
          <cell r="J1370"/>
        </row>
        <row r="1371">
          <cell r="A1371"/>
          <cell r="J1371"/>
        </row>
        <row r="1372">
          <cell r="A1372"/>
          <cell r="J1372"/>
        </row>
        <row r="1373">
          <cell r="A1373"/>
          <cell r="J1373"/>
        </row>
        <row r="1374">
          <cell r="A1374"/>
          <cell r="J1374"/>
        </row>
        <row r="1375">
          <cell r="A1375"/>
          <cell r="J1375"/>
        </row>
        <row r="1376">
          <cell r="A1376"/>
          <cell r="J1376"/>
        </row>
        <row r="1377">
          <cell r="A1377"/>
          <cell r="J1377"/>
        </row>
        <row r="1378">
          <cell r="A1378"/>
          <cell r="J1378"/>
        </row>
        <row r="1379">
          <cell r="A1379"/>
          <cell r="J1379"/>
        </row>
        <row r="1380">
          <cell r="A1380"/>
          <cell r="J1380"/>
        </row>
        <row r="1381">
          <cell r="A1381"/>
          <cell r="J1381"/>
        </row>
        <row r="1382">
          <cell r="A1382"/>
          <cell r="J1382"/>
        </row>
        <row r="1383">
          <cell r="A1383"/>
          <cell r="J1383"/>
        </row>
        <row r="1384">
          <cell r="A1384"/>
          <cell r="J1384"/>
        </row>
        <row r="1385">
          <cell r="A1385"/>
          <cell r="J1385"/>
        </row>
        <row r="1386">
          <cell r="A1386"/>
          <cell r="J1386"/>
        </row>
        <row r="1387">
          <cell r="A1387"/>
          <cell r="J1387"/>
        </row>
        <row r="1388">
          <cell r="A1388"/>
          <cell r="J1388"/>
        </row>
        <row r="1389">
          <cell r="A1389"/>
          <cell r="J1389"/>
        </row>
        <row r="1390">
          <cell r="A1390"/>
          <cell r="J1390"/>
        </row>
        <row r="1391">
          <cell r="A1391"/>
          <cell r="J1391"/>
        </row>
        <row r="1392">
          <cell r="A1392"/>
          <cell r="J1392"/>
        </row>
        <row r="1393">
          <cell r="A1393"/>
          <cell r="J1393"/>
        </row>
        <row r="1394">
          <cell r="A1394"/>
          <cell r="J1394"/>
        </row>
        <row r="1395">
          <cell r="A1395"/>
          <cell r="J1395"/>
        </row>
        <row r="1396">
          <cell r="A1396"/>
          <cell r="J1396"/>
        </row>
        <row r="1397">
          <cell r="A1397"/>
          <cell r="J1397"/>
        </row>
        <row r="1398">
          <cell r="A1398"/>
          <cell r="J1398"/>
        </row>
        <row r="1399">
          <cell r="A1399"/>
          <cell r="J1399"/>
        </row>
        <row r="1400">
          <cell r="A1400"/>
          <cell r="J1400"/>
        </row>
        <row r="1401">
          <cell r="A1401"/>
          <cell r="J1401"/>
        </row>
        <row r="1402">
          <cell r="A1402"/>
          <cell r="J1402"/>
        </row>
        <row r="1403">
          <cell r="A1403"/>
          <cell r="J1403"/>
        </row>
        <row r="1404">
          <cell r="A1404"/>
          <cell r="J1404"/>
        </row>
        <row r="1405">
          <cell r="A1405"/>
          <cell r="J1405"/>
        </row>
        <row r="1406">
          <cell r="A1406"/>
          <cell r="J1406"/>
        </row>
        <row r="1407">
          <cell r="A1407"/>
          <cell r="J1407"/>
        </row>
        <row r="1408">
          <cell r="A1408"/>
          <cell r="J1408"/>
        </row>
        <row r="1409">
          <cell r="A1409"/>
          <cell r="J1409"/>
        </row>
        <row r="1410">
          <cell r="A1410"/>
          <cell r="J1410"/>
        </row>
        <row r="1411">
          <cell r="A1411"/>
          <cell r="J1411"/>
        </row>
        <row r="1412">
          <cell r="A1412"/>
          <cell r="J1412"/>
        </row>
        <row r="1413">
          <cell r="A1413"/>
          <cell r="J1413"/>
        </row>
        <row r="1414">
          <cell r="A1414"/>
          <cell r="J1414"/>
        </row>
        <row r="1415">
          <cell r="A1415"/>
          <cell r="J1415"/>
        </row>
        <row r="1416">
          <cell r="A1416"/>
          <cell r="J1416"/>
        </row>
        <row r="1417">
          <cell r="A1417"/>
          <cell r="J1417"/>
        </row>
        <row r="1418">
          <cell r="A1418"/>
          <cell r="J1418"/>
        </row>
        <row r="1419">
          <cell r="A1419"/>
          <cell r="J1419"/>
        </row>
        <row r="1420">
          <cell r="A1420"/>
          <cell r="J1420"/>
        </row>
        <row r="1421">
          <cell r="A1421"/>
          <cell r="J1421"/>
        </row>
        <row r="1422">
          <cell r="A1422"/>
          <cell r="J1422"/>
        </row>
        <row r="1423">
          <cell r="A1423"/>
          <cell r="J1423"/>
        </row>
        <row r="1424">
          <cell r="A1424"/>
          <cell r="J1424"/>
        </row>
        <row r="1425">
          <cell r="A1425"/>
          <cell r="J1425"/>
        </row>
        <row r="1426">
          <cell r="A1426"/>
          <cell r="J1426"/>
        </row>
        <row r="1427">
          <cell r="A1427"/>
          <cell r="J1427"/>
        </row>
        <row r="1428">
          <cell r="A1428"/>
          <cell r="J1428"/>
        </row>
        <row r="1429">
          <cell r="A1429"/>
          <cell r="J1429"/>
        </row>
        <row r="1430">
          <cell r="A1430"/>
          <cell r="J1430"/>
        </row>
        <row r="1431">
          <cell r="A1431"/>
          <cell r="J1431"/>
        </row>
        <row r="1432">
          <cell r="A1432"/>
          <cell r="J1432"/>
        </row>
        <row r="1433">
          <cell r="A1433"/>
          <cell r="J1433"/>
        </row>
        <row r="1434">
          <cell r="A1434"/>
          <cell r="J1434"/>
        </row>
        <row r="1435">
          <cell r="A1435"/>
          <cell r="J1435"/>
        </row>
        <row r="1436">
          <cell r="A1436"/>
          <cell r="J1436"/>
        </row>
        <row r="1437">
          <cell r="A1437"/>
          <cell r="J1437"/>
        </row>
        <row r="1438">
          <cell r="A1438"/>
          <cell r="J1438"/>
        </row>
        <row r="1439">
          <cell r="A1439"/>
          <cell r="J1439"/>
        </row>
        <row r="1440">
          <cell r="A1440"/>
          <cell r="J1440"/>
        </row>
        <row r="1441">
          <cell r="A1441"/>
          <cell r="J1441"/>
        </row>
        <row r="1442">
          <cell r="A1442"/>
          <cell r="J1442"/>
        </row>
        <row r="1443">
          <cell r="A1443"/>
          <cell r="J1443"/>
        </row>
        <row r="1444">
          <cell r="A1444"/>
          <cell r="J1444"/>
        </row>
        <row r="1445">
          <cell r="A1445"/>
          <cell r="J1445"/>
        </row>
        <row r="1446">
          <cell r="A1446"/>
          <cell r="J1446"/>
        </row>
        <row r="1447">
          <cell r="A1447"/>
          <cell r="J1447"/>
        </row>
        <row r="1448">
          <cell r="A1448"/>
          <cell r="J1448"/>
        </row>
        <row r="1449">
          <cell r="A1449"/>
          <cell r="J1449"/>
        </row>
        <row r="1450">
          <cell r="A1450"/>
          <cell r="J1450"/>
        </row>
        <row r="1451">
          <cell r="A1451"/>
          <cell r="J1451"/>
        </row>
        <row r="1452">
          <cell r="A1452"/>
          <cell r="J1452"/>
        </row>
        <row r="1453">
          <cell r="A1453"/>
          <cell r="J1453"/>
        </row>
        <row r="1454">
          <cell r="A1454"/>
          <cell r="J1454"/>
        </row>
        <row r="1455">
          <cell r="A1455"/>
          <cell r="J1455"/>
        </row>
        <row r="1456">
          <cell r="A1456"/>
          <cell r="J1456"/>
        </row>
        <row r="1457">
          <cell r="A1457"/>
          <cell r="J1457"/>
        </row>
        <row r="1458">
          <cell r="A1458"/>
          <cell r="J1458"/>
        </row>
        <row r="1459">
          <cell r="A1459"/>
          <cell r="J1459"/>
        </row>
        <row r="1460">
          <cell r="A1460"/>
          <cell r="J1460"/>
        </row>
        <row r="1461">
          <cell r="A1461"/>
          <cell r="J1461"/>
        </row>
        <row r="1462">
          <cell r="A1462"/>
          <cell r="J1462"/>
        </row>
        <row r="1463">
          <cell r="A1463"/>
          <cell r="J1463"/>
        </row>
        <row r="1464">
          <cell r="A1464"/>
          <cell r="J1464"/>
        </row>
        <row r="1465">
          <cell r="A1465"/>
          <cell r="J1465"/>
        </row>
        <row r="1466">
          <cell r="A1466"/>
          <cell r="J1466"/>
        </row>
        <row r="1467">
          <cell r="A1467"/>
          <cell r="J1467"/>
        </row>
        <row r="1468">
          <cell r="A1468"/>
          <cell r="J1468"/>
        </row>
        <row r="1469">
          <cell r="A1469"/>
          <cell r="J1469"/>
        </row>
        <row r="1470">
          <cell r="A1470"/>
          <cell r="J1470"/>
        </row>
        <row r="1471">
          <cell r="A1471"/>
          <cell r="J1471"/>
        </row>
        <row r="1472">
          <cell r="A1472"/>
          <cell r="J1472"/>
        </row>
        <row r="1473">
          <cell r="A1473"/>
          <cell r="J1473"/>
        </row>
        <row r="1474">
          <cell r="A1474"/>
          <cell r="J1474"/>
        </row>
        <row r="1475">
          <cell r="A1475"/>
          <cell r="J1475"/>
        </row>
        <row r="1476">
          <cell r="A1476"/>
          <cell r="J1476"/>
        </row>
        <row r="1477">
          <cell r="A1477"/>
          <cell r="J1477"/>
        </row>
        <row r="1478">
          <cell r="A1478"/>
          <cell r="J1478"/>
        </row>
        <row r="1479">
          <cell r="A1479"/>
          <cell r="J1479"/>
        </row>
        <row r="1480">
          <cell r="A1480"/>
          <cell r="J1480"/>
        </row>
        <row r="1481">
          <cell r="A1481"/>
          <cell r="J1481"/>
        </row>
        <row r="1482">
          <cell r="A1482"/>
          <cell r="J1482"/>
        </row>
        <row r="1483">
          <cell r="A1483"/>
          <cell r="J1483"/>
        </row>
        <row r="1484">
          <cell r="A1484"/>
          <cell r="J1484"/>
        </row>
        <row r="1485">
          <cell r="A1485"/>
          <cell r="J1485"/>
        </row>
        <row r="1486">
          <cell r="A1486"/>
          <cell r="J1486"/>
        </row>
        <row r="1487">
          <cell r="A1487"/>
          <cell r="J1487"/>
        </row>
        <row r="1488">
          <cell r="A1488"/>
          <cell r="J1488"/>
        </row>
        <row r="1489">
          <cell r="A1489"/>
          <cell r="J1489"/>
        </row>
        <row r="1490">
          <cell r="A1490"/>
          <cell r="J1490"/>
        </row>
        <row r="1491">
          <cell r="A1491"/>
          <cell r="J1491"/>
        </row>
        <row r="1492">
          <cell r="A1492"/>
          <cell r="J1492"/>
        </row>
        <row r="1493">
          <cell r="A1493"/>
          <cell r="J1493"/>
        </row>
        <row r="1494">
          <cell r="A1494"/>
          <cell r="J1494"/>
        </row>
        <row r="1495">
          <cell r="A1495"/>
          <cell r="J1495"/>
        </row>
        <row r="1496">
          <cell r="A1496"/>
          <cell r="J1496"/>
        </row>
        <row r="1497">
          <cell r="A1497"/>
          <cell r="J1497"/>
        </row>
        <row r="1498">
          <cell r="A1498"/>
          <cell r="J1498"/>
        </row>
        <row r="1499">
          <cell r="A1499"/>
          <cell r="J1499"/>
        </row>
        <row r="1500">
          <cell r="A1500"/>
          <cell r="J1500"/>
        </row>
        <row r="1501">
          <cell r="A1501"/>
          <cell r="J1501"/>
        </row>
        <row r="1502">
          <cell r="A1502"/>
          <cell r="J1502"/>
        </row>
        <row r="1503">
          <cell r="A1503"/>
          <cell r="J1503"/>
        </row>
        <row r="1504">
          <cell r="A1504"/>
          <cell r="J1504"/>
        </row>
        <row r="1505">
          <cell r="A1505"/>
          <cell r="J1505"/>
        </row>
        <row r="1506">
          <cell r="A1506"/>
          <cell r="J1506"/>
        </row>
        <row r="1507">
          <cell r="A1507"/>
          <cell r="J1507"/>
        </row>
        <row r="1508">
          <cell r="A1508"/>
          <cell r="J1508"/>
        </row>
        <row r="1509">
          <cell r="A1509"/>
          <cell r="J1509"/>
        </row>
        <row r="1510">
          <cell r="A1510"/>
          <cell r="J1510"/>
        </row>
        <row r="1511">
          <cell r="A1511"/>
          <cell r="J1511"/>
        </row>
        <row r="1512">
          <cell r="A1512"/>
          <cell r="J1512"/>
        </row>
        <row r="1513">
          <cell r="A1513"/>
          <cell r="J1513"/>
        </row>
        <row r="1514">
          <cell r="A1514"/>
          <cell r="J1514"/>
        </row>
        <row r="1515">
          <cell r="A1515"/>
          <cell r="J1515"/>
        </row>
        <row r="1516">
          <cell r="A1516"/>
          <cell r="J1516"/>
        </row>
        <row r="1517">
          <cell r="A1517"/>
          <cell r="J1517"/>
        </row>
        <row r="1518">
          <cell r="A1518"/>
          <cell r="J1518"/>
        </row>
        <row r="1519">
          <cell r="A1519"/>
          <cell r="J1519"/>
        </row>
        <row r="1520">
          <cell r="A1520"/>
          <cell r="J1520"/>
        </row>
        <row r="1521">
          <cell r="A1521"/>
          <cell r="J1521"/>
        </row>
        <row r="1522">
          <cell r="A1522"/>
          <cell r="J1522"/>
        </row>
        <row r="1523">
          <cell r="A1523"/>
          <cell r="J1523"/>
        </row>
        <row r="1524">
          <cell r="A1524"/>
          <cell r="J1524"/>
        </row>
        <row r="1525">
          <cell r="A1525"/>
          <cell r="J1525"/>
        </row>
        <row r="1526">
          <cell r="A1526"/>
          <cell r="J1526"/>
        </row>
        <row r="1527">
          <cell r="A1527"/>
          <cell r="J1527"/>
        </row>
        <row r="1528">
          <cell r="A1528"/>
          <cell r="J1528"/>
        </row>
        <row r="1529">
          <cell r="A1529"/>
          <cell r="J1529"/>
        </row>
        <row r="1530">
          <cell r="A1530"/>
          <cell r="J1530"/>
        </row>
        <row r="1531">
          <cell r="A1531"/>
          <cell r="J1531"/>
        </row>
        <row r="1532">
          <cell r="A1532"/>
          <cell r="J1532"/>
        </row>
        <row r="1533">
          <cell r="A1533"/>
          <cell r="J1533"/>
        </row>
        <row r="1534">
          <cell r="A1534"/>
          <cell r="J1534"/>
        </row>
        <row r="1535">
          <cell r="A1535"/>
          <cell r="J1535"/>
        </row>
        <row r="1536">
          <cell r="A1536"/>
          <cell r="J1536"/>
        </row>
        <row r="1537">
          <cell r="A1537"/>
          <cell r="J1537"/>
        </row>
        <row r="1538">
          <cell r="A1538"/>
          <cell r="J1538"/>
        </row>
        <row r="1539">
          <cell r="A1539"/>
          <cell r="J1539"/>
        </row>
        <row r="1540">
          <cell r="A1540"/>
          <cell r="J1540"/>
        </row>
        <row r="1541">
          <cell r="A1541"/>
          <cell r="J1541"/>
        </row>
        <row r="1542">
          <cell r="A1542"/>
          <cell r="J1542"/>
        </row>
        <row r="1543">
          <cell r="A1543"/>
          <cell r="J1543"/>
        </row>
        <row r="1544">
          <cell r="A1544"/>
          <cell r="J1544"/>
        </row>
        <row r="1545">
          <cell r="A1545"/>
          <cell r="J1545"/>
        </row>
        <row r="1546">
          <cell r="A1546"/>
          <cell r="J1546"/>
        </row>
        <row r="1547">
          <cell r="A1547"/>
          <cell r="J1547"/>
        </row>
        <row r="1548">
          <cell r="A1548"/>
          <cell r="J1548"/>
        </row>
        <row r="1549">
          <cell r="A1549"/>
          <cell r="J1549"/>
        </row>
        <row r="1550">
          <cell r="A1550"/>
          <cell r="J1550"/>
        </row>
        <row r="1551">
          <cell r="A1551"/>
          <cell r="J1551"/>
        </row>
        <row r="1552">
          <cell r="A1552"/>
          <cell r="J1552"/>
        </row>
        <row r="1553">
          <cell r="A1553"/>
          <cell r="J1553"/>
        </row>
        <row r="1554">
          <cell r="A1554"/>
          <cell r="J1554"/>
        </row>
        <row r="1555">
          <cell r="A1555"/>
          <cell r="J1555"/>
        </row>
        <row r="1556">
          <cell r="A1556"/>
          <cell r="J1556"/>
        </row>
        <row r="1557">
          <cell r="A1557"/>
          <cell r="J1557"/>
        </row>
        <row r="1558">
          <cell r="A1558"/>
          <cell r="J1558"/>
        </row>
        <row r="1559">
          <cell r="A1559"/>
          <cell r="J1559"/>
        </row>
        <row r="1560">
          <cell r="A1560"/>
          <cell r="J1560"/>
        </row>
        <row r="1561">
          <cell r="A1561"/>
          <cell r="J1561"/>
        </row>
        <row r="1562">
          <cell r="A1562"/>
          <cell r="J1562"/>
        </row>
        <row r="1563">
          <cell r="A1563"/>
          <cell r="J1563"/>
        </row>
        <row r="1564">
          <cell r="A1564"/>
          <cell r="J1564"/>
        </row>
        <row r="1565">
          <cell r="A1565"/>
          <cell r="J1565"/>
        </row>
        <row r="1566">
          <cell r="A1566"/>
          <cell r="J1566"/>
        </row>
        <row r="1567">
          <cell r="A1567"/>
          <cell r="J1567"/>
        </row>
        <row r="1568">
          <cell r="A1568"/>
          <cell r="J1568"/>
        </row>
        <row r="1569">
          <cell r="A1569"/>
          <cell r="J1569"/>
        </row>
        <row r="1570">
          <cell r="A1570"/>
          <cell r="J1570"/>
        </row>
        <row r="1571">
          <cell r="A1571"/>
          <cell r="J1571"/>
        </row>
        <row r="1572">
          <cell r="A1572"/>
          <cell r="J1572"/>
        </row>
        <row r="1573">
          <cell r="A1573"/>
          <cell r="J1573"/>
        </row>
        <row r="1574">
          <cell r="A1574"/>
          <cell r="J1574"/>
        </row>
        <row r="1575">
          <cell r="A1575"/>
          <cell r="J1575"/>
        </row>
        <row r="1576">
          <cell r="A1576"/>
          <cell r="J1576"/>
        </row>
        <row r="1577">
          <cell r="A1577"/>
          <cell r="J1577"/>
        </row>
        <row r="1578">
          <cell r="A1578"/>
          <cell r="J1578"/>
        </row>
        <row r="1579">
          <cell r="A1579"/>
          <cell r="J1579"/>
        </row>
        <row r="1580">
          <cell r="A1580"/>
          <cell r="J1580"/>
        </row>
        <row r="1581">
          <cell r="A1581"/>
          <cell r="J1581"/>
        </row>
        <row r="1582">
          <cell r="A1582"/>
          <cell r="J1582"/>
        </row>
        <row r="1583">
          <cell r="A1583"/>
          <cell r="J1583"/>
        </row>
        <row r="1584">
          <cell r="A1584"/>
          <cell r="J1584"/>
        </row>
        <row r="1585">
          <cell r="A1585"/>
          <cell r="J1585"/>
        </row>
        <row r="1586">
          <cell r="A1586"/>
          <cell r="J1586"/>
        </row>
        <row r="1587">
          <cell r="A1587"/>
          <cell r="J1587"/>
        </row>
        <row r="1588">
          <cell r="A1588"/>
          <cell r="J1588"/>
        </row>
        <row r="1589">
          <cell r="A1589"/>
          <cell r="J1589"/>
        </row>
        <row r="1590">
          <cell r="A1590"/>
          <cell r="J1590"/>
        </row>
        <row r="1591">
          <cell r="A1591"/>
          <cell r="J1591"/>
        </row>
        <row r="1592">
          <cell r="A1592"/>
          <cell r="J1592"/>
        </row>
        <row r="1593">
          <cell r="A1593"/>
          <cell r="J1593"/>
        </row>
        <row r="1594">
          <cell r="A1594"/>
          <cell r="J1594"/>
        </row>
        <row r="1595">
          <cell r="A1595"/>
          <cell r="J1595"/>
        </row>
        <row r="1596">
          <cell r="A1596"/>
          <cell r="J1596"/>
        </row>
        <row r="1597">
          <cell r="A1597"/>
          <cell r="J1597"/>
        </row>
        <row r="1598">
          <cell r="A1598"/>
          <cell r="J1598"/>
        </row>
        <row r="1599">
          <cell r="A1599"/>
          <cell r="J1599"/>
        </row>
        <row r="1600">
          <cell r="A1600"/>
          <cell r="J1600"/>
        </row>
        <row r="1601">
          <cell r="A1601"/>
          <cell r="J1601"/>
        </row>
        <row r="1602">
          <cell r="A1602"/>
          <cell r="J1602"/>
        </row>
        <row r="1603">
          <cell r="A1603"/>
          <cell r="J1603"/>
        </row>
        <row r="1604">
          <cell r="A1604"/>
          <cell r="J1604"/>
        </row>
        <row r="1605">
          <cell r="A1605"/>
          <cell r="J1605"/>
        </row>
        <row r="1606">
          <cell r="A1606"/>
          <cell r="J1606"/>
        </row>
        <row r="1607">
          <cell r="A1607"/>
          <cell r="J1607"/>
        </row>
        <row r="1608">
          <cell r="A1608"/>
          <cell r="J1608"/>
        </row>
        <row r="1609">
          <cell r="A1609"/>
          <cell r="J1609"/>
        </row>
        <row r="1610">
          <cell r="A1610"/>
          <cell r="J1610"/>
        </row>
        <row r="1611">
          <cell r="A1611"/>
          <cell r="J1611"/>
        </row>
        <row r="1612">
          <cell r="A1612"/>
          <cell r="J1612"/>
        </row>
        <row r="1613">
          <cell r="A1613"/>
          <cell r="J1613"/>
        </row>
        <row r="1614">
          <cell r="A1614"/>
          <cell r="J1614"/>
        </row>
        <row r="1615">
          <cell r="A1615"/>
          <cell r="J1615"/>
        </row>
        <row r="1616">
          <cell r="A1616"/>
          <cell r="J1616"/>
        </row>
        <row r="1617">
          <cell r="A1617"/>
          <cell r="J1617"/>
        </row>
        <row r="1618">
          <cell r="A1618"/>
          <cell r="J1618"/>
        </row>
        <row r="1619">
          <cell r="A1619"/>
          <cell r="J1619"/>
        </row>
        <row r="1620">
          <cell r="A1620"/>
          <cell r="J1620"/>
        </row>
        <row r="1621">
          <cell r="A1621"/>
          <cell r="J1621"/>
        </row>
        <row r="1622">
          <cell r="A1622"/>
          <cell r="J1622"/>
        </row>
        <row r="1623">
          <cell r="A1623"/>
          <cell r="J1623"/>
        </row>
        <row r="1624">
          <cell r="A1624"/>
          <cell r="J1624"/>
        </row>
        <row r="1625">
          <cell r="A1625"/>
          <cell r="J1625"/>
        </row>
        <row r="1626">
          <cell r="A1626"/>
          <cell r="J1626"/>
        </row>
        <row r="1627">
          <cell r="A1627"/>
          <cell r="J1627"/>
        </row>
        <row r="1628">
          <cell r="A1628"/>
          <cell r="J1628"/>
        </row>
        <row r="1629">
          <cell r="A1629"/>
          <cell r="J1629"/>
        </row>
        <row r="1630">
          <cell r="A1630"/>
          <cell r="J1630"/>
        </row>
        <row r="1631">
          <cell r="A1631"/>
          <cell r="J1631"/>
        </row>
        <row r="1632">
          <cell r="A1632"/>
          <cell r="J1632"/>
        </row>
        <row r="1633">
          <cell r="A1633"/>
          <cell r="J1633"/>
        </row>
        <row r="1634">
          <cell r="A1634"/>
          <cell r="J1634"/>
        </row>
        <row r="1635">
          <cell r="A1635"/>
          <cell r="J1635"/>
        </row>
        <row r="1636">
          <cell r="A1636"/>
          <cell r="J1636"/>
        </row>
        <row r="1637">
          <cell r="A1637"/>
          <cell r="J1637"/>
        </row>
        <row r="1638">
          <cell r="A1638"/>
          <cell r="J1638"/>
        </row>
        <row r="1639">
          <cell r="A1639"/>
          <cell r="J1639"/>
        </row>
        <row r="1640">
          <cell r="A1640"/>
          <cell r="J1640"/>
        </row>
        <row r="1641">
          <cell r="A1641"/>
          <cell r="J1641"/>
        </row>
        <row r="1642">
          <cell r="A1642"/>
          <cell r="J1642"/>
        </row>
        <row r="1643">
          <cell r="A1643"/>
          <cell r="J1643"/>
        </row>
        <row r="1644">
          <cell r="A1644"/>
          <cell r="J1644"/>
        </row>
        <row r="1645">
          <cell r="A1645"/>
          <cell r="J1645"/>
        </row>
        <row r="1646">
          <cell r="A1646"/>
          <cell r="J1646"/>
        </row>
        <row r="1647">
          <cell r="A1647"/>
          <cell r="J1647"/>
        </row>
        <row r="1648">
          <cell r="A1648"/>
          <cell r="J1648"/>
        </row>
        <row r="1649">
          <cell r="A1649"/>
          <cell r="J1649"/>
        </row>
        <row r="1650">
          <cell r="A1650"/>
          <cell r="J1650"/>
        </row>
        <row r="1651">
          <cell r="A1651"/>
          <cell r="J1651"/>
        </row>
        <row r="1652">
          <cell r="A1652"/>
          <cell r="J1652"/>
        </row>
        <row r="1653">
          <cell r="A1653"/>
          <cell r="J1653"/>
        </row>
        <row r="1654">
          <cell r="A1654"/>
          <cell r="J1654"/>
        </row>
        <row r="1655">
          <cell r="A1655"/>
          <cell r="J1655"/>
        </row>
        <row r="1656">
          <cell r="A1656"/>
          <cell r="J1656"/>
        </row>
        <row r="1657">
          <cell r="A1657"/>
          <cell r="J1657"/>
        </row>
        <row r="1658">
          <cell r="A1658"/>
          <cell r="J1658"/>
        </row>
        <row r="1659">
          <cell r="A1659"/>
          <cell r="J1659"/>
        </row>
        <row r="1660">
          <cell r="A1660"/>
          <cell r="J1660"/>
        </row>
        <row r="1661">
          <cell r="A1661"/>
          <cell r="J1661"/>
        </row>
        <row r="1662">
          <cell r="A1662"/>
          <cell r="J1662"/>
        </row>
        <row r="1663">
          <cell r="A1663"/>
          <cell r="J1663"/>
        </row>
        <row r="1664">
          <cell r="A1664"/>
          <cell r="J1664"/>
        </row>
        <row r="1665">
          <cell r="A1665"/>
          <cell r="J1665"/>
        </row>
        <row r="1666">
          <cell r="A1666"/>
          <cell r="J1666"/>
        </row>
        <row r="1667">
          <cell r="A1667"/>
          <cell r="J1667"/>
        </row>
        <row r="1668">
          <cell r="A1668"/>
          <cell r="J1668"/>
        </row>
        <row r="1669">
          <cell r="A1669"/>
          <cell r="J1669"/>
        </row>
        <row r="1670">
          <cell r="A1670"/>
          <cell r="J1670"/>
        </row>
        <row r="1671">
          <cell r="A1671"/>
          <cell r="J1671"/>
        </row>
        <row r="1672">
          <cell r="A1672"/>
          <cell r="J1672"/>
        </row>
        <row r="1673">
          <cell r="A1673"/>
          <cell r="J1673"/>
        </row>
        <row r="1674">
          <cell r="A1674"/>
          <cell r="J1674"/>
        </row>
        <row r="1675">
          <cell r="A1675"/>
          <cell r="J1675"/>
        </row>
        <row r="1676">
          <cell r="A1676"/>
          <cell r="J1676"/>
        </row>
        <row r="1677">
          <cell r="A1677"/>
          <cell r="J1677"/>
        </row>
        <row r="1678">
          <cell r="A1678"/>
          <cell r="J1678"/>
        </row>
        <row r="1679">
          <cell r="A1679"/>
          <cell r="J1679"/>
        </row>
        <row r="1680">
          <cell r="A1680"/>
          <cell r="J1680"/>
        </row>
        <row r="1681">
          <cell r="A1681"/>
          <cell r="J1681"/>
        </row>
        <row r="1682">
          <cell r="A1682"/>
          <cell r="J1682"/>
        </row>
        <row r="1683">
          <cell r="A1683"/>
          <cell r="J1683"/>
        </row>
        <row r="1684">
          <cell r="A1684"/>
          <cell r="J1684"/>
        </row>
        <row r="1685">
          <cell r="A1685"/>
          <cell r="J1685"/>
        </row>
        <row r="1686">
          <cell r="A1686"/>
          <cell r="J1686"/>
        </row>
        <row r="1687">
          <cell r="A1687"/>
          <cell r="J1687"/>
        </row>
        <row r="1688">
          <cell r="A1688"/>
          <cell r="J1688"/>
        </row>
        <row r="1689">
          <cell r="A1689"/>
          <cell r="J1689"/>
        </row>
        <row r="1690">
          <cell r="A1690"/>
          <cell r="J1690"/>
        </row>
        <row r="1691">
          <cell r="A1691"/>
          <cell r="J1691"/>
        </row>
        <row r="1692">
          <cell r="A1692"/>
          <cell r="J1692"/>
        </row>
        <row r="1693">
          <cell r="A1693"/>
          <cell r="J1693"/>
        </row>
        <row r="1694">
          <cell r="A1694"/>
          <cell r="J1694"/>
        </row>
        <row r="1695">
          <cell r="A1695"/>
          <cell r="J1695"/>
        </row>
        <row r="1696">
          <cell r="A1696"/>
          <cell r="J1696"/>
        </row>
        <row r="1697">
          <cell r="A1697"/>
          <cell r="J1697"/>
        </row>
        <row r="1698">
          <cell r="A1698"/>
          <cell r="J1698"/>
        </row>
        <row r="1699">
          <cell r="A1699"/>
          <cell r="J1699"/>
        </row>
        <row r="1700">
          <cell r="A1700"/>
          <cell r="J1700"/>
        </row>
        <row r="1701">
          <cell r="A1701"/>
          <cell r="J1701"/>
        </row>
        <row r="1702">
          <cell r="A1702"/>
          <cell r="J1702"/>
        </row>
        <row r="1703">
          <cell r="A1703"/>
          <cell r="J1703"/>
        </row>
        <row r="1704">
          <cell r="A1704"/>
          <cell r="J1704"/>
        </row>
        <row r="1705">
          <cell r="A1705"/>
          <cell r="J1705"/>
        </row>
        <row r="1706">
          <cell r="A1706"/>
          <cell r="J1706"/>
        </row>
        <row r="1707">
          <cell r="A1707"/>
          <cell r="J1707"/>
        </row>
        <row r="1708">
          <cell r="A1708"/>
          <cell r="J1708"/>
        </row>
        <row r="1709">
          <cell r="A1709"/>
          <cell r="J1709"/>
        </row>
        <row r="1710">
          <cell r="A1710"/>
          <cell r="J1710"/>
        </row>
        <row r="1711">
          <cell r="A1711"/>
          <cell r="J1711"/>
        </row>
        <row r="1712">
          <cell r="A1712"/>
          <cell r="J1712"/>
        </row>
        <row r="1713">
          <cell r="A1713"/>
          <cell r="J1713"/>
        </row>
        <row r="1714">
          <cell r="A1714"/>
          <cell r="J1714"/>
        </row>
        <row r="1715">
          <cell r="A1715"/>
          <cell r="J1715"/>
        </row>
        <row r="1716">
          <cell r="A1716"/>
          <cell r="J1716"/>
        </row>
        <row r="1717">
          <cell r="A1717"/>
          <cell r="J1717"/>
        </row>
        <row r="1718">
          <cell r="A1718"/>
          <cell r="J1718"/>
        </row>
        <row r="1719">
          <cell r="A1719"/>
          <cell r="J1719"/>
        </row>
        <row r="1720">
          <cell r="A1720"/>
          <cell r="J1720"/>
        </row>
        <row r="1721">
          <cell r="A1721"/>
          <cell r="J1721"/>
        </row>
        <row r="1722">
          <cell r="A1722"/>
          <cell r="J1722"/>
        </row>
        <row r="1723">
          <cell r="A1723"/>
          <cell r="J1723"/>
        </row>
        <row r="1724">
          <cell r="A1724"/>
          <cell r="J1724"/>
        </row>
        <row r="1725">
          <cell r="A1725"/>
          <cell r="J1725"/>
        </row>
        <row r="1726">
          <cell r="A1726"/>
          <cell r="J1726"/>
        </row>
        <row r="1727">
          <cell r="A1727"/>
          <cell r="J1727"/>
        </row>
        <row r="1728">
          <cell r="A1728"/>
          <cell r="J1728"/>
        </row>
        <row r="1729">
          <cell r="A1729"/>
          <cell r="J1729"/>
        </row>
        <row r="1730">
          <cell r="A1730"/>
          <cell r="J1730"/>
        </row>
        <row r="1731">
          <cell r="A1731"/>
          <cell r="J1731"/>
        </row>
        <row r="1732">
          <cell r="A1732"/>
          <cell r="J1732"/>
        </row>
        <row r="1733">
          <cell r="A1733"/>
          <cell r="J1733"/>
        </row>
        <row r="1734">
          <cell r="A1734"/>
          <cell r="J1734"/>
        </row>
        <row r="1735">
          <cell r="A1735"/>
          <cell r="J1735"/>
        </row>
        <row r="1736">
          <cell r="A1736"/>
          <cell r="J1736"/>
        </row>
        <row r="1737">
          <cell r="A1737"/>
          <cell r="J1737"/>
        </row>
        <row r="1738">
          <cell r="A1738"/>
          <cell r="J1738"/>
        </row>
        <row r="1739">
          <cell r="A1739"/>
          <cell r="J1739"/>
        </row>
        <row r="1740">
          <cell r="A1740"/>
          <cell r="J1740"/>
        </row>
        <row r="1741">
          <cell r="A1741"/>
          <cell r="J1741"/>
        </row>
        <row r="1742">
          <cell r="A1742"/>
          <cell r="J1742"/>
        </row>
        <row r="1743">
          <cell r="A1743"/>
          <cell r="J1743"/>
        </row>
        <row r="1744">
          <cell r="A1744"/>
          <cell r="J1744"/>
        </row>
        <row r="1745">
          <cell r="A1745"/>
          <cell r="J1745"/>
        </row>
        <row r="1746">
          <cell r="A1746"/>
          <cell r="J1746"/>
        </row>
        <row r="1747">
          <cell r="A1747"/>
          <cell r="J1747"/>
        </row>
        <row r="1748">
          <cell r="A1748"/>
          <cell r="J1748"/>
        </row>
        <row r="1749">
          <cell r="A1749"/>
          <cell r="J1749"/>
        </row>
        <row r="1750">
          <cell r="A1750"/>
          <cell r="J1750"/>
        </row>
        <row r="1751">
          <cell r="A1751"/>
          <cell r="J1751"/>
        </row>
        <row r="1752">
          <cell r="A1752"/>
          <cell r="J1752"/>
        </row>
        <row r="1753">
          <cell r="A1753"/>
          <cell r="J1753"/>
        </row>
        <row r="1754">
          <cell r="A1754"/>
          <cell r="J1754"/>
        </row>
        <row r="1755">
          <cell r="A1755"/>
          <cell r="J1755"/>
        </row>
        <row r="1756">
          <cell r="A1756"/>
          <cell r="J1756"/>
        </row>
        <row r="1757">
          <cell r="A1757"/>
          <cell r="J1757"/>
        </row>
        <row r="1758">
          <cell r="A1758"/>
          <cell r="J1758"/>
        </row>
        <row r="1759">
          <cell r="A1759"/>
          <cell r="J1759"/>
        </row>
        <row r="1760">
          <cell r="A1760"/>
          <cell r="J1760"/>
        </row>
        <row r="1761">
          <cell r="A1761"/>
          <cell r="J1761"/>
        </row>
        <row r="1762">
          <cell r="A1762"/>
          <cell r="J1762"/>
        </row>
        <row r="1763">
          <cell r="A1763"/>
          <cell r="J1763"/>
        </row>
        <row r="1764">
          <cell r="A1764"/>
          <cell r="J1764"/>
        </row>
        <row r="1765">
          <cell r="A1765"/>
          <cell r="J1765"/>
        </row>
        <row r="1766">
          <cell r="A1766"/>
          <cell r="J1766"/>
        </row>
        <row r="1767">
          <cell r="A1767"/>
          <cell r="J1767"/>
        </row>
        <row r="1768">
          <cell r="A1768"/>
          <cell r="J1768"/>
        </row>
        <row r="1769">
          <cell r="A1769"/>
          <cell r="J1769"/>
        </row>
        <row r="1770">
          <cell r="A1770"/>
          <cell r="J1770"/>
        </row>
        <row r="1771">
          <cell r="A1771"/>
          <cell r="J1771"/>
        </row>
        <row r="1772">
          <cell r="A1772"/>
          <cell r="J1772"/>
        </row>
        <row r="1773">
          <cell r="A1773"/>
          <cell r="J1773"/>
        </row>
        <row r="1774">
          <cell r="A1774"/>
          <cell r="J1774"/>
        </row>
        <row r="1775">
          <cell r="A1775"/>
          <cell r="J1775"/>
        </row>
        <row r="1776">
          <cell r="A1776"/>
          <cell r="J1776"/>
        </row>
        <row r="1777">
          <cell r="A1777"/>
          <cell r="J1777"/>
        </row>
        <row r="1778">
          <cell r="A1778"/>
          <cell r="J1778"/>
        </row>
        <row r="1779">
          <cell r="A1779"/>
          <cell r="J1779"/>
        </row>
        <row r="1780">
          <cell r="A1780"/>
          <cell r="J1780"/>
        </row>
        <row r="1781">
          <cell r="A1781"/>
          <cell r="J1781"/>
        </row>
        <row r="1782">
          <cell r="A1782"/>
          <cell r="J1782"/>
        </row>
        <row r="1783">
          <cell r="A1783"/>
          <cell r="J1783"/>
        </row>
        <row r="1784">
          <cell r="A1784"/>
          <cell r="J1784"/>
        </row>
        <row r="1785">
          <cell r="A1785"/>
          <cell r="J1785"/>
        </row>
        <row r="1786">
          <cell r="A1786"/>
          <cell r="J1786"/>
        </row>
        <row r="1787">
          <cell r="A1787"/>
          <cell r="J1787"/>
        </row>
        <row r="1788">
          <cell r="A1788"/>
          <cell r="J1788"/>
        </row>
        <row r="1789">
          <cell r="A1789"/>
          <cell r="J1789"/>
        </row>
        <row r="1790">
          <cell r="A1790"/>
          <cell r="J1790"/>
        </row>
        <row r="1791">
          <cell r="A1791"/>
          <cell r="J1791"/>
        </row>
        <row r="1792">
          <cell r="A1792"/>
          <cell r="J1792"/>
        </row>
        <row r="1793">
          <cell r="A1793"/>
          <cell r="J1793"/>
        </row>
        <row r="1794">
          <cell r="A1794"/>
          <cell r="J1794"/>
        </row>
        <row r="1795">
          <cell r="A1795"/>
          <cell r="J1795"/>
        </row>
        <row r="1796">
          <cell r="A1796"/>
          <cell r="J1796"/>
        </row>
        <row r="1797">
          <cell r="A1797"/>
          <cell r="J1797"/>
        </row>
        <row r="1798">
          <cell r="A1798"/>
          <cell r="J1798"/>
        </row>
        <row r="1799">
          <cell r="A1799"/>
          <cell r="J1799"/>
        </row>
        <row r="1800">
          <cell r="A1800"/>
          <cell r="J1800"/>
        </row>
        <row r="1801">
          <cell r="A1801"/>
          <cell r="J1801"/>
        </row>
        <row r="1802">
          <cell r="A1802"/>
          <cell r="J1802"/>
        </row>
        <row r="1803">
          <cell r="A1803"/>
          <cell r="J1803"/>
        </row>
        <row r="1804">
          <cell r="A1804"/>
          <cell r="J1804"/>
        </row>
        <row r="1805">
          <cell r="A1805"/>
          <cell r="J1805"/>
        </row>
        <row r="1806">
          <cell r="A1806"/>
          <cell r="J1806"/>
        </row>
        <row r="1807">
          <cell r="A1807"/>
          <cell r="J1807"/>
        </row>
        <row r="1808">
          <cell r="A1808"/>
          <cell r="J1808"/>
        </row>
        <row r="1809">
          <cell r="A1809"/>
          <cell r="J1809"/>
        </row>
        <row r="1810">
          <cell r="A1810"/>
          <cell r="J1810"/>
        </row>
        <row r="1811">
          <cell r="A1811"/>
          <cell r="J1811"/>
        </row>
        <row r="1812">
          <cell r="A1812"/>
          <cell r="J1812"/>
        </row>
        <row r="1813">
          <cell r="A1813"/>
          <cell r="J1813"/>
        </row>
        <row r="1814">
          <cell r="A1814"/>
          <cell r="J1814"/>
        </row>
        <row r="1815">
          <cell r="A1815"/>
          <cell r="J1815"/>
        </row>
        <row r="1816">
          <cell r="A1816"/>
          <cell r="J1816"/>
        </row>
        <row r="1817">
          <cell r="A1817"/>
          <cell r="J1817"/>
        </row>
        <row r="1818">
          <cell r="A1818"/>
          <cell r="J1818"/>
        </row>
        <row r="1819">
          <cell r="A1819"/>
          <cell r="J1819"/>
        </row>
        <row r="1820">
          <cell r="A1820"/>
          <cell r="J1820"/>
        </row>
        <row r="1821">
          <cell r="A1821"/>
          <cell r="J1821"/>
        </row>
        <row r="1822">
          <cell r="A1822"/>
          <cell r="J1822"/>
        </row>
        <row r="1823">
          <cell r="A1823"/>
          <cell r="J1823"/>
        </row>
        <row r="1824">
          <cell r="A1824"/>
          <cell r="J1824"/>
        </row>
        <row r="1825">
          <cell r="A1825"/>
          <cell r="J1825"/>
        </row>
        <row r="1826">
          <cell r="A1826"/>
          <cell r="J1826"/>
        </row>
        <row r="1827">
          <cell r="A1827"/>
          <cell r="J1827"/>
        </row>
        <row r="1828">
          <cell r="A1828"/>
          <cell r="J1828"/>
        </row>
        <row r="1829">
          <cell r="A1829"/>
          <cell r="J1829"/>
        </row>
        <row r="1830">
          <cell r="A1830"/>
          <cell r="J1830"/>
        </row>
        <row r="1831">
          <cell r="A1831"/>
          <cell r="J1831"/>
        </row>
        <row r="1832">
          <cell r="A1832"/>
          <cell r="J1832"/>
        </row>
        <row r="1833">
          <cell r="A1833"/>
          <cell r="J1833"/>
        </row>
        <row r="1834">
          <cell r="A1834"/>
          <cell r="J1834"/>
        </row>
        <row r="1835">
          <cell r="A1835"/>
          <cell r="J1835"/>
        </row>
        <row r="1836">
          <cell r="A1836"/>
          <cell r="J1836"/>
        </row>
        <row r="1837">
          <cell r="A1837"/>
          <cell r="J1837"/>
        </row>
        <row r="1838">
          <cell r="A1838"/>
          <cell r="J1838"/>
        </row>
        <row r="1839">
          <cell r="A1839"/>
          <cell r="J1839"/>
        </row>
        <row r="1840">
          <cell r="A1840"/>
          <cell r="J1840"/>
        </row>
        <row r="1841">
          <cell r="A1841"/>
          <cell r="J1841"/>
        </row>
        <row r="1842">
          <cell r="A1842"/>
          <cell r="J1842"/>
        </row>
        <row r="1843">
          <cell r="A1843"/>
          <cell r="J1843"/>
        </row>
        <row r="1844">
          <cell r="A1844"/>
          <cell r="J1844"/>
        </row>
        <row r="1845">
          <cell r="A1845"/>
          <cell r="J1845"/>
        </row>
        <row r="1846">
          <cell r="A1846"/>
          <cell r="J1846"/>
        </row>
        <row r="1847">
          <cell r="A1847"/>
          <cell r="J1847"/>
        </row>
        <row r="1848">
          <cell r="A1848"/>
          <cell r="J1848"/>
        </row>
        <row r="1849">
          <cell r="A1849"/>
          <cell r="J1849"/>
        </row>
        <row r="1850">
          <cell r="A1850"/>
          <cell r="J1850"/>
        </row>
        <row r="1851">
          <cell r="A1851"/>
          <cell r="J1851"/>
        </row>
        <row r="1852">
          <cell r="A1852"/>
          <cell r="J1852"/>
        </row>
        <row r="1853">
          <cell r="A1853"/>
          <cell r="J1853"/>
        </row>
        <row r="1854">
          <cell r="A1854"/>
          <cell r="J1854"/>
        </row>
        <row r="1855">
          <cell r="A1855"/>
          <cell r="J1855"/>
        </row>
        <row r="1856">
          <cell r="A1856"/>
          <cell r="J1856"/>
        </row>
        <row r="1857">
          <cell r="A1857"/>
          <cell r="J1857"/>
        </row>
        <row r="1858">
          <cell r="A1858"/>
          <cell r="J1858"/>
        </row>
        <row r="1859">
          <cell r="A1859"/>
          <cell r="J1859"/>
        </row>
        <row r="1860">
          <cell r="A1860"/>
          <cell r="J1860"/>
        </row>
        <row r="1861">
          <cell r="A1861"/>
          <cell r="J1861"/>
        </row>
        <row r="1862">
          <cell r="A1862"/>
          <cell r="J1862"/>
        </row>
        <row r="1863">
          <cell r="A1863"/>
          <cell r="J1863"/>
        </row>
        <row r="1864">
          <cell r="A1864"/>
          <cell r="J1864"/>
        </row>
        <row r="1865">
          <cell r="A1865"/>
          <cell r="J1865"/>
        </row>
        <row r="1866">
          <cell r="A1866"/>
          <cell r="J1866"/>
        </row>
        <row r="1867">
          <cell r="A1867"/>
          <cell r="J1867"/>
        </row>
        <row r="1868">
          <cell r="A1868"/>
          <cell r="J1868"/>
        </row>
        <row r="1869">
          <cell r="A1869"/>
          <cell r="J1869"/>
        </row>
        <row r="1870">
          <cell r="A1870"/>
          <cell r="J1870"/>
        </row>
        <row r="1871">
          <cell r="A1871"/>
          <cell r="J1871"/>
        </row>
        <row r="1872">
          <cell r="A1872"/>
          <cell r="J1872"/>
        </row>
        <row r="1873">
          <cell r="A1873"/>
          <cell r="J1873"/>
        </row>
        <row r="1874">
          <cell r="A1874"/>
          <cell r="J1874"/>
        </row>
        <row r="1875">
          <cell r="A1875"/>
          <cell r="J1875"/>
        </row>
        <row r="1876">
          <cell r="A1876"/>
          <cell r="J1876"/>
        </row>
        <row r="1877">
          <cell r="A1877"/>
          <cell r="J1877"/>
        </row>
        <row r="1878">
          <cell r="A1878"/>
          <cell r="J1878"/>
        </row>
        <row r="1879">
          <cell r="A1879"/>
          <cell r="J1879"/>
        </row>
        <row r="1880">
          <cell r="A1880"/>
          <cell r="J1880"/>
        </row>
        <row r="1881">
          <cell r="A1881"/>
          <cell r="J1881"/>
        </row>
        <row r="1882">
          <cell r="A1882"/>
          <cell r="J1882"/>
        </row>
        <row r="1883">
          <cell r="A1883"/>
          <cell r="J1883"/>
        </row>
        <row r="1884">
          <cell r="A1884"/>
          <cell r="J1884"/>
        </row>
        <row r="1885">
          <cell r="A1885"/>
          <cell r="J1885"/>
        </row>
        <row r="1886">
          <cell r="A1886"/>
          <cell r="J1886"/>
        </row>
        <row r="1887">
          <cell r="A1887"/>
          <cell r="J1887"/>
        </row>
        <row r="1888">
          <cell r="A1888"/>
          <cell r="J1888"/>
        </row>
        <row r="1889">
          <cell r="A1889"/>
          <cell r="J1889"/>
        </row>
        <row r="1890">
          <cell r="A1890"/>
          <cell r="J1890"/>
        </row>
        <row r="1891">
          <cell r="A1891"/>
          <cell r="J1891"/>
        </row>
        <row r="1892">
          <cell r="A1892"/>
          <cell r="J1892"/>
        </row>
        <row r="1893">
          <cell r="A1893"/>
          <cell r="J1893"/>
        </row>
        <row r="1894">
          <cell r="A1894"/>
          <cell r="J1894"/>
        </row>
        <row r="1895">
          <cell r="A1895"/>
          <cell r="J1895"/>
        </row>
        <row r="1896">
          <cell r="A1896"/>
          <cell r="J1896"/>
        </row>
        <row r="1897">
          <cell r="A1897"/>
          <cell r="J1897"/>
        </row>
        <row r="1898">
          <cell r="A1898"/>
          <cell r="J1898"/>
        </row>
        <row r="1899">
          <cell r="A1899"/>
          <cell r="J1899"/>
        </row>
        <row r="1900">
          <cell r="A1900"/>
          <cell r="J1900"/>
        </row>
        <row r="1901">
          <cell r="A1901"/>
          <cell r="J1901"/>
        </row>
        <row r="1902">
          <cell r="A1902"/>
          <cell r="J1902"/>
        </row>
        <row r="1903">
          <cell r="A1903"/>
          <cell r="J1903"/>
        </row>
        <row r="1904">
          <cell r="A1904"/>
          <cell r="J1904"/>
        </row>
        <row r="1905">
          <cell r="A1905"/>
          <cell r="J1905"/>
        </row>
        <row r="1906">
          <cell r="A1906"/>
          <cell r="J1906"/>
        </row>
        <row r="1907">
          <cell r="A1907"/>
          <cell r="J1907"/>
        </row>
        <row r="1908">
          <cell r="A1908"/>
          <cell r="J1908"/>
        </row>
        <row r="1909">
          <cell r="A1909"/>
          <cell r="J1909"/>
        </row>
        <row r="1910">
          <cell r="A1910"/>
          <cell r="J1910"/>
        </row>
        <row r="1911">
          <cell r="A1911"/>
          <cell r="J1911"/>
        </row>
        <row r="1912">
          <cell r="A1912"/>
          <cell r="J1912"/>
        </row>
        <row r="1913">
          <cell r="A1913"/>
          <cell r="J1913"/>
        </row>
        <row r="1914">
          <cell r="A1914"/>
          <cell r="J1914"/>
        </row>
        <row r="1915">
          <cell r="A1915"/>
          <cell r="J1915"/>
        </row>
        <row r="1916">
          <cell r="A1916"/>
          <cell r="J1916"/>
        </row>
        <row r="1917">
          <cell r="A1917"/>
          <cell r="J1917"/>
        </row>
        <row r="1918">
          <cell r="A1918"/>
          <cell r="J1918"/>
        </row>
        <row r="1919">
          <cell r="A1919"/>
          <cell r="J1919"/>
        </row>
        <row r="1920">
          <cell r="A1920"/>
          <cell r="J1920"/>
        </row>
        <row r="1921">
          <cell r="A1921"/>
          <cell r="J1921"/>
        </row>
        <row r="1922">
          <cell r="A1922"/>
          <cell r="J1922"/>
        </row>
        <row r="1923">
          <cell r="A1923"/>
          <cell r="J1923"/>
        </row>
        <row r="1924">
          <cell r="A1924"/>
          <cell r="J1924"/>
        </row>
        <row r="1925">
          <cell r="A1925"/>
          <cell r="J1925"/>
        </row>
        <row r="1926">
          <cell r="A1926"/>
          <cell r="J1926"/>
        </row>
        <row r="1927">
          <cell r="A1927"/>
          <cell r="J1927"/>
        </row>
        <row r="1928">
          <cell r="A1928"/>
          <cell r="J1928"/>
        </row>
        <row r="1929">
          <cell r="A1929"/>
          <cell r="J1929"/>
        </row>
        <row r="1930">
          <cell r="A1930"/>
          <cell r="J1930"/>
        </row>
        <row r="1931">
          <cell r="A1931"/>
          <cell r="J1931"/>
        </row>
        <row r="1932">
          <cell r="A1932"/>
          <cell r="J1932"/>
        </row>
        <row r="1933">
          <cell r="A1933"/>
          <cell r="J1933"/>
        </row>
        <row r="1934">
          <cell r="A1934"/>
          <cell r="J1934"/>
        </row>
        <row r="1935">
          <cell r="A1935"/>
          <cell r="J1935"/>
        </row>
        <row r="1936">
          <cell r="A1936"/>
          <cell r="J1936"/>
        </row>
        <row r="1937">
          <cell r="A1937"/>
          <cell r="J1937"/>
        </row>
        <row r="1938">
          <cell r="A1938"/>
          <cell r="J1938"/>
        </row>
        <row r="1939">
          <cell r="A1939"/>
          <cell r="J1939"/>
        </row>
        <row r="1940">
          <cell r="A1940"/>
          <cell r="J1940"/>
        </row>
        <row r="1941">
          <cell r="A1941"/>
          <cell r="J1941"/>
        </row>
        <row r="1942">
          <cell r="A1942"/>
          <cell r="J1942"/>
        </row>
        <row r="1943">
          <cell r="A1943"/>
          <cell r="J1943"/>
        </row>
        <row r="1944">
          <cell r="A1944"/>
          <cell r="J1944"/>
        </row>
        <row r="1945">
          <cell r="A1945"/>
          <cell r="J1945"/>
        </row>
        <row r="1946">
          <cell r="A1946"/>
          <cell r="J1946"/>
        </row>
        <row r="1947">
          <cell r="A1947"/>
          <cell r="J1947"/>
        </row>
        <row r="1948">
          <cell r="A1948"/>
          <cell r="J1948"/>
        </row>
        <row r="1949">
          <cell r="A1949"/>
          <cell r="J1949"/>
        </row>
        <row r="1950">
          <cell r="A1950"/>
          <cell r="J1950"/>
        </row>
        <row r="1951">
          <cell r="A1951"/>
          <cell r="J1951"/>
        </row>
        <row r="1952">
          <cell r="A1952"/>
          <cell r="J1952"/>
        </row>
        <row r="1953">
          <cell r="A1953"/>
          <cell r="J1953"/>
        </row>
        <row r="1954">
          <cell r="A1954"/>
          <cell r="J1954"/>
        </row>
        <row r="1955">
          <cell r="A1955"/>
          <cell r="J1955"/>
        </row>
        <row r="1956">
          <cell r="A1956"/>
          <cell r="J1956"/>
        </row>
        <row r="1957">
          <cell r="A1957"/>
          <cell r="J1957"/>
        </row>
        <row r="1958">
          <cell r="A1958"/>
          <cell r="J1958"/>
        </row>
        <row r="1959">
          <cell r="A1959"/>
          <cell r="J1959"/>
        </row>
        <row r="1960">
          <cell r="A1960"/>
          <cell r="J1960"/>
        </row>
        <row r="1961">
          <cell r="A1961"/>
          <cell r="J1961"/>
        </row>
        <row r="1962">
          <cell r="A1962"/>
          <cell r="J1962"/>
        </row>
        <row r="1963">
          <cell r="A1963"/>
          <cell r="J1963"/>
        </row>
        <row r="1964">
          <cell r="A1964"/>
          <cell r="J1964"/>
        </row>
        <row r="1965">
          <cell r="A1965"/>
          <cell r="J1965"/>
        </row>
        <row r="1966">
          <cell r="A1966"/>
          <cell r="J1966"/>
        </row>
        <row r="1967">
          <cell r="A1967"/>
          <cell r="J1967"/>
        </row>
        <row r="1968">
          <cell r="A1968"/>
          <cell r="J1968"/>
        </row>
        <row r="1969">
          <cell r="A1969"/>
          <cell r="J1969"/>
        </row>
        <row r="1970">
          <cell r="A1970"/>
          <cell r="J1970"/>
        </row>
        <row r="1971">
          <cell r="A1971"/>
          <cell r="J1971"/>
        </row>
        <row r="1972">
          <cell r="A1972"/>
          <cell r="J1972"/>
        </row>
        <row r="1973">
          <cell r="A1973"/>
          <cell r="J1973"/>
        </row>
        <row r="1974">
          <cell r="A1974"/>
          <cell r="J1974"/>
        </row>
        <row r="1975">
          <cell r="A1975"/>
          <cell r="J1975"/>
        </row>
        <row r="1976">
          <cell r="A1976"/>
          <cell r="J1976"/>
        </row>
        <row r="1977">
          <cell r="A1977"/>
          <cell r="J1977"/>
        </row>
        <row r="1978">
          <cell r="A1978"/>
          <cell r="J1978"/>
        </row>
        <row r="1979">
          <cell r="A1979"/>
          <cell r="J1979"/>
        </row>
        <row r="1980">
          <cell r="A1980"/>
          <cell r="J1980"/>
        </row>
        <row r="1981">
          <cell r="A1981"/>
          <cell r="J1981"/>
        </row>
        <row r="1982">
          <cell r="A1982"/>
          <cell r="J1982"/>
        </row>
        <row r="1983">
          <cell r="A1983"/>
          <cell r="J1983"/>
        </row>
        <row r="1984">
          <cell r="A1984"/>
          <cell r="J1984"/>
        </row>
        <row r="1985">
          <cell r="A1985"/>
          <cell r="J1985"/>
        </row>
        <row r="1986">
          <cell r="A1986"/>
          <cell r="J1986"/>
        </row>
        <row r="1987">
          <cell r="A1987"/>
          <cell r="J1987"/>
        </row>
        <row r="1988">
          <cell r="A1988"/>
          <cell r="J1988"/>
        </row>
        <row r="1989">
          <cell r="A1989"/>
          <cell r="J1989"/>
        </row>
        <row r="1990">
          <cell r="A1990"/>
          <cell r="J1990"/>
        </row>
        <row r="1991">
          <cell r="A1991"/>
          <cell r="J1991"/>
        </row>
        <row r="1992">
          <cell r="A1992"/>
          <cell r="J1992"/>
        </row>
        <row r="1993">
          <cell r="A1993"/>
          <cell r="J1993"/>
        </row>
        <row r="1994">
          <cell r="A1994"/>
          <cell r="J1994"/>
        </row>
        <row r="1995">
          <cell r="A1995"/>
          <cell r="J1995"/>
        </row>
        <row r="1996">
          <cell r="A1996"/>
          <cell r="J1996"/>
        </row>
        <row r="1997">
          <cell r="A1997"/>
          <cell r="J1997"/>
        </row>
        <row r="1998">
          <cell r="A1998"/>
          <cell r="J1998"/>
        </row>
        <row r="1999">
          <cell r="A1999"/>
          <cell r="J1999"/>
        </row>
        <row r="2000">
          <cell r="A2000"/>
          <cell r="J2000"/>
        </row>
        <row r="2001">
          <cell r="A2001"/>
          <cell r="J2001"/>
        </row>
        <row r="2002">
          <cell r="A2002"/>
          <cell r="J2002"/>
        </row>
        <row r="2003">
          <cell r="A2003"/>
          <cell r="J2003"/>
        </row>
        <row r="2004">
          <cell r="A2004"/>
          <cell r="J2004"/>
        </row>
        <row r="2005">
          <cell r="A2005"/>
          <cell r="J2005"/>
        </row>
        <row r="2006">
          <cell r="A2006"/>
          <cell r="J2006"/>
        </row>
        <row r="2007">
          <cell r="A2007"/>
          <cell r="J2007"/>
        </row>
        <row r="2008">
          <cell r="A2008"/>
          <cell r="J2008"/>
        </row>
        <row r="2009">
          <cell r="A2009"/>
          <cell r="J2009"/>
        </row>
        <row r="2010">
          <cell r="A2010"/>
          <cell r="J2010"/>
        </row>
        <row r="2011">
          <cell r="A2011"/>
          <cell r="J2011"/>
        </row>
        <row r="2012">
          <cell r="A2012"/>
          <cell r="J2012"/>
        </row>
        <row r="2013">
          <cell r="A2013"/>
          <cell r="J2013"/>
        </row>
        <row r="2014">
          <cell r="A2014"/>
          <cell r="J2014"/>
        </row>
        <row r="2015">
          <cell r="A2015"/>
          <cell r="J2015"/>
        </row>
        <row r="2016">
          <cell r="A2016"/>
          <cell r="J2016"/>
        </row>
        <row r="2017">
          <cell r="A2017"/>
          <cell r="J2017"/>
        </row>
        <row r="2018">
          <cell r="A2018"/>
          <cell r="J2018"/>
        </row>
        <row r="2019">
          <cell r="A2019"/>
          <cell r="J2019"/>
        </row>
        <row r="2020">
          <cell r="A2020"/>
          <cell r="J2020"/>
        </row>
        <row r="2021">
          <cell r="A2021"/>
          <cell r="J2021"/>
        </row>
        <row r="2022">
          <cell r="A2022"/>
          <cell r="J2022"/>
        </row>
        <row r="2023">
          <cell r="A2023"/>
          <cell r="J2023"/>
        </row>
        <row r="2024">
          <cell r="A2024"/>
          <cell r="J2024"/>
        </row>
        <row r="2025">
          <cell r="A2025"/>
          <cell r="J2025"/>
        </row>
        <row r="2026">
          <cell r="A2026"/>
          <cell r="J2026"/>
        </row>
        <row r="2027">
          <cell r="A2027"/>
          <cell r="J2027"/>
        </row>
        <row r="2028">
          <cell r="A2028"/>
          <cell r="J2028"/>
        </row>
        <row r="2029">
          <cell r="A2029"/>
          <cell r="J2029"/>
        </row>
        <row r="2030">
          <cell r="A2030"/>
          <cell r="J2030"/>
        </row>
        <row r="2031">
          <cell r="A2031"/>
          <cell r="J2031"/>
        </row>
        <row r="2032">
          <cell r="A2032"/>
          <cell r="J2032"/>
        </row>
        <row r="2033">
          <cell r="A2033"/>
          <cell r="J2033"/>
        </row>
        <row r="2034">
          <cell r="A2034"/>
          <cell r="J2034"/>
        </row>
        <row r="2035">
          <cell r="A2035"/>
          <cell r="J2035"/>
        </row>
        <row r="2036">
          <cell r="A2036"/>
          <cell r="J2036"/>
        </row>
        <row r="2037">
          <cell r="A2037"/>
          <cell r="J2037"/>
        </row>
        <row r="2038">
          <cell r="A2038"/>
          <cell r="J2038"/>
        </row>
        <row r="2039">
          <cell r="A2039"/>
          <cell r="J2039"/>
        </row>
        <row r="2040">
          <cell r="A2040"/>
          <cell r="J2040"/>
        </row>
        <row r="2041">
          <cell r="A2041"/>
          <cell r="J2041"/>
        </row>
        <row r="2042">
          <cell r="A2042"/>
          <cell r="J2042"/>
        </row>
        <row r="2043">
          <cell r="A2043"/>
          <cell r="J2043"/>
        </row>
        <row r="2044">
          <cell r="A2044"/>
          <cell r="J2044"/>
        </row>
        <row r="2045">
          <cell r="A2045"/>
          <cell r="J2045"/>
        </row>
        <row r="2046">
          <cell r="A2046"/>
          <cell r="J2046"/>
        </row>
        <row r="2047">
          <cell r="A2047"/>
          <cell r="J2047"/>
        </row>
        <row r="2048">
          <cell r="A2048"/>
          <cell r="J2048"/>
        </row>
        <row r="2049">
          <cell r="A2049"/>
          <cell r="J2049"/>
        </row>
        <row r="2050">
          <cell r="A2050"/>
          <cell r="J2050"/>
        </row>
        <row r="2051">
          <cell r="A2051"/>
          <cell r="J2051"/>
        </row>
        <row r="2052">
          <cell r="A2052"/>
          <cell r="J2052"/>
        </row>
        <row r="2053">
          <cell r="A2053"/>
          <cell r="J2053"/>
        </row>
        <row r="2054">
          <cell r="A2054"/>
          <cell r="J2054"/>
        </row>
        <row r="2055">
          <cell r="A2055"/>
          <cell r="J2055"/>
        </row>
        <row r="2056">
          <cell r="A2056"/>
          <cell r="J2056"/>
        </row>
        <row r="2057">
          <cell r="A2057"/>
          <cell r="J2057"/>
        </row>
        <row r="2058">
          <cell r="A2058"/>
          <cell r="J2058"/>
        </row>
        <row r="2059">
          <cell r="A2059"/>
          <cell r="J2059"/>
        </row>
        <row r="2060">
          <cell r="A2060"/>
          <cell r="J2060"/>
        </row>
        <row r="2061">
          <cell r="A2061"/>
          <cell r="J2061"/>
        </row>
        <row r="2062">
          <cell r="A2062"/>
          <cell r="J2062"/>
        </row>
        <row r="2063">
          <cell r="A2063"/>
          <cell r="J2063"/>
        </row>
        <row r="2064">
          <cell r="A2064"/>
          <cell r="J2064"/>
        </row>
        <row r="2065">
          <cell r="A2065"/>
          <cell r="J2065"/>
        </row>
        <row r="2066">
          <cell r="A2066"/>
          <cell r="J2066"/>
        </row>
        <row r="2067">
          <cell r="A2067"/>
          <cell r="J2067"/>
        </row>
        <row r="2068">
          <cell r="A2068"/>
          <cell r="J2068"/>
        </row>
        <row r="2069">
          <cell r="A2069"/>
          <cell r="J2069"/>
        </row>
        <row r="2070">
          <cell r="A2070"/>
          <cell r="J2070"/>
        </row>
        <row r="2071">
          <cell r="A2071"/>
          <cell r="J2071"/>
        </row>
        <row r="2072">
          <cell r="A2072"/>
          <cell r="J2072"/>
        </row>
        <row r="2073">
          <cell r="A2073"/>
          <cell r="J2073"/>
        </row>
        <row r="2074">
          <cell r="A2074"/>
          <cell r="J2074"/>
        </row>
        <row r="2075">
          <cell r="A2075"/>
          <cell r="J2075"/>
        </row>
        <row r="2076">
          <cell r="A2076"/>
          <cell r="J2076"/>
        </row>
        <row r="2077">
          <cell r="A2077"/>
          <cell r="J2077"/>
        </row>
        <row r="2078">
          <cell r="A2078"/>
          <cell r="J2078"/>
        </row>
        <row r="2079">
          <cell r="A2079"/>
          <cell r="J2079"/>
        </row>
        <row r="2080">
          <cell r="A2080"/>
          <cell r="J2080"/>
        </row>
        <row r="2081">
          <cell r="A2081"/>
          <cell r="J2081"/>
        </row>
        <row r="2082">
          <cell r="A2082"/>
          <cell r="J2082"/>
        </row>
        <row r="2083">
          <cell r="A2083"/>
          <cell r="J2083"/>
        </row>
        <row r="2084">
          <cell r="A2084"/>
          <cell r="J2084"/>
        </row>
        <row r="2085">
          <cell r="A2085"/>
          <cell r="J2085"/>
        </row>
        <row r="2086">
          <cell r="A2086"/>
          <cell r="J2086"/>
        </row>
        <row r="2087">
          <cell r="A2087"/>
          <cell r="J2087"/>
        </row>
        <row r="2088">
          <cell r="A2088"/>
          <cell r="J2088"/>
        </row>
        <row r="2089">
          <cell r="A2089"/>
          <cell r="J2089"/>
        </row>
        <row r="2090">
          <cell r="A2090"/>
          <cell r="J2090"/>
        </row>
        <row r="2091">
          <cell r="A2091"/>
          <cell r="J2091"/>
        </row>
        <row r="2092">
          <cell r="A2092"/>
          <cell r="J2092"/>
        </row>
        <row r="2093">
          <cell r="A2093"/>
          <cell r="J2093"/>
        </row>
        <row r="2094">
          <cell r="A2094"/>
          <cell r="J2094"/>
        </row>
        <row r="2095">
          <cell r="A2095"/>
          <cell r="J2095"/>
        </row>
        <row r="2096">
          <cell r="A2096"/>
          <cell r="J2096"/>
        </row>
        <row r="2097">
          <cell r="A2097"/>
          <cell r="J2097"/>
        </row>
        <row r="2098">
          <cell r="A2098"/>
          <cell r="J2098"/>
        </row>
        <row r="2099">
          <cell r="A2099"/>
          <cell r="J2099"/>
        </row>
        <row r="2100">
          <cell r="A2100"/>
          <cell r="J2100"/>
        </row>
        <row r="2101">
          <cell r="A2101"/>
          <cell r="J2101"/>
        </row>
        <row r="2102">
          <cell r="A2102"/>
          <cell r="J2102"/>
        </row>
        <row r="2103">
          <cell r="A2103"/>
          <cell r="J2103"/>
        </row>
        <row r="2104">
          <cell r="A2104"/>
          <cell r="J2104"/>
        </row>
        <row r="2105">
          <cell r="A2105"/>
          <cell r="J2105"/>
        </row>
        <row r="2106">
          <cell r="A2106"/>
          <cell r="J2106"/>
        </row>
        <row r="2107">
          <cell r="A2107"/>
          <cell r="J2107"/>
        </row>
        <row r="2108">
          <cell r="A2108"/>
          <cell r="J2108"/>
        </row>
        <row r="2109">
          <cell r="A2109"/>
          <cell r="J2109"/>
        </row>
        <row r="2110">
          <cell r="A2110"/>
          <cell r="J2110"/>
        </row>
        <row r="2111">
          <cell r="A2111"/>
          <cell r="J2111"/>
        </row>
        <row r="2112">
          <cell r="A2112"/>
          <cell r="J2112"/>
        </row>
        <row r="2113">
          <cell r="A2113"/>
          <cell r="J2113"/>
        </row>
        <row r="2114">
          <cell r="A2114"/>
          <cell r="J2114"/>
        </row>
        <row r="2115">
          <cell r="A2115"/>
          <cell r="J2115"/>
        </row>
        <row r="2116">
          <cell r="A2116"/>
          <cell r="J2116"/>
        </row>
        <row r="2117">
          <cell r="A2117"/>
          <cell r="J2117"/>
        </row>
        <row r="2118">
          <cell r="A2118"/>
          <cell r="J2118"/>
        </row>
        <row r="2119">
          <cell r="A2119"/>
          <cell r="J2119"/>
        </row>
        <row r="2120">
          <cell r="A2120"/>
          <cell r="J2120"/>
        </row>
        <row r="2121">
          <cell r="A2121"/>
          <cell r="J2121"/>
        </row>
        <row r="2122">
          <cell r="A2122"/>
          <cell r="J2122"/>
        </row>
        <row r="2123">
          <cell r="A2123"/>
          <cell r="J2123"/>
        </row>
        <row r="2124">
          <cell r="A2124"/>
          <cell r="J2124"/>
        </row>
        <row r="2125">
          <cell r="A2125"/>
          <cell r="J2125"/>
        </row>
        <row r="2126">
          <cell r="A2126"/>
          <cell r="J2126"/>
        </row>
        <row r="2127">
          <cell r="A2127"/>
          <cell r="J2127"/>
        </row>
        <row r="2128">
          <cell r="A2128"/>
          <cell r="J2128"/>
        </row>
        <row r="2129">
          <cell r="A2129"/>
          <cell r="J2129"/>
        </row>
        <row r="2130">
          <cell r="A2130"/>
          <cell r="J2130"/>
        </row>
        <row r="2131">
          <cell r="A2131"/>
          <cell r="J2131"/>
        </row>
        <row r="2132">
          <cell r="A2132"/>
          <cell r="J2132"/>
        </row>
        <row r="2133">
          <cell r="A2133"/>
          <cell r="J2133"/>
        </row>
        <row r="2134">
          <cell r="A2134"/>
          <cell r="J2134"/>
        </row>
        <row r="2135">
          <cell r="A2135"/>
          <cell r="J2135"/>
        </row>
        <row r="2136">
          <cell r="A2136"/>
          <cell r="J2136"/>
        </row>
        <row r="2137">
          <cell r="A2137"/>
          <cell r="J2137"/>
        </row>
        <row r="2138">
          <cell r="A2138"/>
          <cell r="J2138"/>
        </row>
        <row r="2139">
          <cell r="A2139"/>
          <cell r="J2139"/>
        </row>
        <row r="2140">
          <cell r="A2140"/>
          <cell r="J2140"/>
        </row>
        <row r="2141">
          <cell r="A2141"/>
          <cell r="J2141"/>
        </row>
        <row r="2142">
          <cell r="A2142"/>
          <cell r="J2142"/>
        </row>
        <row r="2143">
          <cell r="A2143"/>
          <cell r="J2143"/>
        </row>
        <row r="2144">
          <cell r="A2144"/>
          <cell r="J2144"/>
        </row>
        <row r="2145">
          <cell r="A2145"/>
          <cell r="J2145"/>
        </row>
        <row r="2146">
          <cell r="A2146"/>
          <cell r="J2146"/>
        </row>
        <row r="2147">
          <cell r="A2147"/>
          <cell r="J2147"/>
        </row>
        <row r="2148">
          <cell r="A2148"/>
          <cell r="J2148"/>
        </row>
        <row r="2149">
          <cell r="A2149"/>
          <cell r="J2149"/>
        </row>
        <row r="2150">
          <cell r="A2150"/>
          <cell r="J2150"/>
        </row>
        <row r="2151">
          <cell r="A2151"/>
          <cell r="J2151"/>
        </row>
        <row r="2152">
          <cell r="A2152"/>
          <cell r="J2152"/>
        </row>
        <row r="2153">
          <cell r="A2153"/>
          <cell r="J2153"/>
        </row>
        <row r="2154">
          <cell r="A2154"/>
          <cell r="J2154"/>
        </row>
        <row r="2155">
          <cell r="A2155"/>
          <cell r="J2155"/>
        </row>
        <row r="2156">
          <cell r="A2156"/>
          <cell r="J2156"/>
        </row>
        <row r="2157">
          <cell r="A2157"/>
          <cell r="J2157"/>
        </row>
        <row r="2158">
          <cell r="A2158"/>
          <cell r="J2158"/>
        </row>
        <row r="2159">
          <cell r="A2159"/>
          <cell r="J2159"/>
        </row>
        <row r="2160">
          <cell r="A2160"/>
          <cell r="J2160"/>
        </row>
        <row r="2161">
          <cell r="A2161"/>
          <cell r="J2161"/>
        </row>
        <row r="2162">
          <cell r="A2162"/>
          <cell r="J2162"/>
        </row>
        <row r="2163">
          <cell r="A2163"/>
          <cell r="J2163"/>
        </row>
        <row r="2164">
          <cell r="A2164"/>
          <cell r="J2164"/>
        </row>
        <row r="2165">
          <cell r="A2165"/>
          <cell r="J2165"/>
        </row>
        <row r="2166">
          <cell r="A2166"/>
          <cell r="J2166"/>
        </row>
        <row r="2167">
          <cell r="A2167"/>
          <cell r="J2167"/>
        </row>
        <row r="2168">
          <cell r="A2168"/>
          <cell r="J2168"/>
        </row>
        <row r="2169">
          <cell r="A2169"/>
          <cell r="J2169"/>
        </row>
        <row r="2170">
          <cell r="A2170"/>
          <cell r="J2170"/>
        </row>
        <row r="2171">
          <cell r="A2171"/>
          <cell r="J2171"/>
        </row>
        <row r="2172">
          <cell r="A2172"/>
          <cell r="J2172"/>
        </row>
        <row r="2173">
          <cell r="A2173"/>
          <cell r="J2173"/>
        </row>
        <row r="2174">
          <cell r="A2174"/>
          <cell r="J2174"/>
        </row>
        <row r="2175">
          <cell r="A2175"/>
          <cell r="J2175"/>
        </row>
        <row r="2176">
          <cell r="A2176"/>
          <cell r="J2176"/>
        </row>
        <row r="2177">
          <cell r="A2177"/>
          <cell r="J2177"/>
        </row>
        <row r="2178">
          <cell r="A2178"/>
          <cell r="J2178"/>
        </row>
        <row r="2179">
          <cell r="A2179"/>
          <cell r="J2179"/>
        </row>
        <row r="2180">
          <cell r="A2180"/>
          <cell r="J2180"/>
        </row>
        <row r="2181">
          <cell r="A2181"/>
          <cell r="J2181"/>
        </row>
        <row r="2182">
          <cell r="A2182"/>
          <cell r="J2182"/>
        </row>
        <row r="2183">
          <cell r="A2183"/>
          <cell r="J2183"/>
        </row>
        <row r="2184">
          <cell r="A2184"/>
          <cell r="J2184"/>
        </row>
        <row r="2185">
          <cell r="A2185"/>
          <cell r="J2185"/>
        </row>
        <row r="2186">
          <cell r="A2186"/>
          <cell r="J2186"/>
        </row>
        <row r="2187">
          <cell r="A2187"/>
          <cell r="J2187"/>
        </row>
        <row r="2188">
          <cell r="A2188"/>
          <cell r="J2188"/>
        </row>
        <row r="2189">
          <cell r="A2189"/>
          <cell r="J2189"/>
        </row>
        <row r="2190">
          <cell r="A2190"/>
          <cell r="J2190"/>
        </row>
        <row r="2191">
          <cell r="A2191"/>
          <cell r="J2191"/>
        </row>
        <row r="2192">
          <cell r="A2192"/>
          <cell r="J2192"/>
        </row>
        <row r="2193">
          <cell r="A2193"/>
          <cell r="J2193"/>
        </row>
        <row r="2194">
          <cell r="A2194"/>
          <cell r="J2194"/>
        </row>
        <row r="2195">
          <cell r="A2195"/>
          <cell r="J2195"/>
        </row>
        <row r="2196">
          <cell r="A2196"/>
          <cell r="J2196"/>
        </row>
        <row r="2197">
          <cell r="A2197"/>
          <cell r="J2197"/>
        </row>
        <row r="2198">
          <cell r="A2198"/>
          <cell r="J2198"/>
        </row>
        <row r="2199">
          <cell r="A2199"/>
          <cell r="J2199"/>
        </row>
        <row r="2200">
          <cell r="A2200"/>
          <cell r="J2200"/>
        </row>
        <row r="2201">
          <cell r="A2201"/>
          <cell r="J2201"/>
        </row>
        <row r="2202">
          <cell r="A2202"/>
          <cell r="J2202"/>
        </row>
        <row r="2203">
          <cell r="A2203"/>
          <cell r="J2203"/>
        </row>
        <row r="2204">
          <cell r="A2204"/>
          <cell r="J2204"/>
        </row>
        <row r="2205">
          <cell r="A2205"/>
          <cell r="J2205"/>
        </row>
        <row r="2206">
          <cell r="A2206"/>
          <cell r="J2206"/>
        </row>
        <row r="2207">
          <cell r="A2207"/>
          <cell r="J2207"/>
        </row>
        <row r="2208">
          <cell r="A2208"/>
          <cell r="J2208"/>
        </row>
        <row r="2209">
          <cell r="A2209"/>
          <cell r="J2209"/>
        </row>
        <row r="2210">
          <cell r="A2210"/>
          <cell r="J2210"/>
        </row>
        <row r="2211">
          <cell r="A2211"/>
          <cell r="J2211"/>
        </row>
        <row r="2212">
          <cell r="A2212"/>
          <cell r="J2212"/>
        </row>
        <row r="2213">
          <cell r="A2213"/>
          <cell r="J2213"/>
        </row>
        <row r="2214">
          <cell r="A2214"/>
          <cell r="J2214"/>
        </row>
        <row r="2215">
          <cell r="A2215"/>
          <cell r="J2215"/>
        </row>
        <row r="2216">
          <cell r="A2216"/>
          <cell r="J2216"/>
        </row>
        <row r="2217">
          <cell r="A2217"/>
          <cell r="J2217"/>
        </row>
        <row r="2218">
          <cell r="A2218"/>
          <cell r="J2218"/>
        </row>
        <row r="2219">
          <cell r="A2219"/>
          <cell r="J2219"/>
        </row>
        <row r="2220">
          <cell r="A2220"/>
          <cell r="J2220"/>
        </row>
        <row r="2221">
          <cell r="A2221"/>
          <cell r="J2221"/>
        </row>
        <row r="2222">
          <cell r="A2222"/>
          <cell r="J2222"/>
        </row>
        <row r="2223">
          <cell r="A2223"/>
          <cell r="J2223"/>
        </row>
        <row r="2224">
          <cell r="A2224"/>
          <cell r="J2224"/>
        </row>
        <row r="2225">
          <cell r="A2225"/>
          <cell r="J2225"/>
        </row>
        <row r="2226">
          <cell r="A2226"/>
          <cell r="J2226"/>
        </row>
        <row r="2227">
          <cell r="A2227"/>
          <cell r="J2227"/>
        </row>
        <row r="2228">
          <cell r="A2228"/>
          <cell r="J2228"/>
        </row>
        <row r="2229">
          <cell r="A2229"/>
          <cell r="J2229"/>
        </row>
        <row r="2230">
          <cell r="A2230"/>
          <cell r="J2230"/>
        </row>
        <row r="2231">
          <cell r="A2231"/>
          <cell r="J2231"/>
        </row>
        <row r="2232">
          <cell r="A2232"/>
          <cell r="J2232"/>
        </row>
        <row r="2233">
          <cell r="A2233"/>
          <cell r="J2233"/>
        </row>
        <row r="2234">
          <cell r="A2234"/>
          <cell r="J2234"/>
        </row>
        <row r="2235">
          <cell r="A2235"/>
          <cell r="J2235"/>
        </row>
        <row r="2236">
          <cell r="A2236"/>
          <cell r="J2236"/>
        </row>
        <row r="2237">
          <cell r="A2237"/>
          <cell r="J2237"/>
        </row>
        <row r="2238">
          <cell r="A2238"/>
          <cell r="J2238"/>
        </row>
        <row r="2239">
          <cell r="A2239"/>
          <cell r="J2239"/>
        </row>
        <row r="2240">
          <cell r="A2240"/>
          <cell r="J2240"/>
        </row>
        <row r="2241">
          <cell r="A2241"/>
          <cell r="J2241"/>
        </row>
        <row r="2242">
          <cell r="A2242"/>
          <cell r="J2242"/>
        </row>
        <row r="2243">
          <cell r="A2243"/>
          <cell r="J2243"/>
        </row>
        <row r="2244">
          <cell r="A2244"/>
          <cell r="J2244"/>
        </row>
        <row r="2245">
          <cell r="A2245"/>
          <cell r="J2245"/>
        </row>
        <row r="2246">
          <cell r="A2246"/>
          <cell r="J2246"/>
        </row>
        <row r="2247">
          <cell r="A2247"/>
          <cell r="J2247"/>
        </row>
        <row r="2248">
          <cell r="A2248"/>
          <cell r="J2248"/>
        </row>
        <row r="2249">
          <cell r="A2249"/>
          <cell r="J2249"/>
        </row>
        <row r="2250">
          <cell r="A2250"/>
          <cell r="J2250"/>
        </row>
        <row r="2251">
          <cell r="A2251"/>
          <cell r="J2251"/>
        </row>
        <row r="2252">
          <cell r="A2252"/>
          <cell r="J2252"/>
        </row>
        <row r="2253">
          <cell r="A2253"/>
          <cell r="J2253"/>
        </row>
        <row r="2254">
          <cell r="A2254"/>
          <cell r="J2254"/>
        </row>
        <row r="2255">
          <cell r="A2255"/>
          <cell r="J2255"/>
        </row>
        <row r="2256">
          <cell r="A2256"/>
          <cell r="J2256"/>
        </row>
        <row r="2257">
          <cell r="A2257"/>
          <cell r="J2257"/>
        </row>
        <row r="2258">
          <cell r="A2258"/>
          <cell r="J2258"/>
        </row>
        <row r="2259">
          <cell r="A2259"/>
          <cell r="J2259"/>
        </row>
        <row r="2260">
          <cell r="A2260"/>
          <cell r="J2260"/>
        </row>
        <row r="2261">
          <cell r="A2261"/>
          <cell r="J2261"/>
        </row>
        <row r="2262">
          <cell r="A2262"/>
          <cell r="J2262"/>
        </row>
        <row r="2263">
          <cell r="A2263"/>
          <cell r="J2263"/>
        </row>
        <row r="2264">
          <cell r="A2264"/>
          <cell r="J2264"/>
        </row>
        <row r="2265">
          <cell r="A2265"/>
          <cell r="J2265"/>
        </row>
        <row r="2266">
          <cell r="A2266"/>
          <cell r="J2266"/>
        </row>
        <row r="2267">
          <cell r="A2267"/>
          <cell r="J2267"/>
        </row>
        <row r="2268">
          <cell r="A2268"/>
          <cell r="J2268"/>
        </row>
        <row r="2269">
          <cell r="A2269"/>
          <cell r="J2269"/>
        </row>
        <row r="2270">
          <cell r="A2270"/>
          <cell r="J2270"/>
        </row>
        <row r="2271">
          <cell r="A2271"/>
          <cell r="J2271"/>
        </row>
        <row r="2272">
          <cell r="A2272"/>
          <cell r="J2272"/>
        </row>
        <row r="2273">
          <cell r="A2273"/>
          <cell r="J2273"/>
        </row>
        <row r="2274">
          <cell r="A2274"/>
          <cell r="J2274"/>
        </row>
        <row r="2275">
          <cell r="A2275"/>
          <cell r="J2275"/>
        </row>
        <row r="2276">
          <cell r="A2276"/>
          <cell r="J2276"/>
        </row>
        <row r="2277">
          <cell r="A2277"/>
          <cell r="J2277"/>
        </row>
        <row r="2278">
          <cell r="A2278"/>
          <cell r="J2278"/>
        </row>
        <row r="2279">
          <cell r="A2279"/>
          <cell r="J2279"/>
        </row>
        <row r="2280">
          <cell r="A2280"/>
          <cell r="J2280"/>
        </row>
        <row r="2281">
          <cell r="A2281"/>
          <cell r="J2281"/>
        </row>
        <row r="2282">
          <cell r="A2282"/>
          <cell r="J2282"/>
        </row>
        <row r="2283">
          <cell r="A2283"/>
          <cell r="J2283"/>
        </row>
        <row r="2284">
          <cell r="A2284"/>
          <cell r="J2284"/>
        </row>
        <row r="2285">
          <cell r="A2285"/>
          <cell r="J2285"/>
        </row>
        <row r="2286">
          <cell r="A2286"/>
          <cell r="J2286"/>
        </row>
        <row r="2287">
          <cell r="A2287"/>
          <cell r="J2287"/>
        </row>
        <row r="2288">
          <cell r="A2288"/>
          <cell r="J2288"/>
        </row>
        <row r="2289">
          <cell r="A2289"/>
          <cell r="J2289"/>
        </row>
        <row r="2290">
          <cell r="A2290"/>
          <cell r="J2290"/>
        </row>
        <row r="2291">
          <cell r="A2291"/>
          <cell r="J2291"/>
        </row>
        <row r="2292">
          <cell r="A2292"/>
          <cell r="J2292"/>
        </row>
        <row r="2293">
          <cell r="A2293"/>
          <cell r="J2293"/>
        </row>
        <row r="2294">
          <cell r="A2294"/>
          <cell r="J2294"/>
        </row>
        <row r="2295">
          <cell r="A2295"/>
          <cell r="J2295"/>
        </row>
        <row r="2296">
          <cell r="A2296"/>
          <cell r="J2296"/>
        </row>
        <row r="2297">
          <cell r="A2297"/>
          <cell r="J2297"/>
        </row>
        <row r="2298">
          <cell r="A2298"/>
          <cell r="J2298"/>
        </row>
        <row r="2299">
          <cell r="A2299"/>
          <cell r="J2299"/>
        </row>
        <row r="2300">
          <cell r="A2300"/>
          <cell r="J2300"/>
        </row>
        <row r="2301">
          <cell r="A2301"/>
          <cell r="J2301"/>
        </row>
        <row r="2302">
          <cell r="A2302"/>
          <cell r="J2302"/>
        </row>
        <row r="2303">
          <cell r="A2303"/>
          <cell r="J2303"/>
        </row>
        <row r="2304">
          <cell r="A2304"/>
          <cell r="J2304"/>
        </row>
        <row r="2305">
          <cell r="A2305"/>
          <cell r="J2305"/>
        </row>
        <row r="2306">
          <cell r="A2306"/>
          <cell r="J2306"/>
        </row>
        <row r="2307">
          <cell r="A2307"/>
          <cell r="J2307"/>
        </row>
        <row r="2308">
          <cell r="A2308"/>
          <cell r="J2308"/>
        </row>
        <row r="2309">
          <cell r="A2309"/>
          <cell r="J2309"/>
        </row>
        <row r="2310">
          <cell r="A2310"/>
          <cell r="J2310"/>
        </row>
        <row r="2311">
          <cell r="A2311"/>
          <cell r="J2311"/>
        </row>
        <row r="2312">
          <cell r="A2312"/>
          <cell r="J2312"/>
        </row>
        <row r="2313">
          <cell r="A2313"/>
          <cell r="J2313"/>
        </row>
        <row r="2314">
          <cell r="A2314"/>
          <cell r="J2314"/>
        </row>
        <row r="2315">
          <cell r="A2315"/>
          <cell r="J2315"/>
        </row>
        <row r="2316">
          <cell r="A2316"/>
          <cell r="J2316"/>
        </row>
        <row r="2317">
          <cell r="A2317"/>
          <cell r="J2317"/>
        </row>
        <row r="2318">
          <cell r="A2318"/>
          <cell r="J2318"/>
        </row>
        <row r="2319">
          <cell r="A2319"/>
          <cell r="J2319"/>
        </row>
        <row r="2320">
          <cell r="A2320"/>
          <cell r="J2320"/>
        </row>
        <row r="2321">
          <cell r="A2321"/>
          <cell r="J2321"/>
        </row>
        <row r="2322">
          <cell r="A2322"/>
          <cell r="J2322"/>
        </row>
        <row r="2323">
          <cell r="A2323"/>
          <cell r="J2323"/>
        </row>
        <row r="2324">
          <cell r="A2324"/>
          <cell r="J2324"/>
        </row>
        <row r="2325">
          <cell r="A2325"/>
          <cell r="J2325"/>
        </row>
        <row r="2326">
          <cell r="A2326"/>
          <cell r="J2326"/>
        </row>
        <row r="2327">
          <cell r="A2327"/>
          <cell r="J2327"/>
        </row>
        <row r="2328">
          <cell r="A2328"/>
          <cell r="J2328"/>
        </row>
        <row r="2329">
          <cell r="A2329"/>
          <cell r="J2329"/>
        </row>
        <row r="2330">
          <cell r="A2330"/>
          <cell r="J2330"/>
        </row>
        <row r="2331">
          <cell r="A2331"/>
          <cell r="J2331"/>
        </row>
        <row r="2332">
          <cell r="A2332"/>
          <cell r="J2332"/>
        </row>
        <row r="2333">
          <cell r="A2333"/>
          <cell r="J2333"/>
        </row>
        <row r="2334">
          <cell r="A2334"/>
          <cell r="J2334"/>
        </row>
        <row r="2335">
          <cell r="A2335"/>
          <cell r="J2335"/>
        </row>
        <row r="2336">
          <cell r="A2336"/>
          <cell r="J2336"/>
        </row>
        <row r="2337">
          <cell r="A2337"/>
          <cell r="J2337"/>
        </row>
        <row r="2338">
          <cell r="A2338"/>
          <cell r="J2338"/>
        </row>
        <row r="2339">
          <cell r="A2339"/>
          <cell r="J2339"/>
        </row>
        <row r="2340">
          <cell r="A2340"/>
          <cell r="J2340"/>
        </row>
        <row r="2341">
          <cell r="A2341"/>
          <cell r="J2341"/>
        </row>
        <row r="2342">
          <cell r="A2342"/>
          <cell r="J2342"/>
        </row>
        <row r="2343">
          <cell r="A2343"/>
          <cell r="J2343"/>
        </row>
        <row r="2344">
          <cell r="A2344"/>
          <cell r="J2344"/>
        </row>
        <row r="2345">
          <cell r="A2345"/>
          <cell r="J2345"/>
        </row>
        <row r="2346">
          <cell r="A2346"/>
          <cell r="J2346"/>
        </row>
        <row r="2347">
          <cell r="A2347"/>
          <cell r="J2347"/>
        </row>
        <row r="2348">
          <cell r="A2348"/>
          <cell r="J2348"/>
        </row>
        <row r="2349">
          <cell r="A2349"/>
          <cell r="J2349"/>
        </row>
        <row r="2350">
          <cell r="A2350"/>
          <cell r="J2350"/>
        </row>
        <row r="2351">
          <cell r="A2351"/>
          <cell r="J2351"/>
        </row>
        <row r="2352">
          <cell r="A2352"/>
          <cell r="J2352"/>
        </row>
        <row r="2353">
          <cell r="A2353"/>
          <cell r="J2353"/>
        </row>
        <row r="2354">
          <cell r="A2354"/>
          <cell r="J2354"/>
        </row>
        <row r="2355">
          <cell r="A2355"/>
          <cell r="J2355"/>
        </row>
        <row r="2356">
          <cell r="A2356"/>
          <cell r="J2356"/>
        </row>
        <row r="2357">
          <cell r="A2357"/>
          <cell r="J2357"/>
        </row>
        <row r="2358">
          <cell r="A2358"/>
          <cell r="J2358"/>
        </row>
        <row r="2359">
          <cell r="A2359"/>
          <cell r="J2359"/>
        </row>
        <row r="2360">
          <cell r="A2360"/>
          <cell r="J2360"/>
        </row>
        <row r="2361">
          <cell r="A2361"/>
          <cell r="J2361"/>
        </row>
        <row r="2362">
          <cell r="A2362"/>
          <cell r="J2362"/>
        </row>
        <row r="2363">
          <cell r="A2363"/>
          <cell r="J2363"/>
        </row>
        <row r="2364">
          <cell r="A2364"/>
          <cell r="J2364"/>
        </row>
        <row r="2365">
          <cell r="A2365"/>
          <cell r="J2365"/>
        </row>
        <row r="2366">
          <cell r="A2366"/>
          <cell r="J2366"/>
        </row>
        <row r="2367">
          <cell r="A2367"/>
          <cell r="J2367"/>
        </row>
        <row r="2368">
          <cell r="A2368"/>
          <cell r="J2368"/>
        </row>
        <row r="2369">
          <cell r="A2369"/>
          <cell r="J2369"/>
        </row>
        <row r="2370">
          <cell r="A2370"/>
          <cell r="J2370"/>
        </row>
        <row r="2371">
          <cell r="A2371"/>
          <cell r="J2371"/>
        </row>
        <row r="2372">
          <cell r="A2372"/>
          <cell r="J2372"/>
        </row>
        <row r="2373">
          <cell r="A2373"/>
          <cell r="J2373"/>
        </row>
        <row r="2374">
          <cell r="A2374"/>
          <cell r="J2374"/>
        </row>
        <row r="2375">
          <cell r="A2375"/>
          <cell r="J2375"/>
        </row>
        <row r="2376">
          <cell r="A2376"/>
          <cell r="J2376"/>
        </row>
        <row r="2377">
          <cell r="A2377"/>
          <cell r="J2377"/>
        </row>
        <row r="2378">
          <cell r="A2378"/>
          <cell r="J2378"/>
        </row>
        <row r="2379">
          <cell r="A2379"/>
          <cell r="J2379"/>
        </row>
        <row r="2380">
          <cell r="A2380"/>
          <cell r="J2380"/>
        </row>
        <row r="2381">
          <cell r="A2381"/>
          <cell r="J2381"/>
        </row>
        <row r="2382">
          <cell r="A2382"/>
          <cell r="J2382"/>
        </row>
        <row r="2383">
          <cell r="A2383"/>
          <cell r="J2383"/>
        </row>
        <row r="2384">
          <cell r="A2384"/>
          <cell r="J2384"/>
        </row>
        <row r="2385">
          <cell r="A2385"/>
          <cell r="J2385"/>
        </row>
        <row r="2386">
          <cell r="A2386"/>
          <cell r="J2386"/>
        </row>
        <row r="2387">
          <cell r="A2387"/>
          <cell r="J2387"/>
        </row>
        <row r="2388">
          <cell r="A2388"/>
          <cell r="J2388"/>
        </row>
        <row r="2389">
          <cell r="A2389"/>
          <cell r="J2389"/>
        </row>
        <row r="2390">
          <cell r="A2390"/>
          <cell r="J2390"/>
        </row>
        <row r="2391">
          <cell r="A2391"/>
          <cell r="J2391"/>
        </row>
        <row r="2392">
          <cell r="A2392"/>
          <cell r="J2392"/>
        </row>
        <row r="2393">
          <cell r="A2393"/>
          <cell r="J2393"/>
        </row>
        <row r="2394">
          <cell r="A2394"/>
          <cell r="J2394"/>
        </row>
        <row r="2395">
          <cell r="A2395"/>
          <cell r="J2395"/>
        </row>
        <row r="2396">
          <cell r="A2396"/>
          <cell r="J2396"/>
        </row>
        <row r="2397">
          <cell r="A2397"/>
          <cell r="J2397"/>
        </row>
        <row r="2398">
          <cell r="A2398"/>
          <cell r="J2398"/>
        </row>
        <row r="2399">
          <cell r="A2399"/>
          <cell r="J2399"/>
        </row>
        <row r="2400">
          <cell r="A2400"/>
          <cell r="J2400"/>
        </row>
        <row r="2401">
          <cell r="A2401"/>
          <cell r="J2401"/>
        </row>
        <row r="2402">
          <cell r="A2402"/>
          <cell r="J2402"/>
        </row>
        <row r="2403">
          <cell r="A2403"/>
          <cell r="J2403"/>
        </row>
        <row r="2404">
          <cell r="A2404"/>
          <cell r="J2404"/>
        </row>
        <row r="2405">
          <cell r="A2405"/>
          <cell r="J2405"/>
        </row>
        <row r="2406">
          <cell r="A2406"/>
          <cell r="J2406"/>
        </row>
        <row r="2407">
          <cell r="A2407"/>
          <cell r="J2407"/>
        </row>
        <row r="2408">
          <cell r="A2408"/>
          <cell r="J2408"/>
        </row>
        <row r="2409">
          <cell r="A2409"/>
          <cell r="J2409"/>
        </row>
        <row r="2410">
          <cell r="A2410"/>
          <cell r="J2410"/>
        </row>
        <row r="2411">
          <cell r="A2411"/>
          <cell r="J2411"/>
        </row>
        <row r="2412">
          <cell r="A2412"/>
          <cell r="J2412"/>
        </row>
        <row r="2413">
          <cell r="A2413"/>
          <cell r="J2413"/>
        </row>
        <row r="2414">
          <cell r="A2414"/>
          <cell r="J2414"/>
        </row>
        <row r="2415">
          <cell r="A2415"/>
          <cell r="J2415"/>
        </row>
        <row r="2416">
          <cell r="A2416"/>
          <cell r="J2416"/>
        </row>
        <row r="2417">
          <cell r="A2417"/>
          <cell r="J2417"/>
        </row>
        <row r="2418">
          <cell r="A2418"/>
          <cell r="J2418"/>
        </row>
        <row r="2419">
          <cell r="A2419"/>
          <cell r="J2419"/>
        </row>
        <row r="2420">
          <cell r="A2420"/>
          <cell r="J2420"/>
        </row>
        <row r="2421">
          <cell r="A2421"/>
          <cell r="J2421"/>
        </row>
        <row r="2422">
          <cell r="A2422"/>
          <cell r="J2422"/>
        </row>
        <row r="2423">
          <cell r="A2423"/>
          <cell r="J2423"/>
        </row>
        <row r="2424">
          <cell r="A2424"/>
          <cell r="J2424"/>
        </row>
        <row r="2425">
          <cell r="A2425"/>
          <cell r="J2425"/>
        </row>
        <row r="2426">
          <cell r="A2426"/>
          <cell r="J2426"/>
        </row>
        <row r="2427">
          <cell r="A2427"/>
          <cell r="J2427"/>
        </row>
        <row r="2428">
          <cell r="A2428"/>
          <cell r="J2428"/>
        </row>
        <row r="2429">
          <cell r="A2429"/>
          <cell r="J2429"/>
        </row>
        <row r="2430">
          <cell r="A2430"/>
          <cell r="J2430"/>
        </row>
        <row r="2431">
          <cell r="A2431"/>
          <cell r="J2431"/>
        </row>
        <row r="2432">
          <cell r="A2432"/>
          <cell r="J2432"/>
        </row>
        <row r="2433">
          <cell r="A2433"/>
          <cell r="J2433"/>
        </row>
        <row r="2434">
          <cell r="A2434"/>
          <cell r="J2434"/>
        </row>
        <row r="2435">
          <cell r="A2435"/>
          <cell r="J2435"/>
        </row>
        <row r="2436">
          <cell r="A2436"/>
          <cell r="J2436"/>
        </row>
        <row r="2437">
          <cell r="A2437"/>
          <cell r="J2437"/>
        </row>
        <row r="2438">
          <cell r="A2438"/>
          <cell r="J2438"/>
        </row>
        <row r="2439">
          <cell r="A2439"/>
          <cell r="J2439"/>
        </row>
        <row r="2440">
          <cell r="A2440"/>
          <cell r="J2440"/>
        </row>
        <row r="2441">
          <cell r="A2441"/>
          <cell r="J2441"/>
        </row>
        <row r="2442">
          <cell r="A2442"/>
          <cell r="J2442"/>
        </row>
        <row r="2443">
          <cell r="A2443"/>
          <cell r="J2443"/>
        </row>
        <row r="2444">
          <cell r="A2444"/>
          <cell r="J2444"/>
        </row>
        <row r="2445">
          <cell r="A2445"/>
          <cell r="J2445"/>
        </row>
        <row r="2446">
          <cell r="A2446"/>
          <cell r="J2446"/>
        </row>
        <row r="2447">
          <cell r="A2447"/>
          <cell r="J2447"/>
        </row>
        <row r="2448">
          <cell r="A2448"/>
          <cell r="J2448"/>
        </row>
        <row r="2449">
          <cell r="A2449"/>
          <cell r="J2449"/>
        </row>
        <row r="2450">
          <cell r="A2450"/>
          <cell r="J2450"/>
        </row>
        <row r="2451">
          <cell r="A2451"/>
          <cell r="J2451"/>
        </row>
        <row r="2452">
          <cell r="A2452"/>
          <cell r="J2452"/>
        </row>
        <row r="2453">
          <cell r="A2453"/>
          <cell r="J2453"/>
        </row>
        <row r="2454">
          <cell r="A2454"/>
          <cell r="J2454"/>
        </row>
        <row r="2455">
          <cell r="A2455"/>
          <cell r="J2455"/>
        </row>
        <row r="2456">
          <cell r="A2456"/>
          <cell r="J2456"/>
        </row>
        <row r="2457">
          <cell r="A2457"/>
          <cell r="J2457"/>
        </row>
        <row r="2458">
          <cell r="A2458"/>
          <cell r="J2458"/>
        </row>
        <row r="2459">
          <cell r="A2459"/>
          <cell r="J2459"/>
        </row>
        <row r="2460">
          <cell r="A2460"/>
          <cell r="J2460"/>
        </row>
        <row r="2461">
          <cell r="A2461"/>
          <cell r="J2461"/>
        </row>
        <row r="2462">
          <cell r="A2462"/>
          <cell r="J2462"/>
        </row>
        <row r="2463">
          <cell r="A2463"/>
          <cell r="J2463"/>
        </row>
        <row r="2464">
          <cell r="A2464"/>
          <cell r="J2464"/>
        </row>
        <row r="2465">
          <cell r="A2465"/>
          <cell r="J2465"/>
        </row>
        <row r="2466">
          <cell r="A2466"/>
          <cell r="J2466"/>
        </row>
        <row r="2467">
          <cell r="A2467"/>
          <cell r="J2467"/>
        </row>
        <row r="2468">
          <cell r="A2468"/>
          <cell r="J2468"/>
        </row>
        <row r="2469">
          <cell r="A2469"/>
          <cell r="J2469"/>
        </row>
        <row r="2470">
          <cell r="A2470"/>
          <cell r="J2470"/>
        </row>
        <row r="2471">
          <cell r="A2471"/>
          <cell r="J2471"/>
        </row>
        <row r="2472">
          <cell r="A2472"/>
          <cell r="J2472"/>
        </row>
        <row r="2473">
          <cell r="A2473"/>
          <cell r="J2473"/>
        </row>
        <row r="2474">
          <cell r="A2474"/>
          <cell r="J2474"/>
        </row>
        <row r="2475">
          <cell r="A2475"/>
          <cell r="J2475"/>
        </row>
        <row r="2476">
          <cell r="A2476"/>
          <cell r="J2476"/>
        </row>
        <row r="2477">
          <cell r="A2477"/>
          <cell r="J2477"/>
        </row>
        <row r="2478">
          <cell r="A2478"/>
          <cell r="J2478"/>
        </row>
        <row r="2479">
          <cell r="A2479"/>
          <cell r="J2479"/>
        </row>
        <row r="2480">
          <cell r="A2480"/>
          <cell r="J2480"/>
        </row>
        <row r="2481">
          <cell r="A2481"/>
          <cell r="J2481"/>
        </row>
        <row r="2482">
          <cell r="A2482"/>
          <cell r="J2482"/>
        </row>
        <row r="2483">
          <cell r="A2483"/>
          <cell r="J2483"/>
        </row>
        <row r="2484">
          <cell r="A2484"/>
          <cell r="J2484"/>
        </row>
        <row r="2485">
          <cell r="A2485"/>
          <cell r="J2485"/>
        </row>
        <row r="2486">
          <cell r="A2486"/>
          <cell r="J2486"/>
        </row>
        <row r="2487">
          <cell r="A2487"/>
          <cell r="J2487"/>
        </row>
        <row r="2488">
          <cell r="A2488"/>
          <cell r="J2488"/>
        </row>
        <row r="2489">
          <cell r="A2489"/>
          <cell r="J2489"/>
        </row>
        <row r="2490">
          <cell r="A2490"/>
          <cell r="J2490"/>
        </row>
        <row r="2491">
          <cell r="A2491"/>
          <cell r="J2491"/>
        </row>
        <row r="2492">
          <cell r="A2492"/>
          <cell r="J2492"/>
        </row>
        <row r="2493">
          <cell r="A2493"/>
          <cell r="J2493"/>
        </row>
        <row r="2494">
          <cell r="A2494"/>
          <cell r="J2494"/>
        </row>
        <row r="2495">
          <cell r="A2495"/>
          <cell r="J2495"/>
        </row>
        <row r="2496">
          <cell r="A2496"/>
          <cell r="J2496"/>
        </row>
        <row r="2497">
          <cell r="A2497"/>
          <cell r="J2497"/>
        </row>
        <row r="2498">
          <cell r="A2498"/>
          <cell r="J2498"/>
        </row>
        <row r="2499">
          <cell r="A2499"/>
          <cell r="J2499"/>
        </row>
        <row r="2500">
          <cell r="A2500"/>
          <cell r="J2500"/>
        </row>
        <row r="2501">
          <cell r="A2501"/>
          <cell r="J2501"/>
        </row>
        <row r="2502">
          <cell r="A2502"/>
          <cell r="J2502"/>
        </row>
        <row r="2503">
          <cell r="A2503"/>
          <cell r="J2503"/>
        </row>
        <row r="2504">
          <cell r="A2504"/>
          <cell r="J2504"/>
        </row>
        <row r="2505">
          <cell r="A2505"/>
          <cell r="J2505"/>
        </row>
        <row r="2506">
          <cell r="A2506"/>
          <cell r="J2506"/>
        </row>
        <row r="2507">
          <cell r="A2507"/>
          <cell r="J2507"/>
        </row>
        <row r="2508">
          <cell r="A2508"/>
          <cell r="J2508"/>
        </row>
        <row r="2509">
          <cell r="A2509"/>
          <cell r="J2509"/>
        </row>
        <row r="2510">
          <cell r="A2510"/>
          <cell r="J2510"/>
        </row>
        <row r="2511">
          <cell r="A2511"/>
          <cell r="J2511"/>
        </row>
        <row r="2512">
          <cell r="A2512"/>
          <cell r="J2512"/>
        </row>
        <row r="2513">
          <cell r="A2513"/>
          <cell r="J2513"/>
        </row>
        <row r="2514">
          <cell r="A2514"/>
          <cell r="J2514"/>
        </row>
        <row r="2515">
          <cell r="A2515"/>
          <cell r="J2515"/>
        </row>
        <row r="2516">
          <cell r="A2516"/>
          <cell r="J2516"/>
        </row>
        <row r="2517">
          <cell r="A2517"/>
          <cell r="J2517"/>
        </row>
        <row r="2518">
          <cell r="A2518"/>
          <cell r="J2518"/>
        </row>
        <row r="2519">
          <cell r="A2519"/>
          <cell r="J2519"/>
        </row>
        <row r="2520">
          <cell r="A2520"/>
          <cell r="J2520"/>
        </row>
        <row r="2521">
          <cell r="A2521"/>
          <cell r="J2521"/>
        </row>
        <row r="2522">
          <cell r="A2522"/>
          <cell r="J2522"/>
        </row>
        <row r="2523">
          <cell r="A2523"/>
          <cell r="J2523"/>
        </row>
        <row r="2524">
          <cell r="A2524"/>
          <cell r="J2524"/>
        </row>
        <row r="2525">
          <cell r="A2525"/>
          <cell r="J2525"/>
        </row>
        <row r="2526">
          <cell r="A2526"/>
          <cell r="J2526"/>
        </row>
        <row r="2527">
          <cell r="A2527"/>
          <cell r="J2527"/>
        </row>
        <row r="2528">
          <cell r="A2528"/>
          <cell r="J2528"/>
        </row>
        <row r="2529">
          <cell r="A2529"/>
          <cell r="J2529"/>
        </row>
        <row r="2530">
          <cell r="A2530"/>
          <cell r="J2530"/>
        </row>
        <row r="2531">
          <cell r="A2531"/>
          <cell r="J2531"/>
        </row>
        <row r="2532">
          <cell r="A2532"/>
          <cell r="J2532"/>
        </row>
        <row r="2533">
          <cell r="A2533"/>
          <cell r="J2533"/>
        </row>
        <row r="2534">
          <cell r="A2534"/>
          <cell r="J2534"/>
        </row>
        <row r="2535">
          <cell r="A2535"/>
          <cell r="J2535"/>
        </row>
        <row r="2536">
          <cell r="A2536"/>
          <cell r="J2536"/>
        </row>
        <row r="2537">
          <cell r="A2537"/>
          <cell r="J2537"/>
        </row>
        <row r="2538">
          <cell r="A2538"/>
          <cell r="J2538"/>
        </row>
        <row r="2539">
          <cell r="A2539"/>
          <cell r="J2539"/>
        </row>
        <row r="2540">
          <cell r="A2540"/>
          <cell r="J2540"/>
        </row>
        <row r="2541">
          <cell r="A2541"/>
          <cell r="J2541"/>
        </row>
        <row r="2542">
          <cell r="A2542"/>
          <cell r="J2542"/>
        </row>
        <row r="2543">
          <cell r="A2543"/>
          <cell r="J2543"/>
        </row>
        <row r="2544">
          <cell r="A2544"/>
          <cell r="J2544"/>
        </row>
        <row r="2545">
          <cell r="A2545"/>
          <cell r="J2545"/>
        </row>
        <row r="2546">
          <cell r="A2546"/>
          <cell r="J2546"/>
        </row>
        <row r="2547">
          <cell r="A2547"/>
          <cell r="J2547"/>
        </row>
        <row r="2548">
          <cell r="A2548"/>
          <cell r="J2548"/>
        </row>
        <row r="2549">
          <cell r="A2549"/>
          <cell r="J2549"/>
        </row>
        <row r="2550">
          <cell r="A2550"/>
          <cell r="J2550"/>
        </row>
        <row r="2551">
          <cell r="A2551"/>
          <cell r="J2551"/>
        </row>
        <row r="2552">
          <cell r="A2552"/>
          <cell r="J2552"/>
        </row>
        <row r="2553">
          <cell r="A2553"/>
          <cell r="J2553"/>
        </row>
        <row r="2554">
          <cell r="A2554"/>
          <cell r="J2554"/>
        </row>
        <row r="2555">
          <cell r="A2555"/>
          <cell r="J2555"/>
        </row>
        <row r="2556">
          <cell r="A2556"/>
          <cell r="J2556"/>
        </row>
        <row r="2557">
          <cell r="A2557"/>
          <cell r="J2557"/>
        </row>
        <row r="2558">
          <cell r="A2558"/>
          <cell r="J2558"/>
        </row>
        <row r="2559">
          <cell r="A2559"/>
          <cell r="J2559"/>
        </row>
        <row r="2560">
          <cell r="A2560"/>
          <cell r="J2560"/>
        </row>
        <row r="2561">
          <cell r="A2561"/>
          <cell r="J2561"/>
        </row>
        <row r="2562">
          <cell r="A2562"/>
          <cell r="J2562"/>
        </row>
        <row r="2563">
          <cell r="A2563"/>
          <cell r="J2563"/>
        </row>
        <row r="2564">
          <cell r="A2564"/>
          <cell r="J2564"/>
        </row>
        <row r="2565">
          <cell r="A2565"/>
          <cell r="J2565"/>
        </row>
        <row r="2566">
          <cell r="A2566"/>
          <cell r="J2566"/>
        </row>
        <row r="2567">
          <cell r="A2567"/>
          <cell r="J2567"/>
        </row>
        <row r="2568">
          <cell r="A2568"/>
          <cell r="J2568"/>
        </row>
        <row r="2569">
          <cell r="A2569"/>
          <cell r="J2569"/>
        </row>
        <row r="2570">
          <cell r="A2570"/>
          <cell r="J2570"/>
        </row>
        <row r="2571">
          <cell r="A2571"/>
          <cell r="J2571"/>
        </row>
        <row r="2572">
          <cell r="A2572"/>
          <cell r="J2572"/>
        </row>
        <row r="2573">
          <cell r="A2573"/>
          <cell r="J2573"/>
        </row>
        <row r="2574">
          <cell r="A2574"/>
          <cell r="J2574"/>
        </row>
        <row r="2575">
          <cell r="A2575"/>
          <cell r="J2575"/>
        </row>
        <row r="2576">
          <cell r="A2576"/>
          <cell r="J2576"/>
        </row>
        <row r="2577">
          <cell r="A2577"/>
          <cell r="J2577"/>
        </row>
        <row r="2578">
          <cell r="A2578"/>
          <cell r="J2578"/>
        </row>
        <row r="2579">
          <cell r="A2579"/>
          <cell r="J2579"/>
        </row>
        <row r="2580">
          <cell r="A2580"/>
          <cell r="J2580"/>
        </row>
        <row r="2581">
          <cell r="A2581"/>
          <cell r="J2581"/>
        </row>
        <row r="2582">
          <cell r="A2582"/>
          <cell r="J2582"/>
        </row>
        <row r="2583">
          <cell r="A2583"/>
          <cell r="J2583"/>
        </row>
        <row r="2584">
          <cell r="A2584"/>
          <cell r="J2584"/>
        </row>
        <row r="2585">
          <cell r="A2585"/>
          <cell r="J2585"/>
        </row>
        <row r="2586">
          <cell r="A2586"/>
          <cell r="J2586"/>
        </row>
        <row r="2587">
          <cell r="A2587"/>
          <cell r="J2587"/>
        </row>
        <row r="2588">
          <cell r="A2588"/>
          <cell r="J2588"/>
        </row>
        <row r="2589">
          <cell r="A2589"/>
          <cell r="J2589"/>
        </row>
        <row r="2590">
          <cell r="A2590"/>
          <cell r="J2590"/>
        </row>
        <row r="2591">
          <cell r="A2591"/>
          <cell r="J2591"/>
        </row>
        <row r="2592">
          <cell r="A2592"/>
          <cell r="J2592"/>
        </row>
        <row r="2593">
          <cell r="A2593"/>
          <cell r="J2593"/>
        </row>
        <row r="2594">
          <cell r="A2594"/>
          <cell r="J2594"/>
        </row>
        <row r="2595">
          <cell r="A2595"/>
          <cell r="J2595"/>
        </row>
        <row r="2596">
          <cell r="A2596"/>
          <cell r="J2596"/>
        </row>
        <row r="2597">
          <cell r="A2597"/>
          <cell r="J2597"/>
        </row>
        <row r="2598">
          <cell r="A2598"/>
          <cell r="J2598"/>
        </row>
        <row r="2599">
          <cell r="A2599"/>
          <cell r="J2599"/>
        </row>
        <row r="2600">
          <cell r="A2600"/>
          <cell r="J2600"/>
        </row>
        <row r="2601">
          <cell r="A2601"/>
          <cell r="J2601"/>
        </row>
        <row r="2602">
          <cell r="A2602"/>
          <cell r="J2602"/>
        </row>
        <row r="2603">
          <cell r="A2603"/>
          <cell r="J2603"/>
        </row>
        <row r="2604">
          <cell r="A2604"/>
          <cell r="J2604"/>
        </row>
        <row r="2605">
          <cell r="A2605"/>
          <cell r="J2605"/>
        </row>
        <row r="2606">
          <cell r="A2606"/>
          <cell r="J2606"/>
        </row>
        <row r="2607">
          <cell r="A2607"/>
          <cell r="J2607"/>
        </row>
        <row r="2608">
          <cell r="A2608"/>
          <cell r="J2608"/>
        </row>
        <row r="2609">
          <cell r="A2609"/>
          <cell r="J2609"/>
        </row>
        <row r="2610">
          <cell r="A2610"/>
          <cell r="J2610"/>
        </row>
        <row r="2611">
          <cell r="A2611"/>
          <cell r="J2611"/>
        </row>
        <row r="2612">
          <cell r="A2612"/>
          <cell r="J2612"/>
        </row>
        <row r="2613">
          <cell r="A2613"/>
          <cell r="J2613"/>
        </row>
        <row r="2614">
          <cell r="A2614"/>
          <cell r="J2614"/>
        </row>
        <row r="2615">
          <cell r="A2615"/>
          <cell r="J2615"/>
        </row>
        <row r="2616">
          <cell r="A2616"/>
          <cell r="J2616"/>
        </row>
        <row r="2617">
          <cell r="A2617"/>
          <cell r="J2617"/>
        </row>
        <row r="2618">
          <cell r="A2618"/>
          <cell r="J2618"/>
        </row>
        <row r="2619">
          <cell r="A2619"/>
          <cell r="J2619"/>
        </row>
        <row r="2620">
          <cell r="A2620"/>
          <cell r="J2620"/>
        </row>
        <row r="2621">
          <cell r="A2621"/>
          <cell r="J2621"/>
        </row>
        <row r="2622">
          <cell r="A2622"/>
          <cell r="J2622"/>
        </row>
        <row r="2623">
          <cell r="A2623"/>
          <cell r="J2623"/>
        </row>
        <row r="2624">
          <cell r="A2624"/>
          <cell r="J2624"/>
        </row>
        <row r="2625">
          <cell r="A2625"/>
          <cell r="J2625"/>
        </row>
        <row r="2626">
          <cell r="A2626"/>
          <cell r="J2626"/>
        </row>
        <row r="2627">
          <cell r="A2627"/>
          <cell r="J2627"/>
        </row>
        <row r="2628">
          <cell r="A2628"/>
          <cell r="J2628"/>
        </row>
        <row r="2629">
          <cell r="A2629"/>
          <cell r="J2629"/>
        </row>
        <row r="2630">
          <cell r="A2630"/>
          <cell r="J2630"/>
        </row>
        <row r="2631">
          <cell r="A2631"/>
          <cell r="J2631"/>
        </row>
        <row r="2632">
          <cell r="A2632"/>
          <cell r="J2632"/>
        </row>
        <row r="2633">
          <cell r="A2633"/>
          <cell r="J2633"/>
        </row>
        <row r="2634">
          <cell r="A2634"/>
          <cell r="J2634"/>
        </row>
        <row r="2635">
          <cell r="A2635"/>
          <cell r="J2635"/>
        </row>
        <row r="2636">
          <cell r="A2636"/>
          <cell r="J2636"/>
        </row>
        <row r="2637">
          <cell r="A2637"/>
          <cell r="J2637"/>
        </row>
        <row r="2638">
          <cell r="A2638"/>
          <cell r="J2638"/>
        </row>
        <row r="2639">
          <cell r="A2639"/>
          <cell r="J2639"/>
        </row>
        <row r="2640">
          <cell r="A2640"/>
          <cell r="J2640"/>
        </row>
        <row r="2641">
          <cell r="A2641"/>
          <cell r="J2641"/>
        </row>
        <row r="2642">
          <cell r="A2642"/>
          <cell r="J2642"/>
        </row>
        <row r="2643">
          <cell r="A2643"/>
          <cell r="J2643"/>
        </row>
        <row r="2644">
          <cell r="A2644"/>
          <cell r="J2644"/>
        </row>
        <row r="2645">
          <cell r="A2645"/>
          <cell r="J2645"/>
        </row>
        <row r="2646">
          <cell r="A2646"/>
          <cell r="J2646"/>
        </row>
        <row r="2647">
          <cell r="A2647"/>
          <cell r="J2647"/>
        </row>
        <row r="2648">
          <cell r="A2648"/>
          <cell r="J2648"/>
        </row>
        <row r="2649">
          <cell r="A2649"/>
          <cell r="J2649"/>
        </row>
        <row r="2650">
          <cell r="A2650"/>
          <cell r="J2650"/>
        </row>
        <row r="2651">
          <cell r="A2651"/>
          <cell r="J2651"/>
        </row>
      </sheetData>
      <sheetData sheetId="3"/>
      <sheetData sheetId="4"/>
      <sheetData sheetId="5"/>
      <sheetData sheetId="6"/>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改訂履歴"/>
      <sheetName val="業務定義"/>
      <sheetName val="リスト"/>
    </sheetNames>
    <sheetDataSet>
      <sheetData sheetId="0"/>
      <sheetData sheetId="1">
        <row r="6">
          <cell r="A6" t="str">
            <v>D.B.001</v>
          </cell>
          <cell r="I6" t="str">
            <v>Y</v>
          </cell>
          <cell r="J6" t="str">
            <v>Digital Business SupportShop Locator問合せ対応/サービスリクエスト/チケット起票問合せ対応/サービスリクエスト/チケット起票</v>
          </cell>
        </row>
        <row r="7">
          <cell r="A7" t="str">
            <v>D.B.002</v>
          </cell>
          <cell r="I7" t="str">
            <v>Y</v>
          </cell>
          <cell r="J7" t="str">
            <v>Digital Business SupportShop LocatorBusiness Test SupportBusiness Test Support</v>
          </cell>
        </row>
        <row r="8">
          <cell r="A8" t="str">
            <v>D.B.003</v>
          </cell>
          <cell r="I8" t="str">
            <v>Y</v>
          </cell>
          <cell r="J8" t="str">
            <v>Digital Business SupportShop Locator定期地図位置修正（四半期）定期地図位置修正（四半期）</v>
          </cell>
        </row>
        <row r="9">
          <cell r="A9" t="str">
            <v>D.B.004</v>
          </cell>
          <cell r="I9" t="str">
            <v>Y</v>
          </cell>
          <cell r="J9" t="str">
            <v>Digital Business SupportShop LocatorIncident &amp; Risk ManagementIncident &amp; Risk Management</v>
          </cell>
        </row>
        <row r="10">
          <cell r="A10" t="str">
            <v>D.B.005</v>
          </cell>
          <cell r="I10" t="str">
            <v>Y</v>
          </cell>
          <cell r="J10" t="str">
            <v>Digital Business SupportShop Locatorその他依頼作業その他依頼作業</v>
          </cell>
        </row>
        <row r="11">
          <cell r="A11" t="str">
            <v>D.B.006</v>
          </cell>
          <cell r="I11" t="str">
            <v>Y</v>
          </cell>
          <cell r="J11" t="str">
            <v>Digital Business SupportMyACUVUE+問合せ対応/サービスリクエスト/チケット起票問合せ対応/サービスリクエスト/チケット起票</v>
          </cell>
        </row>
        <row r="12">
          <cell r="A12" t="str">
            <v>D.B.007</v>
          </cell>
          <cell r="I12" t="str">
            <v>Y</v>
          </cell>
          <cell r="J12" t="str">
            <v>Digital Business SupportMyACUVUE+Business Test SupportBusiness Test Support</v>
          </cell>
        </row>
        <row r="13">
          <cell r="A13" t="str">
            <v>D.B.008</v>
          </cell>
          <cell r="I13" t="str">
            <v>Y</v>
          </cell>
          <cell r="J13" t="str">
            <v>Digital Business SupportMyACUVUE+その他依頼作業その他依頼作業</v>
          </cell>
        </row>
        <row r="14">
          <cell r="A14" t="str">
            <v>D.B.009</v>
          </cell>
          <cell r="I14" t="str">
            <v>Y</v>
          </cell>
          <cell r="J14" t="str">
            <v>Digital Business SupporteCommerce(AOS &amp; Teikibin)問合せ対応/サービスリクエスト/チケット起票問合せ対応/サービスリクエスト/チケット起票</v>
          </cell>
        </row>
        <row r="15">
          <cell r="A15" t="str">
            <v>D.B.010</v>
          </cell>
          <cell r="I15" t="str">
            <v>Y</v>
          </cell>
          <cell r="J15" t="str">
            <v>Digital Business SupporteCommerce(AOS &amp; Teikibin)Business Test SupportBusiness Test Support</v>
          </cell>
        </row>
        <row r="16">
          <cell r="A16" t="str">
            <v>D.B.011</v>
          </cell>
          <cell r="I16" t="str">
            <v>Y</v>
          </cell>
          <cell r="J16" t="str">
            <v>Digital Business SupporteCommerce(AOS &amp; Teikibin)Incident &amp; Risk ManagementIncident &amp; Risk Management</v>
          </cell>
        </row>
        <row r="17">
          <cell r="A17" t="str">
            <v>D.B.012</v>
          </cell>
          <cell r="I17" t="str">
            <v>Y</v>
          </cell>
          <cell r="J17" t="str">
            <v>Digital Business SupporteCommerce(AOS &amp; Teikibin)その他依頼作業その他依頼作業</v>
          </cell>
        </row>
        <row r="18">
          <cell r="A18" t="str">
            <v>D.B.013</v>
          </cell>
          <cell r="I18" t="str">
            <v>N</v>
          </cell>
          <cell r="J18" t="str">
            <v>Digital Business SupportCommonMonthly ReportingMonthly Reporting</v>
          </cell>
        </row>
        <row r="19">
          <cell r="A19" t="str">
            <v>D.B.014</v>
          </cell>
          <cell r="I19" t="str">
            <v>Y</v>
          </cell>
          <cell r="J19" t="str">
            <v>Digital Business SupportCommonその他依頼作業その他依頼作業</v>
          </cell>
        </row>
        <row r="20">
          <cell r="A20" t="str">
            <v>A.L.001</v>
          </cell>
          <cell r="I20" t="str">
            <v>Y</v>
          </cell>
          <cell r="J20" t="str">
            <v>Analytics Local ServicePanorama問い合わせ問い合わせ</v>
          </cell>
        </row>
        <row r="21">
          <cell r="A21" t="str">
            <v>A.L.002</v>
          </cell>
          <cell r="I21" t="str">
            <v>Y</v>
          </cell>
          <cell r="J21" t="str">
            <v>Analytics Local ServicePanoramaインシデントハンドリングインシデントハンドリング</v>
          </cell>
        </row>
        <row r="22">
          <cell r="A22" t="str">
            <v>A.L.003</v>
          </cell>
          <cell r="I22" t="str">
            <v>N</v>
          </cell>
          <cell r="J22" t="str">
            <v>Analytics Local ServicePanoramaインターフェースチェックインターフェースチェック</v>
          </cell>
        </row>
        <row r="23">
          <cell r="A23" t="str">
            <v>A.L.004</v>
          </cell>
          <cell r="I23" t="str">
            <v>Y</v>
          </cell>
          <cell r="J23" t="str">
            <v>Analytics Local ServicePanorama検証・調査検証・調査</v>
          </cell>
        </row>
        <row r="24">
          <cell r="A24" t="str">
            <v>A.L.005</v>
          </cell>
          <cell r="I24" t="str">
            <v>Y</v>
          </cell>
          <cell r="J24" t="str">
            <v>Analytics Local ServicePanoramaリクエスト分析/開発サポートリクエスト分析/開発サポート</v>
          </cell>
        </row>
        <row r="25">
          <cell r="A25" t="str">
            <v>J.S.001</v>
          </cell>
          <cell r="I25" t="str">
            <v>Y</v>
          </cell>
          <cell r="J25" t="str">
            <v>JFLOW &amp; Other SupportSupport問い合わせJFLOW</v>
          </cell>
        </row>
        <row r="26">
          <cell r="A26" t="str">
            <v>J.S.002</v>
          </cell>
          <cell r="I26" t="str">
            <v>Y</v>
          </cell>
          <cell r="J26" t="str">
            <v>JFLOW &amp; Other SupportSupport問い合わせOther EUS</v>
          </cell>
        </row>
        <row r="27">
          <cell r="A27" t="str">
            <v>J.S.003</v>
          </cell>
          <cell r="I27" t="str">
            <v>Y</v>
          </cell>
          <cell r="J27" t="str">
            <v>JFLOW &amp; Other SupportSupport問い合わせIntranet</v>
          </cell>
        </row>
        <row r="28">
          <cell r="A28" t="str">
            <v>J.S.004</v>
          </cell>
          <cell r="I28" t="str">
            <v>Y</v>
          </cell>
          <cell r="J28" t="str">
            <v>JFLOW &amp; Other SupportSupportインシデントハンドリングインシデントハンドリング</v>
          </cell>
        </row>
        <row r="29">
          <cell r="A29" t="str">
            <v>J.S.005</v>
          </cell>
          <cell r="I29" t="str">
            <v>Y</v>
          </cell>
          <cell r="J29" t="str">
            <v>JFLOW &amp; Other SupportBasic SupportService RequestJFLOW</v>
          </cell>
        </row>
        <row r="30">
          <cell r="A30" t="str">
            <v>J.S.006</v>
          </cell>
          <cell r="I30" t="str">
            <v>Y</v>
          </cell>
          <cell r="J30" t="str">
            <v>JFLOW &amp; Other SupportBasic SupportService RequestOther EUS</v>
          </cell>
        </row>
        <row r="31">
          <cell r="A31" t="str">
            <v>J.S.007</v>
          </cell>
          <cell r="I31" t="str">
            <v>Y</v>
          </cell>
          <cell r="J31" t="str">
            <v>JFLOW &amp; Other SupportBasic SupportService RequestIntranet</v>
          </cell>
        </row>
        <row r="32">
          <cell r="A32" t="str">
            <v>J.S.008</v>
          </cell>
          <cell r="I32" t="str">
            <v>Y</v>
          </cell>
          <cell r="J32" t="str">
            <v>JFLOW &amp; Other SupportMaintenanceSmall changeJFLOW</v>
          </cell>
        </row>
        <row r="33">
          <cell r="A33" t="str">
            <v>J.S.009</v>
          </cell>
          <cell r="I33" t="str">
            <v>Y</v>
          </cell>
          <cell r="J33" t="str">
            <v>JFLOW &amp; Other SupportMaintenanceSmall changeIntranet</v>
          </cell>
        </row>
        <row r="34">
          <cell r="A34" t="str">
            <v>J.S.010</v>
          </cell>
          <cell r="I34" t="str">
            <v>Y</v>
          </cell>
          <cell r="J34" t="str">
            <v>JFLOW &amp; Other SupportMaintenanceコンサルサービスOther EUS</v>
          </cell>
        </row>
        <row r="35">
          <cell r="A35" t="str">
            <v>S.L.001</v>
          </cell>
          <cell r="I35" t="str">
            <v>Y</v>
          </cell>
          <cell r="J35" t="str">
            <v>SFE Local SupportSupport問い合わせ問い合わせ</v>
          </cell>
        </row>
        <row r="36">
          <cell r="A36" t="str">
            <v>S.L.002</v>
          </cell>
          <cell r="I36" t="str">
            <v>Y</v>
          </cell>
          <cell r="J36" t="str">
            <v>SFE Local SupportSupportインシデントハンドリングインシデントハンドリング</v>
          </cell>
        </row>
        <row r="37">
          <cell r="A37" t="str">
            <v>S.L.003</v>
          </cell>
          <cell r="I37" t="str">
            <v>Y</v>
          </cell>
          <cell r="J37" t="str">
            <v>SFE Local SupportBasic SupportService Requestアカウント管理（登録、変更、削除・検証・調査) 依頼</v>
          </cell>
        </row>
        <row r="38">
          <cell r="A38" t="str">
            <v>S.L.004</v>
          </cell>
          <cell r="I38" t="str">
            <v>N</v>
          </cell>
          <cell r="J38" t="str">
            <v>SFE Local SupportBasic SupportService RequestDaily Interface Check</v>
          </cell>
        </row>
        <row r="39">
          <cell r="A39" t="str">
            <v>S.L.005</v>
          </cell>
          <cell r="I39" t="str">
            <v>Y</v>
          </cell>
          <cell r="J39" t="str">
            <v>SFE Local SupportMaintenanceコンサルサービスコンサルサービス</v>
          </cell>
        </row>
        <row r="40">
          <cell r="A40" t="str">
            <v>S.R.001</v>
          </cell>
          <cell r="I40" t="str">
            <v>Y</v>
          </cell>
          <cell r="J40" t="str">
            <v>SC Run SupportEagleL1 Support問合せ</v>
          </cell>
        </row>
        <row r="41">
          <cell r="A41" t="str">
            <v>S.R.002</v>
          </cell>
          <cell r="I41" t="str">
            <v>Y</v>
          </cell>
          <cell r="J41" t="str">
            <v>SC Run SupportEagleL1 Supportインシデントハンドリング</v>
          </cell>
        </row>
        <row r="42">
          <cell r="A42" t="str">
            <v>S.R.003</v>
          </cell>
          <cell r="I42" t="str">
            <v>N</v>
          </cell>
          <cell r="J42" t="str">
            <v>SC Run SupportEagleDaily CheckDaily Check</v>
          </cell>
        </row>
        <row r="43">
          <cell r="A43" t="str">
            <v>S.R.004</v>
          </cell>
          <cell r="I43" t="str">
            <v>Y</v>
          </cell>
          <cell r="J43" t="str">
            <v>SC Run SupportARSL1 Support問合せ</v>
          </cell>
        </row>
        <row r="44">
          <cell r="A44" t="str">
            <v>S.R.005</v>
          </cell>
          <cell r="I44" t="str">
            <v>Y</v>
          </cell>
          <cell r="J44" t="str">
            <v>SC Run SupportARSL1 Supportインシデントハンドリング</v>
          </cell>
        </row>
        <row r="45">
          <cell r="A45" t="str">
            <v>S.R.006</v>
          </cell>
          <cell r="I45" t="str">
            <v>Y</v>
          </cell>
          <cell r="J45" t="str">
            <v>SC Run SupportARSDaily CheckDaily Check</v>
          </cell>
        </row>
        <row r="46">
          <cell r="A46" t="str">
            <v>S.S.001</v>
          </cell>
          <cell r="I46" t="str">
            <v>Y</v>
          </cell>
          <cell r="J46" t="str">
            <v>SC Service RequestEagleService RequestService Request</v>
          </cell>
        </row>
        <row r="47">
          <cell r="A47" t="str">
            <v>S.S.002</v>
          </cell>
          <cell r="I47" t="str">
            <v>Y</v>
          </cell>
          <cell r="J47" t="str">
            <v>SC Service RequestARSService RequestService Request</v>
          </cell>
        </row>
        <row r="48">
          <cell r="A48" t="str">
            <v>S.S.003</v>
          </cell>
          <cell r="I48" t="str">
            <v>Y</v>
          </cell>
          <cell r="J48" t="str">
            <v>SC Service RequestARSEnhancementEnhancement</v>
          </cell>
        </row>
        <row r="49">
          <cell r="A49" t="str">
            <v>Con001</v>
          </cell>
          <cell r="I49" t="str">
            <v>N</v>
          </cell>
          <cell r="J49" t="str">
            <v>ConsumerL1L1L1</v>
          </cell>
        </row>
        <row r="50">
          <cell r="A50" t="str">
            <v>Con002</v>
          </cell>
          <cell r="I50" t="str">
            <v>N</v>
          </cell>
          <cell r="J50" t="str">
            <v>ConsumerL2L2L2</v>
          </cell>
        </row>
        <row r="51">
          <cell r="A51" t="str">
            <v>AS001</v>
          </cell>
          <cell r="I51" t="str">
            <v>N</v>
          </cell>
          <cell r="J51" t="str">
            <v>AS管理ASComplianceWire受講</v>
          </cell>
        </row>
        <row r="52">
          <cell r="A52" t="str">
            <v>AS002</v>
          </cell>
          <cell r="I52" t="str">
            <v>N</v>
          </cell>
          <cell r="J52" t="str">
            <v>AS管理MtgITASとのMeeting</v>
          </cell>
        </row>
        <row r="53">
          <cell r="A53" t="str">
            <v>AS003</v>
          </cell>
          <cell r="I53" t="str">
            <v>N</v>
          </cell>
          <cell r="J53" t="str">
            <v>AS管理報告・報告書作成報告・報告書作成</v>
          </cell>
        </row>
        <row r="54">
          <cell r="A54" t="str">
            <v>SCSK001</v>
          </cell>
          <cell r="I54" t="str">
            <v>N</v>
          </cell>
          <cell r="J54" t="str">
            <v>SCSKSCSK作業各種作業メール、勤怠</v>
          </cell>
        </row>
        <row r="55">
          <cell r="A55" t="str">
            <v>SCSK002</v>
          </cell>
          <cell r="I55" t="str">
            <v>N</v>
          </cell>
          <cell r="J55" t="str">
            <v>SCSKSCSK作業各種作業報告書作成</v>
          </cell>
        </row>
        <row r="56">
          <cell r="A56" t="str">
            <v>SCSK003</v>
          </cell>
          <cell r="I56" t="str">
            <v>N</v>
          </cell>
          <cell r="J56" t="str">
            <v>SCSKSCSK作業各種作業研修・セミナー参加</v>
          </cell>
        </row>
        <row r="57">
          <cell r="A57" t="str">
            <v>SCSK004</v>
          </cell>
          <cell r="I57" t="str">
            <v>N</v>
          </cell>
          <cell r="J57" t="str">
            <v>SCSKSCSK作業各種作業その他作業</v>
          </cell>
        </row>
        <row r="58">
          <cell r="A58" t="str">
            <v>SCSK005</v>
          </cell>
          <cell r="I58" t="str">
            <v>N</v>
          </cell>
          <cell r="J58" t="str">
            <v>SCSKSCSK作業各種作業提案・見積</v>
          </cell>
        </row>
        <row r="59">
          <cell r="A59" t="str">
            <v>SCSK006</v>
          </cell>
          <cell r="I59" t="str">
            <v>N</v>
          </cell>
          <cell r="J59" t="str">
            <v>SCSKSCSK作業各種作業Consumer様運用サポート</v>
          </cell>
        </row>
        <row r="60">
          <cell r="I60"/>
          <cell r="J60" t="str">
            <v/>
          </cell>
        </row>
        <row r="61">
          <cell r="I61"/>
          <cell r="J61" t="str">
            <v/>
          </cell>
        </row>
        <row r="62">
          <cell r="I62"/>
          <cell r="J62" t="str">
            <v/>
          </cell>
        </row>
        <row r="63">
          <cell r="I63"/>
          <cell r="J63" t="str">
            <v/>
          </cell>
        </row>
        <row r="64">
          <cell r="I64"/>
          <cell r="J64" t="str">
            <v/>
          </cell>
        </row>
        <row r="65">
          <cell r="I65"/>
          <cell r="J65" t="str">
            <v/>
          </cell>
        </row>
        <row r="66">
          <cell r="I66"/>
          <cell r="J66" t="str">
            <v/>
          </cell>
        </row>
        <row r="67">
          <cell r="I67"/>
          <cell r="J67" t="str">
            <v/>
          </cell>
        </row>
        <row r="68">
          <cell r="I68"/>
          <cell r="J68" t="str">
            <v/>
          </cell>
        </row>
        <row r="69">
          <cell r="I69"/>
          <cell r="J69" t="str">
            <v/>
          </cell>
        </row>
        <row r="70">
          <cell r="I70"/>
          <cell r="J70" t="str">
            <v/>
          </cell>
        </row>
        <row r="71">
          <cell r="I71"/>
          <cell r="J71" t="str">
            <v/>
          </cell>
        </row>
        <row r="72">
          <cell r="I72"/>
          <cell r="J72" t="str">
            <v/>
          </cell>
        </row>
        <row r="73">
          <cell r="I73"/>
          <cell r="J73" t="str">
            <v/>
          </cell>
        </row>
        <row r="74">
          <cell r="I74"/>
          <cell r="J74" t="str">
            <v/>
          </cell>
        </row>
        <row r="75">
          <cell r="I75"/>
          <cell r="J75" t="str">
            <v/>
          </cell>
        </row>
        <row r="76">
          <cell r="I76"/>
          <cell r="J76" t="str">
            <v/>
          </cell>
        </row>
        <row r="77">
          <cell r="I77"/>
          <cell r="J77" t="str">
            <v/>
          </cell>
        </row>
        <row r="78">
          <cell r="I78"/>
          <cell r="J78" t="str">
            <v/>
          </cell>
        </row>
        <row r="79">
          <cell r="I79"/>
          <cell r="J79" t="str">
            <v/>
          </cell>
        </row>
        <row r="80">
          <cell r="J80" t="str">
            <v/>
          </cell>
        </row>
        <row r="81">
          <cell r="J81" t="str">
            <v/>
          </cell>
        </row>
        <row r="82">
          <cell r="J82" t="str">
            <v/>
          </cell>
        </row>
        <row r="83">
          <cell r="J83" t="str">
            <v/>
          </cell>
        </row>
        <row r="84">
          <cell r="J84" t="str">
            <v/>
          </cell>
        </row>
        <row r="85">
          <cell r="J85" t="str">
            <v/>
          </cell>
        </row>
        <row r="86">
          <cell r="J86" t="str">
            <v/>
          </cell>
        </row>
        <row r="87">
          <cell r="J87" t="str">
            <v/>
          </cell>
        </row>
        <row r="88">
          <cell r="J88" t="str">
            <v/>
          </cell>
        </row>
        <row r="89">
          <cell r="J89" t="str">
            <v/>
          </cell>
        </row>
        <row r="90">
          <cell r="J90" t="str">
            <v/>
          </cell>
        </row>
        <row r="91">
          <cell r="J91" t="str">
            <v/>
          </cell>
        </row>
        <row r="92">
          <cell r="J92" t="str">
            <v/>
          </cell>
        </row>
        <row r="93">
          <cell r="J93" t="str">
            <v/>
          </cell>
        </row>
        <row r="94">
          <cell r="J94" t="str">
            <v/>
          </cell>
        </row>
        <row r="95">
          <cell r="J95" t="str">
            <v/>
          </cell>
        </row>
        <row r="96">
          <cell r="J96" t="str">
            <v/>
          </cell>
        </row>
        <row r="97">
          <cell r="J97" t="str">
            <v/>
          </cell>
        </row>
        <row r="98">
          <cell r="J98" t="str">
            <v/>
          </cell>
        </row>
        <row r="99">
          <cell r="J99" t="str">
            <v/>
          </cell>
        </row>
        <row r="100">
          <cell r="J100" t="str">
            <v/>
          </cell>
        </row>
        <row r="101">
          <cell r="J101" t="str">
            <v/>
          </cell>
        </row>
        <row r="102">
          <cell r="J102" t="str">
            <v/>
          </cell>
        </row>
        <row r="103">
          <cell r="J103" t="str">
            <v/>
          </cell>
        </row>
        <row r="104">
          <cell r="J104" t="str">
            <v/>
          </cell>
        </row>
        <row r="105">
          <cell r="J105" t="str">
            <v/>
          </cell>
        </row>
        <row r="106">
          <cell r="J106" t="str">
            <v/>
          </cell>
        </row>
        <row r="107">
          <cell r="J107" t="str">
            <v/>
          </cell>
        </row>
        <row r="108">
          <cell r="J108" t="str">
            <v/>
          </cell>
        </row>
        <row r="109">
          <cell r="J109" t="str">
            <v/>
          </cell>
        </row>
        <row r="110">
          <cell r="J110" t="str">
            <v/>
          </cell>
        </row>
        <row r="111">
          <cell r="J111" t="str">
            <v/>
          </cell>
        </row>
        <row r="112">
          <cell r="J112" t="str">
            <v/>
          </cell>
        </row>
        <row r="113">
          <cell r="J113" t="str">
            <v/>
          </cell>
        </row>
        <row r="114">
          <cell r="J114" t="str">
            <v/>
          </cell>
        </row>
        <row r="115">
          <cell r="J115" t="str">
            <v/>
          </cell>
        </row>
        <row r="116">
          <cell r="J116" t="str">
            <v/>
          </cell>
        </row>
        <row r="117">
          <cell r="J117" t="str">
            <v/>
          </cell>
        </row>
        <row r="118">
          <cell r="J118" t="str">
            <v/>
          </cell>
        </row>
        <row r="119">
          <cell r="J119" t="str">
            <v/>
          </cell>
        </row>
        <row r="120">
          <cell r="J120" t="str">
            <v/>
          </cell>
        </row>
        <row r="121">
          <cell r="J121" t="str">
            <v/>
          </cell>
        </row>
        <row r="122">
          <cell r="J122" t="str">
            <v/>
          </cell>
        </row>
        <row r="123">
          <cell r="J123" t="str">
            <v/>
          </cell>
        </row>
        <row r="124">
          <cell r="J124" t="str">
            <v/>
          </cell>
        </row>
        <row r="125">
          <cell r="J125" t="str">
            <v/>
          </cell>
        </row>
        <row r="126">
          <cell r="J126" t="str">
            <v/>
          </cell>
        </row>
        <row r="127">
          <cell r="J127" t="str">
            <v/>
          </cell>
        </row>
        <row r="128">
          <cell r="J128" t="str">
            <v/>
          </cell>
        </row>
        <row r="129">
          <cell r="J129" t="str">
            <v/>
          </cell>
        </row>
        <row r="130">
          <cell r="J130" t="str">
            <v/>
          </cell>
        </row>
        <row r="131">
          <cell r="J131" t="str">
            <v/>
          </cell>
        </row>
        <row r="132">
          <cell r="J132" t="str">
            <v/>
          </cell>
        </row>
        <row r="133">
          <cell r="J133" t="str">
            <v/>
          </cell>
        </row>
        <row r="134">
          <cell r="J134" t="str">
            <v/>
          </cell>
        </row>
        <row r="135">
          <cell r="J135" t="str">
            <v/>
          </cell>
        </row>
        <row r="136">
          <cell r="J136" t="str">
            <v/>
          </cell>
        </row>
        <row r="137">
          <cell r="J137" t="str">
            <v/>
          </cell>
        </row>
        <row r="138">
          <cell r="J138" t="str">
            <v/>
          </cell>
        </row>
        <row r="139">
          <cell r="J139" t="str">
            <v/>
          </cell>
        </row>
        <row r="140">
          <cell r="J140" t="str">
            <v/>
          </cell>
        </row>
        <row r="141">
          <cell r="J141" t="str">
            <v/>
          </cell>
        </row>
        <row r="142">
          <cell r="J142" t="str">
            <v/>
          </cell>
        </row>
        <row r="143">
          <cell r="J143" t="str">
            <v/>
          </cell>
        </row>
        <row r="144">
          <cell r="J144" t="str">
            <v/>
          </cell>
        </row>
        <row r="145">
          <cell r="J145" t="str">
            <v/>
          </cell>
        </row>
        <row r="146">
          <cell r="J146" t="str">
            <v/>
          </cell>
        </row>
        <row r="147">
          <cell r="J147" t="str">
            <v/>
          </cell>
        </row>
        <row r="148">
          <cell r="J148" t="str">
            <v/>
          </cell>
        </row>
        <row r="149">
          <cell r="J149" t="str">
            <v/>
          </cell>
        </row>
        <row r="150">
          <cell r="J150" t="str">
            <v/>
          </cell>
        </row>
        <row r="151">
          <cell r="J151" t="str">
            <v/>
          </cell>
        </row>
        <row r="152">
          <cell r="J152" t="str">
            <v/>
          </cell>
        </row>
        <row r="153">
          <cell r="J153" t="str">
            <v/>
          </cell>
        </row>
        <row r="154">
          <cell r="J154" t="str">
            <v/>
          </cell>
        </row>
        <row r="155">
          <cell r="J155" t="str">
            <v/>
          </cell>
        </row>
        <row r="156">
          <cell r="J156" t="str">
            <v/>
          </cell>
        </row>
        <row r="157">
          <cell r="J157" t="str">
            <v/>
          </cell>
        </row>
        <row r="158">
          <cell r="J158" t="str">
            <v/>
          </cell>
        </row>
        <row r="159">
          <cell r="J159" t="str">
            <v/>
          </cell>
        </row>
        <row r="160">
          <cell r="J160" t="str">
            <v/>
          </cell>
        </row>
        <row r="161">
          <cell r="J161" t="str">
            <v/>
          </cell>
        </row>
        <row r="162">
          <cell r="J162" t="str">
            <v/>
          </cell>
        </row>
        <row r="163">
          <cell r="J163" t="str">
            <v/>
          </cell>
        </row>
        <row r="164">
          <cell r="J164" t="str">
            <v/>
          </cell>
        </row>
        <row r="165">
          <cell r="J165" t="str">
            <v/>
          </cell>
        </row>
        <row r="166">
          <cell r="J166" t="str">
            <v/>
          </cell>
        </row>
        <row r="167">
          <cell r="J167" t="str">
            <v/>
          </cell>
        </row>
        <row r="168">
          <cell r="J168" t="str">
            <v/>
          </cell>
        </row>
        <row r="169">
          <cell r="J169" t="str">
            <v/>
          </cell>
        </row>
        <row r="170">
          <cell r="J170" t="str">
            <v/>
          </cell>
        </row>
        <row r="171">
          <cell r="J171" t="str">
            <v/>
          </cell>
        </row>
        <row r="172">
          <cell r="J172" t="str">
            <v/>
          </cell>
        </row>
        <row r="173">
          <cell r="J173" t="str">
            <v/>
          </cell>
        </row>
        <row r="174">
          <cell r="J174" t="str">
            <v/>
          </cell>
        </row>
        <row r="175">
          <cell r="J175" t="str">
            <v/>
          </cell>
        </row>
        <row r="176">
          <cell r="J176" t="str">
            <v/>
          </cell>
        </row>
        <row r="177">
          <cell r="J177" t="str">
            <v/>
          </cell>
        </row>
        <row r="178">
          <cell r="J178" t="str">
            <v/>
          </cell>
        </row>
        <row r="179">
          <cell r="J179" t="str">
            <v/>
          </cell>
        </row>
        <row r="180">
          <cell r="J180" t="str">
            <v/>
          </cell>
        </row>
        <row r="181">
          <cell r="J181" t="str">
            <v/>
          </cell>
        </row>
        <row r="182">
          <cell r="J182" t="str">
            <v/>
          </cell>
        </row>
        <row r="183">
          <cell r="J183" t="str">
            <v/>
          </cell>
        </row>
        <row r="184">
          <cell r="J184" t="str">
            <v/>
          </cell>
        </row>
        <row r="185">
          <cell r="J185" t="str">
            <v/>
          </cell>
        </row>
        <row r="186">
          <cell r="J186" t="str">
            <v/>
          </cell>
        </row>
        <row r="187">
          <cell r="J187" t="str">
            <v/>
          </cell>
        </row>
        <row r="188">
          <cell r="J188" t="str">
            <v/>
          </cell>
        </row>
        <row r="189">
          <cell r="J189" t="str">
            <v/>
          </cell>
        </row>
        <row r="190">
          <cell r="J190" t="str">
            <v/>
          </cell>
        </row>
        <row r="191">
          <cell r="J191" t="str">
            <v/>
          </cell>
        </row>
        <row r="192">
          <cell r="J192" t="str">
            <v/>
          </cell>
        </row>
        <row r="193">
          <cell r="J193" t="str">
            <v/>
          </cell>
        </row>
        <row r="194">
          <cell r="J194" t="str">
            <v/>
          </cell>
        </row>
        <row r="195">
          <cell r="J195" t="str">
            <v/>
          </cell>
        </row>
        <row r="196">
          <cell r="J196" t="str">
            <v/>
          </cell>
        </row>
        <row r="197">
          <cell r="J197" t="str">
            <v/>
          </cell>
        </row>
        <row r="198">
          <cell r="J198" t="str">
            <v/>
          </cell>
        </row>
        <row r="199">
          <cell r="J199" t="str">
            <v/>
          </cell>
        </row>
        <row r="200">
          <cell r="J200" t="str">
            <v/>
          </cell>
        </row>
        <row r="201">
          <cell r="J201" t="str">
            <v/>
          </cell>
        </row>
        <row r="202">
          <cell r="J202" t="str">
            <v/>
          </cell>
        </row>
        <row r="203">
          <cell r="J203" t="str">
            <v/>
          </cell>
        </row>
        <row r="204">
          <cell r="J204" t="str">
            <v/>
          </cell>
        </row>
        <row r="205">
          <cell r="J205" t="str">
            <v/>
          </cell>
        </row>
        <row r="206">
          <cell r="J206" t="str">
            <v/>
          </cell>
        </row>
        <row r="207">
          <cell r="J207" t="str">
            <v/>
          </cell>
        </row>
        <row r="208">
          <cell r="J208" t="str">
            <v/>
          </cell>
        </row>
        <row r="209">
          <cell r="J209" t="str">
            <v/>
          </cell>
        </row>
        <row r="210">
          <cell r="J210" t="str">
            <v/>
          </cell>
        </row>
        <row r="211">
          <cell r="J211" t="str">
            <v/>
          </cell>
        </row>
        <row r="212">
          <cell r="J212" t="str">
            <v/>
          </cell>
        </row>
        <row r="213">
          <cell r="J213" t="str">
            <v/>
          </cell>
        </row>
        <row r="214">
          <cell r="J214" t="str">
            <v/>
          </cell>
        </row>
        <row r="215">
          <cell r="J215" t="str">
            <v/>
          </cell>
        </row>
        <row r="216">
          <cell r="J216" t="str">
            <v/>
          </cell>
        </row>
        <row r="217">
          <cell r="J217" t="str">
            <v/>
          </cell>
        </row>
        <row r="218">
          <cell r="J218" t="str">
            <v/>
          </cell>
        </row>
        <row r="219">
          <cell r="J219" t="str">
            <v/>
          </cell>
        </row>
        <row r="220">
          <cell r="J220" t="str">
            <v/>
          </cell>
        </row>
        <row r="221">
          <cell r="J221" t="str">
            <v/>
          </cell>
        </row>
        <row r="222">
          <cell r="J222" t="str">
            <v/>
          </cell>
        </row>
        <row r="223">
          <cell r="J223" t="str">
            <v/>
          </cell>
        </row>
        <row r="224">
          <cell r="J224" t="str">
            <v/>
          </cell>
        </row>
        <row r="225">
          <cell r="J225" t="str">
            <v/>
          </cell>
        </row>
        <row r="226">
          <cell r="J226" t="str">
            <v/>
          </cell>
        </row>
        <row r="227">
          <cell r="J227" t="str">
            <v/>
          </cell>
        </row>
        <row r="228">
          <cell r="J228" t="str">
            <v/>
          </cell>
        </row>
        <row r="229">
          <cell r="J229" t="str">
            <v/>
          </cell>
        </row>
        <row r="230">
          <cell r="J230" t="str">
            <v/>
          </cell>
        </row>
        <row r="231">
          <cell r="J231" t="str">
            <v/>
          </cell>
        </row>
        <row r="232">
          <cell r="J232" t="str">
            <v/>
          </cell>
        </row>
        <row r="233">
          <cell r="J233" t="str">
            <v/>
          </cell>
        </row>
        <row r="234">
          <cell r="J234" t="str">
            <v/>
          </cell>
        </row>
        <row r="235">
          <cell r="J235" t="str">
            <v/>
          </cell>
        </row>
        <row r="236">
          <cell r="J236" t="str">
            <v/>
          </cell>
        </row>
        <row r="237">
          <cell r="J237" t="str">
            <v/>
          </cell>
        </row>
        <row r="238">
          <cell r="J238" t="str">
            <v/>
          </cell>
        </row>
        <row r="239">
          <cell r="J239" t="str">
            <v/>
          </cell>
        </row>
        <row r="240">
          <cell r="J240" t="str">
            <v/>
          </cell>
        </row>
        <row r="241">
          <cell r="J241" t="str">
            <v/>
          </cell>
        </row>
        <row r="242">
          <cell r="J242" t="str">
            <v/>
          </cell>
        </row>
        <row r="243">
          <cell r="J243" t="str">
            <v/>
          </cell>
        </row>
        <row r="244">
          <cell r="J244" t="str">
            <v/>
          </cell>
        </row>
        <row r="245">
          <cell r="J245" t="str">
            <v/>
          </cell>
        </row>
        <row r="246">
          <cell r="J246" t="str">
            <v/>
          </cell>
        </row>
        <row r="247">
          <cell r="J247" t="str">
            <v/>
          </cell>
        </row>
        <row r="248">
          <cell r="J248" t="str">
            <v/>
          </cell>
        </row>
        <row r="249">
          <cell r="J249" t="str">
            <v/>
          </cell>
        </row>
        <row r="250">
          <cell r="J250" t="str">
            <v/>
          </cell>
        </row>
        <row r="251">
          <cell r="J251" t="str">
            <v/>
          </cell>
        </row>
        <row r="252">
          <cell r="J252" t="str">
            <v/>
          </cell>
        </row>
        <row r="253">
          <cell r="J253" t="str">
            <v/>
          </cell>
        </row>
        <row r="254">
          <cell r="J254" t="str">
            <v/>
          </cell>
        </row>
        <row r="255">
          <cell r="J255" t="str">
            <v/>
          </cell>
        </row>
        <row r="257">
          <cell r="J257" t="str">
            <v/>
          </cell>
        </row>
      </sheetData>
      <sheetData sheetId="2"/>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D67"/>
  <sheetViews>
    <sheetView showGridLines="0" topLeftCell="A49" workbookViewId="0">
      <selection activeCell="D84" sqref="D84"/>
    </sheetView>
  </sheetViews>
  <sheetFormatPr defaultRowHeight="13.5" x14ac:dyDescent="0.15"/>
  <cols>
    <col min="2" max="2" width="13" bestFit="1" customWidth="1"/>
    <col min="3" max="3" width="9.375" bestFit="1" customWidth="1"/>
  </cols>
  <sheetData>
    <row r="1" spans="1:4" ht="14.25" thickBot="1" x14ac:dyDescent="0.2">
      <c r="A1" t="s">
        <v>90</v>
      </c>
    </row>
    <row r="2" spans="1:4" x14ac:dyDescent="0.15">
      <c r="B2" s="55"/>
      <c r="C2" s="56" t="s">
        <v>81</v>
      </c>
    </row>
    <row r="3" spans="1:4" x14ac:dyDescent="0.15">
      <c r="B3" s="57"/>
      <c r="C3" s="58" t="s">
        <v>91</v>
      </c>
    </row>
    <row r="4" spans="1:4" x14ac:dyDescent="0.15">
      <c r="B4" s="59"/>
      <c r="C4" s="58" t="s">
        <v>82</v>
      </c>
    </row>
    <row r="5" spans="1:4" x14ac:dyDescent="0.15">
      <c r="B5" s="60"/>
      <c r="C5" s="58" t="s">
        <v>83</v>
      </c>
    </row>
    <row r="6" spans="1:4" x14ac:dyDescent="0.15">
      <c r="B6" s="171"/>
      <c r="C6" s="58" t="s">
        <v>0</v>
      </c>
      <c r="D6" t="s">
        <v>92</v>
      </c>
    </row>
    <row r="7" spans="1:4" ht="14.25" thickBot="1" x14ac:dyDescent="0.2">
      <c r="B7" s="172"/>
      <c r="C7" s="61" t="s">
        <v>93</v>
      </c>
    </row>
    <row r="9" spans="1:4" x14ac:dyDescent="0.15">
      <c r="B9" t="s">
        <v>94</v>
      </c>
    </row>
    <row r="11" spans="1:4" x14ac:dyDescent="0.15">
      <c r="A11" t="s">
        <v>99</v>
      </c>
    </row>
    <row r="12" spans="1:4" x14ac:dyDescent="0.15">
      <c r="B12" t="s">
        <v>100</v>
      </c>
    </row>
    <row r="13" spans="1:4" x14ac:dyDescent="0.15">
      <c r="B13" s="173" t="s">
        <v>102</v>
      </c>
    </row>
    <row r="14" spans="1:4" x14ac:dyDescent="0.15">
      <c r="B14" s="173" t="s">
        <v>122</v>
      </c>
    </row>
    <row r="15" spans="1:4" x14ac:dyDescent="0.15">
      <c r="B15" s="173" t="s">
        <v>123</v>
      </c>
    </row>
    <row r="16" spans="1:4" x14ac:dyDescent="0.15">
      <c r="B16" s="173" t="s">
        <v>124</v>
      </c>
    </row>
    <row r="17" spans="2:2" x14ac:dyDescent="0.15">
      <c r="B17" s="174" t="s">
        <v>97</v>
      </c>
    </row>
    <row r="18" spans="2:2" x14ac:dyDescent="0.15">
      <c r="B18" s="174" t="s">
        <v>98</v>
      </c>
    </row>
    <row r="19" spans="2:2" x14ac:dyDescent="0.15">
      <c r="B19" t="s">
        <v>101</v>
      </c>
    </row>
    <row r="20" spans="2:2" x14ac:dyDescent="0.15">
      <c r="B20" s="173" t="s">
        <v>103</v>
      </c>
    </row>
    <row r="21" spans="2:2" x14ac:dyDescent="0.15">
      <c r="B21" s="174" t="s">
        <v>126</v>
      </c>
    </row>
    <row r="22" spans="2:2" x14ac:dyDescent="0.15">
      <c r="B22" s="174" t="s">
        <v>125</v>
      </c>
    </row>
    <row r="23" spans="2:2" x14ac:dyDescent="0.15">
      <c r="B23" s="174" t="s">
        <v>104</v>
      </c>
    </row>
    <row r="24" spans="2:2" x14ac:dyDescent="0.15">
      <c r="B24" s="174" t="s">
        <v>116</v>
      </c>
    </row>
    <row r="25" spans="2:2" x14ac:dyDescent="0.15">
      <c r="B25" s="174" t="s">
        <v>105</v>
      </c>
    </row>
    <row r="26" spans="2:2" x14ac:dyDescent="0.15">
      <c r="B26" s="174" t="s">
        <v>106</v>
      </c>
    </row>
    <row r="27" spans="2:2" x14ac:dyDescent="0.15">
      <c r="B27" s="174" t="s">
        <v>107</v>
      </c>
    </row>
    <row r="39" spans="1:2" x14ac:dyDescent="0.15">
      <c r="A39" t="s">
        <v>108</v>
      </c>
    </row>
    <row r="40" spans="1:2" x14ac:dyDescent="0.15">
      <c r="B40" t="s">
        <v>100</v>
      </c>
    </row>
    <row r="41" spans="1:2" x14ac:dyDescent="0.15">
      <c r="B41" s="173" t="s">
        <v>102</v>
      </c>
    </row>
    <row r="42" spans="1:2" x14ac:dyDescent="0.15">
      <c r="B42" s="48" t="s">
        <v>109</v>
      </c>
    </row>
    <row r="43" spans="1:2" x14ac:dyDescent="0.15">
      <c r="B43" s="173" t="s">
        <v>110</v>
      </c>
    </row>
    <row r="44" spans="1:2" x14ac:dyDescent="0.15">
      <c r="B44" t="s">
        <v>101</v>
      </c>
    </row>
    <row r="45" spans="1:2" x14ac:dyDescent="0.15">
      <c r="B45" s="173" t="s">
        <v>111</v>
      </c>
    </row>
    <row r="46" spans="1:2" x14ac:dyDescent="0.15">
      <c r="B46" s="173" t="s">
        <v>112</v>
      </c>
    </row>
    <row r="47" spans="1:2" x14ac:dyDescent="0.15">
      <c r="B47" s="173" t="s">
        <v>127</v>
      </c>
    </row>
    <row r="61" spans="1:2" x14ac:dyDescent="0.15">
      <c r="A61" t="s">
        <v>113</v>
      </c>
    </row>
    <row r="62" spans="1:2" x14ac:dyDescent="0.15">
      <c r="B62" t="s">
        <v>100</v>
      </c>
    </row>
    <row r="63" spans="1:2" x14ac:dyDescent="0.15">
      <c r="B63" s="173" t="s">
        <v>114</v>
      </c>
    </row>
    <row r="64" spans="1:2" x14ac:dyDescent="0.15">
      <c r="B64" s="173" t="s">
        <v>115</v>
      </c>
    </row>
    <row r="65" spans="2:2" x14ac:dyDescent="0.15">
      <c r="B65" s="173" t="s">
        <v>128</v>
      </c>
    </row>
    <row r="67" spans="2:2" x14ac:dyDescent="0.15">
      <c r="B67" s="173"/>
    </row>
  </sheetData>
  <phoneticPr fontId="8"/>
  <pageMargins left="0.17" right="0.17" top="0.46" bottom="0.41" header="0.31496062992125984" footer="0.31496062992125984"/>
  <pageSetup paperSize="9" scale="49" orientation="landscape"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1">
    <tabColor rgb="FFFFC000"/>
    <outlinePr summaryRight="0"/>
  </sheetPr>
  <dimension ref="A1:AI382"/>
  <sheetViews>
    <sheetView showGridLines="0" showZeros="0" tabSelected="1" zoomScaleNormal="100" workbookViewId="0">
      <pane xSplit="11" ySplit="3" topLeftCell="M253" activePane="bottomRight" state="frozen"/>
      <selection activeCell="T546" sqref="T546"/>
      <selection pane="topRight" activeCell="T546" sqref="T546"/>
      <selection pane="bottomLeft" activeCell="T546" sqref="T546"/>
      <selection pane="bottomRight" activeCell="J287" sqref="J287"/>
    </sheetView>
  </sheetViews>
  <sheetFormatPr defaultRowHeight="13.5" outlineLevelRow="1" outlineLevelCol="1" x14ac:dyDescent="0.15"/>
  <cols>
    <col min="1" max="1" width="6.5" bestFit="1" customWidth="1"/>
    <col min="2" max="3" width="5.25" style="1" customWidth="1"/>
    <col min="4" max="4" width="5.875" bestFit="1" customWidth="1"/>
    <col min="5" max="5" width="6" bestFit="1" customWidth="1"/>
    <col min="6" max="6" width="7.5" bestFit="1" customWidth="1"/>
    <col min="7" max="7" width="7.125" bestFit="1" customWidth="1"/>
    <col min="8" max="8" width="5.5" bestFit="1" customWidth="1"/>
    <col min="9" max="9" width="6.5" style="6" customWidth="1"/>
    <col min="10" max="10" width="8.125" customWidth="1" outlineLevel="1"/>
    <col min="11" max="11" width="6.5" style="3" customWidth="1" outlineLevel="1"/>
    <col min="12" max="12" width="7.125" style="3" customWidth="1" outlineLevel="1"/>
    <col min="13" max="13" width="6.5" style="3" customWidth="1" outlineLevel="1"/>
    <col min="14" max="14" width="5.25" customWidth="1"/>
    <col min="15" max="15" width="8.625" bestFit="1" customWidth="1"/>
    <col min="16" max="16" width="5.25" style="40" bestFit="1" customWidth="1"/>
    <col min="17" max="17" width="14.875" style="40" customWidth="1" outlineLevel="1"/>
    <col min="18" max="18" width="5.25" style="40" bestFit="1" customWidth="1"/>
    <col min="19" max="19" width="18.5" style="40" customWidth="1" outlineLevel="1"/>
    <col min="20" max="20" width="30" style="40" customWidth="1"/>
    <col min="21" max="21" width="30" style="40" customWidth="1" outlineLevel="1"/>
    <col min="22" max="22" width="9" style="136"/>
    <col min="23" max="24" width="5.875" bestFit="1" customWidth="1"/>
    <col min="25" max="25" width="7.5" bestFit="1" customWidth="1"/>
    <col min="26" max="26" width="7.125" style="6" bestFit="1" customWidth="1"/>
    <col min="27" max="27" width="5.25" bestFit="1" customWidth="1"/>
    <col min="28" max="28" width="7.5" style="3" bestFit="1" customWidth="1"/>
    <col min="29" max="29" width="8.125" customWidth="1" outlineLevel="1"/>
    <col min="30" max="30" width="6.5" customWidth="1" outlineLevel="1"/>
    <col min="31" max="31" width="7.125" customWidth="1" outlineLevel="1"/>
    <col min="32" max="32" width="5.25" customWidth="1" outlineLevel="1"/>
  </cols>
  <sheetData>
    <row r="1" spans="1:35" ht="6" customHeight="1" thickBot="1" x14ac:dyDescent="0.2"/>
    <row r="2" spans="1:35" ht="13.5" customHeight="1" x14ac:dyDescent="0.15">
      <c r="A2" s="330" t="s">
        <v>1</v>
      </c>
      <c r="B2" s="322" t="s">
        <v>2</v>
      </c>
      <c r="C2" s="221"/>
      <c r="D2" s="320" t="s">
        <v>3</v>
      </c>
      <c r="E2" s="333"/>
      <c r="F2" s="334" t="s">
        <v>32</v>
      </c>
      <c r="G2" s="323"/>
      <c r="H2" s="324"/>
      <c r="I2" s="80"/>
      <c r="J2" s="325" t="s">
        <v>4</v>
      </c>
      <c r="K2" s="327" t="s">
        <v>33</v>
      </c>
      <c r="L2" s="328"/>
      <c r="M2" s="329"/>
      <c r="N2" s="81" t="s">
        <v>3</v>
      </c>
      <c r="O2" s="81"/>
      <c r="P2" s="82"/>
      <c r="Q2" s="83"/>
      <c r="R2" s="84" t="s">
        <v>29</v>
      </c>
      <c r="S2" s="85"/>
      <c r="T2" s="83"/>
      <c r="U2" s="86"/>
      <c r="W2" s="320" t="s">
        <v>34</v>
      </c>
      <c r="X2" s="321"/>
      <c r="Y2" s="322" t="s">
        <v>32</v>
      </c>
      <c r="Z2" s="323"/>
      <c r="AA2" s="324"/>
      <c r="AB2" s="99"/>
      <c r="AC2" s="325" t="s">
        <v>4</v>
      </c>
      <c r="AD2" s="327" t="s">
        <v>33</v>
      </c>
      <c r="AE2" s="328"/>
      <c r="AF2" s="329"/>
      <c r="AH2" s="272" t="s">
        <v>143</v>
      </c>
      <c r="AI2" s="272"/>
    </row>
    <row r="3" spans="1:35" ht="14.25" thickBot="1" x14ac:dyDescent="0.2">
      <c r="A3" s="331"/>
      <c r="B3" s="332"/>
      <c r="C3" s="87" t="s">
        <v>0</v>
      </c>
      <c r="D3" s="87" t="s">
        <v>6</v>
      </c>
      <c r="E3" s="88" t="s">
        <v>7</v>
      </c>
      <c r="F3" s="87" t="s">
        <v>39</v>
      </c>
      <c r="G3" s="89" t="s">
        <v>35</v>
      </c>
      <c r="H3" s="88" t="s">
        <v>5</v>
      </c>
      <c r="I3" s="90" t="s">
        <v>24</v>
      </c>
      <c r="J3" s="326"/>
      <c r="K3" s="91" t="s">
        <v>36</v>
      </c>
      <c r="L3" s="92" t="s">
        <v>37</v>
      </c>
      <c r="M3" s="91" t="s">
        <v>38</v>
      </c>
      <c r="N3" s="93" t="s">
        <v>24</v>
      </c>
      <c r="O3" s="93" t="s">
        <v>14</v>
      </c>
      <c r="P3" s="94" t="s">
        <v>10</v>
      </c>
      <c r="Q3" s="95" t="s">
        <v>11</v>
      </c>
      <c r="R3" s="96" t="s">
        <v>28</v>
      </c>
      <c r="S3" s="97" t="s">
        <v>9</v>
      </c>
      <c r="T3" s="95" t="s">
        <v>25</v>
      </c>
      <c r="U3" s="98" t="s">
        <v>26</v>
      </c>
      <c r="W3" s="87" t="s">
        <v>6</v>
      </c>
      <c r="X3" s="100" t="s">
        <v>7</v>
      </c>
      <c r="Y3" s="101" t="s">
        <v>4</v>
      </c>
      <c r="Z3" s="102" t="s">
        <v>35</v>
      </c>
      <c r="AA3" s="103" t="s">
        <v>5</v>
      </c>
      <c r="AB3" s="104" t="s">
        <v>24</v>
      </c>
      <c r="AC3" s="326"/>
      <c r="AD3" s="91" t="s">
        <v>36</v>
      </c>
      <c r="AE3" s="92" t="s">
        <v>37</v>
      </c>
      <c r="AF3" s="91" t="s">
        <v>38</v>
      </c>
      <c r="AH3" s="273" t="s">
        <v>142</v>
      </c>
      <c r="AI3" s="273" t="s">
        <v>136</v>
      </c>
    </row>
    <row r="4" spans="1:35" s="2" customFormat="1" outlineLevel="1" x14ac:dyDescent="0.15">
      <c r="A4" s="166">
        <v>43831</v>
      </c>
      <c r="B4" s="167">
        <f>A4</f>
        <v>43831</v>
      </c>
      <c r="C4" s="34">
        <v>1</v>
      </c>
      <c r="D4" s="35"/>
      <c r="E4" s="36"/>
      <c r="F4" s="18"/>
      <c r="G4" s="15"/>
      <c r="H4" s="19"/>
      <c r="I4" s="137">
        <f>timediff(D4,E4,15)</f>
        <v>0</v>
      </c>
      <c r="J4" s="138">
        <f>IF(C4=1,0,I4-M4-L4-K4-F4-H4-G4)</f>
        <v>0</v>
      </c>
      <c r="K4" s="139">
        <f t="shared" ref="K4:K34" si="0">IF(C4=0,IF(時間外開始&lt;E4,timediff(時間外開始,E4,15)-M4-G4-H4,0),0)</f>
        <v>0</v>
      </c>
      <c r="L4" s="140">
        <f>IF(C4=1,$I4-F4-M4-H4,0)</f>
        <v>0</v>
      </c>
      <c r="M4" s="141">
        <f>IF(深夜終了&lt;E4,timediff(深夜開始,深夜終了,15)-H4,IF(深夜開始&lt;E4,timediff(深夜開始,E4,15)-H4,0))</f>
        <v>0</v>
      </c>
      <c r="N4" s="142">
        <f>SUMIF(日報!B4:B691,$A4,日報!L4:L691)</f>
        <v>0</v>
      </c>
      <c r="O4" s="142">
        <f t="shared" ref="O4:O34" si="1">SUM(J4:M4)-N4</f>
        <v>0</v>
      </c>
      <c r="P4" s="150"/>
      <c r="Q4" s="41" t="str">
        <f>IF(P4="不調","ここに症状を入力！","")</f>
        <v/>
      </c>
      <c r="R4" s="153"/>
      <c r="S4" s="37" t="str">
        <f>IF(R4&lt;&gt;"","ここに理由を入力！","")</f>
        <v/>
      </c>
      <c r="T4" s="38"/>
      <c r="U4" s="39"/>
      <c r="V4" s="136"/>
      <c r="W4" s="35"/>
      <c r="X4" s="36"/>
      <c r="Y4" s="18"/>
      <c r="Z4" s="15"/>
      <c r="AA4" s="15"/>
      <c r="AB4" s="155">
        <f>timediff(W4,X4,15)</f>
        <v>0</v>
      </c>
      <c r="AC4" s="156">
        <f>AB4-AF4-AE4-AD4-Y4-Z4-AA4</f>
        <v>0</v>
      </c>
      <c r="AD4" s="139">
        <f t="shared" ref="AD4:AD34" si="2">IF(C4=0,IF(時間外開始&lt;X4,timediff(時間外開始,X4,15)-AF4-Z4-AA4,0),0)</f>
        <v>0</v>
      </c>
      <c r="AE4" s="140">
        <f t="shared" ref="AE4:AE34" si="3">IF(C4=1,AB4-Y4-Z4-AA4,0)</f>
        <v>0</v>
      </c>
      <c r="AF4" s="141">
        <f>IF(深夜終了&lt;X4,timediff(深夜開始,深夜終了,15)-AA4,IF(深夜開始&lt;X4,timediff(深夜開始,X4,15)-AA4,0))</f>
        <v>0</v>
      </c>
      <c r="AH4" s="274">
        <f>SUMIF(日報!$T$4:$T$885,TEXT(YEAR(A4),"0000")&amp;TEXT(MONTH(A4),"00")&amp;TEXT(DAY(A4),"00")&amp;"SCSK",日報!$L$4:$L$885)</f>
        <v>0</v>
      </c>
      <c r="AI4" s="275">
        <f t="shared" ref="AI4:AI34" si="4">N4-AH4</f>
        <v>0</v>
      </c>
    </row>
    <row r="5" spans="1:35" s="2" customFormat="1" outlineLevel="1" x14ac:dyDescent="0.15">
      <c r="A5" s="278">
        <f t="shared" ref="A5:A34" si="5">A4+1</f>
        <v>43832</v>
      </c>
      <c r="B5" s="167">
        <f t="shared" ref="B5:B34" si="6">A5</f>
        <v>43832</v>
      </c>
      <c r="C5" s="32">
        <v>1</v>
      </c>
      <c r="D5" s="16"/>
      <c r="E5" s="17"/>
      <c r="F5" s="18"/>
      <c r="G5" s="15"/>
      <c r="H5" s="19"/>
      <c r="I5" s="137">
        <f t="shared" ref="I5:I34" si="7">timediff(D5,E5,15)</f>
        <v>0</v>
      </c>
      <c r="J5" s="143">
        <f t="shared" ref="J5:J34" si="8">IF(C5=1,0,I5-M5-L5-K5-F5-H5-G5)</f>
        <v>0</v>
      </c>
      <c r="K5" s="144">
        <f t="shared" si="0"/>
        <v>0</v>
      </c>
      <c r="L5" s="145">
        <f t="shared" ref="L5:L34" si="9">IF(C5=1,$I5-F5-M5-H5,0)</f>
        <v>0</v>
      </c>
      <c r="M5" s="146">
        <f t="shared" ref="M5:M34" si="10">IF(深夜終了&lt;E5,timediff(深夜開始,深夜終了,15)-H5,IF(深夜開始&lt;E5,timediff(深夜開始,E5,15)-H5,0))</f>
        <v>0</v>
      </c>
      <c r="N5" s="147">
        <f>SUMIF(日報!B4:B691,$A5,日報!L4:L691)</f>
        <v>0</v>
      </c>
      <c r="O5" s="147">
        <f t="shared" si="1"/>
        <v>0</v>
      </c>
      <c r="P5" s="151"/>
      <c r="Q5" s="42" t="str">
        <f t="shared" ref="Q5:Q34" si="11">IF(P5="不調","ここに症状を入力！","")</f>
        <v/>
      </c>
      <c r="R5" s="154"/>
      <c r="S5" s="10" t="str">
        <f t="shared" ref="S5:S34" si="12">IF(R5&lt;&gt;"","ここに理由を入力！","")</f>
        <v/>
      </c>
      <c r="T5" s="11"/>
      <c r="U5" s="12"/>
      <c r="V5" s="136"/>
      <c r="W5" s="16"/>
      <c r="X5" s="17"/>
      <c r="Y5" s="18"/>
      <c r="Z5" s="15"/>
      <c r="AA5" s="15"/>
      <c r="AB5" s="155">
        <f t="shared" ref="AB5:AB34" si="13">timediff(W5,X5,15)</f>
        <v>0</v>
      </c>
      <c r="AC5" s="157">
        <f t="shared" ref="AC5:AC34" si="14">AB5-AF5-AE5-AD5-Y5-Z5-AA5</f>
        <v>0</v>
      </c>
      <c r="AD5" s="144">
        <f t="shared" si="2"/>
        <v>0</v>
      </c>
      <c r="AE5" s="145">
        <f t="shared" si="3"/>
        <v>0</v>
      </c>
      <c r="AF5" s="146">
        <f t="shared" ref="AF5:AF34" si="15">IF(深夜終了&lt;X5,timediff(深夜開始,深夜終了,15)-AA5,IF(深夜開始&lt;X5,timediff(深夜開始,X5,15)-AA5,0))</f>
        <v>0</v>
      </c>
      <c r="AH5" s="274">
        <f>SUMIF(日報!$T$4:$T$885,TEXT(YEAR(A5),"0000")&amp;TEXT(MONTH(A5),"00")&amp;TEXT(DAY(A5),"00")&amp;"SCSK",日報!$L$4:$L$885)</f>
        <v>0</v>
      </c>
      <c r="AI5" s="275">
        <f t="shared" si="4"/>
        <v>0</v>
      </c>
    </row>
    <row r="6" spans="1:35" s="2" customFormat="1" outlineLevel="1" x14ac:dyDescent="0.15">
      <c r="A6" s="278">
        <f t="shared" si="5"/>
        <v>43833</v>
      </c>
      <c r="B6" s="167">
        <f t="shared" si="6"/>
        <v>43833</v>
      </c>
      <c r="C6" s="32">
        <v>1</v>
      </c>
      <c r="D6" s="16"/>
      <c r="E6" s="17"/>
      <c r="F6" s="18"/>
      <c r="G6" s="15"/>
      <c r="H6" s="19"/>
      <c r="I6" s="137">
        <f t="shared" si="7"/>
        <v>0</v>
      </c>
      <c r="J6" s="143">
        <f t="shared" si="8"/>
        <v>0</v>
      </c>
      <c r="K6" s="144">
        <f t="shared" si="0"/>
        <v>0</v>
      </c>
      <c r="L6" s="145">
        <f t="shared" si="9"/>
        <v>0</v>
      </c>
      <c r="M6" s="146">
        <f t="shared" si="10"/>
        <v>0</v>
      </c>
      <c r="N6" s="147">
        <f>SUMIF(日報!B4:B691,$A6,日報!L4:L691)</f>
        <v>0</v>
      </c>
      <c r="O6" s="147">
        <f t="shared" si="1"/>
        <v>0</v>
      </c>
      <c r="P6" s="151"/>
      <c r="Q6" s="42" t="str">
        <f t="shared" si="11"/>
        <v/>
      </c>
      <c r="R6" s="154"/>
      <c r="S6" s="10" t="str">
        <f t="shared" si="12"/>
        <v/>
      </c>
      <c r="T6" s="11"/>
      <c r="U6" s="12"/>
      <c r="V6" s="136"/>
      <c r="W6" s="16"/>
      <c r="X6" s="17"/>
      <c r="Y6" s="18"/>
      <c r="Z6" s="15"/>
      <c r="AA6" s="15"/>
      <c r="AB6" s="155">
        <f t="shared" si="13"/>
        <v>0</v>
      </c>
      <c r="AC6" s="157">
        <f t="shared" si="14"/>
        <v>0</v>
      </c>
      <c r="AD6" s="144">
        <f t="shared" si="2"/>
        <v>0</v>
      </c>
      <c r="AE6" s="145">
        <f t="shared" si="3"/>
        <v>0</v>
      </c>
      <c r="AF6" s="146">
        <f t="shared" si="15"/>
        <v>0</v>
      </c>
      <c r="AH6" s="274">
        <f>SUMIF(日報!$T$4:$T$885,TEXT(YEAR(A6),"0000")&amp;TEXT(MONTH(A6),"00")&amp;TEXT(DAY(A6),"00")&amp;"SCSK",日報!$L$4:$L$885)</f>
        <v>0</v>
      </c>
      <c r="AI6" s="275">
        <f t="shared" si="4"/>
        <v>0</v>
      </c>
    </row>
    <row r="7" spans="1:35" s="2" customFormat="1" outlineLevel="1" x14ac:dyDescent="0.15">
      <c r="A7" s="278">
        <f t="shared" si="5"/>
        <v>43834</v>
      </c>
      <c r="B7" s="167">
        <f t="shared" si="6"/>
        <v>43834</v>
      </c>
      <c r="C7" s="32">
        <v>1</v>
      </c>
      <c r="D7" s="16"/>
      <c r="E7" s="17"/>
      <c r="F7" s="18"/>
      <c r="G7" s="15"/>
      <c r="H7" s="19"/>
      <c r="I7" s="137">
        <f t="shared" si="7"/>
        <v>0</v>
      </c>
      <c r="J7" s="143">
        <f t="shared" si="8"/>
        <v>0</v>
      </c>
      <c r="K7" s="144">
        <f t="shared" si="0"/>
        <v>0</v>
      </c>
      <c r="L7" s="145">
        <f t="shared" si="9"/>
        <v>0</v>
      </c>
      <c r="M7" s="146">
        <f t="shared" si="10"/>
        <v>0</v>
      </c>
      <c r="N7" s="147">
        <f>SUMIF(日報!B4:B691,$A7,日報!L4:L691)</f>
        <v>0</v>
      </c>
      <c r="O7" s="147">
        <f t="shared" si="1"/>
        <v>0</v>
      </c>
      <c r="P7" s="151"/>
      <c r="Q7" s="42" t="str">
        <f t="shared" si="11"/>
        <v/>
      </c>
      <c r="R7" s="154"/>
      <c r="S7" s="10" t="str">
        <f t="shared" si="12"/>
        <v/>
      </c>
      <c r="T7" s="11"/>
      <c r="U7" s="12"/>
      <c r="V7" s="136"/>
      <c r="W7" s="16"/>
      <c r="X7" s="17"/>
      <c r="Y7" s="18"/>
      <c r="Z7" s="15"/>
      <c r="AA7" s="15"/>
      <c r="AB7" s="155">
        <f t="shared" si="13"/>
        <v>0</v>
      </c>
      <c r="AC7" s="157">
        <f t="shared" si="14"/>
        <v>0</v>
      </c>
      <c r="AD7" s="144">
        <f t="shared" si="2"/>
        <v>0</v>
      </c>
      <c r="AE7" s="145">
        <f t="shared" si="3"/>
        <v>0</v>
      </c>
      <c r="AF7" s="146">
        <f t="shared" si="15"/>
        <v>0</v>
      </c>
      <c r="AH7" s="274">
        <f>SUMIF(日報!$T$4:$T$885,TEXT(YEAR(A7),"0000")&amp;TEXT(MONTH(A7),"00")&amp;TEXT(DAY(A7),"00")&amp;"SCSK",日報!$L$4:$L$885)</f>
        <v>0</v>
      </c>
      <c r="AI7" s="275">
        <f t="shared" si="4"/>
        <v>0</v>
      </c>
    </row>
    <row r="8" spans="1:35" s="2" customFormat="1" outlineLevel="1" x14ac:dyDescent="0.15">
      <c r="A8" s="278">
        <f t="shared" si="5"/>
        <v>43835</v>
      </c>
      <c r="B8" s="167">
        <f t="shared" si="6"/>
        <v>43835</v>
      </c>
      <c r="C8" s="32">
        <v>1</v>
      </c>
      <c r="D8" s="16"/>
      <c r="E8" s="17"/>
      <c r="F8" s="18"/>
      <c r="G8" s="15"/>
      <c r="H8" s="19"/>
      <c r="I8" s="137">
        <f t="shared" si="7"/>
        <v>0</v>
      </c>
      <c r="J8" s="143">
        <f t="shared" si="8"/>
        <v>0</v>
      </c>
      <c r="K8" s="144">
        <f t="shared" si="0"/>
        <v>0</v>
      </c>
      <c r="L8" s="145">
        <f t="shared" si="9"/>
        <v>0</v>
      </c>
      <c r="M8" s="146">
        <f t="shared" si="10"/>
        <v>0</v>
      </c>
      <c r="N8" s="147">
        <f>SUMIF(日報!B4:B691,$A8,日報!L4:L691)</f>
        <v>0</v>
      </c>
      <c r="O8" s="147">
        <f t="shared" si="1"/>
        <v>0</v>
      </c>
      <c r="P8" s="151"/>
      <c r="Q8" s="42" t="str">
        <f t="shared" si="11"/>
        <v/>
      </c>
      <c r="R8" s="154"/>
      <c r="S8" s="10" t="str">
        <f t="shared" si="12"/>
        <v/>
      </c>
      <c r="T8" s="11"/>
      <c r="U8" s="12"/>
      <c r="V8" s="136"/>
      <c r="W8" s="16"/>
      <c r="X8" s="17"/>
      <c r="Y8" s="18"/>
      <c r="Z8" s="15"/>
      <c r="AA8" s="19"/>
      <c r="AB8" s="155">
        <f t="shared" si="13"/>
        <v>0</v>
      </c>
      <c r="AC8" s="157">
        <f t="shared" si="14"/>
        <v>0</v>
      </c>
      <c r="AD8" s="144">
        <f t="shared" si="2"/>
        <v>0</v>
      </c>
      <c r="AE8" s="145">
        <f t="shared" si="3"/>
        <v>0</v>
      </c>
      <c r="AF8" s="146">
        <f t="shared" si="15"/>
        <v>0</v>
      </c>
      <c r="AH8" s="274">
        <f>SUMIF(日報!$T$4:$T$885,TEXT(YEAR(A8),"0000")&amp;TEXT(MONTH(A8),"00")&amp;TEXT(DAY(A8),"00")&amp;"SCSK",日報!$L$4:$L$885)</f>
        <v>0</v>
      </c>
      <c r="AI8" s="275">
        <f t="shared" si="4"/>
        <v>0</v>
      </c>
    </row>
    <row r="9" spans="1:35" s="2" customFormat="1" outlineLevel="1" x14ac:dyDescent="0.15">
      <c r="A9" s="278">
        <f t="shared" si="5"/>
        <v>43836</v>
      </c>
      <c r="B9" s="167">
        <f t="shared" si="6"/>
        <v>43836</v>
      </c>
      <c r="C9" s="32"/>
      <c r="D9" s="16">
        <v>0.38541666666666669</v>
      </c>
      <c r="E9" s="17">
        <v>0.76041666666666663</v>
      </c>
      <c r="F9" s="18">
        <v>1</v>
      </c>
      <c r="G9" s="15"/>
      <c r="H9" s="19"/>
      <c r="I9" s="137">
        <f t="shared" si="7"/>
        <v>9</v>
      </c>
      <c r="J9" s="143">
        <f t="shared" si="8"/>
        <v>7.75</v>
      </c>
      <c r="K9" s="144">
        <f t="shared" si="0"/>
        <v>0.25</v>
      </c>
      <c r="L9" s="145">
        <f t="shared" si="9"/>
        <v>0</v>
      </c>
      <c r="M9" s="146">
        <f t="shared" si="10"/>
        <v>0</v>
      </c>
      <c r="N9" s="147">
        <f>SUMIF(日報!B4:B691,$A9,日報!L4:L691)</f>
        <v>0</v>
      </c>
      <c r="O9" s="147">
        <f t="shared" si="1"/>
        <v>8</v>
      </c>
      <c r="P9" s="151"/>
      <c r="Q9" s="42" t="str">
        <f t="shared" si="11"/>
        <v/>
      </c>
      <c r="R9" s="154"/>
      <c r="S9" s="10" t="str">
        <f t="shared" si="12"/>
        <v/>
      </c>
      <c r="T9" s="11"/>
      <c r="U9" s="12"/>
      <c r="V9" s="136"/>
      <c r="W9" s="16"/>
      <c r="X9" s="17"/>
      <c r="Y9" s="18"/>
      <c r="Z9" s="15"/>
      <c r="AA9" s="19"/>
      <c r="AB9" s="155">
        <f t="shared" si="13"/>
        <v>0</v>
      </c>
      <c r="AC9" s="157">
        <f t="shared" si="14"/>
        <v>0</v>
      </c>
      <c r="AD9" s="144">
        <f t="shared" si="2"/>
        <v>0</v>
      </c>
      <c r="AE9" s="145">
        <f t="shared" si="3"/>
        <v>0</v>
      </c>
      <c r="AF9" s="146">
        <f t="shared" si="15"/>
        <v>0</v>
      </c>
      <c r="AH9" s="274">
        <f>SUMIF(日報!$T$4:$T$885,TEXT(YEAR(A9),"0000")&amp;TEXT(MONTH(A9),"00")&amp;TEXT(DAY(A9),"00")&amp;"SCSK",日報!$L$4:$L$885)</f>
        <v>0</v>
      </c>
      <c r="AI9" s="275">
        <f t="shared" si="4"/>
        <v>0</v>
      </c>
    </row>
    <row r="10" spans="1:35" s="2" customFormat="1" outlineLevel="1" x14ac:dyDescent="0.15">
      <c r="A10" s="168">
        <f t="shared" si="5"/>
        <v>43837</v>
      </c>
      <c r="B10" s="167">
        <f t="shared" si="6"/>
        <v>43837</v>
      </c>
      <c r="C10" s="32"/>
      <c r="D10" s="16">
        <v>0.38541666666666669</v>
      </c>
      <c r="E10" s="17">
        <v>0.76041666666666663</v>
      </c>
      <c r="F10" s="18">
        <v>1</v>
      </c>
      <c r="G10" s="15"/>
      <c r="H10" s="19"/>
      <c r="I10" s="137">
        <f t="shared" si="7"/>
        <v>9</v>
      </c>
      <c r="J10" s="143">
        <f t="shared" si="8"/>
        <v>7.75</v>
      </c>
      <c r="K10" s="144">
        <f t="shared" si="0"/>
        <v>0.25</v>
      </c>
      <c r="L10" s="145">
        <f t="shared" si="9"/>
        <v>0</v>
      </c>
      <c r="M10" s="146">
        <f t="shared" si="10"/>
        <v>0</v>
      </c>
      <c r="N10" s="147">
        <f>SUMIF(日報!B4:B691,$A10,日報!L4:L691)</f>
        <v>0</v>
      </c>
      <c r="O10" s="147">
        <f t="shared" si="1"/>
        <v>8</v>
      </c>
      <c r="P10" s="151"/>
      <c r="Q10" s="42" t="str">
        <f t="shared" si="11"/>
        <v/>
      </c>
      <c r="R10" s="154"/>
      <c r="S10" s="10" t="str">
        <f t="shared" si="12"/>
        <v/>
      </c>
      <c r="T10" s="11"/>
      <c r="U10" s="12"/>
      <c r="V10" s="136"/>
      <c r="W10" s="16"/>
      <c r="X10" s="17"/>
      <c r="Y10" s="18"/>
      <c r="Z10" s="15"/>
      <c r="AA10" s="19"/>
      <c r="AB10" s="155">
        <f t="shared" si="13"/>
        <v>0</v>
      </c>
      <c r="AC10" s="157">
        <f t="shared" si="14"/>
        <v>0</v>
      </c>
      <c r="AD10" s="144">
        <f t="shared" si="2"/>
        <v>0</v>
      </c>
      <c r="AE10" s="145">
        <f t="shared" si="3"/>
        <v>0</v>
      </c>
      <c r="AF10" s="146">
        <f t="shared" si="15"/>
        <v>0</v>
      </c>
      <c r="AH10" s="274">
        <f>SUMIF(日報!$T$4:$T$885,TEXT(YEAR(A10),"0000")&amp;TEXT(MONTH(A10),"00")&amp;TEXT(DAY(A10),"00")&amp;"SCSK",日報!$L$4:$L$885)</f>
        <v>0</v>
      </c>
      <c r="AI10" s="275">
        <f t="shared" si="4"/>
        <v>0</v>
      </c>
    </row>
    <row r="11" spans="1:35" s="2" customFormat="1" outlineLevel="1" x14ac:dyDescent="0.15">
      <c r="A11" s="168">
        <f t="shared" si="5"/>
        <v>43838</v>
      </c>
      <c r="B11" s="167">
        <f t="shared" si="6"/>
        <v>43838</v>
      </c>
      <c r="C11" s="32"/>
      <c r="D11" s="16">
        <v>0.38541666666666669</v>
      </c>
      <c r="E11" s="17">
        <v>0.89583333333333337</v>
      </c>
      <c r="F11" s="18">
        <v>1</v>
      </c>
      <c r="G11" s="15"/>
      <c r="H11" s="19"/>
      <c r="I11" s="137">
        <f t="shared" si="7"/>
        <v>12.25</v>
      </c>
      <c r="J11" s="143">
        <f t="shared" si="8"/>
        <v>7.75</v>
      </c>
      <c r="K11" s="144">
        <f t="shared" si="0"/>
        <v>3.5</v>
      </c>
      <c r="L11" s="145">
        <f t="shared" si="9"/>
        <v>0</v>
      </c>
      <c r="M11" s="146">
        <f t="shared" si="10"/>
        <v>0</v>
      </c>
      <c r="N11" s="147">
        <f>SUMIF(日報!B4:B691,$A11,日報!L4:L691)</f>
        <v>9.25</v>
      </c>
      <c r="O11" s="147">
        <f t="shared" si="1"/>
        <v>2</v>
      </c>
      <c r="P11" s="151"/>
      <c r="Q11" s="42" t="str">
        <f t="shared" si="11"/>
        <v/>
      </c>
      <c r="R11" s="154"/>
      <c r="S11" s="10" t="str">
        <f t="shared" si="12"/>
        <v/>
      </c>
      <c r="T11" s="11"/>
      <c r="U11" s="12"/>
      <c r="V11" s="136"/>
      <c r="W11" s="16"/>
      <c r="X11" s="17"/>
      <c r="Y11" s="18"/>
      <c r="Z11" s="15"/>
      <c r="AA11" s="19"/>
      <c r="AB11" s="155">
        <f t="shared" si="13"/>
        <v>0</v>
      </c>
      <c r="AC11" s="157">
        <f t="shared" si="14"/>
        <v>0</v>
      </c>
      <c r="AD11" s="144">
        <f t="shared" si="2"/>
        <v>0</v>
      </c>
      <c r="AE11" s="145">
        <f t="shared" si="3"/>
        <v>0</v>
      </c>
      <c r="AF11" s="146">
        <f t="shared" si="15"/>
        <v>0</v>
      </c>
      <c r="AH11" s="274">
        <f>SUMIF(日報!$T$4:$T$885,TEXT(YEAR(A11),"0000")&amp;TEXT(MONTH(A11),"00")&amp;TEXT(DAY(A11),"00")&amp;"SCSK",日報!$L$4:$L$885)</f>
        <v>0</v>
      </c>
      <c r="AI11" s="275">
        <f t="shared" si="4"/>
        <v>9.25</v>
      </c>
    </row>
    <row r="12" spans="1:35" s="2" customFormat="1" outlineLevel="1" x14ac:dyDescent="0.15">
      <c r="A12" s="168">
        <f t="shared" si="5"/>
        <v>43839</v>
      </c>
      <c r="B12" s="167">
        <f t="shared" si="6"/>
        <v>43839</v>
      </c>
      <c r="C12" s="32"/>
      <c r="D12" s="16">
        <v>0.38541666666666669</v>
      </c>
      <c r="E12" s="17">
        <v>0.76041666666666663</v>
      </c>
      <c r="F12" s="18">
        <v>1</v>
      </c>
      <c r="G12" s="15"/>
      <c r="H12" s="19"/>
      <c r="I12" s="137">
        <f t="shared" si="7"/>
        <v>9</v>
      </c>
      <c r="J12" s="143">
        <f t="shared" si="8"/>
        <v>7.75</v>
      </c>
      <c r="K12" s="144">
        <f t="shared" si="0"/>
        <v>0.25</v>
      </c>
      <c r="L12" s="145">
        <f t="shared" si="9"/>
        <v>0</v>
      </c>
      <c r="M12" s="146">
        <f t="shared" si="10"/>
        <v>0</v>
      </c>
      <c r="N12" s="147">
        <f>SUMIF(日報!B4:B691,$A12,日報!L4:L691)</f>
        <v>7</v>
      </c>
      <c r="O12" s="147">
        <f t="shared" si="1"/>
        <v>1</v>
      </c>
      <c r="P12" s="151"/>
      <c r="Q12" s="42" t="str">
        <f t="shared" si="11"/>
        <v/>
      </c>
      <c r="R12" s="154"/>
      <c r="S12" s="10" t="str">
        <f t="shared" si="12"/>
        <v/>
      </c>
      <c r="T12" s="11"/>
      <c r="U12" s="12"/>
      <c r="V12" s="136"/>
      <c r="W12" s="16"/>
      <c r="X12" s="17"/>
      <c r="Y12" s="18"/>
      <c r="Z12" s="15"/>
      <c r="AA12" s="19"/>
      <c r="AB12" s="155">
        <f t="shared" si="13"/>
        <v>0</v>
      </c>
      <c r="AC12" s="157">
        <f t="shared" si="14"/>
        <v>0</v>
      </c>
      <c r="AD12" s="144">
        <f t="shared" si="2"/>
        <v>0</v>
      </c>
      <c r="AE12" s="145">
        <f t="shared" si="3"/>
        <v>0</v>
      </c>
      <c r="AF12" s="146">
        <f t="shared" si="15"/>
        <v>0</v>
      </c>
      <c r="AH12" s="274">
        <f>SUMIF(日報!$T$4:$T$885,TEXT(YEAR(A12),"0000")&amp;TEXT(MONTH(A12),"00")&amp;TEXT(DAY(A12),"00")&amp;"SCSK",日報!$L$4:$L$885)</f>
        <v>0</v>
      </c>
      <c r="AI12" s="275">
        <f t="shared" si="4"/>
        <v>7</v>
      </c>
    </row>
    <row r="13" spans="1:35" s="2" customFormat="1" outlineLevel="1" x14ac:dyDescent="0.15">
      <c r="A13" s="168">
        <f t="shared" si="5"/>
        <v>43840</v>
      </c>
      <c r="B13" s="167">
        <f t="shared" si="6"/>
        <v>43840</v>
      </c>
      <c r="C13" s="32"/>
      <c r="D13" s="16">
        <v>0.38541666666666669</v>
      </c>
      <c r="E13" s="17">
        <v>0.76041666666666663</v>
      </c>
      <c r="F13" s="18">
        <v>1</v>
      </c>
      <c r="G13" s="15"/>
      <c r="H13" s="19"/>
      <c r="I13" s="137">
        <f t="shared" si="7"/>
        <v>9</v>
      </c>
      <c r="J13" s="143">
        <f t="shared" si="8"/>
        <v>7.75</v>
      </c>
      <c r="K13" s="144">
        <f t="shared" si="0"/>
        <v>0.25</v>
      </c>
      <c r="L13" s="145">
        <f t="shared" si="9"/>
        <v>0</v>
      </c>
      <c r="M13" s="146">
        <f t="shared" si="10"/>
        <v>0</v>
      </c>
      <c r="N13" s="147">
        <f>SUMIF(日報!B4:B691,$A13,日報!L4:L691)</f>
        <v>4.25</v>
      </c>
      <c r="O13" s="147">
        <f t="shared" si="1"/>
        <v>3.75</v>
      </c>
      <c r="P13" s="151"/>
      <c r="Q13" s="42" t="str">
        <f t="shared" si="11"/>
        <v/>
      </c>
      <c r="R13" s="154"/>
      <c r="S13" s="10" t="str">
        <f t="shared" si="12"/>
        <v/>
      </c>
      <c r="T13" s="11"/>
      <c r="U13" s="12"/>
      <c r="V13" s="136"/>
      <c r="W13" s="16"/>
      <c r="X13" s="17"/>
      <c r="Y13" s="18"/>
      <c r="Z13" s="15"/>
      <c r="AA13" s="19"/>
      <c r="AB13" s="155">
        <f t="shared" si="13"/>
        <v>0</v>
      </c>
      <c r="AC13" s="157">
        <f t="shared" si="14"/>
        <v>0</v>
      </c>
      <c r="AD13" s="144">
        <f t="shared" si="2"/>
        <v>0</v>
      </c>
      <c r="AE13" s="145">
        <f t="shared" si="3"/>
        <v>0</v>
      </c>
      <c r="AF13" s="146">
        <f t="shared" si="15"/>
        <v>0</v>
      </c>
      <c r="AH13" s="274">
        <f>SUMIF(日報!$T$4:$T$885,TEXT(YEAR(A13),"0000")&amp;TEXT(MONTH(A13),"00")&amp;TEXT(DAY(A13),"00")&amp;"SCSK",日報!$L$4:$L$885)</f>
        <v>0</v>
      </c>
      <c r="AI13" s="275">
        <f t="shared" si="4"/>
        <v>4.25</v>
      </c>
    </row>
    <row r="14" spans="1:35" s="2" customFormat="1" outlineLevel="1" x14ac:dyDescent="0.15">
      <c r="A14" s="168">
        <f t="shared" si="5"/>
        <v>43841</v>
      </c>
      <c r="B14" s="167">
        <f t="shared" si="6"/>
        <v>43841</v>
      </c>
      <c r="C14" s="32">
        <v>1</v>
      </c>
      <c r="D14" s="16"/>
      <c r="E14" s="17"/>
      <c r="F14" s="18"/>
      <c r="G14" s="15"/>
      <c r="H14" s="19"/>
      <c r="I14" s="137">
        <f t="shared" si="7"/>
        <v>0</v>
      </c>
      <c r="J14" s="143">
        <f t="shared" si="8"/>
        <v>0</v>
      </c>
      <c r="K14" s="144">
        <f t="shared" si="0"/>
        <v>0</v>
      </c>
      <c r="L14" s="145">
        <f t="shared" si="9"/>
        <v>0</v>
      </c>
      <c r="M14" s="146">
        <f t="shared" si="10"/>
        <v>0</v>
      </c>
      <c r="N14" s="147">
        <f>SUMIF(日報!B4:B691,$A14,日報!L4:L691)</f>
        <v>0</v>
      </c>
      <c r="O14" s="147">
        <f t="shared" si="1"/>
        <v>0</v>
      </c>
      <c r="P14" s="151"/>
      <c r="Q14" s="42" t="str">
        <f t="shared" si="11"/>
        <v/>
      </c>
      <c r="R14" s="154"/>
      <c r="S14" s="10" t="str">
        <f t="shared" si="12"/>
        <v/>
      </c>
      <c r="T14" s="11"/>
      <c r="U14" s="12"/>
      <c r="V14" s="136"/>
      <c r="W14" s="16"/>
      <c r="X14" s="17"/>
      <c r="Y14" s="18"/>
      <c r="Z14" s="15"/>
      <c r="AA14" s="19"/>
      <c r="AB14" s="155">
        <f t="shared" si="13"/>
        <v>0</v>
      </c>
      <c r="AC14" s="157">
        <f t="shared" si="14"/>
        <v>0</v>
      </c>
      <c r="AD14" s="144">
        <f t="shared" si="2"/>
        <v>0</v>
      </c>
      <c r="AE14" s="145">
        <f t="shared" si="3"/>
        <v>0</v>
      </c>
      <c r="AF14" s="146">
        <f t="shared" si="15"/>
        <v>0</v>
      </c>
      <c r="AH14" s="274">
        <f>SUMIF(日報!$T$4:$T$885,TEXT(YEAR(A14),"0000")&amp;TEXT(MONTH(A14),"00")&amp;TEXT(DAY(A14),"00")&amp;"SCSK",日報!$L$4:$L$885)</f>
        <v>0</v>
      </c>
      <c r="AI14" s="275">
        <f t="shared" si="4"/>
        <v>0</v>
      </c>
    </row>
    <row r="15" spans="1:35" s="2" customFormat="1" outlineLevel="1" x14ac:dyDescent="0.15">
      <c r="A15" s="168">
        <f t="shared" si="5"/>
        <v>43842</v>
      </c>
      <c r="B15" s="167">
        <f t="shared" si="6"/>
        <v>43842</v>
      </c>
      <c r="C15" s="32">
        <v>1</v>
      </c>
      <c r="D15" s="16"/>
      <c r="E15" s="17"/>
      <c r="F15" s="18"/>
      <c r="G15" s="15"/>
      <c r="H15" s="19"/>
      <c r="I15" s="137">
        <f t="shared" si="7"/>
        <v>0</v>
      </c>
      <c r="J15" s="143">
        <f t="shared" si="8"/>
        <v>0</v>
      </c>
      <c r="K15" s="144">
        <f t="shared" si="0"/>
        <v>0</v>
      </c>
      <c r="L15" s="145">
        <f t="shared" si="9"/>
        <v>0</v>
      </c>
      <c r="M15" s="146">
        <f t="shared" si="10"/>
        <v>0</v>
      </c>
      <c r="N15" s="147">
        <f>SUMIF(日報!B4:B691,$A15,日報!L4:L691)</f>
        <v>0</v>
      </c>
      <c r="O15" s="147">
        <f t="shared" si="1"/>
        <v>0</v>
      </c>
      <c r="P15" s="151"/>
      <c r="Q15" s="42" t="str">
        <f t="shared" si="11"/>
        <v/>
      </c>
      <c r="R15" s="154"/>
      <c r="S15" s="10" t="str">
        <f t="shared" si="12"/>
        <v/>
      </c>
      <c r="T15" s="11"/>
      <c r="U15" s="12"/>
      <c r="V15" s="136"/>
      <c r="W15" s="16"/>
      <c r="X15" s="17"/>
      <c r="Y15" s="18"/>
      <c r="Z15" s="15"/>
      <c r="AA15" s="19"/>
      <c r="AB15" s="155">
        <f t="shared" si="13"/>
        <v>0</v>
      </c>
      <c r="AC15" s="157">
        <f t="shared" si="14"/>
        <v>0</v>
      </c>
      <c r="AD15" s="144">
        <f t="shared" si="2"/>
        <v>0</v>
      </c>
      <c r="AE15" s="145">
        <f t="shared" si="3"/>
        <v>0</v>
      </c>
      <c r="AF15" s="146">
        <f t="shared" si="15"/>
        <v>0</v>
      </c>
      <c r="AH15" s="274">
        <f>SUMIF(日報!$T$4:$T$885,TEXT(YEAR(A15),"0000")&amp;TEXT(MONTH(A15),"00")&amp;TEXT(DAY(A15),"00")&amp;"SCSK",日報!$L$4:$L$885)</f>
        <v>0</v>
      </c>
      <c r="AI15" s="275">
        <f t="shared" si="4"/>
        <v>0</v>
      </c>
    </row>
    <row r="16" spans="1:35" s="2" customFormat="1" outlineLevel="1" x14ac:dyDescent="0.15">
      <c r="A16" s="168">
        <f t="shared" si="5"/>
        <v>43843</v>
      </c>
      <c r="B16" s="167">
        <f t="shared" si="6"/>
        <v>43843</v>
      </c>
      <c r="C16" s="32">
        <v>1</v>
      </c>
      <c r="D16" s="16"/>
      <c r="E16" s="17"/>
      <c r="F16" s="18"/>
      <c r="G16" s="15"/>
      <c r="H16" s="19"/>
      <c r="I16" s="137">
        <f t="shared" si="7"/>
        <v>0</v>
      </c>
      <c r="J16" s="143">
        <f t="shared" si="8"/>
        <v>0</v>
      </c>
      <c r="K16" s="144">
        <f t="shared" si="0"/>
        <v>0</v>
      </c>
      <c r="L16" s="145">
        <f t="shared" si="9"/>
        <v>0</v>
      </c>
      <c r="M16" s="146">
        <f t="shared" si="10"/>
        <v>0</v>
      </c>
      <c r="N16" s="147">
        <f>SUMIF(日報!B4:B691,$A16,日報!L4:L691)</f>
        <v>0</v>
      </c>
      <c r="O16" s="147">
        <f t="shared" si="1"/>
        <v>0</v>
      </c>
      <c r="P16" s="151"/>
      <c r="Q16" s="42" t="str">
        <f t="shared" si="11"/>
        <v/>
      </c>
      <c r="R16" s="154"/>
      <c r="S16" s="10" t="str">
        <f t="shared" si="12"/>
        <v/>
      </c>
      <c r="T16" s="11"/>
      <c r="U16" s="12"/>
      <c r="V16" s="136"/>
      <c r="W16" s="16"/>
      <c r="X16" s="17"/>
      <c r="Y16" s="18"/>
      <c r="Z16" s="15"/>
      <c r="AA16" s="19"/>
      <c r="AB16" s="155">
        <f t="shared" si="13"/>
        <v>0</v>
      </c>
      <c r="AC16" s="157">
        <f t="shared" si="14"/>
        <v>0</v>
      </c>
      <c r="AD16" s="144">
        <f t="shared" si="2"/>
        <v>0</v>
      </c>
      <c r="AE16" s="145">
        <f t="shared" si="3"/>
        <v>0</v>
      </c>
      <c r="AF16" s="146">
        <f t="shared" si="15"/>
        <v>0</v>
      </c>
      <c r="AH16" s="274">
        <f>SUMIF(日報!$T$4:$T$885,TEXT(YEAR(A16),"0000")&amp;TEXT(MONTH(A16),"00")&amp;TEXT(DAY(A16),"00")&amp;"SCSK",日報!$L$4:$L$885)</f>
        <v>0</v>
      </c>
      <c r="AI16" s="275">
        <f t="shared" si="4"/>
        <v>0</v>
      </c>
    </row>
    <row r="17" spans="1:35" s="2" customFormat="1" outlineLevel="1" x14ac:dyDescent="0.15">
      <c r="A17" s="168">
        <f t="shared" si="5"/>
        <v>43844</v>
      </c>
      <c r="B17" s="167">
        <f t="shared" si="6"/>
        <v>43844</v>
      </c>
      <c r="C17" s="32"/>
      <c r="D17" s="16">
        <v>0.38541666666666669</v>
      </c>
      <c r="E17" s="17">
        <v>0.76041666666666663</v>
      </c>
      <c r="F17" s="18">
        <v>1</v>
      </c>
      <c r="G17" s="15"/>
      <c r="H17" s="19"/>
      <c r="I17" s="137">
        <f t="shared" si="7"/>
        <v>9</v>
      </c>
      <c r="J17" s="143">
        <f t="shared" si="8"/>
        <v>7.75</v>
      </c>
      <c r="K17" s="144">
        <f t="shared" si="0"/>
        <v>0.25</v>
      </c>
      <c r="L17" s="145">
        <f t="shared" si="9"/>
        <v>0</v>
      </c>
      <c r="M17" s="146">
        <f t="shared" si="10"/>
        <v>0</v>
      </c>
      <c r="N17" s="147">
        <f>SUMIF(日報!B4:B691,$A17,日報!L4:L691)</f>
        <v>6</v>
      </c>
      <c r="O17" s="147">
        <f t="shared" si="1"/>
        <v>2</v>
      </c>
      <c r="P17" s="151"/>
      <c r="Q17" s="42" t="str">
        <f t="shared" si="11"/>
        <v/>
      </c>
      <c r="R17" s="154"/>
      <c r="S17" s="10" t="str">
        <f t="shared" si="12"/>
        <v/>
      </c>
      <c r="T17" s="11"/>
      <c r="U17" s="12"/>
      <c r="V17" s="136"/>
      <c r="W17" s="16"/>
      <c r="X17" s="17"/>
      <c r="Y17" s="18"/>
      <c r="Z17" s="15"/>
      <c r="AA17" s="19"/>
      <c r="AB17" s="155">
        <f t="shared" si="13"/>
        <v>0</v>
      </c>
      <c r="AC17" s="157">
        <f t="shared" si="14"/>
        <v>0</v>
      </c>
      <c r="AD17" s="144">
        <f t="shared" si="2"/>
        <v>0</v>
      </c>
      <c r="AE17" s="145">
        <f t="shared" si="3"/>
        <v>0</v>
      </c>
      <c r="AF17" s="146">
        <f t="shared" si="15"/>
        <v>0</v>
      </c>
      <c r="AH17" s="274">
        <f>SUMIF(日報!$T$4:$T$885,TEXT(YEAR(A17),"0000")&amp;TEXT(MONTH(A17),"00")&amp;TEXT(DAY(A17),"00")&amp;"SCSK",日報!$L$4:$L$885)</f>
        <v>0</v>
      </c>
      <c r="AI17" s="275">
        <f t="shared" si="4"/>
        <v>6</v>
      </c>
    </row>
    <row r="18" spans="1:35" s="2" customFormat="1" outlineLevel="1" x14ac:dyDescent="0.15">
      <c r="A18" s="168">
        <f t="shared" si="5"/>
        <v>43845</v>
      </c>
      <c r="B18" s="167">
        <f t="shared" si="6"/>
        <v>43845</v>
      </c>
      <c r="C18" s="32"/>
      <c r="D18" s="16">
        <v>0.38541666666666669</v>
      </c>
      <c r="E18" s="17">
        <v>0.76041666666666663</v>
      </c>
      <c r="F18" s="18">
        <v>1</v>
      </c>
      <c r="G18" s="15"/>
      <c r="H18" s="19"/>
      <c r="I18" s="137">
        <f t="shared" si="7"/>
        <v>9</v>
      </c>
      <c r="J18" s="143">
        <f t="shared" si="8"/>
        <v>7.75</v>
      </c>
      <c r="K18" s="144">
        <f t="shared" si="0"/>
        <v>0.25</v>
      </c>
      <c r="L18" s="145">
        <f t="shared" si="9"/>
        <v>0</v>
      </c>
      <c r="M18" s="146">
        <f t="shared" si="10"/>
        <v>0</v>
      </c>
      <c r="N18" s="147">
        <f>SUMIF(日報!B4:B691,$A18,日報!L4:L691)</f>
        <v>3</v>
      </c>
      <c r="O18" s="147">
        <f t="shared" si="1"/>
        <v>5</v>
      </c>
      <c r="P18" s="151"/>
      <c r="Q18" s="42" t="str">
        <f t="shared" si="11"/>
        <v/>
      </c>
      <c r="R18" s="154"/>
      <c r="S18" s="10" t="str">
        <f t="shared" si="12"/>
        <v/>
      </c>
      <c r="T18" s="11"/>
      <c r="U18" s="12"/>
      <c r="V18" s="136"/>
      <c r="W18" s="16"/>
      <c r="X18" s="17"/>
      <c r="Y18" s="18"/>
      <c r="Z18" s="15"/>
      <c r="AA18" s="19"/>
      <c r="AB18" s="155">
        <f t="shared" si="13"/>
        <v>0</v>
      </c>
      <c r="AC18" s="157">
        <f t="shared" si="14"/>
        <v>0</v>
      </c>
      <c r="AD18" s="144">
        <f t="shared" si="2"/>
        <v>0</v>
      </c>
      <c r="AE18" s="145">
        <f t="shared" si="3"/>
        <v>0</v>
      </c>
      <c r="AF18" s="146">
        <f t="shared" si="15"/>
        <v>0</v>
      </c>
      <c r="AH18" s="274">
        <f>SUMIF(日報!$T$4:$T$885,TEXT(YEAR(A18),"0000")&amp;TEXT(MONTH(A18),"00")&amp;TEXT(DAY(A18),"00")&amp;"SCSK",日報!$L$4:$L$885)</f>
        <v>0</v>
      </c>
      <c r="AI18" s="275">
        <f t="shared" si="4"/>
        <v>3</v>
      </c>
    </row>
    <row r="19" spans="1:35" s="2" customFormat="1" outlineLevel="1" x14ac:dyDescent="0.15">
      <c r="A19" s="168">
        <f t="shared" si="5"/>
        <v>43846</v>
      </c>
      <c r="B19" s="167">
        <f t="shared" si="6"/>
        <v>43846</v>
      </c>
      <c r="C19" s="32"/>
      <c r="D19" s="16">
        <v>0.38541666666666669</v>
      </c>
      <c r="E19" s="17">
        <v>0.76041666666666663</v>
      </c>
      <c r="F19" s="18">
        <v>1</v>
      </c>
      <c r="G19" s="15"/>
      <c r="H19" s="19"/>
      <c r="I19" s="137">
        <f t="shared" si="7"/>
        <v>9</v>
      </c>
      <c r="J19" s="143">
        <f t="shared" si="8"/>
        <v>7.75</v>
      </c>
      <c r="K19" s="144">
        <f t="shared" si="0"/>
        <v>0.25</v>
      </c>
      <c r="L19" s="145">
        <f t="shared" si="9"/>
        <v>0</v>
      </c>
      <c r="M19" s="146">
        <f t="shared" si="10"/>
        <v>0</v>
      </c>
      <c r="N19" s="147">
        <f>SUMIF(日報!B4:B691,$A19,日報!L4:L691)</f>
        <v>0</v>
      </c>
      <c r="O19" s="147">
        <f t="shared" si="1"/>
        <v>8</v>
      </c>
      <c r="P19" s="151"/>
      <c r="Q19" s="42" t="str">
        <f t="shared" si="11"/>
        <v/>
      </c>
      <c r="R19" s="154"/>
      <c r="S19" s="10" t="str">
        <f t="shared" si="12"/>
        <v/>
      </c>
      <c r="T19" s="11"/>
      <c r="U19" s="12"/>
      <c r="V19" s="136"/>
      <c r="W19" s="16"/>
      <c r="X19" s="17"/>
      <c r="Y19" s="18"/>
      <c r="Z19" s="15"/>
      <c r="AA19" s="19"/>
      <c r="AB19" s="155">
        <f t="shared" si="13"/>
        <v>0</v>
      </c>
      <c r="AC19" s="157">
        <f t="shared" si="14"/>
        <v>0</v>
      </c>
      <c r="AD19" s="144">
        <f t="shared" si="2"/>
        <v>0</v>
      </c>
      <c r="AE19" s="145">
        <f t="shared" si="3"/>
        <v>0</v>
      </c>
      <c r="AF19" s="146">
        <f t="shared" si="15"/>
        <v>0</v>
      </c>
      <c r="AH19" s="274">
        <f>SUMIF(日報!$T$4:$T$885,TEXT(YEAR(A19),"0000")&amp;TEXT(MONTH(A19),"00")&amp;TEXT(DAY(A19),"00")&amp;"SCSK",日報!$L$4:$L$885)</f>
        <v>0</v>
      </c>
      <c r="AI19" s="275">
        <f t="shared" si="4"/>
        <v>0</v>
      </c>
    </row>
    <row r="20" spans="1:35" s="2" customFormat="1" outlineLevel="1" x14ac:dyDescent="0.15">
      <c r="A20" s="168">
        <f t="shared" si="5"/>
        <v>43847</v>
      </c>
      <c r="B20" s="167">
        <f t="shared" si="6"/>
        <v>43847</v>
      </c>
      <c r="C20" s="32">
        <v>1</v>
      </c>
      <c r="D20" s="16"/>
      <c r="E20" s="17"/>
      <c r="F20" s="18"/>
      <c r="G20" s="15"/>
      <c r="H20" s="19"/>
      <c r="I20" s="137">
        <f t="shared" si="7"/>
        <v>0</v>
      </c>
      <c r="J20" s="143">
        <f t="shared" si="8"/>
        <v>0</v>
      </c>
      <c r="K20" s="144">
        <f t="shared" si="0"/>
        <v>0</v>
      </c>
      <c r="L20" s="145">
        <f t="shared" si="9"/>
        <v>0</v>
      </c>
      <c r="M20" s="146">
        <f t="shared" si="10"/>
        <v>0</v>
      </c>
      <c r="N20" s="147">
        <f>SUMIF(日報!B4:B691,$A20,日報!L4:L691)</f>
        <v>0</v>
      </c>
      <c r="O20" s="147">
        <f t="shared" si="1"/>
        <v>0</v>
      </c>
      <c r="P20" s="151"/>
      <c r="Q20" s="42" t="str">
        <f t="shared" si="11"/>
        <v/>
      </c>
      <c r="R20" s="154"/>
      <c r="S20" s="10" t="str">
        <f t="shared" si="12"/>
        <v/>
      </c>
      <c r="T20" s="11"/>
      <c r="U20" s="12"/>
      <c r="V20" s="136"/>
      <c r="W20" s="16"/>
      <c r="X20" s="17"/>
      <c r="Y20" s="18"/>
      <c r="Z20" s="15"/>
      <c r="AA20" s="19"/>
      <c r="AB20" s="155">
        <f t="shared" si="13"/>
        <v>0</v>
      </c>
      <c r="AC20" s="157">
        <f t="shared" si="14"/>
        <v>0</v>
      </c>
      <c r="AD20" s="144">
        <f t="shared" si="2"/>
        <v>0</v>
      </c>
      <c r="AE20" s="145">
        <f t="shared" si="3"/>
        <v>0</v>
      </c>
      <c r="AF20" s="146">
        <f t="shared" si="15"/>
        <v>0</v>
      </c>
      <c r="AH20" s="274">
        <f>SUMIF(日報!$T$4:$T$885,TEXT(YEAR(A20),"0000")&amp;TEXT(MONTH(A20),"00")&amp;TEXT(DAY(A20),"00")&amp;"SCSK",日報!$L$4:$L$885)</f>
        <v>0</v>
      </c>
      <c r="AI20" s="275">
        <f t="shared" si="4"/>
        <v>0</v>
      </c>
    </row>
    <row r="21" spans="1:35" s="2" customFormat="1" outlineLevel="1" x14ac:dyDescent="0.15">
      <c r="A21" s="168">
        <f t="shared" si="5"/>
        <v>43848</v>
      </c>
      <c r="B21" s="167">
        <f t="shared" si="6"/>
        <v>43848</v>
      </c>
      <c r="C21" s="32">
        <v>1</v>
      </c>
      <c r="D21" s="16"/>
      <c r="E21" s="17"/>
      <c r="F21" s="18"/>
      <c r="G21" s="15"/>
      <c r="H21" s="19"/>
      <c r="I21" s="137">
        <f t="shared" si="7"/>
        <v>0</v>
      </c>
      <c r="J21" s="143">
        <f t="shared" si="8"/>
        <v>0</v>
      </c>
      <c r="K21" s="144">
        <f t="shared" si="0"/>
        <v>0</v>
      </c>
      <c r="L21" s="145">
        <f t="shared" si="9"/>
        <v>0</v>
      </c>
      <c r="M21" s="146">
        <f t="shared" si="10"/>
        <v>0</v>
      </c>
      <c r="N21" s="147">
        <f>SUMIF(日報!B4:B691,$A21,日報!L4:L691)</f>
        <v>0</v>
      </c>
      <c r="O21" s="147">
        <f t="shared" si="1"/>
        <v>0</v>
      </c>
      <c r="P21" s="151"/>
      <c r="Q21" s="42" t="str">
        <f t="shared" si="11"/>
        <v/>
      </c>
      <c r="R21" s="154"/>
      <c r="S21" s="10" t="str">
        <f t="shared" si="12"/>
        <v/>
      </c>
      <c r="T21" s="11"/>
      <c r="U21" s="12"/>
      <c r="V21" s="136"/>
      <c r="W21" s="16"/>
      <c r="X21" s="17"/>
      <c r="Y21" s="18"/>
      <c r="Z21" s="15"/>
      <c r="AA21" s="19"/>
      <c r="AB21" s="155">
        <f t="shared" si="13"/>
        <v>0</v>
      </c>
      <c r="AC21" s="157">
        <f t="shared" si="14"/>
        <v>0</v>
      </c>
      <c r="AD21" s="144">
        <f t="shared" si="2"/>
        <v>0</v>
      </c>
      <c r="AE21" s="145">
        <f t="shared" si="3"/>
        <v>0</v>
      </c>
      <c r="AF21" s="146">
        <f t="shared" si="15"/>
        <v>0</v>
      </c>
      <c r="AH21" s="274">
        <f>SUMIF(日報!$T$4:$T$885,TEXT(YEAR(A21),"0000")&amp;TEXT(MONTH(A21),"00")&amp;TEXT(DAY(A21),"00")&amp;"SCSK",日報!$L$4:$L$885)</f>
        <v>0</v>
      </c>
      <c r="AI21" s="275">
        <f t="shared" si="4"/>
        <v>0</v>
      </c>
    </row>
    <row r="22" spans="1:35" s="2" customFormat="1" outlineLevel="1" x14ac:dyDescent="0.15">
      <c r="A22" s="168">
        <f t="shared" si="5"/>
        <v>43849</v>
      </c>
      <c r="B22" s="167">
        <f t="shared" si="6"/>
        <v>43849</v>
      </c>
      <c r="C22" s="32">
        <v>1</v>
      </c>
      <c r="D22" s="16"/>
      <c r="E22" s="17"/>
      <c r="F22" s="18"/>
      <c r="G22" s="15"/>
      <c r="H22" s="19"/>
      <c r="I22" s="137">
        <f t="shared" si="7"/>
        <v>0</v>
      </c>
      <c r="J22" s="143">
        <f t="shared" si="8"/>
        <v>0</v>
      </c>
      <c r="K22" s="144">
        <f t="shared" si="0"/>
        <v>0</v>
      </c>
      <c r="L22" s="145">
        <f t="shared" si="9"/>
        <v>0</v>
      </c>
      <c r="M22" s="146">
        <f t="shared" si="10"/>
        <v>0</v>
      </c>
      <c r="N22" s="147">
        <f>SUMIF(日報!B4:B691,$A22,日報!L4:L691)</f>
        <v>0</v>
      </c>
      <c r="O22" s="147">
        <f t="shared" si="1"/>
        <v>0</v>
      </c>
      <c r="P22" s="151"/>
      <c r="Q22" s="42" t="str">
        <f t="shared" si="11"/>
        <v/>
      </c>
      <c r="R22" s="154"/>
      <c r="S22" s="10" t="str">
        <f t="shared" si="12"/>
        <v/>
      </c>
      <c r="T22" s="11"/>
      <c r="U22" s="12"/>
      <c r="V22" s="136"/>
      <c r="W22" s="16"/>
      <c r="X22" s="17"/>
      <c r="Y22" s="18"/>
      <c r="Z22" s="15"/>
      <c r="AA22" s="19"/>
      <c r="AB22" s="155">
        <f t="shared" si="13"/>
        <v>0</v>
      </c>
      <c r="AC22" s="157">
        <f t="shared" si="14"/>
        <v>0</v>
      </c>
      <c r="AD22" s="144">
        <f t="shared" si="2"/>
        <v>0</v>
      </c>
      <c r="AE22" s="145">
        <f t="shared" si="3"/>
        <v>0</v>
      </c>
      <c r="AF22" s="146">
        <f t="shared" si="15"/>
        <v>0</v>
      </c>
      <c r="AH22" s="274">
        <f>SUMIF(日報!$T$4:$T$885,TEXT(YEAR(A22),"0000")&amp;TEXT(MONTH(A22),"00")&amp;TEXT(DAY(A22),"00")&amp;"SCSK",日報!$L$4:$L$885)</f>
        <v>0</v>
      </c>
      <c r="AI22" s="275">
        <f t="shared" si="4"/>
        <v>0</v>
      </c>
    </row>
    <row r="23" spans="1:35" s="2" customFormat="1" outlineLevel="1" x14ac:dyDescent="0.15">
      <c r="A23" s="168">
        <f t="shared" si="5"/>
        <v>43850</v>
      </c>
      <c r="B23" s="167">
        <f t="shared" si="6"/>
        <v>43850</v>
      </c>
      <c r="C23" s="32"/>
      <c r="D23" s="16">
        <v>0.38541666666666669</v>
      </c>
      <c r="E23" s="17">
        <v>0.76041666666666663</v>
      </c>
      <c r="F23" s="18">
        <v>1</v>
      </c>
      <c r="G23" s="15"/>
      <c r="H23" s="19"/>
      <c r="I23" s="137">
        <f t="shared" si="7"/>
        <v>9</v>
      </c>
      <c r="J23" s="143">
        <f t="shared" si="8"/>
        <v>7.75</v>
      </c>
      <c r="K23" s="144">
        <f t="shared" si="0"/>
        <v>0.25</v>
      </c>
      <c r="L23" s="145">
        <f t="shared" si="9"/>
        <v>0</v>
      </c>
      <c r="M23" s="146">
        <f t="shared" si="10"/>
        <v>0</v>
      </c>
      <c r="N23" s="147">
        <f>SUMIF(日報!B4:B691,$A23,日報!L4:L691)</f>
        <v>0</v>
      </c>
      <c r="O23" s="147">
        <f t="shared" si="1"/>
        <v>8</v>
      </c>
      <c r="P23" s="151"/>
      <c r="Q23" s="42" t="str">
        <f t="shared" si="11"/>
        <v/>
      </c>
      <c r="R23" s="154"/>
      <c r="S23" s="10" t="str">
        <f t="shared" si="12"/>
        <v/>
      </c>
      <c r="T23" s="11"/>
      <c r="U23" s="12"/>
      <c r="V23" s="136"/>
      <c r="W23" s="16"/>
      <c r="X23" s="17"/>
      <c r="Y23" s="18"/>
      <c r="Z23" s="15"/>
      <c r="AA23" s="19"/>
      <c r="AB23" s="155">
        <f t="shared" si="13"/>
        <v>0</v>
      </c>
      <c r="AC23" s="157">
        <f t="shared" si="14"/>
        <v>0</v>
      </c>
      <c r="AD23" s="144">
        <f t="shared" si="2"/>
        <v>0</v>
      </c>
      <c r="AE23" s="145">
        <f t="shared" si="3"/>
        <v>0</v>
      </c>
      <c r="AF23" s="146">
        <f t="shared" si="15"/>
        <v>0</v>
      </c>
      <c r="AH23" s="274">
        <f>SUMIF(日報!$T$4:$T$885,TEXT(YEAR(A23),"0000")&amp;TEXT(MONTH(A23),"00")&amp;TEXT(DAY(A23),"00")&amp;"SCSK",日報!$L$4:$L$885)</f>
        <v>0</v>
      </c>
      <c r="AI23" s="275">
        <f t="shared" si="4"/>
        <v>0</v>
      </c>
    </row>
    <row r="24" spans="1:35" s="2" customFormat="1" outlineLevel="1" x14ac:dyDescent="0.15">
      <c r="A24" s="168">
        <f t="shared" si="5"/>
        <v>43851</v>
      </c>
      <c r="B24" s="167">
        <f t="shared" si="6"/>
        <v>43851</v>
      </c>
      <c r="C24" s="32"/>
      <c r="D24" s="16">
        <v>0.38541666666666669</v>
      </c>
      <c r="E24" s="17">
        <v>0.80208333333333337</v>
      </c>
      <c r="F24" s="18">
        <v>1</v>
      </c>
      <c r="G24" s="15"/>
      <c r="H24" s="19"/>
      <c r="I24" s="137">
        <f t="shared" si="7"/>
        <v>10</v>
      </c>
      <c r="J24" s="143">
        <f t="shared" si="8"/>
        <v>7.75</v>
      </c>
      <c r="K24" s="144">
        <f t="shared" si="0"/>
        <v>1.25</v>
      </c>
      <c r="L24" s="145">
        <f t="shared" si="9"/>
        <v>0</v>
      </c>
      <c r="M24" s="146">
        <f t="shared" si="10"/>
        <v>0</v>
      </c>
      <c r="N24" s="147">
        <f>SUMIF(日報!B4:B691,$A24,日報!L4:L691)</f>
        <v>0</v>
      </c>
      <c r="O24" s="147">
        <f t="shared" si="1"/>
        <v>9</v>
      </c>
      <c r="P24" s="151"/>
      <c r="Q24" s="42" t="str">
        <f t="shared" si="11"/>
        <v/>
      </c>
      <c r="R24" s="154"/>
      <c r="S24" s="10" t="str">
        <f t="shared" si="12"/>
        <v/>
      </c>
      <c r="T24" s="11"/>
      <c r="U24" s="12"/>
      <c r="V24" s="136"/>
      <c r="W24" s="16"/>
      <c r="X24" s="17"/>
      <c r="Y24" s="18"/>
      <c r="Z24" s="15"/>
      <c r="AA24" s="19"/>
      <c r="AB24" s="155">
        <f t="shared" si="13"/>
        <v>0</v>
      </c>
      <c r="AC24" s="157">
        <f t="shared" si="14"/>
        <v>0</v>
      </c>
      <c r="AD24" s="144">
        <f t="shared" si="2"/>
        <v>0</v>
      </c>
      <c r="AE24" s="145">
        <f t="shared" si="3"/>
        <v>0</v>
      </c>
      <c r="AF24" s="146">
        <f t="shared" si="15"/>
        <v>0</v>
      </c>
      <c r="AH24" s="274">
        <f>SUMIF(日報!$T$4:$T$885,TEXT(YEAR(A24),"0000")&amp;TEXT(MONTH(A24),"00")&amp;TEXT(DAY(A24),"00")&amp;"SCSK",日報!$L$4:$L$885)</f>
        <v>0</v>
      </c>
      <c r="AI24" s="275">
        <f t="shared" si="4"/>
        <v>0</v>
      </c>
    </row>
    <row r="25" spans="1:35" s="2" customFormat="1" outlineLevel="1" x14ac:dyDescent="0.15">
      <c r="A25" s="168">
        <f t="shared" si="5"/>
        <v>43852</v>
      </c>
      <c r="B25" s="167">
        <f t="shared" si="6"/>
        <v>43852</v>
      </c>
      <c r="C25" s="32"/>
      <c r="D25" s="16">
        <v>0.38541666666666669</v>
      </c>
      <c r="E25" s="17">
        <v>0.80208333333333337</v>
      </c>
      <c r="F25" s="18">
        <v>1</v>
      </c>
      <c r="G25" s="15"/>
      <c r="H25" s="19"/>
      <c r="I25" s="137">
        <f t="shared" si="7"/>
        <v>10</v>
      </c>
      <c r="J25" s="143">
        <f t="shared" si="8"/>
        <v>7.75</v>
      </c>
      <c r="K25" s="144">
        <f t="shared" si="0"/>
        <v>1.25</v>
      </c>
      <c r="L25" s="145">
        <f t="shared" si="9"/>
        <v>0</v>
      </c>
      <c r="M25" s="146">
        <f t="shared" si="10"/>
        <v>0</v>
      </c>
      <c r="N25" s="147">
        <f>SUMIF(日報!B4:B691,$A25,日報!L4:L691)</f>
        <v>0</v>
      </c>
      <c r="O25" s="147">
        <f t="shared" si="1"/>
        <v>9</v>
      </c>
      <c r="P25" s="151"/>
      <c r="Q25" s="42" t="str">
        <f t="shared" si="11"/>
        <v/>
      </c>
      <c r="R25" s="154"/>
      <c r="S25" s="10" t="str">
        <f t="shared" si="12"/>
        <v/>
      </c>
      <c r="T25" s="11"/>
      <c r="U25" s="12"/>
      <c r="V25" s="136"/>
      <c r="W25" s="16"/>
      <c r="X25" s="17"/>
      <c r="Y25" s="18"/>
      <c r="Z25" s="15"/>
      <c r="AA25" s="19"/>
      <c r="AB25" s="155">
        <f t="shared" si="13"/>
        <v>0</v>
      </c>
      <c r="AC25" s="157">
        <f t="shared" si="14"/>
        <v>0</v>
      </c>
      <c r="AD25" s="144">
        <f t="shared" si="2"/>
        <v>0</v>
      </c>
      <c r="AE25" s="145">
        <f t="shared" si="3"/>
        <v>0</v>
      </c>
      <c r="AF25" s="146">
        <f t="shared" si="15"/>
        <v>0</v>
      </c>
      <c r="AH25" s="274">
        <f>SUMIF(日報!$T$4:$T$885,TEXT(YEAR(A25),"0000")&amp;TEXT(MONTH(A25),"00")&amp;TEXT(DAY(A25),"00")&amp;"SCSK",日報!$L$4:$L$885)</f>
        <v>0</v>
      </c>
      <c r="AI25" s="275">
        <f t="shared" si="4"/>
        <v>0</v>
      </c>
    </row>
    <row r="26" spans="1:35" s="2" customFormat="1" outlineLevel="1" x14ac:dyDescent="0.15">
      <c r="A26" s="168">
        <f t="shared" si="5"/>
        <v>43853</v>
      </c>
      <c r="B26" s="167">
        <f t="shared" si="6"/>
        <v>43853</v>
      </c>
      <c r="C26" s="32"/>
      <c r="D26" s="16">
        <v>0.38541666666666669</v>
      </c>
      <c r="E26" s="17">
        <v>0.76041666666666663</v>
      </c>
      <c r="F26" s="18">
        <v>1</v>
      </c>
      <c r="G26" s="15"/>
      <c r="H26" s="19"/>
      <c r="I26" s="137">
        <f t="shared" si="7"/>
        <v>9</v>
      </c>
      <c r="J26" s="143">
        <f t="shared" si="8"/>
        <v>7.75</v>
      </c>
      <c r="K26" s="144">
        <f t="shared" si="0"/>
        <v>0.25</v>
      </c>
      <c r="L26" s="145">
        <f t="shared" si="9"/>
        <v>0</v>
      </c>
      <c r="M26" s="146">
        <f t="shared" si="10"/>
        <v>0</v>
      </c>
      <c r="N26" s="147">
        <f>SUMIF(日報!B4:B691,$A26,日報!L4:L691)</f>
        <v>0</v>
      </c>
      <c r="O26" s="147">
        <f t="shared" si="1"/>
        <v>8</v>
      </c>
      <c r="P26" s="151"/>
      <c r="Q26" s="42" t="str">
        <f t="shared" si="11"/>
        <v/>
      </c>
      <c r="R26" s="154"/>
      <c r="S26" s="10" t="str">
        <f t="shared" si="12"/>
        <v/>
      </c>
      <c r="T26" s="11"/>
      <c r="U26" s="12"/>
      <c r="V26" s="136"/>
      <c r="W26" s="16"/>
      <c r="X26" s="17"/>
      <c r="Y26" s="18"/>
      <c r="Z26" s="15"/>
      <c r="AA26" s="19"/>
      <c r="AB26" s="155">
        <f t="shared" si="13"/>
        <v>0</v>
      </c>
      <c r="AC26" s="157">
        <f t="shared" si="14"/>
        <v>0</v>
      </c>
      <c r="AD26" s="144">
        <f t="shared" si="2"/>
        <v>0</v>
      </c>
      <c r="AE26" s="145">
        <f t="shared" si="3"/>
        <v>0</v>
      </c>
      <c r="AF26" s="146">
        <f t="shared" si="15"/>
        <v>0</v>
      </c>
      <c r="AH26" s="274">
        <f>SUMIF(日報!$T$4:$T$885,TEXT(YEAR(A26),"0000")&amp;TEXT(MONTH(A26),"00")&amp;TEXT(DAY(A26),"00")&amp;"SCSK",日報!$L$4:$L$885)</f>
        <v>0</v>
      </c>
      <c r="AI26" s="275">
        <f t="shared" si="4"/>
        <v>0</v>
      </c>
    </row>
    <row r="27" spans="1:35" s="2" customFormat="1" outlineLevel="1" x14ac:dyDescent="0.15">
      <c r="A27" s="168">
        <f t="shared" si="5"/>
        <v>43854</v>
      </c>
      <c r="B27" s="167">
        <f t="shared" si="6"/>
        <v>43854</v>
      </c>
      <c r="C27" s="32"/>
      <c r="D27" s="16">
        <v>0.38541666666666669</v>
      </c>
      <c r="E27" s="17">
        <v>0.76041666666666663</v>
      </c>
      <c r="F27" s="18">
        <v>1</v>
      </c>
      <c r="G27" s="15"/>
      <c r="H27" s="19"/>
      <c r="I27" s="137">
        <f t="shared" si="7"/>
        <v>9</v>
      </c>
      <c r="J27" s="143">
        <f t="shared" si="8"/>
        <v>7.75</v>
      </c>
      <c r="K27" s="144">
        <f t="shared" si="0"/>
        <v>0.25</v>
      </c>
      <c r="L27" s="145">
        <f t="shared" si="9"/>
        <v>0</v>
      </c>
      <c r="M27" s="146">
        <f t="shared" si="10"/>
        <v>0</v>
      </c>
      <c r="N27" s="147">
        <f>SUMIF(日報!B4:B691,$A27,日報!L4:L691)</f>
        <v>0</v>
      </c>
      <c r="O27" s="147">
        <f t="shared" si="1"/>
        <v>8</v>
      </c>
      <c r="P27" s="151"/>
      <c r="Q27" s="42" t="str">
        <f t="shared" si="11"/>
        <v/>
      </c>
      <c r="R27" s="154"/>
      <c r="S27" s="10" t="str">
        <f t="shared" si="12"/>
        <v/>
      </c>
      <c r="T27" s="11"/>
      <c r="U27" s="12"/>
      <c r="V27" s="136"/>
      <c r="W27" s="16"/>
      <c r="X27" s="17"/>
      <c r="Y27" s="18"/>
      <c r="Z27" s="15"/>
      <c r="AA27" s="19"/>
      <c r="AB27" s="155">
        <f t="shared" si="13"/>
        <v>0</v>
      </c>
      <c r="AC27" s="157">
        <f t="shared" si="14"/>
        <v>0</v>
      </c>
      <c r="AD27" s="144">
        <f t="shared" si="2"/>
        <v>0</v>
      </c>
      <c r="AE27" s="145">
        <f t="shared" si="3"/>
        <v>0</v>
      </c>
      <c r="AF27" s="146">
        <f t="shared" si="15"/>
        <v>0</v>
      </c>
      <c r="AH27" s="274">
        <f>SUMIF(日報!$T$4:$T$885,TEXT(YEAR(A27),"0000")&amp;TEXT(MONTH(A27),"00")&amp;TEXT(DAY(A27),"00")&amp;"SCSK",日報!$L$4:$L$885)</f>
        <v>0</v>
      </c>
      <c r="AI27" s="275">
        <f t="shared" si="4"/>
        <v>0</v>
      </c>
    </row>
    <row r="28" spans="1:35" s="2" customFormat="1" outlineLevel="1" x14ac:dyDescent="0.15">
      <c r="A28" s="168">
        <f t="shared" si="5"/>
        <v>43855</v>
      </c>
      <c r="B28" s="167">
        <f t="shared" si="6"/>
        <v>43855</v>
      </c>
      <c r="C28" s="32">
        <v>1</v>
      </c>
      <c r="D28" s="16"/>
      <c r="E28" s="17"/>
      <c r="F28" s="18"/>
      <c r="G28" s="15"/>
      <c r="H28" s="19"/>
      <c r="I28" s="137">
        <f t="shared" si="7"/>
        <v>0</v>
      </c>
      <c r="J28" s="143">
        <f t="shared" si="8"/>
        <v>0</v>
      </c>
      <c r="K28" s="144">
        <f t="shared" si="0"/>
        <v>0</v>
      </c>
      <c r="L28" s="145">
        <f t="shared" si="9"/>
        <v>0</v>
      </c>
      <c r="M28" s="146">
        <f t="shared" si="10"/>
        <v>0</v>
      </c>
      <c r="N28" s="147">
        <f>SUMIF(日報!B4:B691,$A28,日報!L4:L691)</f>
        <v>0</v>
      </c>
      <c r="O28" s="147">
        <f t="shared" si="1"/>
        <v>0</v>
      </c>
      <c r="P28" s="151"/>
      <c r="Q28" s="42" t="str">
        <f t="shared" si="11"/>
        <v/>
      </c>
      <c r="R28" s="154"/>
      <c r="S28" s="10" t="str">
        <f t="shared" si="12"/>
        <v/>
      </c>
      <c r="T28" s="11"/>
      <c r="U28" s="12"/>
      <c r="V28" s="136"/>
      <c r="W28" s="16"/>
      <c r="X28" s="17"/>
      <c r="Y28" s="18"/>
      <c r="Z28" s="15"/>
      <c r="AA28" s="19"/>
      <c r="AB28" s="155">
        <f t="shared" si="13"/>
        <v>0</v>
      </c>
      <c r="AC28" s="157">
        <f t="shared" si="14"/>
        <v>0</v>
      </c>
      <c r="AD28" s="144">
        <f t="shared" si="2"/>
        <v>0</v>
      </c>
      <c r="AE28" s="145">
        <f t="shared" si="3"/>
        <v>0</v>
      </c>
      <c r="AF28" s="146">
        <f t="shared" si="15"/>
        <v>0</v>
      </c>
      <c r="AH28" s="274">
        <f>SUMIF(日報!$T$4:$T$885,TEXT(YEAR(A28),"0000")&amp;TEXT(MONTH(A28),"00")&amp;TEXT(DAY(A28),"00")&amp;"SCSK",日報!$L$4:$L$885)</f>
        <v>0</v>
      </c>
      <c r="AI28" s="275">
        <f t="shared" si="4"/>
        <v>0</v>
      </c>
    </row>
    <row r="29" spans="1:35" s="2" customFormat="1" outlineLevel="1" x14ac:dyDescent="0.15">
      <c r="A29" s="168">
        <f t="shared" si="5"/>
        <v>43856</v>
      </c>
      <c r="B29" s="167">
        <f t="shared" si="6"/>
        <v>43856</v>
      </c>
      <c r="C29" s="32">
        <v>1</v>
      </c>
      <c r="D29" s="16"/>
      <c r="E29" s="17"/>
      <c r="F29" s="18"/>
      <c r="G29" s="15"/>
      <c r="H29" s="19"/>
      <c r="I29" s="137">
        <f t="shared" si="7"/>
        <v>0</v>
      </c>
      <c r="J29" s="143">
        <f t="shared" si="8"/>
        <v>0</v>
      </c>
      <c r="K29" s="144">
        <f t="shared" si="0"/>
        <v>0</v>
      </c>
      <c r="L29" s="145">
        <f t="shared" si="9"/>
        <v>0</v>
      </c>
      <c r="M29" s="146">
        <f t="shared" si="10"/>
        <v>0</v>
      </c>
      <c r="N29" s="147">
        <f>SUMIF(日報!B4:B691,$A29,日報!L4:L691)</f>
        <v>0</v>
      </c>
      <c r="O29" s="147">
        <f t="shared" si="1"/>
        <v>0</v>
      </c>
      <c r="P29" s="151"/>
      <c r="Q29" s="42" t="str">
        <f t="shared" si="11"/>
        <v/>
      </c>
      <c r="R29" s="154"/>
      <c r="S29" s="10" t="str">
        <f t="shared" si="12"/>
        <v/>
      </c>
      <c r="T29" s="11"/>
      <c r="U29" s="12"/>
      <c r="V29" s="136"/>
      <c r="W29" s="16"/>
      <c r="X29" s="17"/>
      <c r="Y29" s="18"/>
      <c r="Z29" s="15"/>
      <c r="AA29" s="19"/>
      <c r="AB29" s="155">
        <f t="shared" si="13"/>
        <v>0</v>
      </c>
      <c r="AC29" s="157">
        <f t="shared" si="14"/>
        <v>0</v>
      </c>
      <c r="AD29" s="144">
        <f t="shared" si="2"/>
        <v>0</v>
      </c>
      <c r="AE29" s="145">
        <f t="shared" si="3"/>
        <v>0</v>
      </c>
      <c r="AF29" s="146">
        <f t="shared" si="15"/>
        <v>0</v>
      </c>
      <c r="AH29" s="274">
        <f>SUMIF(日報!$T$4:$T$885,TEXT(YEAR(A29),"0000")&amp;TEXT(MONTH(A29),"00")&amp;TEXT(DAY(A29),"00")&amp;"SCSK",日報!$L$4:$L$885)</f>
        <v>0</v>
      </c>
      <c r="AI29" s="275">
        <f t="shared" si="4"/>
        <v>0</v>
      </c>
    </row>
    <row r="30" spans="1:35" s="2" customFormat="1" outlineLevel="1" x14ac:dyDescent="0.15">
      <c r="A30" s="168">
        <f t="shared" si="5"/>
        <v>43857</v>
      </c>
      <c r="B30" s="167">
        <f t="shared" si="6"/>
        <v>43857</v>
      </c>
      <c r="C30" s="32"/>
      <c r="D30" s="16">
        <v>0.38541666666666669</v>
      </c>
      <c r="E30" s="17">
        <v>0.80208333333333337</v>
      </c>
      <c r="F30" s="18">
        <v>1</v>
      </c>
      <c r="G30" s="15"/>
      <c r="H30" s="19"/>
      <c r="I30" s="137">
        <f t="shared" si="7"/>
        <v>10</v>
      </c>
      <c r="J30" s="143">
        <f t="shared" si="8"/>
        <v>7.75</v>
      </c>
      <c r="K30" s="144">
        <f t="shared" si="0"/>
        <v>1.25</v>
      </c>
      <c r="L30" s="145">
        <f t="shared" si="9"/>
        <v>0</v>
      </c>
      <c r="M30" s="146">
        <f t="shared" si="10"/>
        <v>0</v>
      </c>
      <c r="N30" s="147">
        <f>SUMIF(日報!B4:B691,$A30,日報!L4:L691)</f>
        <v>4.5</v>
      </c>
      <c r="O30" s="147">
        <f t="shared" si="1"/>
        <v>4.5</v>
      </c>
      <c r="P30" s="151"/>
      <c r="Q30" s="42" t="str">
        <f t="shared" si="11"/>
        <v/>
      </c>
      <c r="R30" s="154"/>
      <c r="S30" s="10" t="str">
        <f t="shared" si="12"/>
        <v/>
      </c>
      <c r="T30" s="11"/>
      <c r="U30" s="12"/>
      <c r="V30" s="136"/>
      <c r="W30" s="16"/>
      <c r="X30" s="17"/>
      <c r="Y30" s="18"/>
      <c r="Z30" s="15"/>
      <c r="AA30" s="19"/>
      <c r="AB30" s="155">
        <f t="shared" si="13"/>
        <v>0</v>
      </c>
      <c r="AC30" s="157">
        <f t="shared" si="14"/>
        <v>0</v>
      </c>
      <c r="AD30" s="144">
        <f t="shared" si="2"/>
        <v>0</v>
      </c>
      <c r="AE30" s="145">
        <f t="shared" si="3"/>
        <v>0</v>
      </c>
      <c r="AF30" s="146">
        <f t="shared" si="15"/>
        <v>0</v>
      </c>
      <c r="AH30" s="274">
        <f>SUMIF(日報!$T$4:$T$885,TEXT(YEAR(A30),"0000")&amp;TEXT(MONTH(A30),"00")&amp;TEXT(DAY(A30),"00")&amp;"SCSK",日報!$L$4:$L$885)</f>
        <v>0</v>
      </c>
      <c r="AI30" s="275">
        <f t="shared" si="4"/>
        <v>4.5</v>
      </c>
    </row>
    <row r="31" spans="1:35" s="2" customFormat="1" outlineLevel="1" x14ac:dyDescent="0.15">
      <c r="A31" s="168">
        <f t="shared" si="5"/>
        <v>43858</v>
      </c>
      <c r="B31" s="167">
        <f t="shared" si="6"/>
        <v>43858</v>
      </c>
      <c r="C31" s="32"/>
      <c r="D31" s="16">
        <v>0.38541666666666669</v>
      </c>
      <c r="E31" s="17">
        <v>0.76041666666666663</v>
      </c>
      <c r="F31" s="18">
        <v>1</v>
      </c>
      <c r="G31" s="15"/>
      <c r="H31" s="19"/>
      <c r="I31" s="137">
        <f t="shared" si="7"/>
        <v>9</v>
      </c>
      <c r="J31" s="143">
        <f t="shared" si="8"/>
        <v>7.75</v>
      </c>
      <c r="K31" s="144">
        <f t="shared" si="0"/>
        <v>0.25</v>
      </c>
      <c r="L31" s="145">
        <f t="shared" si="9"/>
        <v>0</v>
      </c>
      <c r="M31" s="146">
        <f t="shared" si="10"/>
        <v>0</v>
      </c>
      <c r="N31" s="147">
        <f>SUMIF(日報!B4:B691,$A31,日報!L4:L691)</f>
        <v>5</v>
      </c>
      <c r="O31" s="147">
        <f t="shared" si="1"/>
        <v>3</v>
      </c>
      <c r="P31" s="151"/>
      <c r="Q31" s="42" t="str">
        <f t="shared" si="11"/>
        <v/>
      </c>
      <c r="R31" s="154"/>
      <c r="S31" s="10" t="str">
        <f t="shared" si="12"/>
        <v/>
      </c>
      <c r="T31" s="11"/>
      <c r="U31" s="12"/>
      <c r="V31" s="136"/>
      <c r="W31" s="16"/>
      <c r="X31" s="17"/>
      <c r="Y31" s="18"/>
      <c r="Z31" s="15"/>
      <c r="AA31" s="19"/>
      <c r="AB31" s="155">
        <f t="shared" si="13"/>
        <v>0</v>
      </c>
      <c r="AC31" s="157">
        <f t="shared" si="14"/>
        <v>0</v>
      </c>
      <c r="AD31" s="144">
        <f t="shared" si="2"/>
        <v>0</v>
      </c>
      <c r="AE31" s="145">
        <f t="shared" si="3"/>
        <v>0</v>
      </c>
      <c r="AF31" s="146">
        <f t="shared" si="15"/>
        <v>0</v>
      </c>
      <c r="AH31" s="274">
        <f>SUMIF(日報!$T$4:$T$885,TEXT(YEAR(A31),"0000")&amp;TEXT(MONTH(A31),"00")&amp;TEXT(DAY(A31),"00")&amp;"SCSK",日報!$L$4:$L$885)</f>
        <v>0</v>
      </c>
      <c r="AI31" s="275">
        <f t="shared" si="4"/>
        <v>5</v>
      </c>
    </row>
    <row r="32" spans="1:35" s="2" customFormat="1" outlineLevel="1" x14ac:dyDescent="0.15">
      <c r="A32" s="168">
        <f t="shared" si="5"/>
        <v>43859</v>
      </c>
      <c r="B32" s="167">
        <f t="shared" si="6"/>
        <v>43859</v>
      </c>
      <c r="C32" s="33"/>
      <c r="D32" s="16">
        <v>0.46875</v>
      </c>
      <c r="E32" s="17">
        <v>0.76041666666666663</v>
      </c>
      <c r="F32" s="18">
        <v>1</v>
      </c>
      <c r="G32" s="15"/>
      <c r="H32" s="19"/>
      <c r="I32" s="137">
        <f t="shared" si="7"/>
        <v>7</v>
      </c>
      <c r="J32" s="143">
        <f t="shared" si="8"/>
        <v>5.75</v>
      </c>
      <c r="K32" s="144">
        <f t="shared" si="0"/>
        <v>0.25</v>
      </c>
      <c r="L32" s="145">
        <f t="shared" si="9"/>
        <v>0</v>
      </c>
      <c r="M32" s="146">
        <f t="shared" si="10"/>
        <v>0</v>
      </c>
      <c r="N32" s="147">
        <f>SUMIF(日報!B4:B691,$A32,日報!L4:L691)</f>
        <v>6</v>
      </c>
      <c r="O32" s="147">
        <f t="shared" si="1"/>
        <v>0</v>
      </c>
      <c r="P32" s="151"/>
      <c r="Q32" s="42" t="str">
        <f t="shared" si="11"/>
        <v/>
      </c>
      <c r="R32" s="154"/>
      <c r="S32" s="10" t="str">
        <f t="shared" si="12"/>
        <v/>
      </c>
      <c r="T32" s="11"/>
      <c r="U32" s="12"/>
      <c r="V32" s="136"/>
      <c r="W32" s="16"/>
      <c r="X32" s="17"/>
      <c r="Y32" s="18"/>
      <c r="Z32" s="15"/>
      <c r="AA32" s="15"/>
      <c r="AB32" s="155">
        <f t="shared" si="13"/>
        <v>0</v>
      </c>
      <c r="AC32" s="157">
        <f t="shared" si="14"/>
        <v>0</v>
      </c>
      <c r="AD32" s="144">
        <f t="shared" si="2"/>
        <v>0</v>
      </c>
      <c r="AE32" s="145">
        <f t="shared" si="3"/>
        <v>0</v>
      </c>
      <c r="AF32" s="146">
        <f t="shared" si="15"/>
        <v>0</v>
      </c>
      <c r="AH32" s="274">
        <f>SUMIF(日報!$T$4:$T$885,TEXT(YEAR(A32),"0000")&amp;TEXT(MONTH(A32),"00")&amp;TEXT(DAY(A32),"00")&amp;"SCSK",日報!$L$4:$L$885)</f>
        <v>0</v>
      </c>
      <c r="AI32" s="275">
        <f t="shared" si="4"/>
        <v>6</v>
      </c>
    </row>
    <row r="33" spans="1:35" s="2" customFormat="1" outlineLevel="1" x14ac:dyDescent="0.15">
      <c r="A33" s="168">
        <f t="shared" si="5"/>
        <v>43860</v>
      </c>
      <c r="B33" s="167">
        <f t="shared" si="6"/>
        <v>43860</v>
      </c>
      <c r="C33" s="32"/>
      <c r="D33" s="16">
        <v>0.38541666666666669</v>
      </c>
      <c r="E33" s="17">
        <v>0.76041666666666663</v>
      </c>
      <c r="F33" s="18">
        <v>1</v>
      </c>
      <c r="G33" s="15"/>
      <c r="H33" s="19"/>
      <c r="I33" s="137">
        <f t="shared" si="7"/>
        <v>9</v>
      </c>
      <c r="J33" s="143">
        <f t="shared" si="8"/>
        <v>7.75</v>
      </c>
      <c r="K33" s="144">
        <f t="shared" si="0"/>
        <v>0.25</v>
      </c>
      <c r="L33" s="145">
        <f t="shared" si="9"/>
        <v>0</v>
      </c>
      <c r="M33" s="146">
        <f t="shared" si="10"/>
        <v>0</v>
      </c>
      <c r="N33" s="147">
        <f>SUMIF(日報!B4:B691,$A33,日報!L4:L691)</f>
        <v>0</v>
      </c>
      <c r="O33" s="147">
        <f t="shared" si="1"/>
        <v>8</v>
      </c>
      <c r="P33" s="151"/>
      <c r="Q33" s="42" t="str">
        <f t="shared" si="11"/>
        <v/>
      </c>
      <c r="R33" s="154"/>
      <c r="S33" s="10" t="str">
        <f t="shared" si="12"/>
        <v/>
      </c>
      <c r="T33" s="11"/>
      <c r="U33" s="12"/>
      <c r="V33" s="136"/>
      <c r="W33" s="16"/>
      <c r="X33" s="17"/>
      <c r="Y33" s="18"/>
      <c r="Z33" s="15"/>
      <c r="AA33" s="15"/>
      <c r="AB33" s="155">
        <f t="shared" si="13"/>
        <v>0</v>
      </c>
      <c r="AC33" s="157">
        <f t="shared" si="14"/>
        <v>0</v>
      </c>
      <c r="AD33" s="144">
        <f t="shared" si="2"/>
        <v>0</v>
      </c>
      <c r="AE33" s="145">
        <f t="shared" si="3"/>
        <v>0</v>
      </c>
      <c r="AF33" s="146">
        <f t="shared" si="15"/>
        <v>0</v>
      </c>
      <c r="AH33" s="274">
        <f>SUMIF(日報!$T$4:$T$885,TEXT(YEAR(A33),"0000")&amp;TEXT(MONTH(A33),"00")&amp;TEXT(DAY(A33),"00")&amp;"SCSK",日報!$L$4:$L$885)</f>
        <v>0</v>
      </c>
      <c r="AI33" s="275">
        <f t="shared" si="4"/>
        <v>0</v>
      </c>
    </row>
    <row r="34" spans="1:35" s="2" customFormat="1" ht="14.25" outlineLevel="1" thickBot="1" x14ac:dyDescent="0.2">
      <c r="A34" s="169">
        <f t="shared" si="5"/>
        <v>43861</v>
      </c>
      <c r="B34" s="170">
        <f t="shared" si="6"/>
        <v>43861</v>
      </c>
      <c r="C34" s="33"/>
      <c r="D34" s="28">
        <v>0.38541666666666669</v>
      </c>
      <c r="E34" s="29">
        <v>0.76041666666666663</v>
      </c>
      <c r="F34" s="30">
        <v>1</v>
      </c>
      <c r="G34" s="27"/>
      <c r="H34" s="31"/>
      <c r="I34" s="137">
        <f t="shared" si="7"/>
        <v>9</v>
      </c>
      <c r="J34" s="148">
        <f t="shared" si="8"/>
        <v>7.75</v>
      </c>
      <c r="K34" s="149">
        <f t="shared" si="0"/>
        <v>0.25</v>
      </c>
      <c r="L34" s="145">
        <f t="shared" si="9"/>
        <v>0</v>
      </c>
      <c r="M34" s="146">
        <f t="shared" si="10"/>
        <v>0</v>
      </c>
      <c r="N34" s="147">
        <f>SUMIF(日報!B4:B691,$A34,日報!L4:L691)</f>
        <v>0</v>
      </c>
      <c r="O34" s="147">
        <f t="shared" si="1"/>
        <v>8</v>
      </c>
      <c r="P34" s="151"/>
      <c r="Q34" s="42" t="str">
        <f t="shared" si="11"/>
        <v/>
      </c>
      <c r="R34" s="154"/>
      <c r="S34" s="10" t="str">
        <f t="shared" si="12"/>
        <v/>
      </c>
      <c r="T34" s="11"/>
      <c r="U34" s="12"/>
      <c r="V34" s="136"/>
      <c r="W34" s="28"/>
      <c r="X34" s="29"/>
      <c r="Y34" s="30"/>
      <c r="Z34" s="27"/>
      <c r="AA34" s="27"/>
      <c r="AB34" s="158">
        <f t="shared" si="13"/>
        <v>0</v>
      </c>
      <c r="AC34" s="159">
        <f t="shared" si="14"/>
        <v>0</v>
      </c>
      <c r="AD34" s="149">
        <f t="shared" si="2"/>
        <v>0</v>
      </c>
      <c r="AE34" s="160">
        <f t="shared" si="3"/>
        <v>0</v>
      </c>
      <c r="AF34" s="161">
        <f t="shared" si="15"/>
        <v>0</v>
      </c>
      <c r="AH34" s="274">
        <f>SUMIF(日報!$T$4:$T$885,TEXT(YEAR(A34),"0000")&amp;TEXT(MONTH(A34),"00")&amp;TEXT(DAY(A34),"00")&amp;"SCSK",日報!$L$4:$L$885)</f>
        <v>0</v>
      </c>
      <c r="AI34" s="275">
        <f t="shared" si="4"/>
        <v>0</v>
      </c>
    </row>
    <row r="35" spans="1:35" ht="15" thickTop="1" thickBot="1" x14ac:dyDescent="0.2">
      <c r="A35" s="107">
        <f>A34</f>
        <v>43861</v>
      </c>
      <c r="B35" s="108">
        <f>COUNT(B4:B34)</f>
        <v>31</v>
      </c>
      <c r="C35" s="108"/>
      <c r="D35" s="109"/>
      <c r="E35" s="109"/>
      <c r="F35" s="110">
        <f t="shared" ref="F35:M35" si="16">SUM(F4:F34)</f>
        <v>18</v>
      </c>
      <c r="G35" s="110">
        <f t="shared" si="16"/>
        <v>0</v>
      </c>
      <c r="H35" s="110">
        <f t="shared" si="16"/>
        <v>0</v>
      </c>
      <c r="I35" s="111">
        <f t="shared" si="16"/>
        <v>166.25</v>
      </c>
      <c r="J35" s="112">
        <f t="shared" si="16"/>
        <v>137.5</v>
      </c>
      <c r="K35" s="113">
        <f t="shared" si="16"/>
        <v>10.75</v>
      </c>
      <c r="L35" s="114">
        <f t="shared" si="16"/>
        <v>0</v>
      </c>
      <c r="M35" s="113">
        <f t="shared" si="16"/>
        <v>0</v>
      </c>
      <c r="N35" s="115"/>
      <c r="O35" s="116">
        <f>SUM(O4:O34)</f>
        <v>103.25</v>
      </c>
      <c r="P35" s="105"/>
      <c r="Q35" s="118"/>
      <c r="R35" s="106"/>
      <c r="S35" s="120"/>
      <c r="T35" s="118"/>
      <c r="U35" s="121"/>
      <c r="W35" s="122"/>
      <c r="X35" s="109"/>
      <c r="Y35" s="110">
        <f t="shared" ref="Y35:AF35" si="17">SUM(Y4:Y34)</f>
        <v>0</v>
      </c>
      <c r="Z35" s="110">
        <f t="shared" si="17"/>
        <v>0</v>
      </c>
      <c r="AA35" s="110">
        <f t="shared" si="17"/>
        <v>0</v>
      </c>
      <c r="AB35" s="111">
        <f t="shared" si="17"/>
        <v>0</v>
      </c>
      <c r="AC35" s="112">
        <f t="shared" si="17"/>
        <v>0</v>
      </c>
      <c r="AD35" s="112">
        <f t="shared" si="17"/>
        <v>0</v>
      </c>
      <c r="AE35" s="112">
        <f t="shared" si="17"/>
        <v>0</v>
      </c>
      <c r="AF35" s="113">
        <f t="shared" si="17"/>
        <v>0</v>
      </c>
      <c r="AH35" s="276"/>
      <c r="AI35" s="277"/>
    </row>
    <row r="36" spans="1:35" s="2" customFormat="1" outlineLevel="1" x14ac:dyDescent="0.15">
      <c r="A36" s="168">
        <f>A34+1</f>
        <v>43862</v>
      </c>
      <c r="B36" s="167">
        <f>A36</f>
        <v>43862</v>
      </c>
      <c r="C36" s="32">
        <v>1</v>
      </c>
      <c r="D36" s="16"/>
      <c r="E36" s="17"/>
      <c r="F36" s="18"/>
      <c r="G36" s="15"/>
      <c r="H36" s="19"/>
      <c r="I36" s="137">
        <f>timediff(D36,E36,15)</f>
        <v>0</v>
      </c>
      <c r="J36" s="143">
        <f>IF(C36=1,0,I36-M36-L36-K36-F36-H36-G36)</f>
        <v>0</v>
      </c>
      <c r="K36" s="144">
        <f t="shared" ref="K36:K64" si="18">IF(C36=0,IF(時間外開始&lt;E36,timediff(時間外開始,E36,15)-M36-G36-H36,0),0)</f>
        <v>0</v>
      </c>
      <c r="L36" s="145">
        <f>IF(C36=1,$I36-F36-M36-H36,0)</f>
        <v>0</v>
      </c>
      <c r="M36" s="146">
        <f>IF(深夜終了&lt;E36,timediff(深夜開始,深夜終了,15)-H36,IF(深夜開始&lt;E36,timediff(深夜開始,E36,15)-H36,0))</f>
        <v>0</v>
      </c>
      <c r="N36" s="147">
        <f>SUMIF(日報!B4:B691,$A36,日報!L4:L691)</f>
        <v>0</v>
      </c>
      <c r="O36" s="147">
        <f t="shared" ref="O36:O64" si="19">SUM(J36:M36)-N36</f>
        <v>0</v>
      </c>
      <c r="P36" s="151"/>
      <c r="Q36" s="42" t="str">
        <f>IF(P36="不調","ここに症状を入力！","")</f>
        <v/>
      </c>
      <c r="R36" s="154"/>
      <c r="S36" s="10" t="str">
        <f>IF(R36&lt;&gt;"","ここに理由を入力！","")</f>
        <v/>
      </c>
      <c r="T36" s="11"/>
      <c r="U36" s="12"/>
      <c r="V36" s="136"/>
      <c r="W36" s="16"/>
      <c r="X36" s="17"/>
      <c r="Y36" s="18"/>
      <c r="Z36" s="15"/>
      <c r="AA36" s="15"/>
      <c r="AB36" s="155">
        <f>timediff(W36,X36,15)</f>
        <v>0</v>
      </c>
      <c r="AC36" s="157">
        <f>AB36-AF36-AE36-AD36-Y36-Z36-AA36</f>
        <v>0</v>
      </c>
      <c r="AD36" s="144">
        <f t="shared" ref="AD36:AD64" si="20">IF(C36=0,IF(時間外開始&lt;X36,timediff(時間外開始,X36,15)-AF36-Z36-AA36,0),0)</f>
        <v>0</v>
      </c>
      <c r="AE36" s="145">
        <f t="shared" ref="AE36:AE64" si="21">IF(C36=1,AB36-Y36-Z36-AA36,0)</f>
        <v>0</v>
      </c>
      <c r="AF36" s="146">
        <f>IF(深夜終了&lt;X36,timediff(深夜開始,深夜終了,15)-AA36,IF(深夜開始&lt;X36,timediff(深夜開始,X36,15)-AA36,0))</f>
        <v>0</v>
      </c>
      <c r="AH36" s="274">
        <f>SUMIF(日報!$T$4:$T$885,TEXT(YEAR(A36),"0000")&amp;TEXT(MONTH(A36),"00")&amp;TEXT(DAY(A36),"00")&amp;"SCSK",日報!$L$4:$L$885)</f>
        <v>0</v>
      </c>
      <c r="AI36" s="275">
        <f>N36-AH36</f>
        <v>0</v>
      </c>
    </row>
    <row r="37" spans="1:35" s="2" customFormat="1" outlineLevel="1" x14ac:dyDescent="0.15">
      <c r="A37" s="168">
        <f>A36+1</f>
        <v>43863</v>
      </c>
      <c r="B37" s="167">
        <f t="shared" ref="B37:B64" si="22">A37</f>
        <v>43863</v>
      </c>
      <c r="C37" s="32">
        <v>1</v>
      </c>
      <c r="D37" s="16"/>
      <c r="E37" s="17"/>
      <c r="F37" s="18"/>
      <c r="G37" s="15"/>
      <c r="H37" s="19"/>
      <c r="I37" s="137">
        <f t="shared" ref="I37:I64" si="23">timediff(D37,E37,15)</f>
        <v>0</v>
      </c>
      <c r="J37" s="143">
        <f t="shared" ref="J37:J64" si="24">IF(C37=1,0,I37-M37-L37-K37-F37-H37-G37)</f>
        <v>0</v>
      </c>
      <c r="K37" s="144">
        <f t="shared" si="18"/>
        <v>0</v>
      </c>
      <c r="L37" s="145">
        <f t="shared" ref="L37:L64" si="25">IF(C37=1,$I37-F37-M37-H37,0)</f>
        <v>0</v>
      </c>
      <c r="M37" s="146">
        <f t="shared" ref="M37:M64" si="26">IF(深夜終了&lt;E37,timediff(深夜開始,深夜終了,15)-H37,IF(深夜開始&lt;E37,timediff(深夜開始,E37,15)-H37,0))</f>
        <v>0</v>
      </c>
      <c r="N37" s="147">
        <f>SUMIF(日報!B4:B691,$A37,日報!L4:L691)</f>
        <v>0</v>
      </c>
      <c r="O37" s="147">
        <f t="shared" si="19"/>
        <v>0</v>
      </c>
      <c r="P37" s="151"/>
      <c r="Q37" s="42" t="str">
        <f t="shared" ref="Q37:Q64" si="27">IF(P37="不調","ここに症状を入力！","")</f>
        <v/>
      </c>
      <c r="R37" s="154"/>
      <c r="S37" s="10" t="str">
        <f t="shared" ref="S37:S64" si="28">IF(R37&lt;&gt;"","ここに理由を入力！","")</f>
        <v/>
      </c>
      <c r="T37" s="11"/>
      <c r="U37" s="12"/>
      <c r="V37" s="136"/>
      <c r="W37" s="16"/>
      <c r="X37" s="17"/>
      <c r="Y37" s="18"/>
      <c r="Z37" s="15"/>
      <c r="AA37" s="15"/>
      <c r="AB37" s="155">
        <f t="shared" ref="AB37:AB64" si="29">timediff(W37,X37,15)</f>
        <v>0</v>
      </c>
      <c r="AC37" s="157">
        <f t="shared" ref="AC37:AC64" si="30">AB37-AF37-AE37-AD37-Y37-Z37-AA37</f>
        <v>0</v>
      </c>
      <c r="AD37" s="144">
        <f t="shared" si="20"/>
        <v>0</v>
      </c>
      <c r="AE37" s="145">
        <f t="shared" si="21"/>
        <v>0</v>
      </c>
      <c r="AF37" s="146">
        <f t="shared" ref="AF37:AF64" si="31">IF(深夜終了&lt;X37,timediff(深夜開始,深夜終了,15)-AA37,IF(深夜開始&lt;X37,timediff(深夜開始,X37,15)-AA37,0))</f>
        <v>0</v>
      </c>
      <c r="AH37" s="274">
        <f>SUMIF(日報!$T$4:$T$885,TEXT(YEAR(A37),"0000")&amp;TEXT(MONTH(A37),"00")&amp;TEXT(DAY(A37),"00")&amp;"SCSK",日報!$L$4:$L$885)</f>
        <v>0</v>
      </c>
      <c r="AI37" s="275">
        <f t="shared" ref="AI37:AI101" si="32">N37-AH37</f>
        <v>0</v>
      </c>
    </row>
    <row r="38" spans="1:35" s="2" customFormat="1" outlineLevel="1" x14ac:dyDescent="0.15">
      <c r="A38" s="168">
        <f t="shared" ref="A38:A64" si="33">A37+1</f>
        <v>43864</v>
      </c>
      <c r="B38" s="167">
        <f t="shared" si="22"/>
        <v>43864</v>
      </c>
      <c r="C38" s="32"/>
      <c r="D38" s="16">
        <v>0.38541666666666669</v>
      </c>
      <c r="E38" s="17">
        <v>0.76041666666666663</v>
      </c>
      <c r="F38" s="18">
        <v>1</v>
      </c>
      <c r="G38" s="15"/>
      <c r="H38" s="19"/>
      <c r="I38" s="137">
        <f t="shared" si="23"/>
        <v>9</v>
      </c>
      <c r="J38" s="143">
        <f t="shared" si="24"/>
        <v>7.75</v>
      </c>
      <c r="K38" s="144">
        <f t="shared" si="18"/>
        <v>0.25</v>
      </c>
      <c r="L38" s="145">
        <f t="shared" si="25"/>
        <v>0</v>
      </c>
      <c r="M38" s="146">
        <f t="shared" si="26"/>
        <v>0</v>
      </c>
      <c r="N38" s="147">
        <f>SUMIF(日報!B4:B691,$A38,日報!L4:L691)</f>
        <v>0</v>
      </c>
      <c r="O38" s="147">
        <f t="shared" si="19"/>
        <v>8</v>
      </c>
      <c r="P38" s="151"/>
      <c r="Q38" s="42" t="str">
        <f t="shared" si="27"/>
        <v/>
      </c>
      <c r="R38" s="154"/>
      <c r="S38" s="10" t="str">
        <f t="shared" si="28"/>
        <v/>
      </c>
      <c r="T38" s="11"/>
      <c r="U38" s="12"/>
      <c r="V38" s="136"/>
      <c r="W38" s="16"/>
      <c r="X38" s="17"/>
      <c r="Y38" s="18"/>
      <c r="Z38" s="15"/>
      <c r="AA38" s="15"/>
      <c r="AB38" s="155">
        <f t="shared" si="29"/>
        <v>0</v>
      </c>
      <c r="AC38" s="157">
        <f t="shared" si="30"/>
        <v>0</v>
      </c>
      <c r="AD38" s="144">
        <f t="shared" si="20"/>
        <v>0</v>
      </c>
      <c r="AE38" s="145">
        <f t="shared" si="21"/>
        <v>0</v>
      </c>
      <c r="AF38" s="146">
        <f t="shared" si="31"/>
        <v>0</v>
      </c>
      <c r="AH38" s="274">
        <f>SUMIF(日報!$T$4:$T$885,TEXT(YEAR(A38),"0000")&amp;TEXT(MONTH(A38),"00")&amp;TEXT(DAY(A38),"00")&amp;"SCSK",日報!$L$4:$L$885)</f>
        <v>0</v>
      </c>
      <c r="AI38" s="275">
        <f t="shared" si="32"/>
        <v>0</v>
      </c>
    </row>
    <row r="39" spans="1:35" s="2" customFormat="1" outlineLevel="1" x14ac:dyDescent="0.15">
      <c r="A39" s="168">
        <f t="shared" si="33"/>
        <v>43865</v>
      </c>
      <c r="B39" s="167">
        <f t="shared" si="22"/>
        <v>43865</v>
      </c>
      <c r="C39" s="32"/>
      <c r="D39" s="16">
        <v>0.41666666666666669</v>
      </c>
      <c r="E39" s="17">
        <v>0.79166666666666663</v>
      </c>
      <c r="F39" s="18">
        <v>1</v>
      </c>
      <c r="G39" s="15"/>
      <c r="H39" s="19"/>
      <c r="I39" s="137">
        <f t="shared" si="23"/>
        <v>9</v>
      </c>
      <c r="J39" s="143">
        <f t="shared" si="24"/>
        <v>7</v>
      </c>
      <c r="K39" s="144">
        <f t="shared" si="18"/>
        <v>1</v>
      </c>
      <c r="L39" s="145">
        <f t="shared" si="25"/>
        <v>0</v>
      </c>
      <c r="M39" s="146">
        <f t="shared" si="26"/>
        <v>0</v>
      </c>
      <c r="N39" s="147">
        <f>SUMIF(日報!B4:B691,$A39,日報!L4:L691)</f>
        <v>7</v>
      </c>
      <c r="O39" s="147">
        <f t="shared" si="19"/>
        <v>1</v>
      </c>
      <c r="P39" s="151"/>
      <c r="Q39" s="42" t="str">
        <f t="shared" si="27"/>
        <v/>
      </c>
      <c r="R39" s="154"/>
      <c r="S39" s="10" t="str">
        <f t="shared" si="28"/>
        <v/>
      </c>
      <c r="T39" s="11"/>
      <c r="U39" s="12"/>
      <c r="V39" s="136"/>
      <c r="W39" s="16"/>
      <c r="X39" s="17"/>
      <c r="Y39" s="18"/>
      <c r="Z39" s="15"/>
      <c r="AA39" s="15"/>
      <c r="AB39" s="155">
        <f t="shared" si="29"/>
        <v>0</v>
      </c>
      <c r="AC39" s="157">
        <f t="shared" si="30"/>
        <v>0</v>
      </c>
      <c r="AD39" s="144">
        <f t="shared" si="20"/>
        <v>0</v>
      </c>
      <c r="AE39" s="145">
        <f t="shared" si="21"/>
        <v>0</v>
      </c>
      <c r="AF39" s="146">
        <f t="shared" si="31"/>
        <v>0</v>
      </c>
      <c r="AH39" s="274">
        <f>SUMIF(日報!$T$4:$T$885,TEXT(YEAR(A39),"0000")&amp;TEXT(MONTH(A39),"00")&amp;TEXT(DAY(A39),"00")&amp;"SCSK",日報!$L$4:$L$885)</f>
        <v>0</v>
      </c>
      <c r="AI39" s="275">
        <f t="shared" si="32"/>
        <v>7</v>
      </c>
    </row>
    <row r="40" spans="1:35" s="2" customFormat="1" outlineLevel="1" x14ac:dyDescent="0.15">
      <c r="A40" s="168">
        <f t="shared" si="33"/>
        <v>43866</v>
      </c>
      <c r="B40" s="167">
        <f t="shared" si="22"/>
        <v>43866</v>
      </c>
      <c r="C40" s="32"/>
      <c r="D40" s="16">
        <v>0.38541666666666669</v>
      </c>
      <c r="E40" s="17">
        <v>0.76041666666666663</v>
      </c>
      <c r="F40" s="18">
        <v>1</v>
      </c>
      <c r="G40" s="15"/>
      <c r="H40" s="19"/>
      <c r="I40" s="137">
        <f t="shared" si="23"/>
        <v>9</v>
      </c>
      <c r="J40" s="143">
        <f t="shared" si="24"/>
        <v>7.75</v>
      </c>
      <c r="K40" s="144">
        <f t="shared" si="18"/>
        <v>0.25</v>
      </c>
      <c r="L40" s="145">
        <f t="shared" si="25"/>
        <v>0</v>
      </c>
      <c r="M40" s="146">
        <f t="shared" si="26"/>
        <v>0</v>
      </c>
      <c r="N40" s="147">
        <f>SUMIF(日報!B4:B691,$A40,日報!L4:L691)</f>
        <v>5</v>
      </c>
      <c r="O40" s="147">
        <f t="shared" si="19"/>
        <v>3</v>
      </c>
      <c r="P40" s="151"/>
      <c r="Q40" s="42" t="str">
        <f t="shared" si="27"/>
        <v/>
      </c>
      <c r="R40" s="154"/>
      <c r="S40" s="10" t="str">
        <f t="shared" si="28"/>
        <v/>
      </c>
      <c r="T40" s="11"/>
      <c r="U40" s="12"/>
      <c r="V40" s="136"/>
      <c r="W40" s="16"/>
      <c r="X40" s="17"/>
      <c r="Y40" s="18"/>
      <c r="Z40" s="15"/>
      <c r="AA40" s="15"/>
      <c r="AB40" s="155">
        <f t="shared" si="29"/>
        <v>0</v>
      </c>
      <c r="AC40" s="157">
        <f t="shared" si="30"/>
        <v>0</v>
      </c>
      <c r="AD40" s="144">
        <f t="shared" si="20"/>
        <v>0</v>
      </c>
      <c r="AE40" s="145">
        <f t="shared" si="21"/>
        <v>0</v>
      </c>
      <c r="AF40" s="146">
        <f t="shared" si="31"/>
        <v>0</v>
      </c>
      <c r="AH40" s="274">
        <f>SUMIF(日報!$T$4:$T$885,TEXT(YEAR(A40),"0000")&amp;TEXT(MONTH(A40),"00")&amp;TEXT(DAY(A40),"00")&amp;"SCSK",日報!$L$4:$L$885)</f>
        <v>0</v>
      </c>
      <c r="AI40" s="275">
        <f t="shared" si="32"/>
        <v>5</v>
      </c>
    </row>
    <row r="41" spans="1:35" s="2" customFormat="1" outlineLevel="1" x14ac:dyDescent="0.15">
      <c r="A41" s="168">
        <f t="shared" si="33"/>
        <v>43867</v>
      </c>
      <c r="B41" s="167">
        <f t="shared" si="22"/>
        <v>43867</v>
      </c>
      <c r="C41" s="32"/>
      <c r="D41" s="16">
        <v>0.38541666666666669</v>
      </c>
      <c r="E41" s="17">
        <v>0.76041666666666663</v>
      </c>
      <c r="F41" s="18">
        <v>1</v>
      </c>
      <c r="G41" s="15"/>
      <c r="H41" s="19"/>
      <c r="I41" s="137">
        <f t="shared" si="23"/>
        <v>9</v>
      </c>
      <c r="J41" s="143">
        <f t="shared" si="24"/>
        <v>7.75</v>
      </c>
      <c r="K41" s="144">
        <f t="shared" si="18"/>
        <v>0.25</v>
      </c>
      <c r="L41" s="145">
        <f t="shared" si="25"/>
        <v>0</v>
      </c>
      <c r="M41" s="146">
        <f t="shared" si="26"/>
        <v>0</v>
      </c>
      <c r="N41" s="147">
        <f>SUMIF(日報!B4:B691,$A41,日報!L4:L691)</f>
        <v>5</v>
      </c>
      <c r="O41" s="147">
        <f t="shared" si="19"/>
        <v>3</v>
      </c>
      <c r="P41" s="151"/>
      <c r="Q41" s="42" t="str">
        <f t="shared" si="27"/>
        <v/>
      </c>
      <c r="R41" s="154"/>
      <c r="S41" s="10" t="str">
        <f t="shared" si="28"/>
        <v/>
      </c>
      <c r="T41" s="11"/>
      <c r="U41" s="12"/>
      <c r="V41" s="136"/>
      <c r="W41" s="16"/>
      <c r="X41" s="17"/>
      <c r="Y41" s="18"/>
      <c r="Z41" s="15"/>
      <c r="AA41" s="15"/>
      <c r="AB41" s="155">
        <f t="shared" si="29"/>
        <v>0</v>
      </c>
      <c r="AC41" s="157">
        <f t="shared" si="30"/>
        <v>0</v>
      </c>
      <c r="AD41" s="144">
        <f t="shared" si="20"/>
        <v>0</v>
      </c>
      <c r="AE41" s="145">
        <f t="shared" si="21"/>
        <v>0</v>
      </c>
      <c r="AF41" s="146">
        <f t="shared" si="31"/>
        <v>0</v>
      </c>
      <c r="AH41" s="274">
        <f>SUMIF(日報!$T$4:$T$885,TEXT(YEAR(A41),"0000")&amp;TEXT(MONTH(A41),"00")&amp;TEXT(DAY(A41),"00")&amp;"SCSK",日報!$L$4:$L$885)</f>
        <v>0</v>
      </c>
      <c r="AI41" s="275">
        <f t="shared" si="32"/>
        <v>5</v>
      </c>
    </row>
    <row r="42" spans="1:35" s="2" customFormat="1" outlineLevel="1" x14ac:dyDescent="0.15">
      <c r="A42" s="168">
        <f t="shared" si="33"/>
        <v>43868</v>
      </c>
      <c r="B42" s="167">
        <f t="shared" si="22"/>
        <v>43868</v>
      </c>
      <c r="C42" s="32"/>
      <c r="D42" s="16">
        <v>0.38541666666666669</v>
      </c>
      <c r="E42" s="17">
        <v>0.76041666666666663</v>
      </c>
      <c r="F42" s="18">
        <v>1</v>
      </c>
      <c r="G42" s="15"/>
      <c r="H42" s="19"/>
      <c r="I42" s="137">
        <f t="shared" si="23"/>
        <v>9</v>
      </c>
      <c r="J42" s="143">
        <f t="shared" si="24"/>
        <v>7.75</v>
      </c>
      <c r="K42" s="144">
        <f t="shared" si="18"/>
        <v>0.25</v>
      </c>
      <c r="L42" s="145">
        <f t="shared" si="25"/>
        <v>0</v>
      </c>
      <c r="M42" s="146">
        <f t="shared" si="26"/>
        <v>0</v>
      </c>
      <c r="N42" s="147">
        <f>SUMIF(日報!B4:B691,$A42,日報!L4:L691)</f>
        <v>4</v>
      </c>
      <c r="O42" s="147">
        <f t="shared" si="19"/>
        <v>4</v>
      </c>
      <c r="P42" s="151"/>
      <c r="Q42" s="42" t="str">
        <f t="shared" si="27"/>
        <v/>
      </c>
      <c r="R42" s="154"/>
      <c r="S42" s="10" t="str">
        <f t="shared" si="28"/>
        <v/>
      </c>
      <c r="T42" s="11"/>
      <c r="U42" s="12"/>
      <c r="V42" s="136"/>
      <c r="W42" s="16"/>
      <c r="X42" s="17"/>
      <c r="Y42" s="18"/>
      <c r="Z42" s="15"/>
      <c r="AA42" s="15"/>
      <c r="AB42" s="155">
        <f t="shared" si="29"/>
        <v>0</v>
      </c>
      <c r="AC42" s="157">
        <f t="shared" si="30"/>
        <v>0</v>
      </c>
      <c r="AD42" s="144">
        <f t="shared" si="20"/>
        <v>0</v>
      </c>
      <c r="AE42" s="145">
        <f t="shared" si="21"/>
        <v>0</v>
      </c>
      <c r="AF42" s="146">
        <f t="shared" si="31"/>
        <v>0</v>
      </c>
      <c r="AH42" s="274">
        <f>SUMIF(日報!$T$4:$T$885,TEXT(YEAR(A42),"0000")&amp;TEXT(MONTH(A42),"00")&amp;TEXT(DAY(A42),"00")&amp;"SCSK",日報!$L$4:$L$885)</f>
        <v>0</v>
      </c>
      <c r="AI42" s="275">
        <f t="shared" si="32"/>
        <v>4</v>
      </c>
    </row>
    <row r="43" spans="1:35" s="2" customFormat="1" outlineLevel="1" x14ac:dyDescent="0.15">
      <c r="A43" s="168">
        <f t="shared" si="33"/>
        <v>43869</v>
      </c>
      <c r="B43" s="167">
        <f t="shared" si="22"/>
        <v>43869</v>
      </c>
      <c r="C43" s="32">
        <v>1</v>
      </c>
      <c r="D43" s="16"/>
      <c r="E43" s="17"/>
      <c r="F43" s="18"/>
      <c r="G43" s="15"/>
      <c r="H43" s="19"/>
      <c r="I43" s="137">
        <f t="shared" si="23"/>
        <v>0</v>
      </c>
      <c r="J43" s="143">
        <f t="shared" si="24"/>
        <v>0</v>
      </c>
      <c r="K43" s="144">
        <f t="shared" si="18"/>
        <v>0</v>
      </c>
      <c r="L43" s="145">
        <f t="shared" si="25"/>
        <v>0</v>
      </c>
      <c r="M43" s="146">
        <f t="shared" si="26"/>
        <v>0</v>
      </c>
      <c r="N43" s="147">
        <f>SUMIF(日報!B4:B691,$A43,日報!L4:L691)</f>
        <v>0</v>
      </c>
      <c r="O43" s="147">
        <f t="shared" si="19"/>
        <v>0</v>
      </c>
      <c r="P43" s="151"/>
      <c r="Q43" s="42" t="str">
        <f t="shared" si="27"/>
        <v/>
      </c>
      <c r="R43" s="154"/>
      <c r="S43" s="10" t="str">
        <f t="shared" si="28"/>
        <v/>
      </c>
      <c r="T43" s="11"/>
      <c r="U43" s="12"/>
      <c r="V43" s="136"/>
      <c r="W43" s="16"/>
      <c r="X43" s="17"/>
      <c r="Y43" s="18"/>
      <c r="Z43" s="15"/>
      <c r="AA43" s="15"/>
      <c r="AB43" s="155">
        <f t="shared" si="29"/>
        <v>0</v>
      </c>
      <c r="AC43" s="157">
        <f t="shared" si="30"/>
        <v>0</v>
      </c>
      <c r="AD43" s="144">
        <f t="shared" si="20"/>
        <v>0</v>
      </c>
      <c r="AE43" s="145">
        <f t="shared" si="21"/>
        <v>0</v>
      </c>
      <c r="AF43" s="146">
        <f t="shared" si="31"/>
        <v>0</v>
      </c>
      <c r="AH43" s="274">
        <f>SUMIF(日報!$T$4:$T$885,TEXT(YEAR(A43),"0000")&amp;TEXT(MONTH(A43),"00")&amp;TEXT(DAY(A43),"00")&amp;"SCSK",日報!$L$4:$L$885)</f>
        <v>0</v>
      </c>
      <c r="AI43" s="275">
        <f t="shared" si="32"/>
        <v>0</v>
      </c>
    </row>
    <row r="44" spans="1:35" s="2" customFormat="1" outlineLevel="1" x14ac:dyDescent="0.15">
      <c r="A44" s="168">
        <f t="shared" si="33"/>
        <v>43870</v>
      </c>
      <c r="B44" s="167">
        <f t="shared" si="22"/>
        <v>43870</v>
      </c>
      <c r="C44" s="32">
        <v>1</v>
      </c>
      <c r="D44" s="16"/>
      <c r="E44" s="17"/>
      <c r="F44" s="18"/>
      <c r="G44" s="15"/>
      <c r="H44" s="19"/>
      <c r="I44" s="137">
        <f t="shared" si="23"/>
        <v>0</v>
      </c>
      <c r="J44" s="143">
        <f t="shared" si="24"/>
        <v>0</v>
      </c>
      <c r="K44" s="144">
        <f t="shared" si="18"/>
        <v>0</v>
      </c>
      <c r="L44" s="145">
        <f t="shared" si="25"/>
        <v>0</v>
      </c>
      <c r="M44" s="146">
        <f t="shared" si="26"/>
        <v>0</v>
      </c>
      <c r="N44" s="147">
        <f>SUMIF(日報!B4:B691,$A44,日報!L4:L691)</f>
        <v>0</v>
      </c>
      <c r="O44" s="147">
        <f t="shared" si="19"/>
        <v>0</v>
      </c>
      <c r="P44" s="151"/>
      <c r="Q44" s="42" t="str">
        <f t="shared" si="27"/>
        <v/>
      </c>
      <c r="R44" s="154"/>
      <c r="S44" s="10" t="str">
        <f t="shared" si="28"/>
        <v/>
      </c>
      <c r="T44" s="11"/>
      <c r="U44" s="12"/>
      <c r="V44" s="136"/>
      <c r="W44" s="16"/>
      <c r="X44" s="17"/>
      <c r="Y44" s="18"/>
      <c r="Z44" s="15"/>
      <c r="AA44" s="15"/>
      <c r="AB44" s="155">
        <f t="shared" si="29"/>
        <v>0</v>
      </c>
      <c r="AC44" s="157">
        <f t="shared" si="30"/>
        <v>0</v>
      </c>
      <c r="AD44" s="144">
        <f t="shared" si="20"/>
        <v>0</v>
      </c>
      <c r="AE44" s="145">
        <f t="shared" si="21"/>
        <v>0</v>
      </c>
      <c r="AF44" s="146">
        <f t="shared" si="31"/>
        <v>0</v>
      </c>
      <c r="AH44" s="274">
        <f>SUMIF(日報!$T$4:$T$885,TEXT(YEAR(A44),"0000")&amp;TEXT(MONTH(A44),"00")&amp;TEXT(DAY(A44),"00")&amp;"SCSK",日報!$L$4:$L$885)</f>
        <v>0</v>
      </c>
      <c r="AI44" s="275">
        <f t="shared" si="32"/>
        <v>0</v>
      </c>
    </row>
    <row r="45" spans="1:35" s="2" customFormat="1" outlineLevel="1" x14ac:dyDescent="0.15">
      <c r="A45" s="168">
        <f t="shared" si="33"/>
        <v>43871</v>
      </c>
      <c r="B45" s="167">
        <f t="shared" si="22"/>
        <v>43871</v>
      </c>
      <c r="C45" s="32"/>
      <c r="D45" s="16">
        <v>0.38541666666666669</v>
      </c>
      <c r="E45" s="17">
        <v>0.76041666666666663</v>
      </c>
      <c r="F45" s="18">
        <v>1</v>
      </c>
      <c r="G45" s="15"/>
      <c r="H45" s="19"/>
      <c r="I45" s="137">
        <f t="shared" si="23"/>
        <v>9</v>
      </c>
      <c r="J45" s="143">
        <f t="shared" si="24"/>
        <v>7.75</v>
      </c>
      <c r="K45" s="144">
        <f t="shared" si="18"/>
        <v>0.25</v>
      </c>
      <c r="L45" s="145">
        <f t="shared" si="25"/>
        <v>0</v>
      </c>
      <c r="M45" s="146">
        <f t="shared" si="26"/>
        <v>0</v>
      </c>
      <c r="N45" s="147">
        <f>SUMIF(日報!B4:B691,$A45,日報!L4:L691)</f>
        <v>0</v>
      </c>
      <c r="O45" s="147">
        <f t="shared" si="19"/>
        <v>8</v>
      </c>
      <c r="P45" s="151"/>
      <c r="Q45" s="42" t="str">
        <f t="shared" si="27"/>
        <v/>
      </c>
      <c r="R45" s="154"/>
      <c r="S45" s="10" t="str">
        <f t="shared" si="28"/>
        <v/>
      </c>
      <c r="T45" s="11"/>
      <c r="U45" s="12"/>
      <c r="V45" s="136"/>
      <c r="W45" s="16"/>
      <c r="X45" s="17"/>
      <c r="Y45" s="18"/>
      <c r="Z45" s="15"/>
      <c r="AA45" s="15"/>
      <c r="AB45" s="155">
        <f t="shared" si="29"/>
        <v>0</v>
      </c>
      <c r="AC45" s="157">
        <f t="shared" si="30"/>
        <v>0</v>
      </c>
      <c r="AD45" s="144">
        <f t="shared" si="20"/>
        <v>0</v>
      </c>
      <c r="AE45" s="145">
        <f t="shared" si="21"/>
        <v>0</v>
      </c>
      <c r="AF45" s="146">
        <f t="shared" si="31"/>
        <v>0</v>
      </c>
      <c r="AH45" s="274">
        <f>SUMIF(日報!$T$4:$T$885,TEXT(YEAR(A45),"0000")&amp;TEXT(MONTH(A45),"00")&amp;TEXT(DAY(A45),"00")&amp;"SCSK",日報!$L$4:$L$885)</f>
        <v>0</v>
      </c>
      <c r="AI45" s="275">
        <f t="shared" si="32"/>
        <v>0</v>
      </c>
    </row>
    <row r="46" spans="1:35" s="2" customFormat="1" outlineLevel="1" x14ac:dyDescent="0.15">
      <c r="A46" s="168">
        <f t="shared" si="33"/>
        <v>43872</v>
      </c>
      <c r="B46" s="167">
        <f t="shared" si="22"/>
        <v>43872</v>
      </c>
      <c r="C46" s="32">
        <v>1</v>
      </c>
      <c r="D46" s="16"/>
      <c r="E46" s="17"/>
      <c r="F46" s="18"/>
      <c r="G46" s="15"/>
      <c r="H46" s="19"/>
      <c r="I46" s="137">
        <f t="shared" si="23"/>
        <v>0</v>
      </c>
      <c r="J46" s="143">
        <f t="shared" si="24"/>
        <v>0</v>
      </c>
      <c r="K46" s="144">
        <f t="shared" si="18"/>
        <v>0</v>
      </c>
      <c r="L46" s="145">
        <f t="shared" si="25"/>
        <v>0</v>
      </c>
      <c r="M46" s="146">
        <f t="shared" si="26"/>
        <v>0</v>
      </c>
      <c r="N46" s="147">
        <f>SUMIF(日報!B4:B691,$A46,日報!L4:L691)</f>
        <v>0</v>
      </c>
      <c r="O46" s="147">
        <f t="shared" si="19"/>
        <v>0</v>
      </c>
      <c r="P46" s="151"/>
      <c r="Q46" s="42" t="str">
        <f t="shared" si="27"/>
        <v/>
      </c>
      <c r="R46" s="154"/>
      <c r="S46" s="10" t="str">
        <f t="shared" si="28"/>
        <v/>
      </c>
      <c r="T46" s="11"/>
      <c r="U46" s="12"/>
      <c r="V46" s="136"/>
      <c r="W46" s="16"/>
      <c r="X46" s="17"/>
      <c r="Y46" s="18"/>
      <c r="Z46" s="15"/>
      <c r="AA46" s="15"/>
      <c r="AB46" s="155">
        <f t="shared" si="29"/>
        <v>0</v>
      </c>
      <c r="AC46" s="157">
        <f t="shared" si="30"/>
        <v>0</v>
      </c>
      <c r="AD46" s="144">
        <f t="shared" si="20"/>
        <v>0</v>
      </c>
      <c r="AE46" s="145">
        <f t="shared" si="21"/>
        <v>0</v>
      </c>
      <c r="AF46" s="146">
        <f t="shared" si="31"/>
        <v>0</v>
      </c>
      <c r="AH46" s="274">
        <f>SUMIF(日報!$T$4:$T$885,TEXT(YEAR(A46),"0000")&amp;TEXT(MONTH(A46),"00")&amp;TEXT(DAY(A46),"00")&amp;"SCSK",日報!$L$4:$L$885)</f>
        <v>0</v>
      </c>
      <c r="AI46" s="275">
        <f t="shared" si="32"/>
        <v>0</v>
      </c>
    </row>
    <row r="47" spans="1:35" s="2" customFormat="1" outlineLevel="1" x14ac:dyDescent="0.15">
      <c r="A47" s="168">
        <f t="shared" si="33"/>
        <v>43873</v>
      </c>
      <c r="B47" s="167">
        <f t="shared" si="22"/>
        <v>43873</v>
      </c>
      <c r="C47" s="32"/>
      <c r="D47" s="16">
        <v>0.38541666666666669</v>
      </c>
      <c r="E47" s="17">
        <v>0.76041666666666663</v>
      </c>
      <c r="F47" s="18">
        <v>1</v>
      </c>
      <c r="G47" s="15"/>
      <c r="H47" s="19"/>
      <c r="I47" s="137">
        <f t="shared" si="23"/>
        <v>9</v>
      </c>
      <c r="J47" s="143">
        <f t="shared" si="24"/>
        <v>7.75</v>
      </c>
      <c r="K47" s="144">
        <f t="shared" si="18"/>
        <v>0.25</v>
      </c>
      <c r="L47" s="145">
        <f t="shared" si="25"/>
        <v>0</v>
      </c>
      <c r="M47" s="146">
        <f t="shared" si="26"/>
        <v>0</v>
      </c>
      <c r="N47" s="147">
        <f>SUMIF(日報!B4:B691,$A47,日報!L4:L691)</f>
        <v>2</v>
      </c>
      <c r="O47" s="147">
        <f t="shared" si="19"/>
        <v>6</v>
      </c>
      <c r="P47" s="151"/>
      <c r="Q47" s="42" t="str">
        <f t="shared" si="27"/>
        <v/>
      </c>
      <c r="R47" s="154"/>
      <c r="S47" s="10" t="str">
        <f t="shared" si="28"/>
        <v/>
      </c>
      <c r="T47" s="11"/>
      <c r="U47" s="12"/>
      <c r="V47" s="136"/>
      <c r="W47" s="16"/>
      <c r="X47" s="17"/>
      <c r="Y47" s="18"/>
      <c r="Z47" s="15"/>
      <c r="AA47" s="15"/>
      <c r="AB47" s="155">
        <f t="shared" si="29"/>
        <v>0</v>
      </c>
      <c r="AC47" s="157">
        <f t="shared" si="30"/>
        <v>0</v>
      </c>
      <c r="AD47" s="144">
        <f t="shared" si="20"/>
        <v>0</v>
      </c>
      <c r="AE47" s="145">
        <f t="shared" si="21"/>
        <v>0</v>
      </c>
      <c r="AF47" s="146">
        <f t="shared" si="31"/>
        <v>0</v>
      </c>
      <c r="AH47" s="274">
        <f>SUMIF(日報!$T$4:$T$885,TEXT(YEAR(A47),"0000")&amp;TEXT(MONTH(A47),"00")&amp;TEXT(DAY(A47),"00")&amp;"SCSK",日報!$L$4:$L$885)</f>
        <v>0</v>
      </c>
      <c r="AI47" s="275">
        <f t="shared" si="32"/>
        <v>2</v>
      </c>
    </row>
    <row r="48" spans="1:35" s="2" customFormat="1" outlineLevel="1" x14ac:dyDescent="0.15">
      <c r="A48" s="168">
        <f t="shared" si="33"/>
        <v>43874</v>
      </c>
      <c r="B48" s="167">
        <f t="shared" si="22"/>
        <v>43874</v>
      </c>
      <c r="C48" s="32"/>
      <c r="D48" s="16">
        <v>0.38541666666666669</v>
      </c>
      <c r="E48" s="17">
        <v>0.76041666666666663</v>
      </c>
      <c r="F48" s="18">
        <v>1</v>
      </c>
      <c r="G48" s="15"/>
      <c r="H48" s="19"/>
      <c r="I48" s="137">
        <f t="shared" si="23"/>
        <v>9</v>
      </c>
      <c r="J48" s="143">
        <f t="shared" si="24"/>
        <v>7.75</v>
      </c>
      <c r="K48" s="144">
        <f t="shared" si="18"/>
        <v>0.25</v>
      </c>
      <c r="L48" s="145">
        <f t="shared" si="25"/>
        <v>0</v>
      </c>
      <c r="M48" s="146">
        <f t="shared" si="26"/>
        <v>0</v>
      </c>
      <c r="N48" s="147">
        <f>SUMIF(日報!B4:B691,$A48,日報!L4:L691)</f>
        <v>3</v>
      </c>
      <c r="O48" s="147">
        <f t="shared" si="19"/>
        <v>5</v>
      </c>
      <c r="P48" s="151"/>
      <c r="Q48" s="42" t="str">
        <f t="shared" si="27"/>
        <v/>
      </c>
      <c r="R48" s="154"/>
      <c r="S48" s="10" t="str">
        <f t="shared" si="28"/>
        <v/>
      </c>
      <c r="T48" s="11"/>
      <c r="U48" s="12"/>
      <c r="V48" s="136"/>
      <c r="W48" s="16"/>
      <c r="X48" s="17"/>
      <c r="Y48" s="18"/>
      <c r="Z48" s="15"/>
      <c r="AA48" s="15"/>
      <c r="AB48" s="155">
        <f t="shared" si="29"/>
        <v>0</v>
      </c>
      <c r="AC48" s="157">
        <f t="shared" si="30"/>
        <v>0</v>
      </c>
      <c r="AD48" s="144">
        <f t="shared" si="20"/>
        <v>0</v>
      </c>
      <c r="AE48" s="145">
        <f t="shared" si="21"/>
        <v>0</v>
      </c>
      <c r="AF48" s="146">
        <f t="shared" si="31"/>
        <v>0</v>
      </c>
      <c r="AH48" s="274">
        <f>SUMIF(日報!$T$4:$T$885,TEXT(YEAR(A48),"0000")&amp;TEXT(MONTH(A48),"00")&amp;TEXT(DAY(A48),"00")&amp;"SCSK",日報!$L$4:$L$885)</f>
        <v>0</v>
      </c>
      <c r="AI48" s="275">
        <f t="shared" si="32"/>
        <v>3</v>
      </c>
    </row>
    <row r="49" spans="1:35" s="2" customFormat="1" outlineLevel="1" x14ac:dyDescent="0.15">
      <c r="A49" s="168">
        <f t="shared" si="33"/>
        <v>43875</v>
      </c>
      <c r="B49" s="167">
        <f t="shared" si="22"/>
        <v>43875</v>
      </c>
      <c r="C49" s="32"/>
      <c r="D49" s="16">
        <v>0.38541666666666669</v>
      </c>
      <c r="E49" s="17">
        <v>0.76041666666666663</v>
      </c>
      <c r="F49" s="18">
        <v>1</v>
      </c>
      <c r="G49" s="15"/>
      <c r="H49" s="19"/>
      <c r="I49" s="137">
        <f t="shared" si="23"/>
        <v>9</v>
      </c>
      <c r="J49" s="143">
        <f t="shared" si="24"/>
        <v>7.75</v>
      </c>
      <c r="K49" s="144">
        <f t="shared" si="18"/>
        <v>0.25</v>
      </c>
      <c r="L49" s="145">
        <f t="shared" si="25"/>
        <v>0</v>
      </c>
      <c r="M49" s="146">
        <f t="shared" si="26"/>
        <v>0</v>
      </c>
      <c r="N49" s="147">
        <f>SUMIF(日報!B4:B691,$A49,日報!L4:L691)</f>
        <v>5</v>
      </c>
      <c r="O49" s="147">
        <f t="shared" si="19"/>
        <v>3</v>
      </c>
      <c r="P49" s="151"/>
      <c r="Q49" s="42" t="str">
        <f t="shared" si="27"/>
        <v/>
      </c>
      <c r="R49" s="154"/>
      <c r="S49" s="10" t="str">
        <f t="shared" si="28"/>
        <v/>
      </c>
      <c r="T49" s="11"/>
      <c r="U49" s="12"/>
      <c r="V49" s="136"/>
      <c r="W49" s="16"/>
      <c r="X49" s="17"/>
      <c r="Y49" s="18"/>
      <c r="Z49" s="15"/>
      <c r="AA49" s="15"/>
      <c r="AB49" s="155">
        <f t="shared" si="29"/>
        <v>0</v>
      </c>
      <c r="AC49" s="157">
        <f t="shared" si="30"/>
        <v>0</v>
      </c>
      <c r="AD49" s="144">
        <f t="shared" si="20"/>
        <v>0</v>
      </c>
      <c r="AE49" s="145">
        <f t="shared" si="21"/>
        <v>0</v>
      </c>
      <c r="AF49" s="146">
        <f t="shared" si="31"/>
        <v>0</v>
      </c>
      <c r="AH49" s="274">
        <f>SUMIF(日報!$T$4:$T$885,TEXT(YEAR(A49),"0000")&amp;TEXT(MONTH(A49),"00")&amp;TEXT(DAY(A49),"00")&amp;"SCSK",日報!$L$4:$L$885)</f>
        <v>0</v>
      </c>
      <c r="AI49" s="275">
        <f t="shared" si="32"/>
        <v>5</v>
      </c>
    </row>
    <row r="50" spans="1:35" s="2" customFormat="1" outlineLevel="1" x14ac:dyDescent="0.15">
      <c r="A50" s="168">
        <f t="shared" si="33"/>
        <v>43876</v>
      </c>
      <c r="B50" s="167">
        <f t="shared" si="22"/>
        <v>43876</v>
      </c>
      <c r="C50" s="32">
        <v>1</v>
      </c>
      <c r="D50" s="16"/>
      <c r="E50" s="17"/>
      <c r="F50" s="18"/>
      <c r="G50" s="15"/>
      <c r="H50" s="19"/>
      <c r="I50" s="137">
        <f t="shared" si="23"/>
        <v>0</v>
      </c>
      <c r="J50" s="143">
        <f t="shared" si="24"/>
        <v>0</v>
      </c>
      <c r="K50" s="144">
        <f t="shared" si="18"/>
        <v>0</v>
      </c>
      <c r="L50" s="145">
        <f t="shared" si="25"/>
        <v>0</v>
      </c>
      <c r="M50" s="146">
        <f t="shared" si="26"/>
        <v>0</v>
      </c>
      <c r="N50" s="147">
        <f>SUMIF(日報!B4:B691,$A50,日報!L4:L691)</f>
        <v>0</v>
      </c>
      <c r="O50" s="147">
        <f t="shared" si="19"/>
        <v>0</v>
      </c>
      <c r="P50" s="151"/>
      <c r="Q50" s="42" t="str">
        <f t="shared" si="27"/>
        <v/>
      </c>
      <c r="R50" s="154"/>
      <c r="S50" s="10" t="str">
        <f t="shared" si="28"/>
        <v/>
      </c>
      <c r="T50" s="11"/>
      <c r="U50" s="12"/>
      <c r="V50" s="136"/>
      <c r="W50" s="16"/>
      <c r="X50" s="17"/>
      <c r="Y50" s="18"/>
      <c r="Z50" s="15"/>
      <c r="AA50" s="15"/>
      <c r="AB50" s="155">
        <f t="shared" si="29"/>
        <v>0</v>
      </c>
      <c r="AC50" s="157">
        <f t="shared" si="30"/>
        <v>0</v>
      </c>
      <c r="AD50" s="144">
        <f t="shared" si="20"/>
        <v>0</v>
      </c>
      <c r="AE50" s="145">
        <f t="shared" si="21"/>
        <v>0</v>
      </c>
      <c r="AF50" s="146">
        <f t="shared" si="31"/>
        <v>0</v>
      </c>
      <c r="AH50" s="274">
        <f>SUMIF(日報!$T$4:$T$885,TEXT(YEAR(A50),"0000")&amp;TEXT(MONTH(A50),"00")&amp;TEXT(DAY(A50),"00")&amp;"SCSK",日報!$L$4:$L$885)</f>
        <v>0</v>
      </c>
      <c r="AI50" s="275">
        <f t="shared" si="32"/>
        <v>0</v>
      </c>
    </row>
    <row r="51" spans="1:35" s="2" customFormat="1" outlineLevel="1" x14ac:dyDescent="0.15">
      <c r="A51" s="168">
        <f t="shared" si="33"/>
        <v>43877</v>
      </c>
      <c r="B51" s="167">
        <f t="shared" si="22"/>
        <v>43877</v>
      </c>
      <c r="C51" s="32">
        <v>1</v>
      </c>
      <c r="D51" s="16"/>
      <c r="E51" s="17"/>
      <c r="F51" s="18"/>
      <c r="G51" s="15"/>
      <c r="H51" s="19"/>
      <c r="I51" s="137">
        <f t="shared" si="23"/>
        <v>0</v>
      </c>
      <c r="J51" s="143">
        <f t="shared" si="24"/>
        <v>0</v>
      </c>
      <c r="K51" s="144">
        <f t="shared" si="18"/>
        <v>0</v>
      </c>
      <c r="L51" s="145">
        <f t="shared" si="25"/>
        <v>0</v>
      </c>
      <c r="M51" s="146">
        <f t="shared" si="26"/>
        <v>0</v>
      </c>
      <c r="N51" s="147">
        <f>SUMIF(日報!B4:B691,$A51,日報!L4:L691)</f>
        <v>0</v>
      </c>
      <c r="O51" s="147">
        <f t="shared" si="19"/>
        <v>0</v>
      </c>
      <c r="P51" s="151"/>
      <c r="Q51" s="42" t="str">
        <f t="shared" si="27"/>
        <v/>
      </c>
      <c r="R51" s="154"/>
      <c r="S51" s="10" t="str">
        <f t="shared" si="28"/>
        <v/>
      </c>
      <c r="T51" s="11"/>
      <c r="U51" s="12"/>
      <c r="V51" s="136"/>
      <c r="W51" s="16"/>
      <c r="X51" s="17"/>
      <c r="Y51" s="18"/>
      <c r="Z51" s="15"/>
      <c r="AA51" s="15"/>
      <c r="AB51" s="155">
        <f t="shared" si="29"/>
        <v>0</v>
      </c>
      <c r="AC51" s="157">
        <f t="shared" si="30"/>
        <v>0</v>
      </c>
      <c r="AD51" s="144">
        <f t="shared" si="20"/>
        <v>0</v>
      </c>
      <c r="AE51" s="145">
        <f t="shared" si="21"/>
        <v>0</v>
      </c>
      <c r="AF51" s="146">
        <f t="shared" si="31"/>
        <v>0</v>
      </c>
      <c r="AH51" s="274">
        <f>SUMIF(日報!$T$4:$T$885,TEXT(YEAR(A51),"0000")&amp;TEXT(MONTH(A51),"00")&amp;TEXT(DAY(A51),"00")&amp;"SCSK",日報!$L$4:$L$885)</f>
        <v>0</v>
      </c>
      <c r="AI51" s="275">
        <f t="shared" si="32"/>
        <v>0</v>
      </c>
    </row>
    <row r="52" spans="1:35" s="2" customFormat="1" outlineLevel="1" x14ac:dyDescent="0.15">
      <c r="A52" s="168">
        <f t="shared" si="33"/>
        <v>43878</v>
      </c>
      <c r="B52" s="167">
        <f t="shared" si="22"/>
        <v>43878</v>
      </c>
      <c r="C52" s="32"/>
      <c r="D52" s="16">
        <v>0.38541666666666669</v>
      </c>
      <c r="E52" s="17">
        <v>0.76041666666666663</v>
      </c>
      <c r="F52" s="18">
        <v>1</v>
      </c>
      <c r="G52" s="15"/>
      <c r="H52" s="19"/>
      <c r="I52" s="137">
        <f t="shared" si="23"/>
        <v>9</v>
      </c>
      <c r="J52" s="143">
        <f t="shared" si="24"/>
        <v>7.75</v>
      </c>
      <c r="K52" s="144">
        <f t="shared" si="18"/>
        <v>0.25</v>
      </c>
      <c r="L52" s="145">
        <f t="shared" si="25"/>
        <v>0</v>
      </c>
      <c r="M52" s="146">
        <f t="shared" si="26"/>
        <v>0</v>
      </c>
      <c r="N52" s="147">
        <f>SUMIF(日報!B4:B691,$A52,日報!L4:L691)</f>
        <v>3</v>
      </c>
      <c r="O52" s="147">
        <f t="shared" si="19"/>
        <v>5</v>
      </c>
      <c r="P52" s="151"/>
      <c r="Q52" s="42" t="str">
        <f t="shared" si="27"/>
        <v/>
      </c>
      <c r="R52" s="154"/>
      <c r="S52" s="10" t="str">
        <f t="shared" si="28"/>
        <v/>
      </c>
      <c r="T52" s="11"/>
      <c r="U52" s="12"/>
      <c r="V52" s="136"/>
      <c r="W52" s="16"/>
      <c r="X52" s="17"/>
      <c r="Y52" s="18"/>
      <c r="Z52" s="15"/>
      <c r="AA52" s="15"/>
      <c r="AB52" s="155">
        <f t="shared" si="29"/>
        <v>0</v>
      </c>
      <c r="AC52" s="157">
        <f t="shared" si="30"/>
        <v>0</v>
      </c>
      <c r="AD52" s="144">
        <f t="shared" si="20"/>
        <v>0</v>
      </c>
      <c r="AE52" s="145">
        <f t="shared" si="21"/>
        <v>0</v>
      </c>
      <c r="AF52" s="146">
        <f t="shared" si="31"/>
        <v>0</v>
      </c>
      <c r="AH52" s="274">
        <f>SUMIF(日報!$T$4:$T$885,TEXT(YEAR(A52),"0000")&amp;TEXT(MONTH(A52),"00")&amp;TEXT(DAY(A52),"00")&amp;"SCSK",日報!$L$4:$L$885)</f>
        <v>0</v>
      </c>
      <c r="AI52" s="275">
        <f t="shared" si="32"/>
        <v>3</v>
      </c>
    </row>
    <row r="53" spans="1:35" s="2" customFormat="1" outlineLevel="1" x14ac:dyDescent="0.15">
      <c r="A53" s="168">
        <f t="shared" si="33"/>
        <v>43879</v>
      </c>
      <c r="B53" s="167">
        <f t="shared" si="22"/>
        <v>43879</v>
      </c>
      <c r="C53" s="32"/>
      <c r="D53" s="16">
        <v>0.38541666666666669</v>
      </c>
      <c r="E53" s="17">
        <v>0.76041666666666663</v>
      </c>
      <c r="F53" s="18">
        <v>1</v>
      </c>
      <c r="G53" s="15"/>
      <c r="H53" s="19"/>
      <c r="I53" s="137">
        <f t="shared" si="23"/>
        <v>9</v>
      </c>
      <c r="J53" s="143">
        <f t="shared" si="24"/>
        <v>7.75</v>
      </c>
      <c r="K53" s="144">
        <f t="shared" si="18"/>
        <v>0.25</v>
      </c>
      <c r="L53" s="145">
        <f t="shared" si="25"/>
        <v>0</v>
      </c>
      <c r="M53" s="146">
        <f t="shared" si="26"/>
        <v>0</v>
      </c>
      <c r="N53" s="147">
        <f>SUMIF(日報!B4:B691,$A53,日報!L4:L691)</f>
        <v>3</v>
      </c>
      <c r="O53" s="147">
        <f t="shared" si="19"/>
        <v>5</v>
      </c>
      <c r="P53" s="151"/>
      <c r="Q53" s="42" t="str">
        <f t="shared" si="27"/>
        <v/>
      </c>
      <c r="R53" s="154"/>
      <c r="S53" s="10" t="str">
        <f t="shared" si="28"/>
        <v/>
      </c>
      <c r="T53" s="11"/>
      <c r="U53" s="12"/>
      <c r="V53" s="136"/>
      <c r="W53" s="16"/>
      <c r="X53" s="17"/>
      <c r="Y53" s="18"/>
      <c r="Z53" s="15"/>
      <c r="AA53" s="15"/>
      <c r="AB53" s="155">
        <f t="shared" si="29"/>
        <v>0</v>
      </c>
      <c r="AC53" s="157">
        <f t="shared" si="30"/>
        <v>0</v>
      </c>
      <c r="AD53" s="144">
        <f t="shared" si="20"/>
        <v>0</v>
      </c>
      <c r="AE53" s="145">
        <f t="shared" si="21"/>
        <v>0</v>
      </c>
      <c r="AF53" s="146">
        <f t="shared" si="31"/>
        <v>0</v>
      </c>
      <c r="AH53" s="274">
        <f>SUMIF(日報!$T$4:$T$885,TEXT(YEAR(A53),"0000")&amp;TEXT(MONTH(A53),"00")&amp;TEXT(DAY(A53),"00")&amp;"SCSK",日報!$L$4:$L$885)</f>
        <v>0</v>
      </c>
      <c r="AI53" s="275">
        <f t="shared" si="32"/>
        <v>3</v>
      </c>
    </row>
    <row r="54" spans="1:35" s="2" customFormat="1" outlineLevel="1" x14ac:dyDescent="0.15">
      <c r="A54" s="168">
        <f t="shared" si="33"/>
        <v>43880</v>
      </c>
      <c r="B54" s="167">
        <f t="shared" si="22"/>
        <v>43880</v>
      </c>
      <c r="C54" s="32"/>
      <c r="D54" s="16">
        <v>0.38541666666666669</v>
      </c>
      <c r="E54" s="17">
        <v>0.80208333333333337</v>
      </c>
      <c r="F54" s="18">
        <v>1</v>
      </c>
      <c r="G54" s="15"/>
      <c r="H54" s="19"/>
      <c r="I54" s="137">
        <f t="shared" si="23"/>
        <v>10</v>
      </c>
      <c r="J54" s="143">
        <f t="shared" si="24"/>
        <v>7.75</v>
      </c>
      <c r="K54" s="144">
        <f t="shared" si="18"/>
        <v>1.25</v>
      </c>
      <c r="L54" s="145">
        <f t="shared" si="25"/>
        <v>0</v>
      </c>
      <c r="M54" s="146">
        <f t="shared" si="26"/>
        <v>0</v>
      </c>
      <c r="N54" s="147">
        <f>SUMIF(日報!B4:B691,$A54,日報!L4:L691)</f>
        <v>5</v>
      </c>
      <c r="O54" s="147">
        <f t="shared" si="19"/>
        <v>4</v>
      </c>
      <c r="P54" s="151"/>
      <c r="Q54" s="42" t="str">
        <f t="shared" si="27"/>
        <v/>
      </c>
      <c r="R54" s="154"/>
      <c r="S54" s="10" t="str">
        <f t="shared" si="28"/>
        <v/>
      </c>
      <c r="T54" s="11"/>
      <c r="U54" s="12"/>
      <c r="V54" s="136"/>
      <c r="W54" s="16"/>
      <c r="X54" s="17"/>
      <c r="Y54" s="18"/>
      <c r="Z54" s="15"/>
      <c r="AA54" s="15"/>
      <c r="AB54" s="155">
        <f t="shared" si="29"/>
        <v>0</v>
      </c>
      <c r="AC54" s="157">
        <f t="shared" si="30"/>
        <v>0</v>
      </c>
      <c r="AD54" s="144">
        <f t="shared" si="20"/>
        <v>0</v>
      </c>
      <c r="AE54" s="145">
        <f t="shared" si="21"/>
        <v>0</v>
      </c>
      <c r="AF54" s="146">
        <f t="shared" si="31"/>
        <v>0</v>
      </c>
      <c r="AH54" s="274">
        <f>SUMIF(日報!$T$4:$T$885,TEXT(YEAR(A54),"0000")&amp;TEXT(MONTH(A54),"00")&amp;TEXT(DAY(A54),"00")&amp;"SCSK",日報!$L$4:$L$885)</f>
        <v>0</v>
      </c>
      <c r="AI54" s="275">
        <f t="shared" si="32"/>
        <v>5</v>
      </c>
    </row>
    <row r="55" spans="1:35" s="2" customFormat="1" outlineLevel="1" x14ac:dyDescent="0.15">
      <c r="A55" s="168">
        <f t="shared" si="33"/>
        <v>43881</v>
      </c>
      <c r="B55" s="167">
        <f t="shared" si="22"/>
        <v>43881</v>
      </c>
      <c r="C55" s="32"/>
      <c r="D55" s="16">
        <v>0.38541666666666669</v>
      </c>
      <c r="E55" s="17">
        <v>0.76041666666666663</v>
      </c>
      <c r="F55" s="18">
        <v>1</v>
      </c>
      <c r="G55" s="15"/>
      <c r="H55" s="19"/>
      <c r="I55" s="137">
        <f t="shared" si="23"/>
        <v>9</v>
      </c>
      <c r="J55" s="143">
        <f t="shared" si="24"/>
        <v>7.75</v>
      </c>
      <c r="K55" s="144">
        <f t="shared" si="18"/>
        <v>0.25</v>
      </c>
      <c r="L55" s="145">
        <f t="shared" si="25"/>
        <v>0</v>
      </c>
      <c r="M55" s="146">
        <f t="shared" si="26"/>
        <v>0</v>
      </c>
      <c r="N55" s="147">
        <f>SUMIF(日報!B4:B691,$A55,日報!L4:L691)</f>
        <v>0</v>
      </c>
      <c r="O55" s="147">
        <f t="shared" si="19"/>
        <v>8</v>
      </c>
      <c r="P55" s="151"/>
      <c r="Q55" s="42" t="str">
        <f t="shared" si="27"/>
        <v/>
      </c>
      <c r="R55" s="154"/>
      <c r="S55" s="10" t="str">
        <f t="shared" si="28"/>
        <v/>
      </c>
      <c r="T55" s="11"/>
      <c r="U55" s="12"/>
      <c r="V55" s="136"/>
      <c r="W55" s="16"/>
      <c r="X55" s="17"/>
      <c r="Y55" s="18"/>
      <c r="Z55" s="15"/>
      <c r="AA55" s="15"/>
      <c r="AB55" s="155">
        <f t="shared" si="29"/>
        <v>0</v>
      </c>
      <c r="AC55" s="157">
        <f t="shared" si="30"/>
        <v>0</v>
      </c>
      <c r="AD55" s="144">
        <f t="shared" si="20"/>
        <v>0</v>
      </c>
      <c r="AE55" s="145">
        <f t="shared" si="21"/>
        <v>0</v>
      </c>
      <c r="AF55" s="146">
        <f t="shared" si="31"/>
        <v>0</v>
      </c>
      <c r="AH55" s="274">
        <f>SUMIF(日報!$T$4:$T$885,TEXT(YEAR(A55),"0000")&amp;TEXT(MONTH(A55),"00")&amp;TEXT(DAY(A55),"00")&amp;"SCSK",日報!$L$4:$L$885)</f>
        <v>0</v>
      </c>
      <c r="AI55" s="275">
        <f t="shared" si="32"/>
        <v>0</v>
      </c>
    </row>
    <row r="56" spans="1:35" s="2" customFormat="1" outlineLevel="1" x14ac:dyDescent="0.15">
      <c r="A56" s="168">
        <f t="shared" si="33"/>
        <v>43882</v>
      </c>
      <c r="B56" s="167">
        <f t="shared" si="22"/>
        <v>43882</v>
      </c>
      <c r="C56" s="32"/>
      <c r="D56" s="16">
        <v>0.38541666666666669</v>
      </c>
      <c r="E56" s="17">
        <v>0.76041666666666663</v>
      </c>
      <c r="F56" s="18">
        <v>1</v>
      </c>
      <c r="G56" s="15"/>
      <c r="H56" s="19"/>
      <c r="I56" s="137">
        <f t="shared" si="23"/>
        <v>9</v>
      </c>
      <c r="J56" s="143">
        <f t="shared" si="24"/>
        <v>7.75</v>
      </c>
      <c r="K56" s="144">
        <f t="shared" si="18"/>
        <v>0.25</v>
      </c>
      <c r="L56" s="145">
        <f t="shared" si="25"/>
        <v>0</v>
      </c>
      <c r="M56" s="146">
        <f t="shared" si="26"/>
        <v>0</v>
      </c>
      <c r="N56" s="147">
        <f>SUMIF(日報!B4:B691,$A56,日報!L4:L691)</f>
        <v>0</v>
      </c>
      <c r="O56" s="147">
        <f t="shared" si="19"/>
        <v>8</v>
      </c>
      <c r="P56" s="151"/>
      <c r="Q56" s="42" t="str">
        <f t="shared" si="27"/>
        <v/>
      </c>
      <c r="R56" s="154"/>
      <c r="S56" s="10" t="str">
        <f t="shared" si="28"/>
        <v/>
      </c>
      <c r="T56" s="11"/>
      <c r="U56" s="12"/>
      <c r="V56" s="136"/>
      <c r="W56" s="16"/>
      <c r="X56" s="17"/>
      <c r="Y56" s="18"/>
      <c r="Z56" s="15"/>
      <c r="AA56" s="15"/>
      <c r="AB56" s="155">
        <f t="shared" si="29"/>
        <v>0</v>
      </c>
      <c r="AC56" s="157">
        <f t="shared" si="30"/>
        <v>0</v>
      </c>
      <c r="AD56" s="144">
        <f t="shared" si="20"/>
        <v>0</v>
      </c>
      <c r="AE56" s="145">
        <f t="shared" si="21"/>
        <v>0</v>
      </c>
      <c r="AF56" s="146">
        <f t="shared" si="31"/>
        <v>0</v>
      </c>
      <c r="AH56" s="274">
        <f>SUMIF(日報!$T$4:$T$885,TEXT(YEAR(A56),"0000")&amp;TEXT(MONTH(A56),"00")&amp;TEXT(DAY(A56),"00")&amp;"SCSK",日報!$L$4:$L$885)</f>
        <v>0</v>
      </c>
      <c r="AI56" s="275">
        <f t="shared" si="32"/>
        <v>0</v>
      </c>
    </row>
    <row r="57" spans="1:35" s="2" customFormat="1" outlineLevel="1" x14ac:dyDescent="0.15">
      <c r="A57" s="168">
        <f t="shared" si="33"/>
        <v>43883</v>
      </c>
      <c r="B57" s="167">
        <f t="shared" si="22"/>
        <v>43883</v>
      </c>
      <c r="C57" s="32">
        <v>1</v>
      </c>
      <c r="D57" s="16"/>
      <c r="E57" s="17"/>
      <c r="F57" s="18"/>
      <c r="G57" s="15"/>
      <c r="H57" s="19"/>
      <c r="I57" s="137">
        <f t="shared" si="23"/>
        <v>0</v>
      </c>
      <c r="J57" s="143">
        <f t="shared" si="24"/>
        <v>0</v>
      </c>
      <c r="K57" s="144">
        <f t="shared" si="18"/>
        <v>0</v>
      </c>
      <c r="L57" s="145">
        <f t="shared" si="25"/>
        <v>0</v>
      </c>
      <c r="M57" s="146">
        <f t="shared" si="26"/>
        <v>0</v>
      </c>
      <c r="N57" s="147">
        <f>SUMIF(日報!B4:B691,$A57,日報!L4:L691)</f>
        <v>0</v>
      </c>
      <c r="O57" s="147">
        <f t="shared" si="19"/>
        <v>0</v>
      </c>
      <c r="P57" s="151"/>
      <c r="Q57" s="42" t="str">
        <f t="shared" si="27"/>
        <v/>
      </c>
      <c r="R57" s="154"/>
      <c r="S57" s="10" t="str">
        <f t="shared" si="28"/>
        <v/>
      </c>
      <c r="T57" s="11"/>
      <c r="U57" s="12"/>
      <c r="V57" s="136"/>
      <c r="W57" s="16"/>
      <c r="X57" s="17"/>
      <c r="Y57" s="18"/>
      <c r="Z57" s="15"/>
      <c r="AA57" s="15"/>
      <c r="AB57" s="155">
        <f t="shared" si="29"/>
        <v>0</v>
      </c>
      <c r="AC57" s="157">
        <f t="shared" si="30"/>
        <v>0</v>
      </c>
      <c r="AD57" s="144">
        <f t="shared" si="20"/>
        <v>0</v>
      </c>
      <c r="AE57" s="145">
        <f t="shared" si="21"/>
        <v>0</v>
      </c>
      <c r="AF57" s="146">
        <f t="shared" si="31"/>
        <v>0</v>
      </c>
      <c r="AH57" s="274">
        <f>SUMIF(日報!$T$4:$T$885,TEXT(YEAR(A57),"0000")&amp;TEXT(MONTH(A57),"00")&amp;TEXT(DAY(A57),"00")&amp;"SCSK",日報!$L$4:$L$885)</f>
        <v>0</v>
      </c>
      <c r="AI57" s="275">
        <f t="shared" si="32"/>
        <v>0</v>
      </c>
    </row>
    <row r="58" spans="1:35" s="2" customFormat="1" outlineLevel="1" x14ac:dyDescent="0.15">
      <c r="A58" s="168">
        <f t="shared" si="33"/>
        <v>43884</v>
      </c>
      <c r="B58" s="167">
        <f t="shared" si="22"/>
        <v>43884</v>
      </c>
      <c r="C58" s="32">
        <v>1</v>
      </c>
      <c r="D58" s="16"/>
      <c r="E58" s="17"/>
      <c r="F58" s="18"/>
      <c r="G58" s="15"/>
      <c r="H58" s="19"/>
      <c r="I58" s="137">
        <f t="shared" si="23"/>
        <v>0</v>
      </c>
      <c r="J58" s="143">
        <f t="shared" si="24"/>
        <v>0</v>
      </c>
      <c r="K58" s="144">
        <f t="shared" si="18"/>
        <v>0</v>
      </c>
      <c r="L58" s="145">
        <f t="shared" si="25"/>
        <v>0</v>
      </c>
      <c r="M58" s="146">
        <f t="shared" si="26"/>
        <v>0</v>
      </c>
      <c r="N58" s="147">
        <f>SUMIF(日報!B4:B691,$A58,日報!L4:L691)</f>
        <v>0</v>
      </c>
      <c r="O58" s="147">
        <f t="shared" si="19"/>
        <v>0</v>
      </c>
      <c r="P58" s="151"/>
      <c r="Q58" s="42" t="str">
        <f t="shared" si="27"/>
        <v/>
      </c>
      <c r="R58" s="154"/>
      <c r="S58" s="10" t="str">
        <f t="shared" si="28"/>
        <v/>
      </c>
      <c r="T58" s="11"/>
      <c r="U58" s="12"/>
      <c r="V58" s="136"/>
      <c r="W58" s="16"/>
      <c r="X58" s="17"/>
      <c r="Y58" s="18"/>
      <c r="Z58" s="15"/>
      <c r="AA58" s="15"/>
      <c r="AB58" s="155">
        <f t="shared" si="29"/>
        <v>0</v>
      </c>
      <c r="AC58" s="157">
        <f t="shared" si="30"/>
        <v>0</v>
      </c>
      <c r="AD58" s="144">
        <f t="shared" si="20"/>
        <v>0</v>
      </c>
      <c r="AE58" s="145">
        <f t="shared" si="21"/>
        <v>0</v>
      </c>
      <c r="AF58" s="146">
        <f t="shared" si="31"/>
        <v>0</v>
      </c>
      <c r="AH58" s="274">
        <f>SUMIF(日報!$T$4:$T$885,TEXT(YEAR(A58),"0000")&amp;TEXT(MONTH(A58),"00")&amp;TEXT(DAY(A58),"00")&amp;"SCSK",日報!$L$4:$L$885)</f>
        <v>0</v>
      </c>
      <c r="AI58" s="275">
        <f t="shared" si="32"/>
        <v>0</v>
      </c>
    </row>
    <row r="59" spans="1:35" s="2" customFormat="1" outlineLevel="1" x14ac:dyDescent="0.15">
      <c r="A59" s="168">
        <f t="shared" si="33"/>
        <v>43885</v>
      </c>
      <c r="B59" s="167">
        <f t="shared" si="22"/>
        <v>43885</v>
      </c>
      <c r="C59" s="32">
        <v>1</v>
      </c>
      <c r="D59" s="16"/>
      <c r="E59" s="17"/>
      <c r="F59" s="18"/>
      <c r="G59" s="15"/>
      <c r="H59" s="19"/>
      <c r="I59" s="137">
        <f t="shared" si="23"/>
        <v>0</v>
      </c>
      <c r="J59" s="143">
        <f t="shared" si="24"/>
        <v>0</v>
      </c>
      <c r="K59" s="144">
        <f t="shared" si="18"/>
        <v>0</v>
      </c>
      <c r="L59" s="145">
        <f t="shared" si="25"/>
        <v>0</v>
      </c>
      <c r="M59" s="146">
        <f t="shared" si="26"/>
        <v>0</v>
      </c>
      <c r="N59" s="147">
        <f>SUMIF(日報!B4:B691,$A59,日報!L4:L691)</f>
        <v>0</v>
      </c>
      <c r="O59" s="147">
        <f t="shared" si="19"/>
        <v>0</v>
      </c>
      <c r="P59" s="151"/>
      <c r="Q59" s="42" t="str">
        <f t="shared" si="27"/>
        <v/>
      </c>
      <c r="R59" s="154"/>
      <c r="S59" s="10" t="str">
        <f t="shared" si="28"/>
        <v/>
      </c>
      <c r="T59" s="11"/>
      <c r="U59" s="12"/>
      <c r="V59" s="136"/>
      <c r="W59" s="16"/>
      <c r="X59" s="17"/>
      <c r="Y59" s="18"/>
      <c r="Z59" s="15"/>
      <c r="AA59" s="15"/>
      <c r="AB59" s="155">
        <f t="shared" si="29"/>
        <v>0</v>
      </c>
      <c r="AC59" s="157">
        <f t="shared" si="30"/>
        <v>0</v>
      </c>
      <c r="AD59" s="144">
        <f t="shared" si="20"/>
        <v>0</v>
      </c>
      <c r="AE59" s="145">
        <f t="shared" si="21"/>
        <v>0</v>
      </c>
      <c r="AF59" s="146">
        <f t="shared" si="31"/>
        <v>0</v>
      </c>
      <c r="AH59" s="274">
        <f>SUMIF(日報!$T$4:$T$885,TEXT(YEAR(A59),"0000")&amp;TEXT(MONTH(A59),"00")&amp;TEXT(DAY(A59),"00")&amp;"SCSK",日報!$L$4:$L$885)</f>
        <v>0</v>
      </c>
      <c r="AI59" s="275">
        <f t="shared" si="32"/>
        <v>0</v>
      </c>
    </row>
    <row r="60" spans="1:35" s="2" customFormat="1" outlineLevel="1" x14ac:dyDescent="0.15">
      <c r="A60" s="168">
        <f t="shared" si="33"/>
        <v>43886</v>
      </c>
      <c r="B60" s="167">
        <f t="shared" ref="B60" si="34">A60</f>
        <v>43886</v>
      </c>
      <c r="C60" s="32"/>
      <c r="D60" s="16">
        <v>0.38541666666666669</v>
      </c>
      <c r="E60" s="17">
        <v>0.76041666666666663</v>
      </c>
      <c r="F60" s="18">
        <v>1</v>
      </c>
      <c r="G60" s="15"/>
      <c r="H60" s="19"/>
      <c r="I60" s="137">
        <f t="shared" ref="I60" si="35">timediff(D60,E60,15)</f>
        <v>9</v>
      </c>
      <c r="J60" s="143">
        <f t="shared" ref="J60" si="36">IF(C60=1,0,I60-M60-L60-K60-F60-H60-G60)</f>
        <v>7.75</v>
      </c>
      <c r="K60" s="144">
        <f t="shared" ref="K60" si="37">IF(C60=0,IF(時間外開始&lt;E60,timediff(時間外開始,E60,15)-M60-G60-H60,0),0)</f>
        <v>0.25</v>
      </c>
      <c r="L60" s="145">
        <f t="shared" ref="L60" si="38">IF(C60=1,$I60-F60-M60-H60,0)</f>
        <v>0</v>
      </c>
      <c r="M60" s="146">
        <f t="shared" ref="M60" si="39">IF(深夜終了&lt;E60,timediff(深夜開始,深夜終了,15)-H60,IF(深夜開始&lt;E60,timediff(深夜開始,E60,15)-H60,0))</f>
        <v>0</v>
      </c>
      <c r="N60" s="147">
        <f>SUMIF(日報!B3:B690,$A60,日報!L3:L690)</f>
        <v>4</v>
      </c>
      <c r="O60" s="147">
        <f t="shared" ref="O60" si="40">SUM(J60:M60)-N60</f>
        <v>4</v>
      </c>
      <c r="P60" s="151"/>
      <c r="Q60" s="42" t="str">
        <f t="shared" ref="Q60" si="41">IF(P60="不調","ここに症状を入力！","")</f>
        <v/>
      </c>
      <c r="R60" s="154"/>
      <c r="S60" s="10" t="str">
        <f t="shared" ref="S60" si="42">IF(R60&lt;&gt;"","ここに理由を入力！","")</f>
        <v/>
      </c>
      <c r="T60" s="11"/>
      <c r="U60" s="12"/>
      <c r="V60" s="136"/>
      <c r="W60" s="16"/>
      <c r="X60" s="17"/>
      <c r="Y60" s="18"/>
      <c r="Z60" s="15"/>
      <c r="AA60" s="15"/>
      <c r="AB60" s="155">
        <f t="shared" ref="AB60" si="43">timediff(W60,X60,15)</f>
        <v>0</v>
      </c>
      <c r="AC60" s="157">
        <f t="shared" ref="AC60" si="44">AB60-AF60-AE60-AD60-Y60-Z60-AA60</f>
        <v>0</v>
      </c>
      <c r="AD60" s="144">
        <f t="shared" ref="AD60" si="45">IF(C60=0,IF(時間外開始&lt;X60,timediff(時間外開始,X60,15)-AF60-Z60-AA60,0),0)</f>
        <v>0</v>
      </c>
      <c r="AE60" s="145">
        <f t="shared" ref="AE60" si="46">IF(C60=1,AB60-Y60-Z60-AA60,0)</f>
        <v>0</v>
      </c>
      <c r="AF60" s="146">
        <f t="shared" ref="AF60" si="47">IF(深夜終了&lt;X60,timediff(深夜開始,深夜終了,15)-AA60,IF(深夜開始&lt;X60,timediff(深夜開始,X60,15)-AA60,0))</f>
        <v>0</v>
      </c>
      <c r="AH60" s="274">
        <f>SUMIF(日報!$T$4:$T$885,TEXT(YEAR(A60),"0000")&amp;TEXT(MONTH(A60),"00")&amp;TEXT(DAY(A60),"00")&amp;"SCSK",日報!$L$4:$L$885)</f>
        <v>0</v>
      </c>
      <c r="AI60" s="275">
        <f t="shared" ref="AI60" si="48">N60-AH60</f>
        <v>4</v>
      </c>
    </row>
    <row r="61" spans="1:35" s="2" customFormat="1" outlineLevel="1" x14ac:dyDescent="0.15">
      <c r="A61" s="168">
        <f t="shared" si="33"/>
        <v>43887</v>
      </c>
      <c r="B61" s="167">
        <f t="shared" si="22"/>
        <v>43887</v>
      </c>
      <c r="C61" s="32"/>
      <c r="D61" s="16">
        <v>0.38541666666666669</v>
      </c>
      <c r="E61" s="17">
        <v>0.80208333333333337</v>
      </c>
      <c r="F61" s="18">
        <v>1</v>
      </c>
      <c r="G61" s="15"/>
      <c r="H61" s="19"/>
      <c r="I61" s="137">
        <f t="shared" si="23"/>
        <v>10</v>
      </c>
      <c r="J61" s="143">
        <f t="shared" si="24"/>
        <v>7.75</v>
      </c>
      <c r="K61" s="144">
        <f t="shared" si="18"/>
        <v>1.25</v>
      </c>
      <c r="L61" s="145">
        <f t="shared" si="25"/>
        <v>0</v>
      </c>
      <c r="M61" s="146">
        <f t="shared" si="26"/>
        <v>0</v>
      </c>
      <c r="N61" s="147">
        <f>SUMIF(日報!B4:B691,$A61,日報!L4:L691)</f>
        <v>3</v>
      </c>
      <c r="O61" s="147">
        <f t="shared" si="19"/>
        <v>6</v>
      </c>
      <c r="P61" s="151"/>
      <c r="Q61" s="42" t="str">
        <f t="shared" si="27"/>
        <v/>
      </c>
      <c r="R61" s="154"/>
      <c r="S61" s="10" t="str">
        <f t="shared" si="28"/>
        <v/>
      </c>
      <c r="T61" s="11"/>
      <c r="U61" s="12"/>
      <c r="V61" s="136"/>
      <c r="W61" s="16"/>
      <c r="X61" s="17"/>
      <c r="Y61" s="18"/>
      <c r="Z61" s="15"/>
      <c r="AA61" s="15"/>
      <c r="AB61" s="155">
        <f t="shared" si="29"/>
        <v>0</v>
      </c>
      <c r="AC61" s="157">
        <f t="shared" si="30"/>
        <v>0</v>
      </c>
      <c r="AD61" s="144">
        <f t="shared" si="20"/>
        <v>0</v>
      </c>
      <c r="AE61" s="145">
        <f t="shared" si="21"/>
        <v>0</v>
      </c>
      <c r="AF61" s="146">
        <f t="shared" si="31"/>
        <v>0</v>
      </c>
      <c r="AH61" s="274">
        <f>SUMIF(日報!$T$4:$T$885,TEXT(YEAR(A61),"0000")&amp;TEXT(MONTH(A61),"00")&amp;TEXT(DAY(A61),"00")&amp;"SCSK",日報!$L$4:$L$885)</f>
        <v>0</v>
      </c>
      <c r="AI61" s="275">
        <f t="shared" si="32"/>
        <v>3</v>
      </c>
    </row>
    <row r="62" spans="1:35" s="2" customFormat="1" outlineLevel="1" x14ac:dyDescent="0.15">
      <c r="A62" s="168">
        <f t="shared" si="33"/>
        <v>43888</v>
      </c>
      <c r="B62" s="167">
        <f t="shared" si="22"/>
        <v>43888</v>
      </c>
      <c r="C62" s="32"/>
      <c r="D62" s="16">
        <v>0.38541666666666669</v>
      </c>
      <c r="E62" s="17">
        <v>0.76041666666666663</v>
      </c>
      <c r="F62" s="18">
        <v>1</v>
      </c>
      <c r="G62" s="15"/>
      <c r="H62" s="19"/>
      <c r="I62" s="137">
        <f t="shared" si="23"/>
        <v>9</v>
      </c>
      <c r="J62" s="143">
        <f t="shared" si="24"/>
        <v>7.75</v>
      </c>
      <c r="K62" s="144">
        <f t="shared" si="18"/>
        <v>0.25</v>
      </c>
      <c r="L62" s="145">
        <f t="shared" si="25"/>
        <v>0</v>
      </c>
      <c r="M62" s="146">
        <f t="shared" si="26"/>
        <v>0</v>
      </c>
      <c r="N62" s="147">
        <f>SUMIF(日報!B4:B691,$A62,日報!L4:L691)</f>
        <v>2</v>
      </c>
      <c r="O62" s="147">
        <f t="shared" si="19"/>
        <v>6</v>
      </c>
      <c r="P62" s="151"/>
      <c r="Q62" s="42" t="str">
        <f t="shared" si="27"/>
        <v/>
      </c>
      <c r="R62" s="154"/>
      <c r="S62" s="10" t="str">
        <f t="shared" si="28"/>
        <v/>
      </c>
      <c r="T62" s="11"/>
      <c r="U62" s="12"/>
      <c r="V62" s="136"/>
      <c r="W62" s="16"/>
      <c r="X62" s="17"/>
      <c r="Y62" s="18"/>
      <c r="Z62" s="15"/>
      <c r="AA62" s="15"/>
      <c r="AB62" s="155">
        <f t="shared" si="29"/>
        <v>0</v>
      </c>
      <c r="AC62" s="157">
        <f t="shared" si="30"/>
        <v>0</v>
      </c>
      <c r="AD62" s="144">
        <f t="shared" si="20"/>
        <v>0</v>
      </c>
      <c r="AE62" s="145">
        <f t="shared" si="21"/>
        <v>0</v>
      </c>
      <c r="AF62" s="146">
        <f t="shared" si="31"/>
        <v>0</v>
      </c>
      <c r="AH62" s="274">
        <f>SUMIF(日報!$T$4:$T$885,TEXT(YEAR(A62),"0000")&amp;TEXT(MONTH(A62),"00")&amp;TEXT(DAY(A62),"00")&amp;"SCSK",日報!$L$4:$L$885)</f>
        <v>0</v>
      </c>
      <c r="AI62" s="275">
        <f t="shared" si="32"/>
        <v>2</v>
      </c>
    </row>
    <row r="63" spans="1:35" s="2" customFormat="1" outlineLevel="1" x14ac:dyDescent="0.15">
      <c r="A63" s="168">
        <f t="shared" si="33"/>
        <v>43889</v>
      </c>
      <c r="B63" s="167">
        <f t="shared" si="22"/>
        <v>43889</v>
      </c>
      <c r="C63" s="32"/>
      <c r="D63" s="16">
        <v>0.38541666666666669</v>
      </c>
      <c r="E63" s="17">
        <v>0.76041666666666663</v>
      </c>
      <c r="F63" s="18">
        <v>1</v>
      </c>
      <c r="G63" s="15"/>
      <c r="H63" s="19"/>
      <c r="I63" s="137">
        <f t="shared" si="23"/>
        <v>9</v>
      </c>
      <c r="J63" s="143">
        <f t="shared" si="24"/>
        <v>7.75</v>
      </c>
      <c r="K63" s="144">
        <f t="shared" si="18"/>
        <v>0.25</v>
      </c>
      <c r="L63" s="145">
        <f t="shared" si="25"/>
        <v>0</v>
      </c>
      <c r="M63" s="146">
        <f t="shared" si="26"/>
        <v>0</v>
      </c>
      <c r="N63" s="147">
        <f>SUMIF(日報!B4:B691,$A63,日報!L4:L691)</f>
        <v>0</v>
      </c>
      <c r="O63" s="147">
        <f t="shared" si="19"/>
        <v>8</v>
      </c>
      <c r="P63" s="151"/>
      <c r="Q63" s="42" t="str">
        <f t="shared" si="27"/>
        <v/>
      </c>
      <c r="R63" s="154"/>
      <c r="S63" s="10" t="str">
        <f t="shared" si="28"/>
        <v/>
      </c>
      <c r="T63" s="11"/>
      <c r="U63" s="12"/>
      <c r="V63" s="136"/>
      <c r="W63" s="16"/>
      <c r="X63" s="17"/>
      <c r="Y63" s="18"/>
      <c r="Z63" s="15"/>
      <c r="AA63" s="15"/>
      <c r="AB63" s="155">
        <f t="shared" si="29"/>
        <v>0</v>
      </c>
      <c r="AC63" s="157">
        <f t="shared" si="30"/>
        <v>0</v>
      </c>
      <c r="AD63" s="144">
        <f t="shared" si="20"/>
        <v>0</v>
      </c>
      <c r="AE63" s="145">
        <f t="shared" si="21"/>
        <v>0</v>
      </c>
      <c r="AF63" s="146">
        <f t="shared" si="31"/>
        <v>0</v>
      </c>
      <c r="AH63" s="274">
        <f>SUMIF(日報!$T$4:$T$885,TEXT(YEAR(A63),"0000")&amp;TEXT(MONTH(A63),"00")&amp;TEXT(DAY(A63),"00")&amp;"SCSK",日報!$L$4:$L$885)</f>
        <v>0</v>
      </c>
      <c r="AI63" s="275">
        <f t="shared" si="32"/>
        <v>0</v>
      </c>
    </row>
    <row r="64" spans="1:35" s="2" customFormat="1" ht="14.25" outlineLevel="1" thickBot="1" x14ac:dyDescent="0.2">
      <c r="A64" s="168">
        <f t="shared" si="33"/>
        <v>43890</v>
      </c>
      <c r="B64" s="167">
        <f t="shared" si="22"/>
        <v>43890</v>
      </c>
      <c r="C64" s="32">
        <v>1</v>
      </c>
      <c r="D64" s="16"/>
      <c r="E64" s="17"/>
      <c r="F64" s="18"/>
      <c r="G64" s="15"/>
      <c r="H64" s="19"/>
      <c r="I64" s="137">
        <f t="shared" si="23"/>
        <v>0</v>
      </c>
      <c r="J64" s="143">
        <f t="shared" si="24"/>
        <v>0</v>
      </c>
      <c r="K64" s="144">
        <f t="shared" si="18"/>
        <v>0</v>
      </c>
      <c r="L64" s="145">
        <f t="shared" si="25"/>
        <v>0</v>
      </c>
      <c r="M64" s="146">
        <f t="shared" si="26"/>
        <v>0</v>
      </c>
      <c r="N64" s="147">
        <f>SUMIF(日報!B4:B691,$A64,日報!L4:L691)</f>
        <v>0</v>
      </c>
      <c r="O64" s="147">
        <f t="shared" si="19"/>
        <v>0</v>
      </c>
      <c r="P64" s="151"/>
      <c r="Q64" s="42" t="str">
        <f t="shared" si="27"/>
        <v/>
      </c>
      <c r="R64" s="154"/>
      <c r="S64" s="10" t="str">
        <f t="shared" si="28"/>
        <v/>
      </c>
      <c r="T64" s="11"/>
      <c r="U64" s="12"/>
      <c r="V64" s="136"/>
      <c r="W64" s="16"/>
      <c r="X64" s="17"/>
      <c r="Y64" s="18"/>
      <c r="Z64" s="15"/>
      <c r="AA64" s="15"/>
      <c r="AB64" s="155">
        <f t="shared" si="29"/>
        <v>0</v>
      </c>
      <c r="AC64" s="157">
        <f t="shared" si="30"/>
        <v>0</v>
      </c>
      <c r="AD64" s="144">
        <f t="shared" si="20"/>
        <v>0</v>
      </c>
      <c r="AE64" s="145">
        <f t="shared" si="21"/>
        <v>0</v>
      </c>
      <c r="AF64" s="146">
        <f t="shared" si="31"/>
        <v>0</v>
      </c>
      <c r="AH64" s="274">
        <f>SUMIF(日報!$T$4:$T$885,TEXT(YEAR(A64),"0000")&amp;TEXT(MONTH(A64),"00")&amp;TEXT(DAY(A64),"00")&amp;"SCSK",日報!$L$4:$L$885)</f>
        <v>0</v>
      </c>
      <c r="AI64" s="275">
        <f t="shared" si="32"/>
        <v>0</v>
      </c>
    </row>
    <row r="65" spans="1:35" ht="15" thickTop="1" thickBot="1" x14ac:dyDescent="0.2">
      <c r="A65" s="107">
        <f>A64</f>
        <v>43890</v>
      </c>
      <c r="B65" s="108">
        <f>COUNT(B36:B64)</f>
        <v>29</v>
      </c>
      <c r="C65" s="108"/>
      <c r="D65" s="109"/>
      <c r="E65" s="109"/>
      <c r="F65" s="110">
        <f>SUM(F36:F64)</f>
        <v>18</v>
      </c>
      <c r="G65" s="110">
        <f t="shared" ref="G65:T65" si="49">SUM(G36:G64)</f>
        <v>0</v>
      </c>
      <c r="H65" s="110">
        <f t="shared" si="49"/>
        <v>0</v>
      </c>
      <c r="I65" s="110">
        <f t="shared" si="49"/>
        <v>164</v>
      </c>
      <c r="J65" s="110">
        <f t="shared" si="49"/>
        <v>138.75</v>
      </c>
      <c r="K65" s="110">
        <f t="shared" si="49"/>
        <v>7.25</v>
      </c>
      <c r="L65" s="110">
        <f t="shared" si="49"/>
        <v>0</v>
      </c>
      <c r="M65" s="123">
        <f t="shared" si="49"/>
        <v>0</v>
      </c>
      <c r="N65" s="124">
        <f t="shared" si="49"/>
        <v>51</v>
      </c>
      <c r="O65" s="125">
        <f>SUM(O36:O64)</f>
        <v>95</v>
      </c>
      <c r="P65" s="152">
        <f>SUM(P36:P64)</f>
        <v>0</v>
      </c>
      <c r="Q65" s="126">
        <f>SUM(Q36:Q64)</f>
        <v>0</v>
      </c>
      <c r="R65" s="152">
        <f t="shared" si="49"/>
        <v>0</v>
      </c>
      <c r="S65" s="127">
        <f t="shared" si="49"/>
        <v>0</v>
      </c>
      <c r="T65" s="126">
        <f t="shared" si="49"/>
        <v>0</v>
      </c>
      <c r="U65" s="121"/>
      <c r="W65" s="122"/>
      <c r="X65" s="109"/>
      <c r="Y65" s="110">
        <f>SUM(Y36:Y64)</f>
        <v>0</v>
      </c>
      <c r="Z65" s="110">
        <f t="shared" ref="Z65:AF65" si="50">SUM(Z36:Z64)</f>
        <v>0</v>
      </c>
      <c r="AA65" s="110">
        <f t="shared" si="50"/>
        <v>0</v>
      </c>
      <c r="AB65" s="110">
        <f t="shared" si="50"/>
        <v>0</v>
      </c>
      <c r="AC65" s="110">
        <f t="shared" si="50"/>
        <v>0</v>
      </c>
      <c r="AD65" s="110">
        <f t="shared" si="50"/>
        <v>0</v>
      </c>
      <c r="AE65" s="110">
        <f t="shared" si="50"/>
        <v>0</v>
      </c>
      <c r="AF65" s="128">
        <f t="shared" si="50"/>
        <v>0</v>
      </c>
      <c r="AH65" s="276"/>
      <c r="AI65" s="277"/>
    </row>
    <row r="66" spans="1:35" s="2" customFormat="1" outlineLevel="1" x14ac:dyDescent="0.15">
      <c r="A66" s="168">
        <f>A64+1</f>
        <v>43891</v>
      </c>
      <c r="B66" s="167">
        <f>A66</f>
        <v>43891</v>
      </c>
      <c r="C66" s="32">
        <v>1</v>
      </c>
      <c r="D66" s="16"/>
      <c r="E66" s="17"/>
      <c r="F66" s="18"/>
      <c r="G66" s="15"/>
      <c r="H66" s="19"/>
      <c r="I66" s="137">
        <f>timediff(D66,E66,15)</f>
        <v>0</v>
      </c>
      <c r="J66" s="143">
        <f>IF(C66=1,0,I66-M66-L66-K66-F66-H66-G66)</f>
        <v>0</v>
      </c>
      <c r="K66" s="144">
        <f t="shared" ref="K66:K96" si="51">IF(C66=0,IF(時間外開始&lt;E66,timediff(時間外開始,E66,15)-M66-G66-H66,0),0)</f>
        <v>0</v>
      </c>
      <c r="L66" s="145">
        <f>IF(C66=1,$I66-F66-M66-H66,0)</f>
        <v>0</v>
      </c>
      <c r="M66" s="146">
        <f>IF(深夜終了&lt;E66,timediff(深夜開始,深夜終了,15)-H66,IF(深夜開始&lt;E66,timediff(深夜開始,E66,15)-H66,0))</f>
        <v>0</v>
      </c>
      <c r="N66" s="147">
        <f>SUMIF(日報!B4:B691,$A66,日報!L4:L691)</f>
        <v>0</v>
      </c>
      <c r="O66" s="147">
        <f t="shared" ref="O66:O96" si="52">SUM(J66:M66)-N66</f>
        <v>0</v>
      </c>
      <c r="P66" s="151"/>
      <c r="Q66" s="42" t="str">
        <f>IF(P66="不調","ここに症状を入力！","")</f>
        <v/>
      </c>
      <c r="R66" s="154"/>
      <c r="S66" s="10" t="str">
        <f t="shared" ref="S66:S92" si="53">IF(R66&lt;&gt;"","ここに理由を入力！","")</f>
        <v/>
      </c>
      <c r="T66" s="11"/>
      <c r="U66" s="12"/>
      <c r="V66" s="136"/>
      <c r="W66" s="16"/>
      <c r="X66" s="17"/>
      <c r="Y66" s="18"/>
      <c r="Z66" s="15"/>
      <c r="AA66" s="15"/>
      <c r="AB66" s="155">
        <f>timediff(W66,X66,15)</f>
        <v>0</v>
      </c>
      <c r="AC66" s="157">
        <f>AB66-AF66-AE66-AD66-Y66-Z66-AA66</f>
        <v>0</v>
      </c>
      <c r="AD66" s="144">
        <f t="shared" ref="AD66:AD96" si="54">IF(C66=0,IF(時間外開始&lt;X66,timediff(時間外開始,X66,15)-AF66-Z66-AA66,0),0)</f>
        <v>0</v>
      </c>
      <c r="AE66" s="145">
        <f t="shared" ref="AE66:AE96" si="55">IF(C66=1,AB66-Y66-Z66-AA66,0)</f>
        <v>0</v>
      </c>
      <c r="AF66" s="146">
        <f>IF(深夜終了&lt;X66,timediff(深夜開始,深夜終了,15)-AA66,IF(深夜開始&lt;X66,timediff(深夜開始,X66,15)-AA66,0))</f>
        <v>0</v>
      </c>
      <c r="AH66" s="274">
        <f>SUMIF(日報!$T$4:$T$885,TEXT(YEAR(A66),"0000")&amp;TEXT(MONTH(A66),"00")&amp;TEXT(DAY(A66),"00")&amp;"SCSK",日報!$L$4:$L$885)</f>
        <v>0</v>
      </c>
      <c r="AI66" s="275">
        <f t="shared" si="32"/>
        <v>0</v>
      </c>
    </row>
    <row r="67" spans="1:35" s="2" customFormat="1" outlineLevel="1" x14ac:dyDescent="0.15">
      <c r="A67" s="168">
        <f>A66+1</f>
        <v>43892</v>
      </c>
      <c r="B67" s="167">
        <f t="shared" ref="B67:B96" si="56">A67</f>
        <v>43892</v>
      </c>
      <c r="C67" s="32"/>
      <c r="D67" s="16">
        <v>0.38541666666666669</v>
      </c>
      <c r="E67" s="17">
        <v>0.76041666666666663</v>
      </c>
      <c r="F67" s="18">
        <v>1</v>
      </c>
      <c r="G67" s="15"/>
      <c r="H67" s="19"/>
      <c r="I67" s="137">
        <f t="shared" ref="I67:I96" si="57">timediff(D67,E67,15)</f>
        <v>9</v>
      </c>
      <c r="J67" s="143">
        <f t="shared" ref="J67:J96" si="58">IF(C67=1,0,I67-M67-L67-K67-F67-H67-G67)</f>
        <v>7.75</v>
      </c>
      <c r="K67" s="144">
        <f t="shared" si="51"/>
        <v>0.25</v>
      </c>
      <c r="L67" s="145">
        <f t="shared" ref="L67:L96" si="59">IF(C67=1,$I67-F67-M67-H67,0)</f>
        <v>0</v>
      </c>
      <c r="M67" s="146">
        <f t="shared" ref="M67:M96" si="60">IF(深夜終了&lt;E67,timediff(深夜開始,深夜終了,15)-H67,IF(深夜開始&lt;E67,timediff(深夜開始,E67,15)-H67,0))</f>
        <v>0</v>
      </c>
      <c r="N67" s="147">
        <f>SUMIF(日報!B4:B691,$A67,日報!L4:L691)</f>
        <v>0</v>
      </c>
      <c r="O67" s="147">
        <f t="shared" si="52"/>
        <v>8</v>
      </c>
      <c r="P67" s="151"/>
      <c r="Q67" s="42" t="str">
        <f t="shared" ref="Q67:Q96" si="61">IF(P67="不調","ここに症状を入力！","")</f>
        <v/>
      </c>
      <c r="R67" s="154"/>
      <c r="S67" s="10" t="str">
        <f t="shared" si="53"/>
        <v/>
      </c>
      <c r="T67" s="11"/>
      <c r="U67" s="12"/>
      <c r="V67" s="136"/>
      <c r="W67" s="16"/>
      <c r="X67" s="17"/>
      <c r="Y67" s="18"/>
      <c r="Z67" s="15"/>
      <c r="AA67" s="15"/>
      <c r="AB67" s="155">
        <f t="shared" ref="AB67:AB96" si="62">timediff(W67,X67,15)</f>
        <v>0</v>
      </c>
      <c r="AC67" s="157">
        <f t="shared" ref="AC67:AC96" si="63">AB67-AF67-AE67-AD67-Y67-Z67-AA67</f>
        <v>0</v>
      </c>
      <c r="AD67" s="144">
        <f t="shared" si="54"/>
        <v>0</v>
      </c>
      <c r="AE67" s="145">
        <f t="shared" si="55"/>
        <v>0</v>
      </c>
      <c r="AF67" s="146">
        <f t="shared" ref="AF67:AF96" si="64">IF(深夜終了&lt;X67,timediff(深夜開始,深夜終了,15)-AA67,IF(深夜開始&lt;X67,timediff(深夜開始,X67,15)-AA67,0))</f>
        <v>0</v>
      </c>
      <c r="AH67" s="274">
        <f>SUMIF(日報!$T$4:$T$885,TEXT(YEAR(A67),"0000")&amp;TEXT(MONTH(A67),"00")&amp;TEXT(DAY(A67),"00")&amp;"SCSK",日報!$L$4:$L$885)</f>
        <v>0</v>
      </c>
      <c r="AI67" s="275">
        <f t="shared" si="32"/>
        <v>0</v>
      </c>
    </row>
    <row r="68" spans="1:35" s="2" customFormat="1" outlineLevel="1" x14ac:dyDescent="0.15">
      <c r="A68" s="168">
        <f t="shared" ref="A68:A96" si="65">A67+1</f>
        <v>43893</v>
      </c>
      <c r="B68" s="167">
        <f t="shared" si="56"/>
        <v>43893</v>
      </c>
      <c r="C68" s="32"/>
      <c r="D68" s="16">
        <v>0.38541666666666669</v>
      </c>
      <c r="E68" s="17">
        <v>0.76041666666666663</v>
      </c>
      <c r="F68" s="18">
        <v>1</v>
      </c>
      <c r="G68" s="15"/>
      <c r="H68" s="19"/>
      <c r="I68" s="137">
        <f t="shared" si="57"/>
        <v>9</v>
      </c>
      <c r="J68" s="143">
        <f t="shared" si="58"/>
        <v>7.75</v>
      </c>
      <c r="K68" s="144">
        <f t="shared" si="51"/>
        <v>0.25</v>
      </c>
      <c r="L68" s="145">
        <f t="shared" si="59"/>
        <v>0</v>
      </c>
      <c r="M68" s="146">
        <f t="shared" si="60"/>
        <v>0</v>
      </c>
      <c r="N68" s="147">
        <f>SUMIF(日報!B4:B691,$A68,日報!L4:L691)</f>
        <v>0</v>
      </c>
      <c r="O68" s="147">
        <f t="shared" si="52"/>
        <v>8</v>
      </c>
      <c r="P68" s="151"/>
      <c r="Q68" s="42" t="str">
        <f t="shared" si="61"/>
        <v/>
      </c>
      <c r="R68" s="154"/>
      <c r="S68" s="10" t="str">
        <f t="shared" si="53"/>
        <v/>
      </c>
      <c r="T68" s="11"/>
      <c r="U68" s="12"/>
      <c r="V68" s="136"/>
      <c r="W68" s="16"/>
      <c r="X68" s="17"/>
      <c r="Y68" s="18"/>
      <c r="Z68" s="15"/>
      <c r="AA68" s="15"/>
      <c r="AB68" s="155">
        <f t="shared" si="62"/>
        <v>0</v>
      </c>
      <c r="AC68" s="157">
        <f t="shared" si="63"/>
        <v>0</v>
      </c>
      <c r="AD68" s="144">
        <f t="shared" si="54"/>
        <v>0</v>
      </c>
      <c r="AE68" s="145">
        <f t="shared" si="55"/>
        <v>0</v>
      </c>
      <c r="AF68" s="146">
        <f t="shared" si="64"/>
        <v>0</v>
      </c>
      <c r="AH68" s="274">
        <f>SUMIF(日報!$T$4:$T$885,TEXT(YEAR(A68),"0000")&amp;TEXT(MONTH(A68),"00")&amp;TEXT(DAY(A68),"00")&amp;"SCSK",日報!$L$4:$L$885)</f>
        <v>0</v>
      </c>
      <c r="AI68" s="275">
        <f t="shared" si="32"/>
        <v>0</v>
      </c>
    </row>
    <row r="69" spans="1:35" s="2" customFormat="1" outlineLevel="1" x14ac:dyDescent="0.15">
      <c r="A69" s="168">
        <f t="shared" si="65"/>
        <v>43894</v>
      </c>
      <c r="B69" s="167">
        <f t="shared" si="56"/>
        <v>43894</v>
      </c>
      <c r="C69" s="32"/>
      <c r="D69" s="16">
        <v>0.38541666666666669</v>
      </c>
      <c r="E69" s="17">
        <v>0.76041666666666663</v>
      </c>
      <c r="F69" s="18">
        <v>1</v>
      </c>
      <c r="G69" s="15"/>
      <c r="H69" s="19"/>
      <c r="I69" s="137">
        <f t="shared" si="57"/>
        <v>9</v>
      </c>
      <c r="J69" s="143">
        <f t="shared" si="58"/>
        <v>7.75</v>
      </c>
      <c r="K69" s="144">
        <f t="shared" si="51"/>
        <v>0.25</v>
      </c>
      <c r="L69" s="145">
        <f t="shared" si="59"/>
        <v>0</v>
      </c>
      <c r="M69" s="146">
        <f t="shared" si="60"/>
        <v>0</v>
      </c>
      <c r="N69" s="147">
        <f>SUMIF(日報!B4:B691,$A69,日報!L4:L691)</f>
        <v>0</v>
      </c>
      <c r="O69" s="147">
        <f t="shared" si="52"/>
        <v>8</v>
      </c>
      <c r="P69" s="151"/>
      <c r="Q69" s="42" t="str">
        <f t="shared" si="61"/>
        <v/>
      </c>
      <c r="R69" s="154"/>
      <c r="S69" s="10" t="str">
        <f t="shared" si="53"/>
        <v/>
      </c>
      <c r="T69" s="11"/>
      <c r="U69" s="12"/>
      <c r="V69" s="136"/>
      <c r="W69" s="16"/>
      <c r="X69" s="17"/>
      <c r="Y69" s="18"/>
      <c r="Z69" s="15"/>
      <c r="AA69" s="15"/>
      <c r="AB69" s="155">
        <f t="shared" si="62"/>
        <v>0</v>
      </c>
      <c r="AC69" s="157">
        <f t="shared" si="63"/>
        <v>0</v>
      </c>
      <c r="AD69" s="144">
        <f t="shared" si="54"/>
        <v>0</v>
      </c>
      <c r="AE69" s="145">
        <f t="shared" si="55"/>
        <v>0</v>
      </c>
      <c r="AF69" s="146">
        <f t="shared" si="64"/>
        <v>0</v>
      </c>
      <c r="AH69" s="274">
        <f>SUMIF(日報!$T$4:$T$885,TEXT(YEAR(A69),"0000")&amp;TEXT(MONTH(A69),"00")&amp;TEXT(DAY(A69),"00")&amp;"SCSK",日報!$L$4:$L$885)</f>
        <v>0</v>
      </c>
      <c r="AI69" s="275">
        <f t="shared" si="32"/>
        <v>0</v>
      </c>
    </row>
    <row r="70" spans="1:35" s="2" customFormat="1" outlineLevel="1" x14ac:dyDescent="0.15">
      <c r="A70" s="168">
        <f t="shared" si="65"/>
        <v>43895</v>
      </c>
      <c r="B70" s="167">
        <f t="shared" si="56"/>
        <v>43895</v>
      </c>
      <c r="C70" s="32"/>
      <c r="D70" s="16">
        <v>0.38541666666666669</v>
      </c>
      <c r="E70" s="17">
        <v>0.76041666666666663</v>
      </c>
      <c r="F70" s="18">
        <v>1</v>
      </c>
      <c r="G70" s="15"/>
      <c r="H70" s="19"/>
      <c r="I70" s="137">
        <f t="shared" si="57"/>
        <v>9</v>
      </c>
      <c r="J70" s="143">
        <f t="shared" si="58"/>
        <v>7.75</v>
      </c>
      <c r="K70" s="144">
        <f t="shared" si="51"/>
        <v>0.25</v>
      </c>
      <c r="L70" s="145">
        <f t="shared" si="59"/>
        <v>0</v>
      </c>
      <c r="M70" s="146">
        <f t="shared" si="60"/>
        <v>0</v>
      </c>
      <c r="N70" s="147">
        <f>SUMIF(日報!B4:B691,$A70,日報!L4:L691)</f>
        <v>0</v>
      </c>
      <c r="O70" s="147">
        <f t="shared" si="52"/>
        <v>8</v>
      </c>
      <c r="P70" s="151"/>
      <c r="Q70" s="42" t="str">
        <f t="shared" si="61"/>
        <v/>
      </c>
      <c r="R70" s="154"/>
      <c r="S70" s="10" t="str">
        <f t="shared" si="53"/>
        <v/>
      </c>
      <c r="T70" s="11"/>
      <c r="U70" s="12"/>
      <c r="V70" s="136"/>
      <c r="W70" s="16"/>
      <c r="X70" s="17"/>
      <c r="Y70" s="18"/>
      <c r="Z70" s="15"/>
      <c r="AA70" s="15"/>
      <c r="AB70" s="155">
        <f t="shared" si="62"/>
        <v>0</v>
      </c>
      <c r="AC70" s="157">
        <f t="shared" si="63"/>
        <v>0</v>
      </c>
      <c r="AD70" s="144">
        <f t="shared" si="54"/>
        <v>0</v>
      </c>
      <c r="AE70" s="145">
        <f t="shared" si="55"/>
        <v>0</v>
      </c>
      <c r="AF70" s="146">
        <f t="shared" si="64"/>
        <v>0</v>
      </c>
      <c r="AH70" s="274">
        <f>SUMIF(日報!$T$4:$T$885,TEXT(YEAR(A70),"0000")&amp;TEXT(MONTH(A70),"00")&amp;TEXT(DAY(A70),"00")&amp;"SCSK",日報!$L$4:$L$885)</f>
        <v>0</v>
      </c>
      <c r="AI70" s="275">
        <f t="shared" si="32"/>
        <v>0</v>
      </c>
    </row>
    <row r="71" spans="1:35" s="2" customFormat="1" outlineLevel="1" x14ac:dyDescent="0.15">
      <c r="A71" s="168">
        <f t="shared" si="65"/>
        <v>43896</v>
      </c>
      <c r="B71" s="167">
        <f t="shared" si="56"/>
        <v>43896</v>
      </c>
      <c r="C71" s="32"/>
      <c r="D71" s="16">
        <v>0.38541666666666669</v>
      </c>
      <c r="E71" s="17">
        <v>0.76041666666666663</v>
      </c>
      <c r="F71" s="18">
        <v>1</v>
      </c>
      <c r="G71" s="15"/>
      <c r="H71" s="19"/>
      <c r="I71" s="137">
        <f t="shared" si="57"/>
        <v>9</v>
      </c>
      <c r="J71" s="143">
        <f t="shared" si="58"/>
        <v>7.75</v>
      </c>
      <c r="K71" s="144">
        <f t="shared" si="51"/>
        <v>0.25</v>
      </c>
      <c r="L71" s="145">
        <f t="shared" si="59"/>
        <v>0</v>
      </c>
      <c r="M71" s="146">
        <f t="shared" si="60"/>
        <v>0</v>
      </c>
      <c r="N71" s="147">
        <f>SUMIF(日報!B4:B691,$A71,日報!L4:L691)</f>
        <v>0</v>
      </c>
      <c r="O71" s="147">
        <f t="shared" si="52"/>
        <v>8</v>
      </c>
      <c r="P71" s="151"/>
      <c r="Q71" s="42" t="str">
        <f t="shared" si="61"/>
        <v/>
      </c>
      <c r="R71" s="154"/>
      <c r="S71" s="10" t="str">
        <f t="shared" si="53"/>
        <v/>
      </c>
      <c r="T71" s="11"/>
      <c r="U71" s="12"/>
      <c r="V71" s="136"/>
      <c r="W71" s="16"/>
      <c r="X71" s="17"/>
      <c r="Y71" s="18"/>
      <c r="Z71" s="15"/>
      <c r="AA71" s="15"/>
      <c r="AB71" s="155">
        <f t="shared" si="62"/>
        <v>0</v>
      </c>
      <c r="AC71" s="157">
        <f t="shared" si="63"/>
        <v>0</v>
      </c>
      <c r="AD71" s="144">
        <f t="shared" si="54"/>
        <v>0</v>
      </c>
      <c r="AE71" s="145">
        <f t="shared" si="55"/>
        <v>0</v>
      </c>
      <c r="AF71" s="146">
        <f t="shared" si="64"/>
        <v>0</v>
      </c>
      <c r="AH71" s="274">
        <f>SUMIF(日報!$T$4:$T$885,TEXT(YEAR(A71),"0000")&amp;TEXT(MONTH(A71),"00")&amp;TEXT(DAY(A71),"00")&amp;"SCSK",日報!$L$4:$L$885)</f>
        <v>0</v>
      </c>
      <c r="AI71" s="275">
        <f t="shared" si="32"/>
        <v>0</v>
      </c>
    </row>
    <row r="72" spans="1:35" s="2" customFormat="1" outlineLevel="1" x14ac:dyDescent="0.15">
      <c r="A72" s="168">
        <f t="shared" si="65"/>
        <v>43897</v>
      </c>
      <c r="B72" s="167">
        <f t="shared" si="56"/>
        <v>43897</v>
      </c>
      <c r="C72" s="32">
        <v>1</v>
      </c>
      <c r="D72" s="16"/>
      <c r="E72" s="17"/>
      <c r="F72" s="18"/>
      <c r="G72" s="15"/>
      <c r="H72" s="19"/>
      <c r="I72" s="137">
        <f t="shared" si="57"/>
        <v>0</v>
      </c>
      <c r="J72" s="143">
        <f t="shared" si="58"/>
        <v>0</v>
      </c>
      <c r="K72" s="144">
        <f t="shared" si="51"/>
        <v>0</v>
      </c>
      <c r="L72" s="145">
        <f t="shared" si="59"/>
        <v>0</v>
      </c>
      <c r="M72" s="146">
        <f t="shared" si="60"/>
        <v>0</v>
      </c>
      <c r="N72" s="147">
        <f>SUMIF(日報!B4:B691,$A72,日報!L4:L691)</f>
        <v>0</v>
      </c>
      <c r="O72" s="147">
        <f t="shared" si="52"/>
        <v>0</v>
      </c>
      <c r="P72" s="151"/>
      <c r="Q72" s="42" t="str">
        <f t="shared" si="61"/>
        <v/>
      </c>
      <c r="R72" s="154"/>
      <c r="S72" s="10" t="str">
        <f t="shared" si="53"/>
        <v/>
      </c>
      <c r="T72" s="11"/>
      <c r="U72" s="12"/>
      <c r="V72" s="136"/>
      <c r="W72" s="16"/>
      <c r="X72" s="17"/>
      <c r="Y72" s="18"/>
      <c r="Z72" s="15"/>
      <c r="AA72" s="15"/>
      <c r="AB72" s="155">
        <f t="shared" si="62"/>
        <v>0</v>
      </c>
      <c r="AC72" s="157">
        <f t="shared" si="63"/>
        <v>0</v>
      </c>
      <c r="AD72" s="144">
        <f t="shared" si="54"/>
        <v>0</v>
      </c>
      <c r="AE72" s="145">
        <f t="shared" si="55"/>
        <v>0</v>
      </c>
      <c r="AF72" s="146">
        <f t="shared" si="64"/>
        <v>0</v>
      </c>
      <c r="AH72" s="274">
        <f>SUMIF(日報!$T$4:$T$885,TEXT(YEAR(A72),"0000")&amp;TEXT(MONTH(A72),"00")&amp;TEXT(DAY(A72),"00")&amp;"SCSK",日報!$L$4:$L$885)</f>
        <v>0</v>
      </c>
      <c r="AI72" s="275">
        <f t="shared" si="32"/>
        <v>0</v>
      </c>
    </row>
    <row r="73" spans="1:35" s="2" customFormat="1" outlineLevel="1" x14ac:dyDescent="0.15">
      <c r="A73" s="168">
        <f t="shared" si="65"/>
        <v>43898</v>
      </c>
      <c r="B73" s="167">
        <f t="shared" si="56"/>
        <v>43898</v>
      </c>
      <c r="C73" s="32">
        <v>1</v>
      </c>
      <c r="D73" s="16"/>
      <c r="E73" s="17"/>
      <c r="F73" s="18"/>
      <c r="G73" s="15"/>
      <c r="H73" s="19"/>
      <c r="I73" s="137">
        <f t="shared" si="57"/>
        <v>0</v>
      </c>
      <c r="J73" s="143">
        <f t="shared" si="58"/>
        <v>0</v>
      </c>
      <c r="K73" s="144">
        <f t="shared" si="51"/>
        <v>0</v>
      </c>
      <c r="L73" s="145">
        <f t="shared" si="59"/>
        <v>0</v>
      </c>
      <c r="M73" s="146">
        <f t="shared" si="60"/>
        <v>0</v>
      </c>
      <c r="N73" s="147">
        <f>SUMIF(日報!B4:B691,$A73,日報!L4:L691)</f>
        <v>0</v>
      </c>
      <c r="O73" s="147">
        <f t="shared" si="52"/>
        <v>0</v>
      </c>
      <c r="P73" s="151"/>
      <c r="Q73" s="42" t="str">
        <f t="shared" si="61"/>
        <v/>
      </c>
      <c r="R73" s="154"/>
      <c r="S73" s="10" t="str">
        <f t="shared" si="53"/>
        <v/>
      </c>
      <c r="T73" s="11"/>
      <c r="U73" s="12"/>
      <c r="V73" s="136"/>
      <c r="W73" s="16"/>
      <c r="X73" s="17"/>
      <c r="Y73" s="18"/>
      <c r="Z73" s="15"/>
      <c r="AA73" s="15"/>
      <c r="AB73" s="155">
        <f t="shared" si="62"/>
        <v>0</v>
      </c>
      <c r="AC73" s="157">
        <f t="shared" si="63"/>
        <v>0</v>
      </c>
      <c r="AD73" s="144">
        <f t="shared" si="54"/>
        <v>0</v>
      </c>
      <c r="AE73" s="145">
        <f t="shared" si="55"/>
        <v>0</v>
      </c>
      <c r="AF73" s="146">
        <f t="shared" si="64"/>
        <v>0</v>
      </c>
      <c r="AH73" s="274">
        <f>SUMIF(日報!$T$4:$T$885,TEXT(YEAR(A73),"0000")&amp;TEXT(MONTH(A73),"00")&amp;TEXT(DAY(A73),"00")&amp;"SCSK",日報!$L$4:$L$885)</f>
        <v>0</v>
      </c>
      <c r="AI73" s="275">
        <f t="shared" si="32"/>
        <v>0</v>
      </c>
    </row>
    <row r="74" spans="1:35" s="2" customFormat="1" outlineLevel="1" x14ac:dyDescent="0.15">
      <c r="A74" s="168">
        <f t="shared" si="65"/>
        <v>43899</v>
      </c>
      <c r="B74" s="167">
        <f t="shared" si="56"/>
        <v>43899</v>
      </c>
      <c r="C74" s="32"/>
      <c r="D74" s="16">
        <v>0.38541666666666669</v>
      </c>
      <c r="E74" s="17">
        <v>0.76041666666666663</v>
      </c>
      <c r="F74" s="18">
        <v>1</v>
      </c>
      <c r="G74" s="15"/>
      <c r="H74" s="19"/>
      <c r="I74" s="137">
        <f t="shared" si="57"/>
        <v>9</v>
      </c>
      <c r="J74" s="143">
        <f t="shared" si="58"/>
        <v>7.75</v>
      </c>
      <c r="K74" s="144">
        <f t="shared" si="51"/>
        <v>0.25</v>
      </c>
      <c r="L74" s="145">
        <f t="shared" si="59"/>
        <v>0</v>
      </c>
      <c r="M74" s="146">
        <f t="shared" si="60"/>
        <v>0</v>
      </c>
      <c r="N74" s="147">
        <f>SUMIF(日報!B4:B691,$A74,日報!L4:L691)</f>
        <v>0</v>
      </c>
      <c r="O74" s="147">
        <f t="shared" si="52"/>
        <v>8</v>
      </c>
      <c r="P74" s="151"/>
      <c r="Q74" s="42" t="str">
        <f t="shared" si="61"/>
        <v/>
      </c>
      <c r="R74" s="154"/>
      <c r="S74" s="10" t="str">
        <f t="shared" si="53"/>
        <v/>
      </c>
      <c r="T74" s="11"/>
      <c r="U74" s="12"/>
      <c r="V74" s="136"/>
      <c r="W74" s="16"/>
      <c r="X74" s="17"/>
      <c r="Y74" s="18"/>
      <c r="Z74" s="15"/>
      <c r="AA74" s="15"/>
      <c r="AB74" s="155">
        <f t="shared" si="62"/>
        <v>0</v>
      </c>
      <c r="AC74" s="157">
        <f t="shared" si="63"/>
        <v>0</v>
      </c>
      <c r="AD74" s="144">
        <f t="shared" si="54"/>
        <v>0</v>
      </c>
      <c r="AE74" s="145">
        <f t="shared" si="55"/>
        <v>0</v>
      </c>
      <c r="AF74" s="146">
        <f t="shared" si="64"/>
        <v>0</v>
      </c>
      <c r="AH74" s="274">
        <f>SUMIF(日報!$T$4:$T$885,TEXT(YEAR(A74),"0000")&amp;TEXT(MONTH(A74),"00")&amp;TEXT(DAY(A74),"00")&amp;"SCSK",日報!$L$4:$L$885)</f>
        <v>0</v>
      </c>
      <c r="AI74" s="275">
        <f t="shared" si="32"/>
        <v>0</v>
      </c>
    </row>
    <row r="75" spans="1:35" s="2" customFormat="1" outlineLevel="1" x14ac:dyDescent="0.15">
      <c r="A75" s="168">
        <f t="shared" si="65"/>
        <v>43900</v>
      </c>
      <c r="B75" s="167">
        <f t="shared" si="56"/>
        <v>43900</v>
      </c>
      <c r="C75" s="32"/>
      <c r="D75" s="16">
        <v>0.38541666666666669</v>
      </c>
      <c r="E75" s="17">
        <v>0.76041666666666663</v>
      </c>
      <c r="F75" s="18">
        <v>1</v>
      </c>
      <c r="G75" s="15"/>
      <c r="H75" s="19"/>
      <c r="I75" s="137">
        <f t="shared" si="57"/>
        <v>9</v>
      </c>
      <c r="J75" s="143">
        <f t="shared" si="58"/>
        <v>7.75</v>
      </c>
      <c r="K75" s="144">
        <f t="shared" si="51"/>
        <v>0.25</v>
      </c>
      <c r="L75" s="145">
        <f t="shared" si="59"/>
        <v>0</v>
      </c>
      <c r="M75" s="146">
        <f t="shared" si="60"/>
        <v>0</v>
      </c>
      <c r="N75" s="147">
        <f>SUMIF(日報!B4:B691,$A75,日報!L4:L691)</f>
        <v>0</v>
      </c>
      <c r="O75" s="147">
        <f t="shared" si="52"/>
        <v>8</v>
      </c>
      <c r="P75" s="151"/>
      <c r="Q75" s="42" t="str">
        <f t="shared" si="61"/>
        <v/>
      </c>
      <c r="R75" s="154"/>
      <c r="S75" s="10" t="str">
        <f t="shared" si="53"/>
        <v/>
      </c>
      <c r="T75" s="11"/>
      <c r="U75" s="12"/>
      <c r="V75" s="136"/>
      <c r="W75" s="16"/>
      <c r="X75" s="17"/>
      <c r="Y75" s="18"/>
      <c r="Z75" s="15"/>
      <c r="AA75" s="15"/>
      <c r="AB75" s="155">
        <f t="shared" si="62"/>
        <v>0</v>
      </c>
      <c r="AC75" s="157">
        <f t="shared" si="63"/>
        <v>0</v>
      </c>
      <c r="AD75" s="144">
        <f t="shared" si="54"/>
        <v>0</v>
      </c>
      <c r="AE75" s="145">
        <f t="shared" si="55"/>
        <v>0</v>
      </c>
      <c r="AF75" s="146">
        <f t="shared" si="64"/>
        <v>0</v>
      </c>
      <c r="AH75" s="274">
        <f>SUMIF(日報!$T$4:$T$885,TEXT(YEAR(A75),"0000")&amp;TEXT(MONTH(A75),"00")&amp;TEXT(DAY(A75),"00")&amp;"SCSK",日報!$L$4:$L$885)</f>
        <v>0</v>
      </c>
      <c r="AI75" s="275">
        <f t="shared" si="32"/>
        <v>0</v>
      </c>
    </row>
    <row r="76" spans="1:35" s="2" customFormat="1" outlineLevel="1" x14ac:dyDescent="0.15">
      <c r="A76" s="168">
        <f t="shared" si="65"/>
        <v>43901</v>
      </c>
      <c r="B76" s="167">
        <f t="shared" si="56"/>
        <v>43901</v>
      </c>
      <c r="C76" s="32"/>
      <c r="D76" s="16">
        <v>0.38541666666666669</v>
      </c>
      <c r="E76" s="17">
        <v>0.76041666666666663</v>
      </c>
      <c r="F76" s="18">
        <v>1</v>
      </c>
      <c r="G76" s="15"/>
      <c r="H76" s="19"/>
      <c r="I76" s="137">
        <f t="shared" si="57"/>
        <v>9</v>
      </c>
      <c r="J76" s="143">
        <f t="shared" si="58"/>
        <v>7.75</v>
      </c>
      <c r="K76" s="144">
        <f t="shared" si="51"/>
        <v>0.25</v>
      </c>
      <c r="L76" s="145">
        <f t="shared" si="59"/>
        <v>0</v>
      </c>
      <c r="M76" s="146">
        <f t="shared" si="60"/>
        <v>0</v>
      </c>
      <c r="N76" s="147">
        <f>SUMIF(日報!B4:B691,$A76,日報!L4:L691)</f>
        <v>0</v>
      </c>
      <c r="O76" s="147">
        <f t="shared" si="52"/>
        <v>8</v>
      </c>
      <c r="P76" s="151"/>
      <c r="Q76" s="42" t="str">
        <f t="shared" si="61"/>
        <v/>
      </c>
      <c r="R76" s="154"/>
      <c r="S76" s="10" t="str">
        <f t="shared" si="53"/>
        <v/>
      </c>
      <c r="T76" s="11"/>
      <c r="U76" s="12"/>
      <c r="V76" s="136"/>
      <c r="W76" s="16"/>
      <c r="X76" s="17"/>
      <c r="Y76" s="18"/>
      <c r="Z76" s="15"/>
      <c r="AA76" s="15"/>
      <c r="AB76" s="155">
        <f t="shared" si="62"/>
        <v>0</v>
      </c>
      <c r="AC76" s="157">
        <f t="shared" si="63"/>
        <v>0</v>
      </c>
      <c r="AD76" s="144">
        <f t="shared" si="54"/>
        <v>0</v>
      </c>
      <c r="AE76" s="145">
        <f t="shared" si="55"/>
        <v>0</v>
      </c>
      <c r="AF76" s="146">
        <f t="shared" si="64"/>
        <v>0</v>
      </c>
      <c r="AH76" s="274">
        <f>SUMIF(日報!$T$4:$T$885,TEXT(YEAR(A76),"0000")&amp;TEXT(MONTH(A76),"00")&amp;TEXT(DAY(A76),"00")&amp;"SCSK",日報!$L$4:$L$885)</f>
        <v>0</v>
      </c>
      <c r="AI76" s="275">
        <f t="shared" si="32"/>
        <v>0</v>
      </c>
    </row>
    <row r="77" spans="1:35" s="2" customFormat="1" outlineLevel="1" x14ac:dyDescent="0.15">
      <c r="A77" s="168">
        <f t="shared" si="65"/>
        <v>43902</v>
      </c>
      <c r="B77" s="167">
        <f t="shared" si="56"/>
        <v>43902</v>
      </c>
      <c r="C77" s="32"/>
      <c r="D77" s="16">
        <v>0.38541666666666669</v>
      </c>
      <c r="E77" s="17">
        <v>0.76041666666666663</v>
      </c>
      <c r="F77" s="18">
        <v>1</v>
      </c>
      <c r="G77" s="15"/>
      <c r="H77" s="19"/>
      <c r="I77" s="137">
        <f t="shared" si="57"/>
        <v>9</v>
      </c>
      <c r="J77" s="143">
        <f t="shared" si="58"/>
        <v>7.75</v>
      </c>
      <c r="K77" s="144">
        <f t="shared" si="51"/>
        <v>0.25</v>
      </c>
      <c r="L77" s="145">
        <f t="shared" si="59"/>
        <v>0</v>
      </c>
      <c r="M77" s="146">
        <f t="shared" si="60"/>
        <v>0</v>
      </c>
      <c r="N77" s="147">
        <f>SUMIF(日報!B4:B691,$A77,日報!L4:L691)</f>
        <v>0</v>
      </c>
      <c r="O77" s="147">
        <f t="shared" si="52"/>
        <v>8</v>
      </c>
      <c r="P77" s="151"/>
      <c r="Q77" s="42" t="str">
        <f t="shared" si="61"/>
        <v/>
      </c>
      <c r="R77" s="154"/>
      <c r="S77" s="10" t="str">
        <f t="shared" si="53"/>
        <v/>
      </c>
      <c r="T77" s="11"/>
      <c r="U77" s="12"/>
      <c r="V77" s="136"/>
      <c r="W77" s="16"/>
      <c r="X77" s="17"/>
      <c r="Y77" s="18"/>
      <c r="Z77" s="15"/>
      <c r="AA77" s="15"/>
      <c r="AB77" s="155">
        <f t="shared" si="62"/>
        <v>0</v>
      </c>
      <c r="AC77" s="157">
        <f t="shared" si="63"/>
        <v>0</v>
      </c>
      <c r="AD77" s="144">
        <f t="shared" si="54"/>
        <v>0</v>
      </c>
      <c r="AE77" s="145">
        <f t="shared" si="55"/>
        <v>0</v>
      </c>
      <c r="AF77" s="146">
        <f t="shared" si="64"/>
        <v>0</v>
      </c>
      <c r="AH77" s="274">
        <f>SUMIF(日報!$T$4:$T$885,TEXT(YEAR(A77),"0000")&amp;TEXT(MONTH(A77),"00")&amp;TEXT(DAY(A77),"00")&amp;"SCSK",日報!$L$4:$L$885)</f>
        <v>0</v>
      </c>
      <c r="AI77" s="275">
        <f t="shared" si="32"/>
        <v>0</v>
      </c>
    </row>
    <row r="78" spans="1:35" s="2" customFormat="1" outlineLevel="1" x14ac:dyDescent="0.15">
      <c r="A78" s="168">
        <f t="shared" si="65"/>
        <v>43903</v>
      </c>
      <c r="B78" s="167">
        <f t="shared" si="56"/>
        <v>43903</v>
      </c>
      <c r="C78" s="32"/>
      <c r="D78" s="16">
        <v>0.38541666666666669</v>
      </c>
      <c r="E78" s="17">
        <v>0.80208333333333337</v>
      </c>
      <c r="F78" s="18">
        <v>1</v>
      </c>
      <c r="G78" s="15"/>
      <c r="H78" s="19"/>
      <c r="I78" s="137">
        <f t="shared" si="57"/>
        <v>10</v>
      </c>
      <c r="J78" s="143">
        <f t="shared" si="58"/>
        <v>7.75</v>
      </c>
      <c r="K78" s="144">
        <f t="shared" si="51"/>
        <v>1.25</v>
      </c>
      <c r="L78" s="145">
        <f t="shared" si="59"/>
        <v>0</v>
      </c>
      <c r="M78" s="146">
        <f t="shared" si="60"/>
        <v>0</v>
      </c>
      <c r="N78" s="147">
        <f>SUMIF(日報!B4:B691,$A78,日報!L4:L691)</f>
        <v>0</v>
      </c>
      <c r="O78" s="147">
        <f t="shared" si="52"/>
        <v>9</v>
      </c>
      <c r="P78" s="151"/>
      <c r="Q78" s="42" t="str">
        <f t="shared" si="61"/>
        <v/>
      </c>
      <c r="R78" s="154"/>
      <c r="S78" s="10" t="str">
        <f t="shared" si="53"/>
        <v/>
      </c>
      <c r="T78" s="11"/>
      <c r="U78" s="12"/>
      <c r="V78" s="136"/>
      <c r="W78" s="16"/>
      <c r="X78" s="17"/>
      <c r="Y78" s="18"/>
      <c r="Z78" s="15"/>
      <c r="AA78" s="15"/>
      <c r="AB78" s="155">
        <f t="shared" si="62"/>
        <v>0</v>
      </c>
      <c r="AC78" s="157">
        <f t="shared" si="63"/>
        <v>0</v>
      </c>
      <c r="AD78" s="144">
        <f t="shared" si="54"/>
        <v>0</v>
      </c>
      <c r="AE78" s="145">
        <f t="shared" si="55"/>
        <v>0</v>
      </c>
      <c r="AF78" s="146">
        <f t="shared" si="64"/>
        <v>0</v>
      </c>
      <c r="AH78" s="274">
        <f>SUMIF(日報!$T$4:$T$885,TEXT(YEAR(A78),"0000")&amp;TEXT(MONTH(A78),"00")&amp;TEXT(DAY(A78),"00")&amp;"SCSK",日報!$L$4:$L$885)</f>
        <v>0</v>
      </c>
      <c r="AI78" s="275">
        <f t="shared" si="32"/>
        <v>0</v>
      </c>
    </row>
    <row r="79" spans="1:35" s="2" customFormat="1" outlineLevel="1" x14ac:dyDescent="0.15">
      <c r="A79" s="168">
        <f t="shared" si="65"/>
        <v>43904</v>
      </c>
      <c r="B79" s="167">
        <f t="shared" si="56"/>
        <v>43904</v>
      </c>
      <c r="C79" s="32">
        <v>1</v>
      </c>
      <c r="D79" s="16"/>
      <c r="E79" s="17"/>
      <c r="F79" s="18"/>
      <c r="G79" s="15"/>
      <c r="H79" s="19"/>
      <c r="I79" s="137">
        <f t="shared" si="57"/>
        <v>0</v>
      </c>
      <c r="J79" s="143">
        <f t="shared" si="58"/>
        <v>0</v>
      </c>
      <c r="K79" s="144">
        <f t="shared" si="51"/>
        <v>0</v>
      </c>
      <c r="L79" s="145">
        <f t="shared" si="59"/>
        <v>0</v>
      </c>
      <c r="M79" s="146">
        <f t="shared" si="60"/>
        <v>0</v>
      </c>
      <c r="N79" s="147">
        <f>SUMIF(日報!B4:B691,$A79,日報!L4:L691)</f>
        <v>0</v>
      </c>
      <c r="O79" s="147">
        <f t="shared" si="52"/>
        <v>0</v>
      </c>
      <c r="P79" s="151"/>
      <c r="Q79" s="42" t="str">
        <f t="shared" si="61"/>
        <v/>
      </c>
      <c r="R79" s="154"/>
      <c r="S79" s="10" t="str">
        <f t="shared" si="53"/>
        <v/>
      </c>
      <c r="T79" s="11"/>
      <c r="U79" s="12"/>
      <c r="V79" s="136"/>
      <c r="W79" s="16"/>
      <c r="X79" s="17"/>
      <c r="Y79" s="18"/>
      <c r="Z79" s="15"/>
      <c r="AA79" s="15"/>
      <c r="AB79" s="155">
        <f t="shared" si="62"/>
        <v>0</v>
      </c>
      <c r="AC79" s="157">
        <f t="shared" si="63"/>
        <v>0</v>
      </c>
      <c r="AD79" s="144">
        <f t="shared" si="54"/>
        <v>0</v>
      </c>
      <c r="AE79" s="145">
        <f t="shared" si="55"/>
        <v>0</v>
      </c>
      <c r="AF79" s="146">
        <f t="shared" si="64"/>
        <v>0</v>
      </c>
      <c r="AH79" s="274">
        <f>SUMIF(日報!$T$4:$T$885,TEXT(YEAR(A79),"0000")&amp;TEXT(MONTH(A79),"00")&amp;TEXT(DAY(A79),"00")&amp;"SCSK",日報!$L$4:$L$885)</f>
        <v>0</v>
      </c>
      <c r="AI79" s="275">
        <f t="shared" si="32"/>
        <v>0</v>
      </c>
    </row>
    <row r="80" spans="1:35" s="2" customFormat="1" outlineLevel="1" x14ac:dyDescent="0.15">
      <c r="A80" s="168">
        <f t="shared" si="65"/>
        <v>43905</v>
      </c>
      <c r="B80" s="167">
        <f t="shared" si="56"/>
        <v>43905</v>
      </c>
      <c r="C80" s="32">
        <v>1</v>
      </c>
      <c r="D80" s="16"/>
      <c r="E80" s="17"/>
      <c r="F80" s="18"/>
      <c r="G80" s="15"/>
      <c r="H80" s="19"/>
      <c r="I80" s="137">
        <f t="shared" si="57"/>
        <v>0</v>
      </c>
      <c r="J80" s="143">
        <f t="shared" si="58"/>
        <v>0</v>
      </c>
      <c r="K80" s="144">
        <f t="shared" si="51"/>
        <v>0</v>
      </c>
      <c r="L80" s="145">
        <f t="shared" si="59"/>
        <v>0</v>
      </c>
      <c r="M80" s="146">
        <f t="shared" si="60"/>
        <v>0</v>
      </c>
      <c r="N80" s="147">
        <f>SUMIF(日報!B4:B691,$A80,日報!L4:L691)</f>
        <v>0</v>
      </c>
      <c r="O80" s="147">
        <f t="shared" si="52"/>
        <v>0</v>
      </c>
      <c r="P80" s="151"/>
      <c r="Q80" s="42" t="str">
        <f t="shared" si="61"/>
        <v/>
      </c>
      <c r="R80" s="154"/>
      <c r="S80" s="10" t="str">
        <f t="shared" si="53"/>
        <v/>
      </c>
      <c r="T80" s="11"/>
      <c r="U80" s="12"/>
      <c r="V80" s="136"/>
      <c r="W80" s="16"/>
      <c r="X80" s="17"/>
      <c r="Y80" s="18"/>
      <c r="Z80" s="15"/>
      <c r="AA80" s="15"/>
      <c r="AB80" s="155">
        <f t="shared" si="62"/>
        <v>0</v>
      </c>
      <c r="AC80" s="157">
        <f t="shared" si="63"/>
        <v>0</v>
      </c>
      <c r="AD80" s="144">
        <f t="shared" si="54"/>
        <v>0</v>
      </c>
      <c r="AE80" s="145">
        <f t="shared" si="55"/>
        <v>0</v>
      </c>
      <c r="AF80" s="146">
        <f t="shared" si="64"/>
        <v>0</v>
      </c>
      <c r="AH80" s="274">
        <f>SUMIF(日報!$T$4:$T$885,TEXT(YEAR(A80),"0000")&amp;TEXT(MONTH(A80),"00")&amp;TEXT(DAY(A80),"00")&amp;"SCSK",日報!$L$4:$L$885)</f>
        <v>0</v>
      </c>
      <c r="AI80" s="275">
        <f t="shared" si="32"/>
        <v>0</v>
      </c>
    </row>
    <row r="81" spans="1:35" s="2" customFormat="1" outlineLevel="1" x14ac:dyDescent="0.15">
      <c r="A81" s="168">
        <f t="shared" si="65"/>
        <v>43906</v>
      </c>
      <c r="B81" s="167">
        <f t="shared" si="56"/>
        <v>43906</v>
      </c>
      <c r="C81" s="32"/>
      <c r="D81" s="16">
        <v>0.38541666666666669</v>
      </c>
      <c r="E81" s="17">
        <v>0.84375</v>
      </c>
      <c r="F81" s="18">
        <v>1</v>
      </c>
      <c r="G81" s="15"/>
      <c r="H81" s="19"/>
      <c r="I81" s="137">
        <f t="shared" si="57"/>
        <v>11</v>
      </c>
      <c r="J81" s="143">
        <f t="shared" si="58"/>
        <v>7.75</v>
      </c>
      <c r="K81" s="144">
        <f t="shared" si="51"/>
        <v>2.25</v>
      </c>
      <c r="L81" s="145">
        <f t="shared" si="59"/>
        <v>0</v>
      </c>
      <c r="M81" s="146">
        <f t="shared" si="60"/>
        <v>0</v>
      </c>
      <c r="N81" s="147">
        <f>SUMIF(日報!B4:B691,$A81,日報!L4:L691)</f>
        <v>8</v>
      </c>
      <c r="O81" s="147">
        <f t="shared" si="52"/>
        <v>2</v>
      </c>
      <c r="P81" s="151"/>
      <c r="Q81" s="42" t="str">
        <f t="shared" si="61"/>
        <v/>
      </c>
      <c r="R81" s="154"/>
      <c r="S81" s="10" t="str">
        <f t="shared" si="53"/>
        <v/>
      </c>
      <c r="T81" s="11"/>
      <c r="U81" s="12"/>
      <c r="V81" s="136"/>
      <c r="W81" s="16"/>
      <c r="X81" s="17"/>
      <c r="Y81" s="18"/>
      <c r="Z81" s="15"/>
      <c r="AA81" s="15"/>
      <c r="AB81" s="155">
        <f t="shared" si="62"/>
        <v>0</v>
      </c>
      <c r="AC81" s="157">
        <f t="shared" si="63"/>
        <v>0</v>
      </c>
      <c r="AD81" s="144">
        <f t="shared" si="54"/>
        <v>0</v>
      </c>
      <c r="AE81" s="145">
        <f t="shared" si="55"/>
        <v>0</v>
      </c>
      <c r="AF81" s="146">
        <f t="shared" si="64"/>
        <v>0</v>
      </c>
      <c r="AH81" s="274">
        <f>SUMIF(日報!$T$4:$T$885,TEXT(YEAR(A81),"0000")&amp;TEXT(MONTH(A81),"00")&amp;TEXT(DAY(A81),"00")&amp;"SCSK",日報!$L$4:$L$885)</f>
        <v>0</v>
      </c>
      <c r="AI81" s="275">
        <f t="shared" si="32"/>
        <v>8</v>
      </c>
    </row>
    <row r="82" spans="1:35" s="2" customFormat="1" outlineLevel="1" x14ac:dyDescent="0.15">
      <c r="A82" s="168">
        <f t="shared" si="65"/>
        <v>43907</v>
      </c>
      <c r="B82" s="167">
        <f t="shared" si="56"/>
        <v>43907</v>
      </c>
      <c r="C82" s="32"/>
      <c r="D82" s="16">
        <v>0.38541666666666669</v>
      </c>
      <c r="E82" s="17">
        <v>0.84375</v>
      </c>
      <c r="F82" s="18">
        <v>1</v>
      </c>
      <c r="G82" s="15"/>
      <c r="H82" s="19"/>
      <c r="I82" s="137">
        <f t="shared" si="57"/>
        <v>11</v>
      </c>
      <c r="J82" s="143">
        <f t="shared" si="58"/>
        <v>7.75</v>
      </c>
      <c r="K82" s="144">
        <f t="shared" si="51"/>
        <v>2.25</v>
      </c>
      <c r="L82" s="145">
        <f t="shared" si="59"/>
        <v>0</v>
      </c>
      <c r="M82" s="146">
        <f t="shared" si="60"/>
        <v>0</v>
      </c>
      <c r="N82" s="147">
        <f>SUMIF(日報!B4:B691,$A82,日報!L4:L691)</f>
        <v>7</v>
      </c>
      <c r="O82" s="147">
        <f t="shared" si="52"/>
        <v>3</v>
      </c>
      <c r="P82" s="151"/>
      <c r="Q82" s="42" t="str">
        <f t="shared" si="61"/>
        <v/>
      </c>
      <c r="R82" s="154"/>
      <c r="S82" s="10" t="str">
        <f t="shared" si="53"/>
        <v/>
      </c>
      <c r="T82" s="11"/>
      <c r="U82" s="12"/>
      <c r="V82" s="136"/>
      <c r="W82" s="16"/>
      <c r="X82" s="17"/>
      <c r="Y82" s="18"/>
      <c r="Z82" s="15"/>
      <c r="AA82" s="15"/>
      <c r="AB82" s="155">
        <f t="shared" si="62"/>
        <v>0</v>
      </c>
      <c r="AC82" s="157">
        <f t="shared" si="63"/>
        <v>0</v>
      </c>
      <c r="AD82" s="144">
        <f t="shared" si="54"/>
        <v>0</v>
      </c>
      <c r="AE82" s="145">
        <f t="shared" si="55"/>
        <v>0</v>
      </c>
      <c r="AF82" s="146">
        <f t="shared" si="64"/>
        <v>0</v>
      </c>
      <c r="AH82" s="274">
        <f>SUMIF(日報!$T$4:$T$885,TEXT(YEAR(A82),"0000")&amp;TEXT(MONTH(A82),"00")&amp;TEXT(DAY(A82),"00")&amp;"SCSK",日報!$L$4:$L$885)</f>
        <v>0</v>
      </c>
      <c r="AI82" s="275">
        <f t="shared" si="32"/>
        <v>7</v>
      </c>
    </row>
    <row r="83" spans="1:35" s="2" customFormat="1" outlineLevel="1" x14ac:dyDescent="0.15">
      <c r="A83" s="168">
        <f t="shared" si="65"/>
        <v>43908</v>
      </c>
      <c r="B83" s="167">
        <f t="shared" si="56"/>
        <v>43908</v>
      </c>
      <c r="C83" s="32"/>
      <c r="D83" s="16">
        <v>0.38541666666666669</v>
      </c>
      <c r="E83" s="17">
        <v>0.84375</v>
      </c>
      <c r="F83" s="18">
        <v>1</v>
      </c>
      <c r="G83" s="15"/>
      <c r="H83" s="19"/>
      <c r="I83" s="137">
        <f t="shared" si="57"/>
        <v>11</v>
      </c>
      <c r="J83" s="143">
        <f t="shared" si="58"/>
        <v>7.75</v>
      </c>
      <c r="K83" s="144">
        <f t="shared" si="51"/>
        <v>2.25</v>
      </c>
      <c r="L83" s="145">
        <f t="shared" si="59"/>
        <v>0</v>
      </c>
      <c r="M83" s="146">
        <f t="shared" si="60"/>
        <v>0</v>
      </c>
      <c r="N83" s="147">
        <f>SUMIF(日報!B4:B691,$A83,日報!L4:L691)</f>
        <v>7</v>
      </c>
      <c r="O83" s="147">
        <f t="shared" si="52"/>
        <v>3</v>
      </c>
      <c r="P83" s="151"/>
      <c r="Q83" s="42" t="str">
        <f t="shared" si="61"/>
        <v/>
      </c>
      <c r="R83" s="154"/>
      <c r="S83" s="10" t="str">
        <f t="shared" si="53"/>
        <v/>
      </c>
      <c r="T83" s="11"/>
      <c r="U83" s="12"/>
      <c r="V83" s="136"/>
      <c r="W83" s="16"/>
      <c r="X83" s="17"/>
      <c r="Y83" s="18"/>
      <c r="Z83" s="15"/>
      <c r="AA83" s="15"/>
      <c r="AB83" s="155">
        <f t="shared" si="62"/>
        <v>0</v>
      </c>
      <c r="AC83" s="157">
        <f t="shared" si="63"/>
        <v>0</v>
      </c>
      <c r="AD83" s="144">
        <f t="shared" si="54"/>
        <v>0</v>
      </c>
      <c r="AE83" s="145">
        <f t="shared" si="55"/>
        <v>0</v>
      </c>
      <c r="AF83" s="146">
        <f t="shared" si="64"/>
        <v>0</v>
      </c>
      <c r="AH83" s="274">
        <f>SUMIF(日報!$T$4:$T$885,TEXT(YEAR(A83),"0000")&amp;TEXT(MONTH(A83),"00")&amp;TEXT(DAY(A83),"00")&amp;"SCSK",日報!$L$4:$L$885)</f>
        <v>0</v>
      </c>
      <c r="AI83" s="275">
        <f t="shared" si="32"/>
        <v>7</v>
      </c>
    </row>
    <row r="84" spans="1:35" s="2" customFormat="1" outlineLevel="1" x14ac:dyDescent="0.15">
      <c r="A84" s="168">
        <f t="shared" si="65"/>
        <v>43909</v>
      </c>
      <c r="B84" s="167">
        <f t="shared" si="56"/>
        <v>43909</v>
      </c>
      <c r="C84" s="32"/>
      <c r="D84" s="16">
        <v>0.38541666666666669</v>
      </c>
      <c r="E84" s="17">
        <v>0.84375</v>
      </c>
      <c r="F84" s="18">
        <v>1</v>
      </c>
      <c r="G84" s="15"/>
      <c r="H84" s="19"/>
      <c r="I84" s="137">
        <f t="shared" si="57"/>
        <v>11</v>
      </c>
      <c r="J84" s="143">
        <f t="shared" si="58"/>
        <v>7.75</v>
      </c>
      <c r="K84" s="144">
        <f t="shared" si="51"/>
        <v>2.25</v>
      </c>
      <c r="L84" s="145">
        <f t="shared" si="59"/>
        <v>0</v>
      </c>
      <c r="M84" s="146">
        <f t="shared" si="60"/>
        <v>0</v>
      </c>
      <c r="N84" s="147">
        <f>SUMIF(日報!B4:B691,$A84,日報!L4:L691)</f>
        <v>7</v>
      </c>
      <c r="O84" s="147">
        <f t="shared" si="52"/>
        <v>3</v>
      </c>
      <c r="P84" s="151"/>
      <c r="Q84" s="42" t="str">
        <f t="shared" si="61"/>
        <v/>
      </c>
      <c r="R84" s="154"/>
      <c r="S84" s="10" t="str">
        <f t="shared" si="53"/>
        <v/>
      </c>
      <c r="T84" s="11"/>
      <c r="U84" s="12"/>
      <c r="V84" s="136"/>
      <c r="W84" s="16"/>
      <c r="X84" s="17"/>
      <c r="Y84" s="18"/>
      <c r="Z84" s="15"/>
      <c r="AA84" s="15"/>
      <c r="AB84" s="155">
        <f t="shared" si="62"/>
        <v>0</v>
      </c>
      <c r="AC84" s="157">
        <f t="shared" si="63"/>
        <v>0</v>
      </c>
      <c r="AD84" s="144">
        <f t="shared" si="54"/>
        <v>0</v>
      </c>
      <c r="AE84" s="145">
        <f t="shared" si="55"/>
        <v>0</v>
      </c>
      <c r="AF84" s="146">
        <f t="shared" si="64"/>
        <v>0</v>
      </c>
      <c r="AH84" s="274">
        <f>SUMIF(日報!$T$4:$T$885,TEXT(YEAR(A84),"0000")&amp;TEXT(MONTH(A84),"00")&amp;TEXT(DAY(A84),"00")&amp;"SCSK",日報!$L$4:$L$885)</f>
        <v>0</v>
      </c>
      <c r="AI84" s="275">
        <f t="shared" si="32"/>
        <v>7</v>
      </c>
    </row>
    <row r="85" spans="1:35" s="2" customFormat="1" outlineLevel="1" x14ac:dyDescent="0.15">
      <c r="A85" s="168">
        <f t="shared" si="65"/>
        <v>43910</v>
      </c>
      <c r="B85" s="167">
        <f t="shared" si="56"/>
        <v>43910</v>
      </c>
      <c r="C85" s="32">
        <v>1</v>
      </c>
      <c r="D85" s="16"/>
      <c r="E85" s="17"/>
      <c r="F85" s="18"/>
      <c r="G85" s="15"/>
      <c r="H85" s="19"/>
      <c r="I85" s="137">
        <f t="shared" si="57"/>
        <v>0</v>
      </c>
      <c r="J85" s="143">
        <f t="shared" si="58"/>
        <v>0</v>
      </c>
      <c r="K85" s="144">
        <f t="shared" si="51"/>
        <v>0</v>
      </c>
      <c r="L85" s="145">
        <f t="shared" si="59"/>
        <v>0</v>
      </c>
      <c r="M85" s="146">
        <f t="shared" si="60"/>
        <v>0</v>
      </c>
      <c r="N85" s="147">
        <f>SUMIF(日報!B4:B691,$A85,日報!L4:L691)</f>
        <v>0</v>
      </c>
      <c r="O85" s="147">
        <f t="shared" si="52"/>
        <v>0</v>
      </c>
      <c r="P85" s="151"/>
      <c r="Q85" s="42" t="str">
        <f t="shared" si="61"/>
        <v/>
      </c>
      <c r="R85" s="154"/>
      <c r="S85" s="10" t="str">
        <f t="shared" si="53"/>
        <v/>
      </c>
      <c r="T85" s="11"/>
      <c r="U85" s="12"/>
      <c r="V85" s="136"/>
      <c r="W85" s="16"/>
      <c r="X85" s="17"/>
      <c r="Y85" s="18"/>
      <c r="Z85" s="15"/>
      <c r="AA85" s="15"/>
      <c r="AB85" s="155">
        <f t="shared" si="62"/>
        <v>0</v>
      </c>
      <c r="AC85" s="157">
        <f t="shared" si="63"/>
        <v>0</v>
      </c>
      <c r="AD85" s="144">
        <f t="shared" si="54"/>
        <v>0</v>
      </c>
      <c r="AE85" s="145">
        <f t="shared" si="55"/>
        <v>0</v>
      </c>
      <c r="AF85" s="146">
        <f t="shared" si="64"/>
        <v>0</v>
      </c>
      <c r="AH85" s="274">
        <f>SUMIF(日報!$T$4:$T$885,TEXT(YEAR(A85),"0000")&amp;TEXT(MONTH(A85),"00")&amp;TEXT(DAY(A85),"00")&amp;"SCSK",日報!$L$4:$L$885)</f>
        <v>0</v>
      </c>
      <c r="AI85" s="275">
        <f t="shared" si="32"/>
        <v>0</v>
      </c>
    </row>
    <row r="86" spans="1:35" s="2" customFormat="1" outlineLevel="1" x14ac:dyDescent="0.15">
      <c r="A86" s="168">
        <f t="shared" si="65"/>
        <v>43911</v>
      </c>
      <c r="B86" s="167">
        <f t="shared" si="56"/>
        <v>43911</v>
      </c>
      <c r="C86" s="32">
        <v>1</v>
      </c>
      <c r="D86" s="16"/>
      <c r="E86" s="17"/>
      <c r="F86" s="18"/>
      <c r="G86" s="15"/>
      <c r="H86" s="19"/>
      <c r="I86" s="137">
        <f t="shared" si="57"/>
        <v>0</v>
      </c>
      <c r="J86" s="143">
        <f t="shared" si="58"/>
        <v>0</v>
      </c>
      <c r="K86" s="144">
        <f t="shared" si="51"/>
        <v>0</v>
      </c>
      <c r="L86" s="145">
        <f t="shared" si="59"/>
        <v>0</v>
      </c>
      <c r="M86" s="146">
        <f t="shared" si="60"/>
        <v>0</v>
      </c>
      <c r="N86" s="147">
        <f>SUMIF(日報!B4:B691,$A86,日報!L4:L691)</f>
        <v>0</v>
      </c>
      <c r="O86" s="147">
        <f t="shared" si="52"/>
        <v>0</v>
      </c>
      <c r="P86" s="151"/>
      <c r="Q86" s="42" t="str">
        <f t="shared" si="61"/>
        <v/>
      </c>
      <c r="R86" s="154"/>
      <c r="S86" s="10" t="str">
        <f t="shared" si="53"/>
        <v/>
      </c>
      <c r="T86" s="11"/>
      <c r="U86" s="12"/>
      <c r="V86" s="136"/>
      <c r="W86" s="16"/>
      <c r="X86" s="17"/>
      <c r="Y86" s="18"/>
      <c r="Z86" s="15"/>
      <c r="AA86" s="15"/>
      <c r="AB86" s="155">
        <f t="shared" si="62"/>
        <v>0</v>
      </c>
      <c r="AC86" s="157">
        <f t="shared" si="63"/>
        <v>0</v>
      </c>
      <c r="AD86" s="144">
        <f t="shared" si="54"/>
        <v>0</v>
      </c>
      <c r="AE86" s="145">
        <f t="shared" si="55"/>
        <v>0</v>
      </c>
      <c r="AF86" s="146">
        <f t="shared" si="64"/>
        <v>0</v>
      </c>
      <c r="AH86" s="274">
        <f>SUMIF(日報!$T$4:$T$885,TEXT(YEAR(A86),"0000")&amp;TEXT(MONTH(A86),"00")&amp;TEXT(DAY(A86),"00")&amp;"SCSK",日報!$L$4:$L$885)</f>
        <v>0</v>
      </c>
      <c r="AI86" s="275">
        <f t="shared" si="32"/>
        <v>0</v>
      </c>
    </row>
    <row r="87" spans="1:35" s="2" customFormat="1" outlineLevel="1" x14ac:dyDescent="0.15">
      <c r="A87" s="168">
        <f t="shared" si="65"/>
        <v>43912</v>
      </c>
      <c r="B87" s="167">
        <f t="shared" si="56"/>
        <v>43912</v>
      </c>
      <c r="C87" s="32">
        <v>1</v>
      </c>
      <c r="D87" s="16"/>
      <c r="E87" s="17"/>
      <c r="F87" s="18"/>
      <c r="G87" s="15"/>
      <c r="H87" s="19"/>
      <c r="I87" s="137">
        <f t="shared" si="57"/>
        <v>0</v>
      </c>
      <c r="J87" s="143">
        <f t="shared" si="58"/>
        <v>0</v>
      </c>
      <c r="K87" s="144">
        <f t="shared" si="51"/>
        <v>0</v>
      </c>
      <c r="L87" s="145">
        <f t="shared" si="59"/>
        <v>0</v>
      </c>
      <c r="M87" s="146">
        <f t="shared" si="60"/>
        <v>0</v>
      </c>
      <c r="N87" s="147">
        <f>SUMIF(日報!B4:B691,$A87,日報!L4:L691)</f>
        <v>0</v>
      </c>
      <c r="O87" s="147">
        <f t="shared" si="52"/>
        <v>0</v>
      </c>
      <c r="P87" s="151"/>
      <c r="Q87" s="42" t="str">
        <f t="shared" si="61"/>
        <v/>
      </c>
      <c r="R87" s="154"/>
      <c r="S87" s="10" t="str">
        <f t="shared" si="53"/>
        <v/>
      </c>
      <c r="T87" s="11"/>
      <c r="U87" s="12"/>
      <c r="V87" s="136"/>
      <c r="W87" s="16"/>
      <c r="X87" s="17"/>
      <c r="Y87" s="18"/>
      <c r="Z87" s="15"/>
      <c r="AA87" s="15"/>
      <c r="AB87" s="155">
        <f t="shared" si="62"/>
        <v>0</v>
      </c>
      <c r="AC87" s="157">
        <f t="shared" si="63"/>
        <v>0</v>
      </c>
      <c r="AD87" s="144">
        <f t="shared" si="54"/>
        <v>0</v>
      </c>
      <c r="AE87" s="145">
        <f t="shared" si="55"/>
        <v>0</v>
      </c>
      <c r="AF87" s="146">
        <f t="shared" si="64"/>
        <v>0</v>
      </c>
      <c r="AH87" s="274">
        <f>SUMIF(日報!$T$4:$T$885,TEXT(YEAR(A87),"0000")&amp;TEXT(MONTH(A87),"00")&amp;TEXT(DAY(A87),"00")&amp;"SCSK",日報!$L$4:$L$885)</f>
        <v>0</v>
      </c>
      <c r="AI87" s="275">
        <f t="shared" si="32"/>
        <v>0</v>
      </c>
    </row>
    <row r="88" spans="1:35" s="2" customFormat="1" outlineLevel="1" x14ac:dyDescent="0.15">
      <c r="A88" s="168">
        <f t="shared" si="65"/>
        <v>43913</v>
      </c>
      <c r="B88" s="167">
        <f t="shared" si="56"/>
        <v>43913</v>
      </c>
      <c r="C88" s="32"/>
      <c r="D88" s="16"/>
      <c r="E88" s="17"/>
      <c r="F88" s="18"/>
      <c r="G88" s="15"/>
      <c r="H88" s="19"/>
      <c r="I88" s="137">
        <f t="shared" si="57"/>
        <v>0</v>
      </c>
      <c r="J88" s="143">
        <f t="shared" si="58"/>
        <v>0</v>
      </c>
      <c r="K88" s="144">
        <f t="shared" si="51"/>
        <v>0</v>
      </c>
      <c r="L88" s="145">
        <f t="shared" si="59"/>
        <v>0</v>
      </c>
      <c r="M88" s="146">
        <f t="shared" si="60"/>
        <v>0</v>
      </c>
      <c r="N88" s="147">
        <f>SUMIF(日報!B4:B691,$A88,日報!L4:L691)</f>
        <v>0</v>
      </c>
      <c r="O88" s="147">
        <f t="shared" si="52"/>
        <v>0</v>
      </c>
      <c r="P88" s="151"/>
      <c r="Q88" s="42" t="s">
        <v>280</v>
      </c>
      <c r="R88" s="154"/>
      <c r="S88" s="10" t="str">
        <f t="shared" si="53"/>
        <v/>
      </c>
      <c r="T88" s="11"/>
      <c r="U88" s="12"/>
      <c r="V88" s="136"/>
      <c r="W88" s="16"/>
      <c r="X88" s="17"/>
      <c r="Y88" s="18"/>
      <c r="Z88" s="15"/>
      <c r="AA88" s="15"/>
      <c r="AB88" s="155">
        <f t="shared" si="62"/>
        <v>0</v>
      </c>
      <c r="AC88" s="157">
        <f t="shared" si="63"/>
        <v>0</v>
      </c>
      <c r="AD88" s="144">
        <f t="shared" si="54"/>
        <v>0</v>
      </c>
      <c r="AE88" s="145">
        <f t="shared" si="55"/>
        <v>0</v>
      </c>
      <c r="AF88" s="146">
        <f t="shared" si="64"/>
        <v>0</v>
      </c>
      <c r="AH88" s="274">
        <f>SUMIF(日報!$T$4:$T$885,TEXT(YEAR(A88),"0000")&amp;TEXT(MONTH(A88),"00")&amp;TEXT(DAY(A88),"00")&amp;"SCSK",日報!$L$4:$L$885)</f>
        <v>0</v>
      </c>
      <c r="AI88" s="275">
        <f t="shared" si="32"/>
        <v>0</v>
      </c>
    </row>
    <row r="89" spans="1:35" s="2" customFormat="1" outlineLevel="1" x14ac:dyDescent="0.15">
      <c r="A89" s="168">
        <f t="shared" si="65"/>
        <v>43914</v>
      </c>
      <c r="B89" s="167">
        <f t="shared" si="56"/>
        <v>43914</v>
      </c>
      <c r="C89" s="32"/>
      <c r="D89" s="16">
        <v>0.45833333333333331</v>
      </c>
      <c r="E89" s="17">
        <v>0.76041666666666663</v>
      </c>
      <c r="F89" s="18">
        <v>1</v>
      </c>
      <c r="G89" s="15"/>
      <c r="H89" s="19"/>
      <c r="I89" s="137">
        <f t="shared" si="57"/>
        <v>7.25</v>
      </c>
      <c r="J89" s="143">
        <f t="shared" si="58"/>
        <v>6</v>
      </c>
      <c r="K89" s="144">
        <f t="shared" si="51"/>
        <v>0.25</v>
      </c>
      <c r="L89" s="145">
        <f t="shared" si="59"/>
        <v>0</v>
      </c>
      <c r="M89" s="146">
        <f t="shared" si="60"/>
        <v>0</v>
      </c>
      <c r="N89" s="147">
        <f>SUMIF(日報!B4:B691,$A89,日報!L4:L691)</f>
        <v>4</v>
      </c>
      <c r="O89" s="147">
        <f t="shared" si="52"/>
        <v>2.25</v>
      </c>
      <c r="P89" s="151"/>
      <c r="Q89" s="42" t="s">
        <v>281</v>
      </c>
      <c r="R89" s="154"/>
      <c r="S89" s="10" t="str">
        <f t="shared" si="53"/>
        <v/>
      </c>
      <c r="T89" s="11"/>
      <c r="U89" s="12"/>
      <c r="V89" s="136"/>
      <c r="W89" s="16"/>
      <c r="X89" s="17"/>
      <c r="Y89" s="18"/>
      <c r="Z89" s="15"/>
      <c r="AA89" s="15"/>
      <c r="AB89" s="155">
        <f t="shared" si="62"/>
        <v>0</v>
      </c>
      <c r="AC89" s="157">
        <f t="shared" si="63"/>
        <v>0</v>
      </c>
      <c r="AD89" s="144">
        <f t="shared" si="54"/>
        <v>0</v>
      </c>
      <c r="AE89" s="145">
        <f t="shared" si="55"/>
        <v>0</v>
      </c>
      <c r="AF89" s="146">
        <f t="shared" si="64"/>
        <v>0</v>
      </c>
      <c r="AH89" s="274">
        <f>SUMIF(日報!$T$4:$T$885,TEXT(YEAR(A89),"0000")&amp;TEXT(MONTH(A89),"00")&amp;TEXT(DAY(A89),"00")&amp;"SCSK",日報!$L$4:$L$885)</f>
        <v>0</v>
      </c>
      <c r="AI89" s="275">
        <f t="shared" si="32"/>
        <v>4</v>
      </c>
    </row>
    <row r="90" spans="1:35" s="2" customFormat="1" outlineLevel="1" x14ac:dyDescent="0.15">
      <c r="A90" s="168">
        <f t="shared" si="65"/>
        <v>43915</v>
      </c>
      <c r="B90" s="167">
        <f t="shared" si="56"/>
        <v>43915</v>
      </c>
      <c r="C90" s="32"/>
      <c r="D90" s="16">
        <v>0.38541666666666669</v>
      </c>
      <c r="E90" s="17">
        <v>0.76041666666666663</v>
      </c>
      <c r="F90" s="18">
        <v>1</v>
      </c>
      <c r="G90" s="15"/>
      <c r="H90" s="19"/>
      <c r="I90" s="137">
        <f t="shared" si="57"/>
        <v>9</v>
      </c>
      <c r="J90" s="143">
        <f t="shared" si="58"/>
        <v>7.75</v>
      </c>
      <c r="K90" s="144">
        <f t="shared" si="51"/>
        <v>0.25</v>
      </c>
      <c r="L90" s="145">
        <f t="shared" si="59"/>
        <v>0</v>
      </c>
      <c r="M90" s="146">
        <f t="shared" si="60"/>
        <v>0</v>
      </c>
      <c r="N90" s="147">
        <f>SUMIF(日報!B4:B691,$A90,日報!L4:L691)</f>
        <v>8</v>
      </c>
      <c r="O90" s="147">
        <f t="shared" si="52"/>
        <v>0</v>
      </c>
      <c r="P90" s="151"/>
      <c r="Q90" s="42" t="str">
        <f t="shared" si="61"/>
        <v/>
      </c>
      <c r="R90" s="154"/>
      <c r="S90" s="10" t="str">
        <f t="shared" si="53"/>
        <v/>
      </c>
      <c r="T90" s="11"/>
      <c r="U90" s="12"/>
      <c r="V90" s="136"/>
      <c r="W90" s="16"/>
      <c r="X90" s="17"/>
      <c r="Y90" s="18"/>
      <c r="Z90" s="15"/>
      <c r="AA90" s="15"/>
      <c r="AB90" s="155">
        <f t="shared" si="62"/>
        <v>0</v>
      </c>
      <c r="AC90" s="157">
        <f t="shared" si="63"/>
        <v>0</v>
      </c>
      <c r="AD90" s="144">
        <f t="shared" si="54"/>
        <v>0</v>
      </c>
      <c r="AE90" s="145">
        <f t="shared" si="55"/>
        <v>0</v>
      </c>
      <c r="AF90" s="146">
        <f t="shared" si="64"/>
        <v>0</v>
      </c>
      <c r="AH90" s="274">
        <f>SUMIF(日報!$T$4:$T$885,TEXT(YEAR(A90),"0000")&amp;TEXT(MONTH(A90),"00")&amp;TEXT(DAY(A90),"00")&amp;"SCSK",日報!$L$4:$L$885)</f>
        <v>0</v>
      </c>
      <c r="AI90" s="275">
        <f t="shared" si="32"/>
        <v>8</v>
      </c>
    </row>
    <row r="91" spans="1:35" s="2" customFormat="1" outlineLevel="1" x14ac:dyDescent="0.15">
      <c r="A91" s="168">
        <f t="shared" si="65"/>
        <v>43916</v>
      </c>
      <c r="B91" s="167">
        <f t="shared" si="56"/>
        <v>43916</v>
      </c>
      <c r="C91" s="32"/>
      <c r="D91" s="16">
        <v>0.38541666666666669</v>
      </c>
      <c r="E91" s="17">
        <v>0.76041666666666663</v>
      </c>
      <c r="F91" s="18">
        <v>1</v>
      </c>
      <c r="G91" s="15"/>
      <c r="H91" s="19"/>
      <c r="I91" s="137">
        <f t="shared" si="57"/>
        <v>9</v>
      </c>
      <c r="J91" s="143">
        <f t="shared" si="58"/>
        <v>7.75</v>
      </c>
      <c r="K91" s="144">
        <f t="shared" si="51"/>
        <v>0.25</v>
      </c>
      <c r="L91" s="145">
        <f t="shared" si="59"/>
        <v>0</v>
      </c>
      <c r="M91" s="146">
        <f t="shared" si="60"/>
        <v>0</v>
      </c>
      <c r="N91" s="147">
        <f>SUMIF(日報!B4:B691,$A91,日報!L4:L691)</f>
        <v>8</v>
      </c>
      <c r="O91" s="147">
        <f t="shared" si="52"/>
        <v>0</v>
      </c>
      <c r="P91" s="151"/>
      <c r="Q91" s="42" t="str">
        <f t="shared" si="61"/>
        <v/>
      </c>
      <c r="R91" s="154"/>
      <c r="S91" s="10" t="str">
        <f t="shared" si="53"/>
        <v/>
      </c>
      <c r="T91" s="11"/>
      <c r="U91" s="12"/>
      <c r="V91" s="136"/>
      <c r="W91" s="16"/>
      <c r="X91" s="17"/>
      <c r="Y91" s="18"/>
      <c r="Z91" s="15"/>
      <c r="AA91" s="15"/>
      <c r="AB91" s="155">
        <f t="shared" si="62"/>
        <v>0</v>
      </c>
      <c r="AC91" s="157">
        <f t="shared" si="63"/>
        <v>0</v>
      </c>
      <c r="AD91" s="144">
        <f t="shared" si="54"/>
        <v>0</v>
      </c>
      <c r="AE91" s="145">
        <f t="shared" si="55"/>
        <v>0</v>
      </c>
      <c r="AF91" s="146">
        <f t="shared" si="64"/>
        <v>0</v>
      </c>
      <c r="AH91" s="274">
        <f>SUMIF(日報!$T$4:$T$885,TEXT(YEAR(A91),"0000")&amp;TEXT(MONTH(A91),"00")&amp;TEXT(DAY(A91),"00")&amp;"SCSK",日報!$L$4:$L$885)</f>
        <v>0</v>
      </c>
      <c r="AI91" s="275">
        <f t="shared" si="32"/>
        <v>8</v>
      </c>
    </row>
    <row r="92" spans="1:35" s="2" customFormat="1" outlineLevel="1" x14ac:dyDescent="0.15">
      <c r="A92" s="168">
        <f t="shared" si="65"/>
        <v>43917</v>
      </c>
      <c r="B92" s="167">
        <f t="shared" si="56"/>
        <v>43917</v>
      </c>
      <c r="C92" s="32"/>
      <c r="D92" s="16">
        <v>0.38541666666666669</v>
      </c>
      <c r="E92" s="17">
        <v>0.76041666666666663</v>
      </c>
      <c r="F92" s="18">
        <v>1</v>
      </c>
      <c r="G92" s="15"/>
      <c r="H92" s="19"/>
      <c r="I92" s="137">
        <f t="shared" si="57"/>
        <v>9</v>
      </c>
      <c r="J92" s="143">
        <f t="shared" si="58"/>
        <v>7.75</v>
      </c>
      <c r="K92" s="144">
        <f t="shared" si="51"/>
        <v>0.25</v>
      </c>
      <c r="L92" s="145">
        <f t="shared" si="59"/>
        <v>0</v>
      </c>
      <c r="M92" s="146">
        <f t="shared" si="60"/>
        <v>0</v>
      </c>
      <c r="N92" s="147">
        <f>SUMIF(日報!B4:B691,$A92,日報!L4:L691)</f>
        <v>4</v>
      </c>
      <c r="O92" s="147">
        <f t="shared" si="52"/>
        <v>4</v>
      </c>
      <c r="P92" s="151"/>
      <c r="Q92" s="42" t="str">
        <f t="shared" si="61"/>
        <v/>
      </c>
      <c r="R92" s="154"/>
      <c r="S92" s="10" t="str">
        <f t="shared" si="53"/>
        <v/>
      </c>
      <c r="T92" s="11"/>
      <c r="U92" s="12"/>
      <c r="V92" s="136"/>
      <c r="W92" s="16"/>
      <c r="X92" s="17"/>
      <c r="Y92" s="18"/>
      <c r="Z92" s="15"/>
      <c r="AA92" s="15"/>
      <c r="AB92" s="155">
        <f t="shared" si="62"/>
        <v>0</v>
      </c>
      <c r="AC92" s="157">
        <f t="shared" si="63"/>
        <v>0</v>
      </c>
      <c r="AD92" s="144">
        <f t="shared" si="54"/>
        <v>0</v>
      </c>
      <c r="AE92" s="145">
        <f t="shared" si="55"/>
        <v>0</v>
      </c>
      <c r="AF92" s="146">
        <f t="shared" si="64"/>
        <v>0</v>
      </c>
      <c r="AH92" s="274">
        <f>SUMIF(日報!$T$4:$T$885,TEXT(YEAR(A92),"0000")&amp;TEXT(MONTH(A92),"00")&amp;TEXT(DAY(A92),"00")&amp;"SCSK",日報!$L$4:$L$885)</f>
        <v>0</v>
      </c>
      <c r="AI92" s="275">
        <f t="shared" si="32"/>
        <v>4</v>
      </c>
    </row>
    <row r="93" spans="1:35" s="2" customFormat="1" outlineLevel="1" x14ac:dyDescent="0.15">
      <c r="A93" s="168">
        <f t="shared" si="65"/>
        <v>43918</v>
      </c>
      <c r="B93" s="167">
        <f t="shared" si="56"/>
        <v>43918</v>
      </c>
      <c r="C93" s="32">
        <v>1</v>
      </c>
      <c r="D93" s="16"/>
      <c r="E93" s="17"/>
      <c r="F93" s="18"/>
      <c r="G93" s="15"/>
      <c r="H93" s="19"/>
      <c r="I93" s="137">
        <f t="shared" si="57"/>
        <v>0</v>
      </c>
      <c r="J93" s="143">
        <f t="shared" si="58"/>
        <v>0</v>
      </c>
      <c r="K93" s="144">
        <f t="shared" si="51"/>
        <v>0</v>
      </c>
      <c r="L93" s="145">
        <f t="shared" si="59"/>
        <v>0</v>
      </c>
      <c r="M93" s="146">
        <f t="shared" si="60"/>
        <v>0</v>
      </c>
      <c r="N93" s="147">
        <f>SUMIF(日報!B4:B691,$A93,日報!L4:L691)</f>
        <v>0</v>
      </c>
      <c r="O93" s="147">
        <f t="shared" si="52"/>
        <v>0</v>
      </c>
      <c r="P93" s="151"/>
      <c r="Q93" s="42" t="str">
        <f t="shared" si="61"/>
        <v/>
      </c>
      <c r="R93" s="154"/>
      <c r="S93" s="10" t="str">
        <f>IF(R93&lt;&gt;"","ここに理由を入力！","")</f>
        <v/>
      </c>
      <c r="T93" s="11"/>
      <c r="U93" s="12"/>
      <c r="V93" s="136"/>
      <c r="W93" s="16"/>
      <c r="X93" s="17"/>
      <c r="Y93" s="18"/>
      <c r="Z93" s="15"/>
      <c r="AA93" s="15"/>
      <c r="AB93" s="155">
        <f t="shared" si="62"/>
        <v>0</v>
      </c>
      <c r="AC93" s="157">
        <f t="shared" si="63"/>
        <v>0</v>
      </c>
      <c r="AD93" s="144">
        <f t="shared" si="54"/>
        <v>0</v>
      </c>
      <c r="AE93" s="145">
        <f t="shared" si="55"/>
        <v>0</v>
      </c>
      <c r="AF93" s="146">
        <f t="shared" si="64"/>
        <v>0</v>
      </c>
      <c r="AH93" s="274">
        <f>SUMIF(日報!$T$4:$T$885,TEXT(YEAR(A93),"0000")&amp;TEXT(MONTH(A93),"00")&amp;TEXT(DAY(A93),"00")&amp;"SCSK",日報!$L$4:$L$885)</f>
        <v>0</v>
      </c>
      <c r="AI93" s="275">
        <f t="shared" si="32"/>
        <v>0</v>
      </c>
    </row>
    <row r="94" spans="1:35" s="2" customFormat="1" outlineLevel="1" x14ac:dyDescent="0.15">
      <c r="A94" s="168">
        <f t="shared" si="65"/>
        <v>43919</v>
      </c>
      <c r="B94" s="167">
        <f t="shared" si="56"/>
        <v>43919</v>
      </c>
      <c r="C94" s="32">
        <v>1</v>
      </c>
      <c r="D94" s="16"/>
      <c r="E94" s="17"/>
      <c r="F94" s="18"/>
      <c r="G94" s="15"/>
      <c r="H94" s="19"/>
      <c r="I94" s="137">
        <f t="shared" si="57"/>
        <v>0</v>
      </c>
      <c r="J94" s="143">
        <f t="shared" si="58"/>
        <v>0</v>
      </c>
      <c r="K94" s="144">
        <f t="shared" si="51"/>
        <v>0</v>
      </c>
      <c r="L94" s="145">
        <f t="shared" si="59"/>
        <v>0</v>
      </c>
      <c r="M94" s="146">
        <f t="shared" si="60"/>
        <v>0</v>
      </c>
      <c r="N94" s="147">
        <f>SUMIF(日報!B4:B691,$A94,日報!L4:L691)</f>
        <v>0</v>
      </c>
      <c r="O94" s="147">
        <f t="shared" si="52"/>
        <v>0</v>
      </c>
      <c r="P94" s="151"/>
      <c r="Q94" s="42" t="str">
        <f t="shared" si="61"/>
        <v/>
      </c>
      <c r="R94" s="154"/>
      <c r="S94" s="10" t="str">
        <f>IF(R94&lt;&gt;"","ここに理由を入力！","")</f>
        <v/>
      </c>
      <c r="T94" s="11"/>
      <c r="U94" s="12"/>
      <c r="V94" s="136"/>
      <c r="W94" s="16"/>
      <c r="X94" s="17"/>
      <c r="Y94" s="18"/>
      <c r="Z94" s="15"/>
      <c r="AA94" s="15"/>
      <c r="AB94" s="155">
        <f t="shared" si="62"/>
        <v>0</v>
      </c>
      <c r="AC94" s="157">
        <f t="shared" si="63"/>
        <v>0</v>
      </c>
      <c r="AD94" s="144">
        <f t="shared" si="54"/>
        <v>0</v>
      </c>
      <c r="AE94" s="145">
        <f t="shared" si="55"/>
        <v>0</v>
      </c>
      <c r="AF94" s="146">
        <f t="shared" si="64"/>
        <v>0</v>
      </c>
      <c r="AH94" s="274">
        <f>SUMIF(日報!$T$4:$T$885,TEXT(YEAR(A94),"0000")&amp;TEXT(MONTH(A94),"00")&amp;TEXT(DAY(A94),"00")&amp;"SCSK",日報!$L$4:$L$885)</f>
        <v>0</v>
      </c>
      <c r="AI94" s="275">
        <f t="shared" si="32"/>
        <v>0</v>
      </c>
    </row>
    <row r="95" spans="1:35" s="2" customFormat="1" outlineLevel="1" x14ac:dyDescent="0.15">
      <c r="A95" s="168">
        <f t="shared" si="65"/>
        <v>43920</v>
      </c>
      <c r="B95" s="167">
        <f t="shared" si="56"/>
        <v>43920</v>
      </c>
      <c r="C95" s="32"/>
      <c r="D95" s="16">
        <v>0.38541666666666669</v>
      </c>
      <c r="E95" s="17">
        <v>0.76041666666666663</v>
      </c>
      <c r="F95" s="18">
        <v>1</v>
      </c>
      <c r="G95" s="15"/>
      <c r="H95" s="19"/>
      <c r="I95" s="137">
        <f t="shared" si="57"/>
        <v>9</v>
      </c>
      <c r="J95" s="143">
        <f t="shared" si="58"/>
        <v>7.75</v>
      </c>
      <c r="K95" s="144">
        <f t="shared" si="51"/>
        <v>0.25</v>
      </c>
      <c r="L95" s="145">
        <f t="shared" si="59"/>
        <v>0</v>
      </c>
      <c r="M95" s="146">
        <f t="shared" si="60"/>
        <v>0</v>
      </c>
      <c r="N95" s="147">
        <f>SUMIF(日報!B4:B691,$A95,日報!L4:L691)</f>
        <v>0</v>
      </c>
      <c r="O95" s="147">
        <f t="shared" si="52"/>
        <v>8</v>
      </c>
      <c r="P95" s="151"/>
      <c r="Q95" s="42" t="str">
        <f t="shared" si="61"/>
        <v/>
      </c>
      <c r="R95" s="154"/>
      <c r="S95" s="10" t="str">
        <f>IF(R95&lt;&gt;"","ここに理由を入力！","")</f>
        <v/>
      </c>
      <c r="T95" s="11"/>
      <c r="U95" s="12"/>
      <c r="V95" s="136"/>
      <c r="W95" s="16"/>
      <c r="X95" s="17"/>
      <c r="Y95" s="18"/>
      <c r="Z95" s="15"/>
      <c r="AA95" s="15"/>
      <c r="AB95" s="155">
        <f t="shared" si="62"/>
        <v>0</v>
      </c>
      <c r="AC95" s="157">
        <f t="shared" si="63"/>
        <v>0</v>
      </c>
      <c r="AD95" s="144">
        <f t="shared" si="54"/>
        <v>0</v>
      </c>
      <c r="AE95" s="145">
        <f t="shared" si="55"/>
        <v>0</v>
      </c>
      <c r="AF95" s="146">
        <f t="shared" si="64"/>
        <v>0</v>
      </c>
      <c r="AH95" s="274">
        <f>SUMIF(日報!$T$4:$T$885,TEXT(YEAR(A95),"0000")&amp;TEXT(MONTH(A95),"00")&amp;TEXT(DAY(A95),"00")&amp;"SCSK",日報!$L$4:$L$885)</f>
        <v>0</v>
      </c>
      <c r="AI95" s="275">
        <f t="shared" si="32"/>
        <v>0</v>
      </c>
    </row>
    <row r="96" spans="1:35" s="2" customFormat="1" ht="14.25" outlineLevel="1" thickBot="1" x14ac:dyDescent="0.2">
      <c r="A96" s="168">
        <f t="shared" si="65"/>
        <v>43921</v>
      </c>
      <c r="B96" s="167">
        <f t="shared" si="56"/>
        <v>43921</v>
      </c>
      <c r="C96" s="32"/>
      <c r="D96" s="16">
        <v>0.38541666666666669</v>
      </c>
      <c r="E96" s="17">
        <v>0.76041666666666663</v>
      </c>
      <c r="F96" s="18">
        <v>1</v>
      </c>
      <c r="G96" s="15"/>
      <c r="H96" s="19"/>
      <c r="I96" s="137">
        <f t="shared" si="57"/>
        <v>9</v>
      </c>
      <c r="J96" s="143">
        <f t="shared" si="58"/>
        <v>7.75</v>
      </c>
      <c r="K96" s="144">
        <f t="shared" si="51"/>
        <v>0.25</v>
      </c>
      <c r="L96" s="145">
        <f t="shared" si="59"/>
        <v>0</v>
      </c>
      <c r="M96" s="146">
        <f t="shared" si="60"/>
        <v>0</v>
      </c>
      <c r="N96" s="147">
        <f>SUMIF(日報!B4:B691,$A96,日報!L4:L691)</f>
        <v>0</v>
      </c>
      <c r="O96" s="147">
        <f t="shared" si="52"/>
        <v>8</v>
      </c>
      <c r="P96" s="151"/>
      <c r="Q96" s="42" t="str">
        <f t="shared" si="61"/>
        <v/>
      </c>
      <c r="R96" s="154"/>
      <c r="S96" s="10"/>
      <c r="T96" s="11"/>
      <c r="U96" s="12"/>
      <c r="V96" s="136"/>
      <c r="W96" s="16"/>
      <c r="X96" s="17"/>
      <c r="Y96" s="18"/>
      <c r="Z96" s="15"/>
      <c r="AA96" s="15"/>
      <c r="AB96" s="155">
        <f t="shared" si="62"/>
        <v>0</v>
      </c>
      <c r="AC96" s="157">
        <f t="shared" si="63"/>
        <v>0</v>
      </c>
      <c r="AD96" s="144">
        <f t="shared" si="54"/>
        <v>0</v>
      </c>
      <c r="AE96" s="145">
        <f t="shared" si="55"/>
        <v>0</v>
      </c>
      <c r="AF96" s="146">
        <f t="shared" si="64"/>
        <v>0</v>
      </c>
      <c r="AH96" s="274">
        <f>SUMIF(日報!$T$4:$T$885,TEXT(YEAR(A96),"0000")&amp;TEXT(MONTH(A96),"00")&amp;TEXT(DAY(A96),"00")&amp;"SCSK",日報!$L$4:$L$885)</f>
        <v>0</v>
      </c>
      <c r="AI96" s="275">
        <f t="shared" si="32"/>
        <v>0</v>
      </c>
    </row>
    <row r="97" spans="1:35" ht="15" thickTop="1" thickBot="1" x14ac:dyDescent="0.2">
      <c r="A97" s="107">
        <f>A96</f>
        <v>43921</v>
      </c>
      <c r="B97" s="108">
        <f>COUNT(B66:B96)</f>
        <v>31</v>
      </c>
      <c r="C97" s="108"/>
      <c r="D97" s="109"/>
      <c r="E97" s="109"/>
      <c r="F97" s="110">
        <f t="shared" ref="F97:M97" si="66">SUM(F66:F96)</f>
        <v>20</v>
      </c>
      <c r="G97" s="110">
        <f t="shared" si="66"/>
        <v>0</v>
      </c>
      <c r="H97" s="110">
        <f t="shared" si="66"/>
        <v>0</v>
      </c>
      <c r="I97" s="111">
        <f t="shared" si="66"/>
        <v>187.25</v>
      </c>
      <c r="J97" s="112">
        <f t="shared" si="66"/>
        <v>153.25</v>
      </c>
      <c r="K97" s="113">
        <f t="shared" si="66"/>
        <v>14</v>
      </c>
      <c r="L97" s="114">
        <f t="shared" si="66"/>
        <v>0</v>
      </c>
      <c r="M97" s="113">
        <f t="shared" si="66"/>
        <v>0</v>
      </c>
      <c r="N97" s="115"/>
      <c r="O97" s="116">
        <f>SUM(O66:O96)</f>
        <v>114.25</v>
      </c>
      <c r="P97" s="105"/>
      <c r="Q97" s="118"/>
      <c r="R97" s="106"/>
      <c r="S97" s="120"/>
      <c r="T97" s="118"/>
      <c r="U97" s="121"/>
      <c r="W97" s="122"/>
      <c r="X97" s="109"/>
      <c r="Y97" s="110">
        <f t="shared" ref="Y97:AF97" si="67">SUM(Y66:Y96)</f>
        <v>0</v>
      </c>
      <c r="Z97" s="110">
        <f t="shared" si="67"/>
        <v>0</v>
      </c>
      <c r="AA97" s="110">
        <f t="shared" si="67"/>
        <v>0</v>
      </c>
      <c r="AB97" s="111">
        <f t="shared" si="67"/>
        <v>0</v>
      </c>
      <c r="AC97" s="112">
        <f t="shared" si="67"/>
        <v>0</v>
      </c>
      <c r="AD97" s="112">
        <f t="shared" si="67"/>
        <v>0</v>
      </c>
      <c r="AE97" s="112">
        <f t="shared" si="67"/>
        <v>0</v>
      </c>
      <c r="AF97" s="113">
        <f t="shared" si="67"/>
        <v>0</v>
      </c>
      <c r="AH97" s="276"/>
      <c r="AI97" s="277"/>
    </row>
    <row r="98" spans="1:35" s="2" customFormat="1" outlineLevel="1" x14ac:dyDescent="0.15">
      <c r="A98" s="168">
        <f>A96+1</f>
        <v>43922</v>
      </c>
      <c r="B98" s="167">
        <f>A98</f>
        <v>43922</v>
      </c>
      <c r="C98" s="32"/>
      <c r="D98" s="16">
        <v>0.38541666666666669</v>
      </c>
      <c r="E98" s="17">
        <v>0.76041666666666663</v>
      </c>
      <c r="F98" s="18">
        <v>1</v>
      </c>
      <c r="G98" s="15"/>
      <c r="H98" s="19"/>
      <c r="I98" s="137">
        <f>timediff(D98,E98,15)</f>
        <v>9</v>
      </c>
      <c r="J98" s="143">
        <f>IF(C98=1,0,I98-M98-L98-K98-F98-H98-G98)</f>
        <v>7.75</v>
      </c>
      <c r="K98" s="144">
        <f t="shared" ref="K98:K127" si="68">IF(C98=0,IF(時間外開始&lt;E98,timediff(時間外開始,E98,15)-M98-G98-H98,0),0)</f>
        <v>0.25</v>
      </c>
      <c r="L98" s="145">
        <f>IF(C98=1,$I98-F98-M98-H98,0)</f>
        <v>0</v>
      </c>
      <c r="M98" s="146">
        <f>IF(深夜終了&lt;E98,timediff(深夜開始,深夜終了,15)-H98,IF(深夜開始&lt;E98,timediff(深夜開始,E98,15)-H98,0))</f>
        <v>0</v>
      </c>
      <c r="N98" s="147">
        <f>SUMIF(日報!B4:B691,$A98,日報!L4:L691)</f>
        <v>0</v>
      </c>
      <c r="O98" s="147">
        <f t="shared" ref="O98:O127" si="69">SUM(J98:M98)-N98</f>
        <v>8</v>
      </c>
      <c r="P98" s="151"/>
      <c r="Q98" s="42" t="str">
        <f>IF(P98="不調","ここに症状を入力！","")</f>
        <v/>
      </c>
      <c r="R98" s="154"/>
      <c r="S98" s="10" t="str">
        <f>IF(R98&lt;&gt;"","ここに理由を入力！","")</f>
        <v/>
      </c>
      <c r="T98" s="11"/>
      <c r="U98" s="12"/>
      <c r="V98" s="136"/>
      <c r="W98" s="16"/>
      <c r="X98" s="17"/>
      <c r="Y98" s="18"/>
      <c r="Z98" s="15"/>
      <c r="AA98" s="15"/>
      <c r="AB98" s="155">
        <f>timediff(W98,X98,15)</f>
        <v>0</v>
      </c>
      <c r="AC98" s="157">
        <f>AB98-AF98-AE98-AD98-Y98-Z98-AA98</f>
        <v>0</v>
      </c>
      <c r="AD98" s="144">
        <f t="shared" ref="AD98:AD127" si="70">IF(C98=0,IF(時間外開始&lt;X98,timediff(時間外開始,X98,15)-AF98-Z98-AA98,0),0)</f>
        <v>0</v>
      </c>
      <c r="AE98" s="145">
        <f t="shared" ref="AE98:AE127" si="71">IF(C98=1,AB98-Y98-Z98-AA98,0)</f>
        <v>0</v>
      </c>
      <c r="AF98" s="146">
        <f>IF(深夜終了&lt;X98,timediff(深夜開始,深夜終了,15)-AA98,IF(深夜開始&lt;X98,timediff(深夜開始,X98,15)-AA98,0))</f>
        <v>0</v>
      </c>
      <c r="AH98" s="274">
        <f>SUMIF(日報!$T$4:$T$885,TEXT(YEAR(A98),"0000")&amp;TEXT(MONTH(A98),"00")&amp;TEXT(DAY(A98),"00")&amp;"SCSK",日報!$L$4:$L$885)</f>
        <v>0</v>
      </c>
      <c r="AI98" s="275">
        <f t="shared" si="32"/>
        <v>0</v>
      </c>
    </row>
    <row r="99" spans="1:35" s="2" customFormat="1" outlineLevel="1" x14ac:dyDescent="0.15">
      <c r="A99" s="168">
        <f>A98+1</f>
        <v>43923</v>
      </c>
      <c r="B99" s="167">
        <f t="shared" ref="B99:B127" si="72">A99</f>
        <v>43923</v>
      </c>
      <c r="C99" s="32"/>
      <c r="D99" s="16">
        <v>0.38541666666666669</v>
      </c>
      <c r="E99" s="17">
        <v>0.76041666666666663</v>
      </c>
      <c r="F99" s="18">
        <v>1</v>
      </c>
      <c r="G99" s="15"/>
      <c r="H99" s="19"/>
      <c r="I99" s="137">
        <f t="shared" ref="I99:I127" si="73">timediff(D99,E99,15)</f>
        <v>9</v>
      </c>
      <c r="J99" s="143">
        <f t="shared" ref="J99:J127" si="74">IF(C99=1,0,I99-M99-L99-K99-F99-H99-G99)</f>
        <v>7.75</v>
      </c>
      <c r="K99" s="144">
        <f t="shared" si="68"/>
        <v>0.25</v>
      </c>
      <c r="L99" s="145">
        <f t="shared" ref="L99:L127" si="75">IF(C99=1,$I99-F99-M99-H99,0)</f>
        <v>0</v>
      </c>
      <c r="M99" s="146">
        <f t="shared" ref="M99:M127" si="76">IF(深夜終了&lt;E99,timediff(深夜開始,深夜終了,15)-H99,IF(深夜開始&lt;E99,timediff(深夜開始,E99,15)-H99,0))</f>
        <v>0</v>
      </c>
      <c r="N99" s="147">
        <f>SUMIF(日報!B4:B691,$A99,日報!L4:L691)</f>
        <v>0</v>
      </c>
      <c r="O99" s="147">
        <f t="shared" si="69"/>
        <v>8</v>
      </c>
      <c r="P99" s="151"/>
      <c r="Q99" s="42" t="str">
        <f t="shared" ref="Q99:Q127" si="77">IF(P99="不調","ここに症状を入力！","")</f>
        <v/>
      </c>
      <c r="R99" s="154"/>
      <c r="S99" s="10" t="str">
        <f t="shared" ref="S99:S127" si="78">IF(R99&lt;&gt;"","ここに理由を入力！","")</f>
        <v/>
      </c>
      <c r="T99" s="11"/>
      <c r="U99" s="12"/>
      <c r="V99" s="136"/>
      <c r="W99" s="16"/>
      <c r="X99" s="17"/>
      <c r="Y99" s="18"/>
      <c r="Z99" s="15"/>
      <c r="AA99" s="15"/>
      <c r="AB99" s="155">
        <f t="shared" ref="AB99:AB127" si="79">timediff(W99,X99,15)</f>
        <v>0</v>
      </c>
      <c r="AC99" s="157">
        <f t="shared" ref="AC99:AC127" si="80">AB99-AF99-AE99-AD99-Y99-Z99-AA99</f>
        <v>0</v>
      </c>
      <c r="AD99" s="144">
        <f t="shared" si="70"/>
        <v>0</v>
      </c>
      <c r="AE99" s="145">
        <f t="shared" si="71"/>
        <v>0</v>
      </c>
      <c r="AF99" s="146">
        <f t="shared" ref="AF99:AF127" si="81">IF(深夜終了&lt;X99,timediff(深夜開始,深夜終了,15)-AA99,IF(深夜開始&lt;X99,timediff(深夜開始,X99,15)-AA99,0))</f>
        <v>0</v>
      </c>
      <c r="AH99" s="274">
        <f>SUMIF(日報!$T$4:$T$885,TEXT(YEAR(A99),"0000")&amp;TEXT(MONTH(A99),"00")&amp;TEXT(DAY(A99),"00")&amp;"SCSK",日報!$L$4:$L$885)</f>
        <v>0</v>
      </c>
      <c r="AI99" s="275">
        <f t="shared" si="32"/>
        <v>0</v>
      </c>
    </row>
    <row r="100" spans="1:35" s="2" customFormat="1" outlineLevel="1" x14ac:dyDescent="0.15">
      <c r="A100" s="168">
        <f t="shared" ref="A100:A125" si="82">A99+1</f>
        <v>43924</v>
      </c>
      <c r="B100" s="167">
        <f t="shared" si="72"/>
        <v>43924</v>
      </c>
      <c r="C100" s="32"/>
      <c r="D100" s="16">
        <v>0.38541666666666669</v>
      </c>
      <c r="E100" s="17">
        <v>0.76041666666666663</v>
      </c>
      <c r="F100" s="18">
        <v>1</v>
      </c>
      <c r="G100" s="15"/>
      <c r="H100" s="19"/>
      <c r="I100" s="137">
        <f t="shared" si="73"/>
        <v>9</v>
      </c>
      <c r="J100" s="143">
        <f t="shared" si="74"/>
        <v>7.75</v>
      </c>
      <c r="K100" s="144">
        <f t="shared" si="68"/>
        <v>0.25</v>
      </c>
      <c r="L100" s="145">
        <f t="shared" si="75"/>
        <v>0</v>
      </c>
      <c r="M100" s="146">
        <f t="shared" si="76"/>
        <v>0</v>
      </c>
      <c r="N100" s="147">
        <f>SUMIF(日報!B4:B691,$A100,日報!L4:L691)</f>
        <v>0</v>
      </c>
      <c r="O100" s="147">
        <f t="shared" si="69"/>
        <v>8</v>
      </c>
      <c r="P100" s="151"/>
      <c r="Q100" s="42" t="str">
        <f t="shared" si="77"/>
        <v/>
      </c>
      <c r="R100" s="154"/>
      <c r="S100" s="10" t="str">
        <f t="shared" si="78"/>
        <v/>
      </c>
      <c r="T100" s="11"/>
      <c r="U100" s="12"/>
      <c r="V100" s="136"/>
      <c r="W100" s="16"/>
      <c r="X100" s="17"/>
      <c r="Y100" s="18"/>
      <c r="Z100" s="15"/>
      <c r="AA100" s="15"/>
      <c r="AB100" s="155">
        <f t="shared" si="79"/>
        <v>0</v>
      </c>
      <c r="AC100" s="157">
        <f t="shared" si="80"/>
        <v>0</v>
      </c>
      <c r="AD100" s="144">
        <f t="shared" si="70"/>
        <v>0</v>
      </c>
      <c r="AE100" s="145">
        <f t="shared" si="71"/>
        <v>0</v>
      </c>
      <c r="AF100" s="146">
        <f t="shared" si="81"/>
        <v>0</v>
      </c>
      <c r="AH100" s="274">
        <f>SUMIF(日報!$T$4:$T$885,TEXT(YEAR(A100),"0000")&amp;TEXT(MONTH(A100),"00")&amp;TEXT(DAY(A100),"00")&amp;"SCSK",日報!$L$4:$L$885)</f>
        <v>0</v>
      </c>
      <c r="AI100" s="275">
        <f t="shared" si="32"/>
        <v>0</v>
      </c>
    </row>
    <row r="101" spans="1:35" s="2" customFormat="1" outlineLevel="1" x14ac:dyDescent="0.15">
      <c r="A101" s="168">
        <f t="shared" si="82"/>
        <v>43925</v>
      </c>
      <c r="B101" s="167">
        <f t="shared" si="72"/>
        <v>43925</v>
      </c>
      <c r="C101" s="32">
        <v>1</v>
      </c>
      <c r="D101" s="16"/>
      <c r="E101" s="17"/>
      <c r="F101" s="18"/>
      <c r="G101" s="15"/>
      <c r="H101" s="19"/>
      <c r="I101" s="137">
        <f t="shared" si="73"/>
        <v>0</v>
      </c>
      <c r="J101" s="143">
        <f t="shared" si="74"/>
        <v>0</v>
      </c>
      <c r="K101" s="144">
        <f t="shared" si="68"/>
        <v>0</v>
      </c>
      <c r="L101" s="145">
        <f t="shared" si="75"/>
        <v>0</v>
      </c>
      <c r="M101" s="146">
        <f t="shared" si="76"/>
        <v>0</v>
      </c>
      <c r="N101" s="147">
        <f>SUMIF(日報!B4:B691,$A101,日報!L4:L691)</f>
        <v>0</v>
      </c>
      <c r="O101" s="147">
        <f t="shared" si="69"/>
        <v>0</v>
      </c>
      <c r="P101" s="151"/>
      <c r="Q101" s="42" t="str">
        <f t="shared" si="77"/>
        <v/>
      </c>
      <c r="R101" s="154"/>
      <c r="S101" s="10" t="str">
        <f t="shared" si="78"/>
        <v/>
      </c>
      <c r="T101" s="11"/>
      <c r="U101" s="12"/>
      <c r="V101" s="136"/>
      <c r="W101" s="16"/>
      <c r="X101" s="17"/>
      <c r="Y101" s="18"/>
      <c r="Z101" s="15"/>
      <c r="AA101" s="15"/>
      <c r="AB101" s="155">
        <f t="shared" si="79"/>
        <v>0</v>
      </c>
      <c r="AC101" s="157">
        <f t="shared" si="80"/>
        <v>0</v>
      </c>
      <c r="AD101" s="144">
        <f t="shared" si="70"/>
        <v>0</v>
      </c>
      <c r="AE101" s="145">
        <f t="shared" si="71"/>
        <v>0</v>
      </c>
      <c r="AF101" s="146">
        <f t="shared" si="81"/>
        <v>0</v>
      </c>
      <c r="AH101" s="274">
        <f>SUMIF(日報!$T$4:$T$885,TEXT(YEAR(A101),"0000")&amp;TEXT(MONTH(A101),"00")&amp;TEXT(DAY(A101),"00")&amp;"SCSK",日報!$L$4:$L$885)</f>
        <v>0</v>
      </c>
      <c r="AI101" s="275">
        <f t="shared" si="32"/>
        <v>0</v>
      </c>
    </row>
    <row r="102" spans="1:35" s="2" customFormat="1" outlineLevel="1" x14ac:dyDescent="0.15">
      <c r="A102" s="168">
        <f t="shared" si="82"/>
        <v>43926</v>
      </c>
      <c r="B102" s="167">
        <f t="shared" si="72"/>
        <v>43926</v>
      </c>
      <c r="C102" s="32">
        <v>1</v>
      </c>
      <c r="D102" s="16"/>
      <c r="E102" s="17"/>
      <c r="F102" s="18"/>
      <c r="G102" s="15"/>
      <c r="H102" s="19"/>
      <c r="I102" s="137">
        <f t="shared" si="73"/>
        <v>0</v>
      </c>
      <c r="J102" s="143">
        <f t="shared" si="74"/>
        <v>0</v>
      </c>
      <c r="K102" s="144">
        <f t="shared" si="68"/>
        <v>0</v>
      </c>
      <c r="L102" s="145">
        <f t="shared" si="75"/>
        <v>0</v>
      </c>
      <c r="M102" s="146">
        <f t="shared" si="76"/>
        <v>0</v>
      </c>
      <c r="N102" s="147">
        <f>SUMIF(日報!B4:B691,$A102,日報!L4:L691)</f>
        <v>0</v>
      </c>
      <c r="O102" s="147">
        <f t="shared" si="69"/>
        <v>0</v>
      </c>
      <c r="P102" s="151"/>
      <c r="Q102" s="42" t="str">
        <f t="shared" si="77"/>
        <v/>
      </c>
      <c r="R102" s="154"/>
      <c r="S102" s="10" t="str">
        <f t="shared" si="78"/>
        <v/>
      </c>
      <c r="T102" s="11"/>
      <c r="U102" s="12"/>
      <c r="V102" s="136"/>
      <c r="W102" s="16"/>
      <c r="X102" s="17"/>
      <c r="Y102" s="18"/>
      <c r="Z102" s="15"/>
      <c r="AA102" s="15"/>
      <c r="AB102" s="155">
        <f t="shared" si="79"/>
        <v>0</v>
      </c>
      <c r="AC102" s="157">
        <f t="shared" si="80"/>
        <v>0</v>
      </c>
      <c r="AD102" s="144">
        <f t="shared" si="70"/>
        <v>0</v>
      </c>
      <c r="AE102" s="145">
        <f t="shared" si="71"/>
        <v>0</v>
      </c>
      <c r="AF102" s="146">
        <f t="shared" si="81"/>
        <v>0</v>
      </c>
      <c r="AH102" s="274">
        <f>SUMIF(日報!$T$4:$T$885,TEXT(YEAR(A102),"0000")&amp;TEXT(MONTH(A102),"00")&amp;TEXT(DAY(A102),"00")&amp;"SCSK",日報!$L$4:$L$885)</f>
        <v>0</v>
      </c>
      <c r="AI102" s="275">
        <f t="shared" ref="AI102:AI165" si="83">N102-AH102</f>
        <v>0</v>
      </c>
    </row>
    <row r="103" spans="1:35" s="2" customFormat="1" outlineLevel="1" x14ac:dyDescent="0.15">
      <c r="A103" s="168">
        <f t="shared" si="82"/>
        <v>43927</v>
      </c>
      <c r="B103" s="167">
        <f t="shared" si="72"/>
        <v>43927</v>
      </c>
      <c r="C103" s="32"/>
      <c r="D103" s="16">
        <v>0.38541666666666669</v>
      </c>
      <c r="E103" s="17">
        <v>0.76041666666666663</v>
      </c>
      <c r="F103" s="18">
        <v>1</v>
      </c>
      <c r="G103" s="15"/>
      <c r="H103" s="19"/>
      <c r="I103" s="137">
        <f t="shared" si="73"/>
        <v>9</v>
      </c>
      <c r="J103" s="143">
        <f t="shared" si="74"/>
        <v>7.75</v>
      </c>
      <c r="K103" s="144">
        <f t="shared" si="68"/>
        <v>0.25</v>
      </c>
      <c r="L103" s="145">
        <f t="shared" si="75"/>
        <v>0</v>
      </c>
      <c r="M103" s="146">
        <f t="shared" si="76"/>
        <v>0</v>
      </c>
      <c r="N103" s="147">
        <f>SUMIF(日報!B4:B691,$A103,日報!L4:L691)</f>
        <v>0</v>
      </c>
      <c r="O103" s="147">
        <f t="shared" si="69"/>
        <v>8</v>
      </c>
      <c r="P103" s="151"/>
      <c r="Q103" s="42" t="str">
        <f t="shared" si="77"/>
        <v/>
      </c>
      <c r="R103" s="154"/>
      <c r="S103" s="10" t="str">
        <f t="shared" si="78"/>
        <v/>
      </c>
      <c r="T103" s="11"/>
      <c r="U103" s="12"/>
      <c r="V103" s="136"/>
      <c r="W103" s="16"/>
      <c r="X103" s="17"/>
      <c r="Y103" s="18"/>
      <c r="Z103" s="15"/>
      <c r="AA103" s="15"/>
      <c r="AB103" s="155">
        <f t="shared" si="79"/>
        <v>0</v>
      </c>
      <c r="AC103" s="157">
        <f t="shared" si="80"/>
        <v>0</v>
      </c>
      <c r="AD103" s="144">
        <f t="shared" si="70"/>
        <v>0</v>
      </c>
      <c r="AE103" s="145">
        <f t="shared" si="71"/>
        <v>0</v>
      </c>
      <c r="AF103" s="146">
        <f t="shared" si="81"/>
        <v>0</v>
      </c>
      <c r="AH103" s="274">
        <f>SUMIF(日報!$T$4:$T$885,TEXT(YEAR(A103),"0000")&amp;TEXT(MONTH(A103),"00")&amp;TEXT(DAY(A103),"00")&amp;"SCSK",日報!$L$4:$L$885)</f>
        <v>0</v>
      </c>
      <c r="AI103" s="275">
        <f t="shared" si="83"/>
        <v>0</v>
      </c>
    </row>
    <row r="104" spans="1:35" s="2" customFormat="1" outlineLevel="1" x14ac:dyDescent="0.15">
      <c r="A104" s="168">
        <f t="shared" si="82"/>
        <v>43928</v>
      </c>
      <c r="B104" s="167">
        <f t="shared" si="72"/>
        <v>43928</v>
      </c>
      <c r="C104" s="32"/>
      <c r="D104" s="16">
        <v>0.38541666666666669</v>
      </c>
      <c r="E104" s="17">
        <v>0.76041666666666663</v>
      </c>
      <c r="F104" s="18">
        <v>1</v>
      </c>
      <c r="G104" s="15"/>
      <c r="H104" s="19"/>
      <c r="I104" s="137">
        <f t="shared" si="73"/>
        <v>9</v>
      </c>
      <c r="J104" s="143">
        <f t="shared" si="74"/>
        <v>7.75</v>
      </c>
      <c r="K104" s="144">
        <f t="shared" si="68"/>
        <v>0.25</v>
      </c>
      <c r="L104" s="145">
        <f t="shared" si="75"/>
        <v>0</v>
      </c>
      <c r="M104" s="146">
        <f t="shared" si="76"/>
        <v>0</v>
      </c>
      <c r="N104" s="147">
        <f>SUMIF(日報!B4:B691,$A104,日報!L4:L691)</f>
        <v>0</v>
      </c>
      <c r="O104" s="147">
        <f t="shared" si="69"/>
        <v>8</v>
      </c>
      <c r="P104" s="151"/>
      <c r="Q104" s="42" t="str">
        <f t="shared" si="77"/>
        <v/>
      </c>
      <c r="R104" s="154"/>
      <c r="S104" s="10" t="str">
        <f t="shared" si="78"/>
        <v/>
      </c>
      <c r="T104" s="11"/>
      <c r="U104" s="12"/>
      <c r="V104" s="136"/>
      <c r="W104" s="16"/>
      <c r="X104" s="17"/>
      <c r="Y104" s="18"/>
      <c r="Z104" s="15"/>
      <c r="AA104" s="15"/>
      <c r="AB104" s="155">
        <f t="shared" si="79"/>
        <v>0</v>
      </c>
      <c r="AC104" s="157">
        <f t="shared" si="80"/>
        <v>0</v>
      </c>
      <c r="AD104" s="144">
        <f t="shared" si="70"/>
        <v>0</v>
      </c>
      <c r="AE104" s="145">
        <f t="shared" si="71"/>
        <v>0</v>
      </c>
      <c r="AF104" s="146">
        <f t="shared" si="81"/>
        <v>0</v>
      </c>
      <c r="AH104" s="274">
        <f>SUMIF(日報!$T$4:$T$885,TEXT(YEAR(A104),"0000")&amp;TEXT(MONTH(A104),"00")&amp;TEXT(DAY(A104),"00")&amp;"SCSK",日報!$L$4:$L$885)</f>
        <v>0</v>
      </c>
      <c r="AI104" s="275">
        <f t="shared" si="83"/>
        <v>0</v>
      </c>
    </row>
    <row r="105" spans="1:35" s="2" customFormat="1" outlineLevel="1" x14ac:dyDescent="0.15">
      <c r="A105" s="168">
        <f t="shared" si="82"/>
        <v>43929</v>
      </c>
      <c r="B105" s="167">
        <f t="shared" si="72"/>
        <v>43929</v>
      </c>
      <c r="C105" s="32"/>
      <c r="D105" s="16">
        <v>0.38541666666666669</v>
      </c>
      <c r="E105" s="17">
        <v>0.76041666666666663</v>
      </c>
      <c r="F105" s="18">
        <v>1</v>
      </c>
      <c r="G105" s="15"/>
      <c r="H105" s="19"/>
      <c r="I105" s="137">
        <f t="shared" si="73"/>
        <v>9</v>
      </c>
      <c r="J105" s="143">
        <f t="shared" si="74"/>
        <v>7.75</v>
      </c>
      <c r="K105" s="144">
        <f t="shared" si="68"/>
        <v>0.25</v>
      </c>
      <c r="L105" s="145">
        <f t="shared" si="75"/>
        <v>0</v>
      </c>
      <c r="M105" s="146">
        <f t="shared" si="76"/>
        <v>0</v>
      </c>
      <c r="N105" s="147">
        <f>SUMIF(日報!B4:B691,$A105,日報!L4:L691)</f>
        <v>0</v>
      </c>
      <c r="O105" s="147">
        <f t="shared" si="69"/>
        <v>8</v>
      </c>
      <c r="P105" s="151"/>
      <c r="Q105" s="42" t="str">
        <f t="shared" si="77"/>
        <v/>
      </c>
      <c r="R105" s="154"/>
      <c r="S105" s="10" t="str">
        <f t="shared" si="78"/>
        <v/>
      </c>
      <c r="T105" s="11"/>
      <c r="U105" s="12"/>
      <c r="V105" s="136"/>
      <c r="W105" s="16"/>
      <c r="X105" s="17"/>
      <c r="Y105" s="18"/>
      <c r="Z105" s="15"/>
      <c r="AA105" s="15"/>
      <c r="AB105" s="155">
        <f t="shared" si="79"/>
        <v>0</v>
      </c>
      <c r="AC105" s="157">
        <f t="shared" si="80"/>
        <v>0</v>
      </c>
      <c r="AD105" s="144">
        <f t="shared" si="70"/>
        <v>0</v>
      </c>
      <c r="AE105" s="145">
        <f t="shared" si="71"/>
        <v>0</v>
      </c>
      <c r="AF105" s="146">
        <f t="shared" si="81"/>
        <v>0</v>
      </c>
      <c r="AH105" s="274">
        <f>SUMIF(日報!$T$4:$T$885,TEXT(YEAR(A105),"0000")&amp;TEXT(MONTH(A105),"00")&amp;TEXT(DAY(A105),"00")&amp;"SCSK",日報!$L$4:$L$885)</f>
        <v>0</v>
      </c>
      <c r="AI105" s="275">
        <f t="shared" si="83"/>
        <v>0</v>
      </c>
    </row>
    <row r="106" spans="1:35" s="2" customFormat="1" outlineLevel="1" x14ac:dyDescent="0.15">
      <c r="A106" s="168">
        <f t="shared" si="82"/>
        <v>43930</v>
      </c>
      <c r="B106" s="167">
        <f t="shared" si="72"/>
        <v>43930</v>
      </c>
      <c r="C106" s="32"/>
      <c r="D106" s="16">
        <v>0.38541666666666669</v>
      </c>
      <c r="E106" s="17">
        <v>0.76041666666666663</v>
      </c>
      <c r="F106" s="18">
        <v>1</v>
      </c>
      <c r="G106" s="15"/>
      <c r="H106" s="19"/>
      <c r="I106" s="137">
        <f t="shared" si="73"/>
        <v>9</v>
      </c>
      <c r="J106" s="143">
        <f t="shared" si="74"/>
        <v>7.75</v>
      </c>
      <c r="K106" s="144">
        <f t="shared" si="68"/>
        <v>0.25</v>
      </c>
      <c r="L106" s="145">
        <f t="shared" si="75"/>
        <v>0</v>
      </c>
      <c r="M106" s="146">
        <f t="shared" si="76"/>
        <v>0</v>
      </c>
      <c r="N106" s="147">
        <f>SUMIF(日報!B4:B691,$A106,日報!L4:L691)</f>
        <v>0</v>
      </c>
      <c r="O106" s="147">
        <f t="shared" si="69"/>
        <v>8</v>
      </c>
      <c r="P106" s="151"/>
      <c r="Q106" s="42" t="str">
        <f t="shared" si="77"/>
        <v/>
      </c>
      <c r="R106" s="154"/>
      <c r="S106" s="10" t="str">
        <f t="shared" si="78"/>
        <v/>
      </c>
      <c r="T106" s="11"/>
      <c r="U106" s="12"/>
      <c r="V106" s="136"/>
      <c r="W106" s="16"/>
      <c r="X106" s="17"/>
      <c r="Y106" s="18"/>
      <c r="Z106" s="15"/>
      <c r="AA106" s="15"/>
      <c r="AB106" s="155">
        <f t="shared" si="79"/>
        <v>0</v>
      </c>
      <c r="AC106" s="157">
        <f t="shared" si="80"/>
        <v>0</v>
      </c>
      <c r="AD106" s="144">
        <f t="shared" si="70"/>
        <v>0</v>
      </c>
      <c r="AE106" s="145">
        <f t="shared" si="71"/>
        <v>0</v>
      </c>
      <c r="AF106" s="146">
        <f t="shared" si="81"/>
        <v>0</v>
      </c>
      <c r="AH106" s="274">
        <f>SUMIF(日報!$T$4:$T$885,TEXT(YEAR(A106),"0000")&amp;TEXT(MONTH(A106),"00")&amp;TEXT(DAY(A106),"00")&amp;"SCSK",日報!$L$4:$L$885)</f>
        <v>0</v>
      </c>
      <c r="AI106" s="275">
        <f t="shared" si="83"/>
        <v>0</v>
      </c>
    </row>
    <row r="107" spans="1:35" s="2" customFormat="1" outlineLevel="1" x14ac:dyDescent="0.15">
      <c r="A107" s="168">
        <f t="shared" si="82"/>
        <v>43931</v>
      </c>
      <c r="B107" s="167">
        <f t="shared" si="72"/>
        <v>43931</v>
      </c>
      <c r="C107" s="32"/>
      <c r="D107" s="16">
        <v>0.38541666666666669</v>
      </c>
      <c r="E107" s="17">
        <v>0.76041666666666663</v>
      </c>
      <c r="F107" s="18">
        <v>1</v>
      </c>
      <c r="G107" s="15"/>
      <c r="H107" s="19"/>
      <c r="I107" s="137">
        <f t="shared" si="73"/>
        <v>9</v>
      </c>
      <c r="J107" s="143">
        <f t="shared" si="74"/>
        <v>7.75</v>
      </c>
      <c r="K107" s="144">
        <f t="shared" si="68"/>
        <v>0.25</v>
      </c>
      <c r="L107" s="145">
        <f t="shared" si="75"/>
        <v>0</v>
      </c>
      <c r="M107" s="146">
        <f t="shared" si="76"/>
        <v>0</v>
      </c>
      <c r="N107" s="147">
        <f>SUMIF(日報!B4:B691,$A107,日報!L4:L691)</f>
        <v>0</v>
      </c>
      <c r="O107" s="147">
        <f t="shared" si="69"/>
        <v>8</v>
      </c>
      <c r="P107" s="151"/>
      <c r="Q107" s="42" t="str">
        <f t="shared" si="77"/>
        <v/>
      </c>
      <c r="R107" s="154"/>
      <c r="S107" s="10" t="str">
        <f t="shared" si="78"/>
        <v/>
      </c>
      <c r="T107" s="11"/>
      <c r="U107" s="12"/>
      <c r="V107" s="136"/>
      <c r="W107" s="16"/>
      <c r="X107" s="17"/>
      <c r="Y107" s="18"/>
      <c r="Z107" s="15"/>
      <c r="AA107" s="15"/>
      <c r="AB107" s="155">
        <f t="shared" si="79"/>
        <v>0</v>
      </c>
      <c r="AC107" s="157">
        <f t="shared" si="80"/>
        <v>0</v>
      </c>
      <c r="AD107" s="144">
        <f t="shared" si="70"/>
        <v>0</v>
      </c>
      <c r="AE107" s="145">
        <f t="shared" si="71"/>
        <v>0</v>
      </c>
      <c r="AF107" s="146">
        <f t="shared" si="81"/>
        <v>0</v>
      </c>
      <c r="AH107" s="274">
        <f>SUMIF(日報!$T$4:$T$885,TEXT(YEAR(A107),"0000")&amp;TEXT(MONTH(A107),"00")&amp;TEXT(DAY(A107),"00")&amp;"SCSK",日報!$L$4:$L$885)</f>
        <v>0</v>
      </c>
      <c r="AI107" s="275">
        <f t="shared" si="83"/>
        <v>0</v>
      </c>
    </row>
    <row r="108" spans="1:35" s="2" customFormat="1" outlineLevel="1" x14ac:dyDescent="0.15">
      <c r="A108" s="168">
        <f t="shared" si="82"/>
        <v>43932</v>
      </c>
      <c r="B108" s="167">
        <f t="shared" si="72"/>
        <v>43932</v>
      </c>
      <c r="C108" s="32">
        <v>1</v>
      </c>
      <c r="D108" s="16"/>
      <c r="E108" s="17"/>
      <c r="F108" s="18"/>
      <c r="G108" s="15"/>
      <c r="H108" s="19"/>
      <c r="I108" s="137">
        <f t="shared" si="73"/>
        <v>0</v>
      </c>
      <c r="J108" s="143">
        <f t="shared" si="74"/>
        <v>0</v>
      </c>
      <c r="K108" s="144">
        <f t="shared" si="68"/>
        <v>0</v>
      </c>
      <c r="L108" s="145">
        <f t="shared" si="75"/>
        <v>0</v>
      </c>
      <c r="M108" s="146">
        <f t="shared" si="76"/>
        <v>0</v>
      </c>
      <c r="N108" s="147">
        <f>SUMIF(日報!B4:B691,$A108,日報!L4:L691)</f>
        <v>0</v>
      </c>
      <c r="O108" s="147">
        <f t="shared" si="69"/>
        <v>0</v>
      </c>
      <c r="P108" s="151"/>
      <c r="Q108" s="42" t="str">
        <f t="shared" si="77"/>
        <v/>
      </c>
      <c r="R108" s="154"/>
      <c r="S108" s="10" t="str">
        <f t="shared" si="78"/>
        <v/>
      </c>
      <c r="T108" s="11"/>
      <c r="U108" s="12"/>
      <c r="V108" s="136"/>
      <c r="W108" s="16"/>
      <c r="X108" s="17"/>
      <c r="Y108" s="18"/>
      <c r="Z108" s="15"/>
      <c r="AA108" s="15"/>
      <c r="AB108" s="155">
        <f t="shared" si="79"/>
        <v>0</v>
      </c>
      <c r="AC108" s="157">
        <f t="shared" si="80"/>
        <v>0</v>
      </c>
      <c r="AD108" s="144">
        <f t="shared" si="70"/>
        <v>0</v>
      </c>
      <c r="AE108" s="145">
        <f t="shared" si="71"/>
        <v>0</v>
      </c>
      <c r="AF108" s="146">
        <f t="shared" si="81"/>
        <v>0</v>
      </c>
      <c r="AH108" s="274">
        <f>SUMIF(日報!$T$4:$T$885,TEXT(YEAR(A108),"0000")&amp;TEXT(MONTH(A108),"00")&amp;TEXT(DAY(A108),"00")&amp;"SCSK",日報!$L$4:$L$885)</f>
        <v>0</v>
      </c>
      <c r="AI108" s="275">
        <f t="shared" si="83"/>
        <v>0</v>
      </c>
    </row>
    <row r="109" spans="1:35" s="2" customFormat="1" outlineLevel="1" x14ac:dyDescent="0.15">
      <c r="A109" s="168">
        <f t="shared" si="82"/>
        <v>43933</v>
      </c>
      <c r="B109" s="167">
        <f t="shared" si="72"/>
        <v>43933</v>
      </c>
      <c r="C109" s="32">
        <v>1</v>
      </c>
      <c r="D109" s="16"/>
      <c r="E109" s="17"/>
      <c r="F109" s="18"/>
      <c r="G109" s="15"/>
      <c r="H109" s="19"/>
      <c r="I109" s="137">
        <f t="shared" si="73"/>
        <v>0</v>
      </c>
      <c r="J109" s="143">
        <f t="shared" si="74"/>
        <v>0</v>
      </c>
      <c r="K109" s="144">
        <f t="shared" si="68"/>
        <v>0</v>
      </c>
      <c r="L109" s="145">
        <f t="shared" si="75"/>
        <v>0</v>
      </c>
      <c r="M109" s="146">
        <f t="shared" si="76"/>
        <v>0</v>
      </c>
      <c r="N109" s="147">
        <f>SUMIF(日報!B4:B691,$A109,日報!L4:L691)</f>
        <v>0</v>
      </c>
      <c r="O109" s="147">
        <f t="shared" si="69"/>
        <v>0</v>
      </c>
      <c r="P109" s="151"/>
      <c r="Q109" s="42" t="str">
        <f t="shared" si="77"/>
        <v/>
      </c>
      <c r="R109" s="154"/>
      <c r="S109" s="10" t="str">
        <f t="shared" si="78"/>
        <v/>
      </c>
      <c r="T109" s="11"/>
      <c r="U109" s="12"/>
      <c r="V109" s="136"/>
      <c r="W109" s="16"/>
      <c r="X109" s="17"/>
      <c r="Y109" s="18"/>
      <c r="Z109" s="15"/>
      <c r="AA109" s="15"/>
      <c r="AB109" s="155">
        <f t="shared" si="79"/>
        <v>0</v>
      </c>
      <c r="AC109" s="157">
        <f t="shared" si="80"/>
        <v>0</v>
      </c>
      <c r="AD109" s="144">
        <f t="shared" si="70"/>
        <v>0</v>
      </c>
      <c r="AE109" s="145">
        <f t="shared" si="71"/>
        <v>0</v>
      </c>
      <c r="AF109" s="146">
        <f t="shared" si="81"/>
        <v>0</v>
      </c>
      <c r="AH109" s="274">
        <f>SUMIF(日報!$T$4:$T$885,TEXT(YEAR(A109),"0000")&amp;TEXT(MONTH(A109),"00")&amp;TEXT(DAY(A109),"00")&amp;"SCSK",日報!$L$4:$L$885)</f>
        <v>0</v>
      </c>
      <c r="AI109" s="275">
        <f t="shared" si="83"/>
        <v>0</v>
      </c>
    </row>
    <row r="110" spans="1:35" s="2" customFormat="1" outlineLevel="1" x14ac:dyDescent="0.15">
      <c r="A110" s="168">
        <f t="shared" si="82"/>
        <v>43934</v>
      </c>
      <c r="B110" s="167">
        <f t="shared" si="72"/>
        <v>43934</v>
      </c>
      <c r="C110" s="32"/>
      <c r="D110" s="16">
        <v>0.38541666666666669</v>
      </c>
      <c r="E110" s="17">
        <v>0.76041666666666663</v>
      </c>
      <c r="F110" s="18">
        <v>1</v>
      </c>
      <c r="G110" s="15"/>
      <c r="H110" s="19"/>
      <c r="I110" s="137">
        <f t="shared" si="73"/>
        <v>9</v>
      </c>
      <c r="J110" s="143">
        <f t="shared" si="74"/>
        <v>7.75</v>
      </c>
      <c r="K110" s="144">
        <f t="shared" si="68"/>
        <v>0.25</v>
      </c>
      <c r="L110" s="145">
        <f t="shared" si="75"/>
        <v>0</v>
      </c>
      <c r="M110" s="146">
        <f t="shared" si="76"/>
        <v>0</v>
      </c>
      <c r="N110" s="147">
        <f>SUMIF(日報!B4:B691,$A110,日報!L4:L691)</f>
        <v>0</v>
      </c>
      <c r="O110" s="147">
        <f t="shared" si="69"/>
        <v>8</v>
      </c>
      <c r="P110" s="151"/>
      <c r="Q110" s="42" t="str">
        <f t="shared" si="77"/>
        <v/>
      </c>
      <c r="R110" s="154"/>
      <c r="S110" s="10" t="str">
        <f t="shared" si="78"/>
        <v/>
      </c>
      <c r="T110" s="11"/>
      <c r="U110" s="12"/>
      <c r="V110" s="136"/>
      <c r="W110" s="16"/>
      <c r="X110" s="17"/>
      <c r="Y110" s="18"/>
      <c r="Z110" s="15"/>
      <c r="AA110" s="15"/>
      <c r="AB110" s="155">
        <f t="shared" si="79"/>
        <v>0</v>
      </c>
      <c r="AC110" s="157">
        <f t="shared" si="80"/>
        <v>0</v>
      </c>
      <c r="AD110" s="144">
        <f t="shared" si="70"/>
        <v>0</v>
      </c>
      <c r="AE110" s="145">
        <f t="shared" si="71"/>
        <v>0</v>
      </c>
      <c r="AF110" s="146">
        <f t="shared" si="81"/>
        <v>0</v>
      </c>
      <c r="AH110" s="274">
        <f>SUMIF(日報!$T$4:$T$885,TEXT(YEAR(A110),"0000")&amp;TEXT(MONTH(A110),"00")&amp;TEXT(DAY(A110),"00")&amp;"SCSK",日報!$L$4:$L$885)</f>
        <v>0</v>
      </c>
      <c r="AI110" s="275">
        <f t="shared" si="83"/>
        <v>0</v>
      </c>
    </row>
    <row r="111" spans="1:35" s="2" customFormat="1" outlineLevel="1" x14ac:dyDescent="0.15">
      <c r="A111" s="168">
        <f t="shared" si="82"/>
        <v>43935</v>
      </c>
      <c r="B111" s="167">
        <f t="shared" si="72"/>
        <v>43935</v>
      </c>
      <c r="C111" s="32"/>
      <c r="D111" s="16">
        <v>0.38541666666666669</v>
      </c>
      <c r="E111" s="17">
        <v>0.76041666666666663</v>
      </c>
      <c r="F111" s="18">
        <v>1</v>
      </c>
      <c r="G111" s="15"/>
      <c r="H111" s="19"/>
      <c r="I111" s="137">
        <f t="shared" si="73"/>
        <v>9</v>
      </c>
      <c r="J111" s="143">
        <f t="shared" si="74"/>
        <v>7.75</v>
      </c>
      <c r="K111" s="144">
        <f t="shared" si="68"/>
        <v>0.25</v>
      </c>
      <c r="L111" s="145">
        <f t="shared" si="75"/>
        <v>0</v>
      </c>
      <c r="M111" s="146">
        <f t="shared" si="76"/>
        <v>0</v>
      </c>
      <c r="N111" s="147">
        <f>SUMIF(日報!B4:B691,$A111,日報!L4:L691)</f>
        <v>0</v>
      </c>
      <c r="O111" s="147">
        <f t="shared" si="69"/>
        <v>8</v>
      </c>
      <c r="P111" s="151"/>
      <c r="Q111" s="42" t="str">
        <f t="shared" si="77"/>
        <v/>
      </c>
      <c r="R111" s="154"/>
      <c r="S111" s="10" t="str">
        <f t="shared" si="78"/>
        <v/>
      </c>
      <c r="T111" s="11"/>
      <c r="U111" s="12"/>
      <c r="V111" s="136"/>
      <c r="W111" s="16"/>
      <c r="X111" s="17"/>
      <c r="Y111" s="18"/>
      <c r="Z111" s="15"/>
      <c r="AA111" s="15"/>
      <c r="AB111" s="155">
        <f t="shared" si="79"/>
        <v>0</v>
      </c>
      <c r="AC111" s="157">
        <f t="shared" si="80"/>
        <v>0</v>
      </c>
      <c r="AD111" s="144">
        <f t="shared" si="70"/>
        <v>0</v>
      </c>
      <c r="AE111" s="145">
        <f t="shared" si="71"/>
        <v>0</v>
      </c>
      <c r="AF111" s="146">
        <f t="shared" si="81"/>
        <v>0</v>
      </c>
      <c r="AH111" s="274">
        <f>SUMIF(日報!$T$4:$T$885,TEXT(YEAR(A111),"0000")&amp;TEXT(MONTH(A111),"00")&amp;TEXT(DAY(A111),"00")&amp;"SCSK",日報!$L$4:$L$885)</f>
        <v>0</v>
      </c>
      <c r="AI111" s="275">
        <f t="shared" si="83"/>
        <v>0</v>
      </c>
    </row>
    <row r="112" spans="1:35" s="2" customFormat="1" outlineLevel="1" x14ac:dyDescent="0.15">
      <c r="A112" s="168">
        <f t="shared" si="82"/>
        <v>43936</v>
      </c>
      <c r="B112" s="167">
        <f t="shared" si="72"/>
        <v>43936</v>
      </c>
      <c r="C112" s="32"/>
      <c r="D112" s="16">
        <v>0.38541666666666669</v>
      </c>
      <c r="E112" s="17">
        <v>0.76041666666666663</v>
      </c>
      <c r="F112" s="18">
        <v>1</v>
      </c>
      <c r="G112" s="15"/>
      <c r="H112" s="19"/>
      <c r="I112" s="137">
        <f t="shared" si="73"/>
        <v>9</v>
      </c>
      <c r="J112" s="143">
        <f t="shared" si="74"/>
        <v>7.75</v>
      </c>
      <c r="K112" s="144">
        <f t="shared" si="68"/>
        <v>0.25</v>
      </c>
      <c r="L112" s="145">
        <f t="shared" si="75"/>
        <v>0</v>
      </c>
      <c r="M112" s="146">
        <f t="shared" si="76"/>
        <v>0</v>
      </c>
      <c r="N112" s="147">
        <f>SUMIF(日報!B4:B691,$A112,日報!L4:L691)</f>
        <v>0</v>
      </c>
      <c r="O112" s="147">
        <f t="shared" si="69"/>
        <v>8</v>
      </c>
      <c r="P112" s="151"/>
      <c r="Q112" s="42" t="str">
        <f t="shared" si="77"/>
        <v/>
      </c>
      <c r="R112" s="154"/>
      <c r="S112" s="10" t="str">
        <f t="shared" si="78"/>
        <v/>
      </c>
      <c r="T112" s="11"/>
      <c r="U112" s="12"/>
      <c r="V112" s="136"/>
      <c r="W112" s="16"/>
      <c r="X112" s="17"/>
      <c r="Y112" s="18"/>
      <c r="Z112" s="15"/>
      <c r="AA112" s="15"/>
      <c r="AB112" s="155">
        <f t="shared" si="79"/>
        <v>0</v>
      </c>
      <c r="AC112" s="157">
        <f t="shared" si="80"/>
        <v>0</v>
      </c>
      <c r="AD112" s="144">
        <f t="shared" si="70"/>
        <v>0</v>
      </c>
      <c r="AE112" s="145">
        <f t="shared" si="71"/>
        <v>0</v>
      </c>
      <c r="AF112" s="146">
        <f t="shared" si="81"/>
        <v>0</v>
      </c>
      <c r="AH112" s="274">
        <f>SUMIF(日報!$T$4:$T$885,TEXT(YEAR(A112),"0000")&amp;TEXT(MONTH(A112),"00")&amp;TEXT(DAY(A112),"00")&amp;"SCSK",日報!$L$4:$L$885)</f>
        <v>0</v>
      </c>
      <c r="AI112" s="275">
        <f t="shared" si="83"/>
        <v>0</v>
      </c>
    </row>
    <row r="113" spans="1:35" s="2" customFormat="1" outlineLevel="1" x14ac:dyDescent="0.15">
      <c r="A113" s="168">
        <f t="shared" si="82"/>
        <v>43937</v>
      </c>
      <c r="B113" s="167">
        <f t="shared" si="72"/>
        <v>43937</v>
      </c>
      <c r="C113" s="32"/>
      <c r="D113" s="16">
        <v>0.38541666666666669</v>
      </c>
      <c r="E113" s="17">
        <v>0.88541666666666663</v>
      </c>
      <c r="F113" s="18">
        <v>1</v>
      </c>
      <c r="G113" s="15"/>
      <c r="H113" s="19"/>
      <c r="I113" s="137">
        <f t="shared" si="73"/>
        <v>12</v>
      </c>
      <c r="J113" s="143">
        <f t="shared" si="74"/>
        <v>7.75</v>
      </c>
      <c r="K113" s="144">
        <f t="shared" si="68"/>
        <v>3.25</v>
      </c>
      <c r="L113" s="145">
        <f t="shared" si="75"/>
        <v>0</v>
      </c>
      <c r="M113" s="146">
        <f t="shared" si="76"/>
        <v>0</v>
      </c>
      <c r="N113" s="147">
        <f>SUMIF(日報!B4:B691,$A113,日報!L4:L691)</f>
        <v>11</v>
      </c>
      <c r="O113" s="147">
        <f t="shared" si="69"/>
        <v>0</v>
      </c>
      <c r="P113" s="151"/>
      <c r="Q113" s="42" t="str">
        <f t="shared" si="77"/>
        <v/>
      </c>
      <c r="R113" s="154"/>
      <c r="S113" s="10" t="str">
        <f t="shared" si="78"/>
        <v/>
      </c>
      <c r="T113" s="11"/>
      <c r="U113" s="12"/>
      <c r="V113" s="136"/>
      <c r="W113" s="16"/>
      <c r="X113" s="17"/>
      <c r="Y113" s="18"/>
      <c r="Z113" s="15"/>
      <c r="AA113" s="15"/>
      <c r="AB113" s="155">
        <f t="shared" si="79"/>
        <v>0</v>
      </c>
      <c r="AC113" s="157">
        <f t="shared" si="80"/>
        <v>0</v>
      </c>
      <c r="AD113" s="144">
        <f t="shared" si="70"/>
        <v>0</v>
      </c>
      <c r="AE113" s="145">
        <f t="shared" si="71"/>
        <v>0</v>
      </c>
      <c r="AF113" s="146">
        <f t="shared" si="81"/>
        <v>0</v>
      </c>
      <c r="AH113" s="274">
        <f>SUMIF(日報!$T$4:$T$885,TEXT(YEAR(A113),"0000")&amp;TEXT(MONTH(A113),"00")&amp;TEXT(DAY(A113),"00")&amp;"SCSK",日報!$L$4:$L$885)</f>
        <v>0</v>
      </c>
      <c r="AI113" s="275">
        <f t="shared" si="83"/>
        <v>11</v>
      </c>
    </row>
    <row r="114" spans="1:35" s="2" customFormat="1" outlineLevel="1" x14ac:dyDescent="0.15">
      <c r="A114" s="168">
        <f t="shared" si="82"/>
        <v>43938</v>
      </c>
      <c r="B114" s="167">
        <f t="shared" si="72"/>
        <v>43938</v>
      </c>
      <c r="C114" s="32"/>
      <c r="D114" s="16">
        <v>0.38541666666666669</v>
      </c>
      <c r="E114" s="17">
        <v>0.80208333333333337</v>
      </c>
      <c r="F114" s="18">
        <v>1</v>
      </c>
      <c r="G114" s="15"/>
      <c r="H114" s="19"/>
      <c r="I114" s="137">
        <f t="shared" si="73"/>
        <v>10</v>
      </c>
      <c r="J114" s="143">
        <f t="shared" si="74"/>
        <v>7.75</v>
      </c>
      <c r="K114" s="144">
        <f t="shared" si="68"/>
        <v>1.25</v>
      </c>
      <c r="L114" s="145">
        <f t="shared" si="75"/>
        <v>0</v>
      </c>
      <c r="M114" s="146">
        <f t="shared" si="76"/>
        <v>0</v>
      </c>
      <c r="N114" s="147">
        <f>SUMIF(日報!B4:B691,$A114,日報!L4:L691)</f>
        <v>9</v>
      </c>
      <c r="O114" s="147">
        <f t="shared" si="69"/>
        <v>0</v>
      </c>
      <c r="P114" s="151"/>
      <c r="Q114" s="42" t="str">
        <f t="shared" si="77"/>
        <v/>
      </c>
      <c r="R114" s="154"/>
      <c r="S114" s="10" t="str">
        <f t="shared" si="78"/>
        <v/>
      </c>
      <c r="T114" s="11"/>
      <c r="U114" s="12"/>
      <c r="V114" s="136"/>
      <c r="W114" s="16"/>
      <c r="X114" s="17"/>
      <c r="Y114" s="18"/>
      <c r="Z114" s="15"/>
      <c r="AA114" s="15"/>
      <c r="AB114" s="155">
        <f t="shared" si="79"/>
        <v>0</v>
      </c>
      <c r="AC114" s="157">
        <f t="shared" si="80"/>
        <v>0</v>
      </c>
      <c r="AD114" s="144">
        <f t="shared" si="70"/>
        <v>0</v>
      </c>
      <c r="AE114" s="145">
        <f t="shared" si="71"/>
        <v>0</v>
      </c>
      <c r="AF114" s="146">
        <f t="shared" si="81"/>
        <v>0</v>
      </c>
      <c r="AH114" s="274">
        <f>SUMIF(日報!$T$4:$T$885,TEXT(YEAR(A114),"0000")&amp;TEXT(MONTH(A114),"00")&amp;TEXT(DAY(A114),"00")&amp;"SCSK",日報!$L$4:$L$885)</f>
        <v>0</v>
      </c>
      <c r="AI114" s="275">
        <f t="shared" si="83"/>
        <v>9</v>
      </c>
    </row>
    <row r="115" spans="1:35" s="2" customFormat="1" outlineLevel="1" x14ac:dyDescent="0.15">
      <c r="A115" s="168">
        <f t="shared" si="82"/>
        <v>43939</v>
      </c>
      <c r="B115" s="167">
        <f t="shared" si="72"/>
        <v>43939</v>
      </c>
      <c r="C115" s="32">
        <v>1</v>
      </c>
      <c r="D115" s="16"/>
      <c r="E115" s="17"/>
      <c r="F115" s="18"/>
      <c r="G115" s="15"/>
      <c r="H115" s="19"/>
      <c r="I115" s="137">
        <f t="shared" si="73"/>
        <v>0</v>
      </c>
      <c r="J115" s="143">
        <f t="shared" si="74"/>
        <v>0</v>
      </c>
      <c r="K115" s="144">
        <f t="shared" si="68"/>
        <v>0</v>
      </c>
      <c r="L115" s="145">
        <f t="shared" si="75"/>
        <v>0</v>
      </c>
      <c r="M115" s="146">
        <f t="shared" si="76"/>
        <v>0</v>
      </c>
      <c r="N115" s="147">
        <f>SUMIF(日報!B4:B691,$A115,日報!L4:L691)</f>
        <v>0</v>
      </c>
      <c r="O115" s="147">
        <f t="shared" si="69"/>
        <v>0</v>
      </c>
      <c r="P115" s="151"/>
      <c r="Q115" s="42" t="str">
        <f t="shared" si="77"/>
        <v/>
      </c>
      <c r="R115" s="154"/>
      <c r="S115" s="10" t="str">
        <f t="shared" si="78"/>
        <v/>
      </c>
      <c r="T115" s="11"/>
      <c r="U115" s="12"/>
      <c r="V115" s="136"/>
      <c r="W115" s="16"/>
      <c r="X115" s="17"/>
      <c r="Y115" s="18"/>
      <c r="Z115" s="15"/>
      <c r="AA115" s="15"/>
      <c r="AB115" s="155">
        <f t="shared" si="79"/>
        <v>0</v>
      </c>
      <c r="AC115" s="157">
        <f t="shared" si="80"/>
        <v>0</v>
      </c>
      <c r="AD115" s="144">
        <f t="shared" si="70"/>
        <v>0</v>
      </c>
      <c r="AE115" s="145">
        <f t="shared" si="71"/>
        <v>0</v>
      </c>
      <c r="AF115" s="146">
        <f t="shared" si="81"/>
        <v>0</v>
      </c>
      <c r="AH115" s="274">
        <f>SUMIF(日報!$T$4:$T$885,TEXT(YEAR(A115),"0000")&amp;TEXT(MONTH(A115),"00")&amp;TEXT(DAY(A115),"00")&amp;"SCSK",日報!$L$4:$L$885)</f>
        <v>0</v>
      </c>
      <c r="AI115" s="275">
        <f t="shared" si="83"/>
        <v>0</v>
      </c>
    </row>
    <row r="116" spans="1:35" s="2" customFormat="1" outlineLevel="1" x14ac:dyDescent="0.15">
      <c r="A116" s="168">
        <f t="shared" si="82"/>
        <v>43940</v>
      </c>
      <c r="B116" s="167">
        <f t="shared" si="72"/>
        <v>43940</v>
      </c>
      <c r="C116" s="32">
        <v>1</v>
      </c>
      <c r="D116" s="16"/>
      <c r="E116" s="17"/>
      <c r="F116" s="18"/>
      <c r="G116" s="15"/>
      <c r="H116" s="19"/>
      <c r="I116" s="137">
        <f t="shared" si="73"/>
        <v>0</v>
      </c>
      <c r="J116" s="143">
        <f t="shared" si="74"/>
        <v>0</v>
      </c>
      <c r="K116" s="144">
        <f t="shared" si="68"/>
        <v>0</v>
      </c>
      <c r="L116" s="145">
        <f t="shared" si="75"/>
        <v>0</v>
      </c>
      <c r="M116" s="146">
        <f t="shared" si="76"/>
        <v>0</v>
      </c>
      <c r="N116" s="147">
        <f>SUMIF(日報!B4:B691,$A116,日報!L4:L691)</f>
        <v>0</v>
      </c>
      <c r="O116" s="147">
        <f t="shared" si="69"/>
        <v>0</v>
      </c>
      <c r="P116" s="151"/>
      <c r="Q116" s="42" t="str">
        <f t="shared" si="77"/>
        <v/>
      </c>
      <c r="R116" s="154"/>
      <c r="S116" s="10" t="str">
        <f t="shared" si="78"/>
        <v/>
      </c>
      <c r="T116" s="11"/>
      <c r="U116" s="12"/>
      <c r="V116" s="136"/>
      <c r="W116" s="16"/>
      <c r="X116" s="17"/>
      <c r="Y116" s="18"/>
      <c r="Z116" s="15"/>
      <c r="AA116" s="15"/>
      <c r="AB116" s="155">
        <f t="shared" si="79"/>
        <v>0</v>
      </c>
      <c r="AC116" s="157">
        <f t="shared" si="80"/>
        <v>0</v>
      </c>
      <c r="AD116" s="144">
        <f t="shared" si="70"/>
        <v>0</v>
      </c>
      <c r="AE116" s="145">
        <f t="shared" si="71"/>
        <v>0</v>
      </c>
      <c r="AF116" s="146">
        <f t="shared" si="81"/>
        <v>0</v>
      </c>
      <c r="AH116" s="274">
        <f>SUMIF(日報!$T$4:$T$885,TEXT(YEAR(A116),"0000")&amp;TEXT(MONTH(A116),"00")&amp;TEXT(DAY(A116),"00")&amp;"SCSK",日報!$L$4:$L$885)</f>
        <v>0</v>
      </c>
      <c r="AI116" s="275">
        <f t="shared" si="83"/>
        <v>0</v>
      </c>
    </row>
    <row r="117" spans="1:35" s="2" customFormat="1" outlineLevel="1" x14ac:dyDescent="0.15">
      <c r="A117" s="168">
        <f t="shared" si="82"/>
        <v>43941</v>
      </c>
      <c r="B117" s="167">
        <f t="shared" si="72"/>
        <v>43941</v>
      </c>
      <c r="C117" s="32"/>
      <c r="D117" s="16">
        <v>0.38541666666666669</v>
      </c>
      <c r="E117" s="17">
        <v>0.84375</v>
      </c>
      <c r="F117" s="18">
        <v>1</v>
      </c>
      <c r="G117" s="15"/>
      <c r="H117" s="19"/>
      <c r="I117" s="137">
        <f t="shared" si="73"/>
        <v>11</v>
      </c>
      <c r="J117" s="143">
        <f t="shared" si="74"/>
        <v>7.75</v>
      </c>
      <c r="K117" s="144">
        <f t="shared" si="68"/>
        <v>2.25</v>
      </c>
      <c r="L117" s="145">
        <f t="shared" si="75"/>
        <v>0</v>
      </c>
      <c r="M117" s="146">
        <f t="shared" si="76"/>
        <v>0</v>
      </c>
      <c r="N117" s="147">
        <f>SUMIF(日報!B4:B691,$A117,日報!L4:L691)</f>
        <v>10</v>
      </c>
      <c r="O117" s="147">
        <f t="shared" si="69"/>
        <v>0</v>
      </c>
      <c r="P117" s="151"/>
      <c r="Q117" s="42" t="str">
        <f t="shared" si="77"/>
        <v/>
      </c>
      <c r="R117" s="154"/>
      <c r="S117" s="10" t="str">
        <f t="shared" si="78"/>
        <v/>
      </c>
      <c r="T117" s="11"/>
      <c r="U117" s="12"/>
      <c r="V117" s="136"/>
      <c r="W117" s="16"/>
      <c r="X117" s="17"/>
      <c r="Y117" s="18"/>
      <c r="Z117" s="15"/>
      <c r="AA117" s="15"/>
      <c r="AB117" s="155">
        <f t="shared" si="79"/>
        <v>0</v>
      </c>
      <c r="AC117" s="157">
        <f t="shared" si="80"/>
        <v>0</v>
      </c>
      <c r="AD117" s="144">
        <f t="shared" si="70"/>
        <v>0</v>
      </c>
      <c r="AE117" s="145">
        <f t="shared" si="71"/>
        <v>0</v>
      </c>
      <c r="AF117" s="146">
        <f t="shared" si="81"/>
        <v>0</v>
      </c>
      <c r="AH117" s="274">
        <f>SUMIF(日報!$T$4:$T$885,TEXT(YEAR(A117),"0000")&amp;TEXT(MONTH(A117),"00")&amp;TEXT(DAY(A117),"00")&amp;"SCSK",日報!$L$4:$L$885)</f>
        <v>0</v>
      </c>
      <c r="AI117" s="275">
        <f t="shared" si="83"/>
        <v>10</v>
      </c>
    </row>
    <row r="118" spans="1:35" s="2" customFormat="1" outlineLevel="1" x14ac:dyDescent="0.15">
      <c r="A118" s="168">
        <f t="shared" si="82"/>
        <v>43942</v>
      </c>
      <c r="B118" s="167">
        <f t="shared" si="72"/>
        <v>43942</v>
      </c>
      <c r="C118" s="32"/>
      <c r="D118" s="16">
        <v>0.38541666666666669</v>
      </c>
      <c r="E118" s="17">
        <v>0.88541666666666663</v>
      </c>
      <c r="F118" s="18">
        <v>1</v>
      </c>
      <c r="G118" s="15"/>
      <c r="H118" s="19"/>
      <c r="I118" s="137">
        <f t="shared" si="73"/>
        <v>12</v>
      </c>
      <c r="J118" s="143">
        <f t="shared" si="74"/>
        <v>7.75</v>
      </c>
      <c r="K118" s="144">
        <f t="shared" si="68"/>
        <v>3.25</v>
      </c>
      <c r="L118" s="145">
        <f t="shared" si="75"/>
        <v>0</v>
      </c>
      <c r="M118" s="146">
        <f t="shared" si="76"/>
        <v>0</v>
      </c>
      <c r="N118" s="147">
        <f>SUMIF(日報!B4:B691,$A118,日報!L4:L691)</f>
        <v>11</v>
      </c>
      <c r="O118" s="147">
        <f t="shared" si="69"/>
        <v>0</v>
      </c>
      <c r="P118" s="151"/>
      <c r="Q118" s="42" t="str">
        <f t="shared" si="77"/>
        <v/>
      </c>
      <c r="R118" s="154"/>
      <c r="S118" s="10" t="str">
        <f t="shared" si="78"/>
        <v/>
      </c>
      <c r="T118" s="11"/>
      <c r="U118" s="12"/>
      <c r="V118" s="136"/>
      <c r="W118" s="16"/>
      <c r="X118" s="17"/>
      <c r="Y118" s="18"/>
      <c r="Z118" s="15"/>
      <c r="AA118" s="15"/>
      <c r="AB118" s="155">
        <f t="shared" si="79"/>
        <v>0</v>
      </c>
      <c r="AC118" s="157">
        <f t="shared" si="80"/>
        <v>0</v>
      </c>
      <c r="AD118" s="144">
        <f t="shared" si="70"/>
        <v>0</v>
      </c>
      <c r="AE118" s="145">
        <f t="shared" si="71"/>
        <v>0</v>
      </c>
      <c r="AF118" s="146">
        <f t="shared" si="81"/>
        <v>0</v>
      </c>
      <c r="AH118" s="274">
        <f>SUMIF(日報!$T$4:$T$885,TEXT(YEAR(A118),"0000")&amp;TEXT(MONTH(A118),"00")&amp;TEXT(DAY(A118),"00")&amp;"SCSK",日報!$L$4:$L$885)</f>
        <v>0</v>
      </c>
      <c r="AI118" s="275">
        <f t="shared" si="83"/>
        <v>11</v>
      </c>
    </row>
    <row r="119" spans="1:35" s="2" customFormat="1" outlineLevel="1" x14ac:dyDescent="0.15">
      <c r="A119" s="168">
        <f t="shared" si="82"/>
        <v>43943</v>
      </c>
      <c r="B119" s="167">
        <f t="shared" si="72"/>
        <v>43943</v>
      </c>
      <c r="C119" s="32"/>
      <c r="D119" s="16">
        <v>0.38541666666666669</v>
      </c>
      <c r="E119" s="17">
        <v>0.76041666666666663</v>
      </c>
      <c r="F119" s="18">
        <v>1</v>
      </c>
      <c r="G119" s="15"/>
      <c r="H119" s="19"/>
      <c r="I119" s="137">
        <f t="shared" si="73"/>
        <v>9</v>
      </c>
      <c r="J119" s="143">
        <f t="shared" si="74"/>
        <v>7.75</v>
      </c>
      <c r="K119" s="144">
        <f t="shared" si="68"/>
        <v>0.25</v>
      </c>
      <c r="L119" s="145">
        <f t="shared" si="75"/>
        <v>0</v>
      </c>
      <c r="M119" s="146">
        <f t="shared" si="76"/>
        <v>0</v>
      </c>
      <c r="N119" s="147">
        <f>SUMIF(日報!B4:B691,$A119,日報!L4:L691)</f>
        <v>8</v>
      </c>
      <c r="O119" s="147">
        <f t="shared" si="69"/>
        <v>0</v>
      </c>
      <c r="P119" s="151"/>
      <c r="Q119" s="42" t="str">
        <f t="shared" si="77"/>
        <v/>
      </c>
      <c r="R119" s="154"/>
      <c r="S119" s="10" t="str">
        <f t="shared" si="78"/>
        <v/>
      </c>
      <c r="T119" s="11"/>
      <c r="U119" s="12"/>
      <c r="V119" s="136"/>
      <c r="W119" s="16"/>
      <c r="X119" s="17"/>
      <c r="Y119" s="18"/>
      <c r="Z119" s="15"/>
      <c r="AA119" s="15"/>
      <c r="AB119" s="155">
        <f t="shared" si="79"/>
        <v>0</v>
      </c>
      <c r="AC119" s="157">
        <f t="shared" si="80"/>
        <v>0</v>
      </c>
      <c r="AD119" s="144">
        <f t="shared" si="70"/>
        <v>0</v>
      </c>
      <c r="AE119" s="145">
        <f t="shared" si="71"/>
        <v>0</v>
      </c>
      <c r="AF119" s="146">
        <f t="shared" si="81"/>
        <v>0</v>
      </c>
      <c r="AH119" s="274">
        <f>SUMIF(日報!$T$4:$T$885,TEXT(YEAR(A119),"0000")&amp;TEXT(MONTH(A119),"00")&amp;TEXT(DAY(A119),"00")&amp;"SCSK",日報!$L$4:$L$885)</f>
        <v>0</v>
      </c>
      <c r="AI119" s="275">
        <f t="shared" si="83"/>
        <v>8</v>
      </c>
    </row>
    <row r="120" spans="1:35" s="2" customFormat="1" outlineLevel="1" x14ac:dyDescent="0.15">
      <c r="A120" s="168">
        <f t="shared" si="82"/>
        <v>43944</v>
      </c>
      <c r="B120" s="167">
        <f t="shared" si="72"/>
        <v>43944</v>
      </c>
      <c r="C120" s="32"/>
      <c r="D120" s="16">
        <v>0.38541666666666669</v>
      </c>
      <c r="E120" s="17">
        <v>0.76041666666666663</v>
      </c>
      <c r="F120" s="18">
        <v>1</v>
      </c>
      <c r="G120" s="15"/>
      <c r="H120" s="19"/>
      <c r="I120" s="137">
        <f t="shared" si="73"/>
        <v>9</v>
      </c>
      <c r="J120" s="143">
        <f t="shared" si="74"/>
        <v>7.75</v>
      </c>
      <c r="K120" s="144">
        <f t="shared" si="68"/>
        <v>0.25</v>
      </c>
      <c r="L120" s="145">
        <f t="shared" si="75"/>
        <v>0</v>
      </c>
      <c r="M120" s="146">
        <f t="shared" si="76"/>
        <v>0</v>
      </c>
      <c r="N120" s="147">
        <f>SUMIF(日報!B4:B691,$A120,日報!L4:L691)</f>
        <v>8</v>
      </c>
      <c r="O120" s="147">
        <f t="shared" si="69"/>
        <v>0</v>
      </c>
      <c r="P120" s="151"/>
      <c r="Q120" s="42" t="str">
        <f t="shared" si="77"/>
        <v/>
      </c>
      <c r="R120" s="154"/>
      <c r="S120" s="10" t="str">
        <f t="shared" si="78"/>
        <v/>
      </c>
      <c r="T120" s="11"/>
      <c r="U120" s="12"/>
      <c r="V120" s="136"/>
      <c r="W120" s="16"/>
      <c r="X120" s="17"/>
      <c r="Y120" s="18"/>
      <c r="Z120" s="15"/>
      <c r="AA120" s="15"/>
      <c r="AB120" s="155">
        <f t="shared" si="79"/>
        <v>0</v>
      </c>
      <c r="AC120" s="157">
        <f t="shared" si="80"/>
        <v>0</v>
      </c>
      <c r="AD120" s="144">
        <f t="shared" si="70"/>
        <v>0</v>
      </c>
      <c r="AE120" s="145">
        <f t="shared" si="71"/>
        <v>0</v>
      </c>
      <c r="AF120" s="146">
        <f t="shared" si="81"/>
        <v>0</v>
      </c>
      <c r="AH120" s="274">
        <f>SUMIF(日報!$T$4:$T$885,TEXT(YEAR(A120),"0000")&amp;TEXT(MONTH(A120),"00")&amp;TEXT(DAY(A120),"00")&amp;"SCSK",日報!$L$4:$L$885)</f>
        <v>0</v>
      </c>
      <c r="AI120" s="275">
        <f t="shared" si="83"/>
        <v>8</v>
      </c>
    </row>
    <row r="121" spans="1:35" s="2" customFormat="1" outlineLevel="1" x14ac:dyDescent="0.15">
      <c r="A121" s="168">
        <f t="shared" si="82"/>
        <v>43945</v>
      </c>
      <c r="B121" s="167">
        <f t="shared" si="72"/>
        <v>43945</v>
      </c>
      <c r="C121" s="32"/>
      <c r="D121" s="16">
        <v>0.38541666666666669</v>
      </c>
      <c r="E121" s="17">
        <v>0.76041666666666663</v>
      </c>
      <c r="F121" s="18">
        <v>1</v>
      </c>
      <c r="G121" s="15"/>
      <c r="H121" s="19"/>
      <c r="I121" s="137">
        <f t="shared" si="73"/>
        <v>9</v>
      </c>
      <c r="J121" s="143">
        <f t="shared" si="74"/>
        <v>7.75</v>
      </c>
      <c r="K121" s="144">
        <f t="shared" si="68"/>
        <v>0.25</v>
      </c>
      <c r="L121" s="145">
        <f t="shared" si="75"/>
        <v>0</v>
      </c>
      <c r="M121" s="146">
        <f t="shared" si="76"/>
        <v>0</v>
      </c>
      <c r="N121" s="147">
        <f>SUMIF(日報!B4:B691,$A121,日報!L4:L691)</f>
        <v>0</v>
      </c>
      <c r="O121" s="147">
        <f t="shared" si="69"/>
        <v>8</v>
      </c>
      <c r="P121" s="151"/>
      <c r="Q121" s="42" t="str">
        <f t="shared" si="77"/>
        <v/>
      </c>
      <c r="R121" s="154"/>
      <c r="S121" s="10" t="str">
        <f t="shared" si="78"/>
        <v/>
      </c>
      <c r="T121" s="11"/>
      <c r="U121" s="12"/>
      <c r="V121" s="136"/>
      <c r="W121" s="16"/>
      <c r="X121" s="17"/>
      <c r="Y121" s="18"/>
      <c r="Z121" s="15"/>
      <c r="AA121" s="15"/>
      <c r="AB121" s="155">
        <f t="shared" si="79"/>
        <v>0</v>
      </c>
      <c r="AC121" s="157">
        <f t="shared" si="80"/>
        <v>0</v>
      </c>
      <c r="AD121" s="144">
        <f t="shared" si="70"/>
        <v>0</v>
      </c>
      <c r="AE121" s="145">
        <f t="shared" si="71"/>
        <v>0</v>
      </c>
      <c r="AF121" s="146">
        <f t="shared" si="81"/>
        <v>0</v>
      </c>
      <c r="AH121" s="274">
        <f>SUMIF(日報!$T$4:$T$885,TEXT(YEAR(A121),"0000")&amp;TEXT(MONTH(A121),"00")&amp;TEXT(DAY(A121),"00")&amp;"SCSK",日報!$L$4:$L$885)</f>
        <v>0</v>
      </c>
      <c r="AI121" s="275">
        <f t="shared" si="83"/>
        <v>0</v>
      </c>
    </row>
    <row r="122" spans="1:35" s="2" customFormat="1" outlineLevel="1" x14ac:dyDescent="0.15">
      <c r="A122" s="168">
        <f t="shared" si="82"/>
        <v>43946</v>
      </c>
      <c r="B122" s="167">
        <f t="shared" si="72"/>
        <v>43946</v>
      </c>
      <c r="C122" s="32">
        <v>1</v>
      </c>
      <c r="D122" s="16"/>
      <c r="E122" s="17"/>
      <c r="F122" s="18"/>
      <c r="G122" s="15"/>
      <c r="H122" s="19"/>
      <c r="I122" s="137">
        <f t="shared" si="73"/>
        <v>0</v>
      </c>
      <c r="J122" s="143">
        <f t="shared" si="74"/>
        <v>0</v>
      </c>
      <c r="K122" s="144">
        <f t="shared" si="68"/>
        <v>0</v>
      </c>
      <c r="L122" s="145">
        <f t="shared" si="75"/>
        <v>0</v>
      </c>
      <c r="M122" s="146">
        <f t="shared" si="76"/>
        <v>0</v>
      </c>
      <c r="N122" s="147"/>
      <c r="O122" s="147">
        <f t="shared" si="69"/>
        <v>0</v>
      </c>
      <c r="P122" s="151"/>
      <c r="Q122" s="42" t="str">
        <f t="shared" si="77"/>
        <v/>
      </c>
      <c r="R122" s="154"/>
      <c r="S122" s="10" t="str">
        <f t="shared" si="78"/>
        <v/>
      </c>
      <c r="T122" s="11"/>
      <c r="U122" s="12"/>
      <c r="V122" s="136"/>
      <c r="W122" s="16"/>
      <c r="X122" s="17"/>
      <c r="Y122" s="18"/>
      <c r="Z122" s="15"/>
      <c r="AA122" s="15"/>
      <c r="AB122" s="155">
        <f t="shared" si="79"/>
        <v>0</v>
      </c>
      <c r="AC122" s="157">
        <f t="shared" si="80"/>
        <v>0</v>
      </c>
      <c r="AD122" s="144">
        <f t="shared" si="70"/>
        <v>0</v>
      </c>
      <c r="AE122" s="145">
        <f t="shared" si="71"/>
        <v>0</v>
      </c>
      <c r="AF122" s="146">
        <f t="shared" si="81"/>
        <v>0</v>
      </c>
      <c r="AH122" s="274">
        <f>SUMIF(日報!$T$4:$T$885,TEXT(YEAR(A122),"0000")&amp;TEXT(MONTH(A122),"00")&amp;TEXT(DAY(A122),"00")&amp;"SCSK",日報!$L$4:$L$885)</f>
        <v>0</v>
      </c>
      <c r="AI122" s="275">
        <f t="shared" si="83"/>
        <v>0</v>
      </c>
    </row>
    <row r="123" spans="1:35" s="2" customFormat="1" outlineLevel="1" x14ac:dyDescent="0.15">
      <c r="A123" s="168">
        <f t="shared" si="82"/>
        <v>43947</v>
      </c>
      <c r="B123" s="167">
        <f t="shared" si="72"/>
        <v>43947</v>
      </c>
      <c r="C123" s="32">
        <v>1</v>
      </c>
      <c r="D123" s="16"/>
      <c r="E123" s="17"/>
      <c r="F123" s="18"/>
      <c r="G123" s="15"/>
      <c r="H123" s="19"/>
      <c r="I123" s="137">
        <f t="shared" si="73"/>
        <v>0</v>
      </c>
      <c r="J123" s="143">
        <f t="shared" si="74"/>
        <v>0</v>
      </c>
      <c r="K123" s="144">
        <f t="shared" si="68"/>
        <v>0</v>
      </c>
      <c r="L123" s="145">
        <f t="shared" si="75"/>
        <v>0</v>
      </c>
      <c r="M123" s="146">
        <f t="shared" si="76"/>
        <v>0</v>
      </c>
      <c r="N123" s="147">
        <f>SUMIF(日報!B4:B691,$A123,日報!L4:L691)</f>
        <v>0</v>
      </c>
      <c r="O123" s="147">
        <f t="shared" si="69"/>
        <v>0</v>
      </c>
      <c r="P123" s="151"/>
      <c r="Q123" s="42" t="str">
        <f t="shared" si="77"/>
        <v/>
      </c>
      <c r="R123" s="154"/>
      <c r="S123" s="10" t="str">
        <f t="shared" si="78"/>
        <v/>
      </c>
      <c r="T123" s="11"/>
      <c r="U123" s="12"/>
      <c r="V123" s="136"/>
      <c r="W123" s="16"/>
      <c r="X123" s="17"/>
      <c r="Y123" s="18"/>
      <c r="Z123" s="15"/>
      <c r="AA123" s="15"/>
      <c r="AB123" s="155">
        <f t="shared" si="79"/>
        <v>0</v>
      </c>
      <c r="AC123" s="157">
        <f t="shared" si="80"/>
        <v>0</v>
      </c>
      <c r="AD123" s="144">
        <f t="shared" si="70"/>
        <v>0</v>
      </c>
      <c r="AE123" s="145">
        <f t="shared" si="71"/>
        <v>0</v>
      </c>
      <c r="AF123" s="146">
        <f t="shared" si="81"/>
        <v>0</v>
      </c>
      <c r="AH123" s="274">
        <f>SUMIF(日報!$T$4:$T$885,TEXT(YEAR(A123),"0000")&amp;TEXT(MONTH(A123),"00")&amp;TEXT(DAY(A123),"00")&amp;"SCSK",日報!$L$4:$L$885)</f>
        <v>0</v>
      </c>
      <c r="AI123" s="275">
        <f t="shared" si="83"/>
        <v>0</v>
      </c>
    </row>
    <row r="124" spans="1:35" s="2" customFormat="1" outlineLevel="1" x14ac:dyDescent="0.15">
      <c r="A124" s="168">
        <f t="shared" si="82"/>
        <v>43948</v>
      </c>
      <c r="B124" s="167">
        <f t="shared" si="72"/>
        <v>43948</v>
      </c>
      <c r="C124" s="32">
        <v>1</v>
      </c>
      <c r="D124" s="16"/>
      <c r="E124" s="17"/>
      <c r="F124" s="18"/>
      <c r="G124" s="15"/>
      <c r="H124" s="19"/>
      <c r="I124" s="137">
        <f t="shared" si="73"/>
        <v>0</v>
      </c>
      <c r="J124" s="143">
        <f t="shared" si="74"/>
        <v>0</v>
      </c>
      <c r="K124" s="144">
        <f t="shared" si="68"/>
        <v>0</v>
      </c>
      <c r="L124" s="145">
        <f t="shared" si="75"/>
        <v>0</v>
      </c>
      <c r="M124" s="146">
        <f t="shared" si="76"/>
        <v>0</v>
      </c>
      <c r="N124" s="147">
        <f>SUMIF(日報!B4:B691,$A124,日報!L4:L691)</f>
        <v>0</v>
      </c>
      <c r="O124" s="147">
        <f t="shared" si="69"/>
        <v>0</v>
      </c>
      <c r="P124" s="151"/>
      <c r="Q124" s="42" t="str">
        <f t="shared" si="77"/>
        <v/>
      </c>
      <c r="R124" s="154"/>
      <c r="S124" s="10" t="s">
        <v>282</v>
      </c>
      <c r="T124" s="11"/>
      <c r="U124" s="12"/>
      <c r="V124" s="136"/>
      <c r="W124" s="16"/>
      <c r="X124" s="17"/>
      <c r="Y124" s="18"/>
      <c r="Z124" s="15"/>
      <c r="AA124" s="15"/>
      <c r="AB124" s="155">
        <f t="shared" si="79"/>
        <v>0</v>
      </c>
      <c r="AC124" s="157">
        <f t="shared" si="80"/>
        <v>0</v>
      </c>
      <c r="AD124" s="144">
        <f t="shared" si="70"/>
        <v>0</v>
      </c>
      <c r="AE124" s="145">
        <f t="shared" si="71"/>
        <v>0</v>
      </c>
      <c r="AF124" s="146">
        <f t="shared" si="81"/>
        <v>0</v>
      </c>
      <c r="AH124" s="274">
        <f>SUMIF(日報!$T$4:$T$885,TEXT(YEAR(A124),"0000")&amp;TEXT(MONTH(A124),"00")&amp;TEXT(DAY(A124),"00")&amp;"SCSK",日報!$L$4:$L$885)</f>
        <v>0</v>
      </c>
      <c r="AI124" s="275">
        <f t="shared" si="83"/>
        <v>0</v>
      </c>
    </row>
    <row r="125" spans="1:35" s="2" customFormat="1" outlineLevel="1" x14ac:dyDescent="0.15">
      <c r="A125" s="168">
        <f t="shared" si="82"/>
        <v>43949</v>
      </c>
      <c r="B125" s="167">
        <f t="shared" si="72"/>
        <v>43949</v>
      </c>
      <c r="C125" s="32">
        <v>1</v>
      </c>
      <c r="D125" s="16"/>
      <c r="E125" s="17"/>
      <c r="F125" s="18"/>
      <c r="G125" s="15"/>
      <c r="H125" s="19"/>
      <c r="I125" s="137">
        <f t="shared" si="73"/>
        <v>0</v>
      </c>
      <c r="J125" s="143">
        <f t="shared" si="74"/>
        <v>0</v>
      </c>
      <c r="K125" s="144">
        <f t="shared" si="68"/>
        <v>0</v>
      </c>
      <c r="L125" s="145">
        <f t="shared" si="75"/>
        <v>0</v>
      </c>
      <c r="M125" s="146">
        <f t="shared" si="76"/>
        <v>0</v>
      </c>
      <c r="N125" s="147">
        <f>SUMIF(日報!B4:B691,$A125,日報!L4:L691)</f>
        <v>0</v>
      </c>
      <c r="O125" s="147">
        <f t="shared" si="69"/>
        <v>0</v>
      </c>
      <c r="P125" s="151"/>
      <c r="Q125" s="42" t="str">
        <f t="shared" si="77"/>
        <v/>
      </c>
      <c r="R125" s="154"/>
      <c r="S125" s="10" t="s">
        <v>283</v>
      </c>
      <c r="T125" s="11"/>
      <c r="U125" s="12"/>
      <c r="V125" s="136"/>
      <c r="W125" s="16"/>
      <c r="X125" s="17"/>
      <c r="Y125" s="18"/>
      <c r="Z125" s="15"/>
      <c r="AA125" s="15"/>
      <c r="AB125" s="155">
        <f t="shared" si="79"/>
        <v>0</v>
      </c>
      <c r="AC125" s="157">
        <f t="shared" si="80"/>
        <v>0</v>
      </c>
      <c r="AD125" s="144">
        <f t="shared" si="70"/>
        <v>0</v>
      </c>
      <c r="AE125" s="145">
        <f t="shared" si="71"/>
        <v>0</v>
      </c>
      <c r="AF125" s="146">
        <f t="shared" si="81"/>
        <v>0</v>
      </c>
      <c r="AH125" s="274">
        <f>SUMIF(日報!$T$4:$T$885,TEXT(YEAR(A125),"0000")&amp;TEXT(MONTH(A125),"00")&amp;TEXT(DAY(A125),"00")&amp;"SCSK",日報!$L$4:$L$885)</f>
        <v>0</v>
      </c>
      <c r="AI125" s="275">
        <f t="shared" si="83"/>
        <v>0</v>
      </c>
    </row>
    <row r="126" spans="1:35" s="2" customFormat="1" outlineLevel="1" x14ac:dyDescent="0.15">
      <c r="A126" s="168">
        <f>A125+1</f>
        <v>43950</v>
      </c>
      <c r="B126" s="167">
        <f t="shared" si="72"/>
        <v>43950</v>
      </c>
      <c r="C126" s="32">
        <v>1</v>
      </c>
      <c r="D126" s="16"/>
      <c r="E126" s="17"/>
      <c r="F126" s="18"/>
      <c r="G126" s="15"/>
      <c r="H126" s="19"/>
      <c r="I126" s="137">
        <f t="shared" si="73"/>
        <v>0</v>
      </c>
      <c r="J126" s="143">
        <f t="shared" si="74"/>
        <v>0</v>
      </c>
      <c r="K126" s="144">
        <f t="shared" si="68"/>
        <v>0</v>
      </c>
      <c r="L126" s="145">
        <f t="shared" si="75"/>
        <v>0</v>
      </c>
      <c r="M126" s="146">
        <f t="shared" si="76"/>
        <v>0</v>
      </c>
      <c r="N126" s="147">
        <f>SUMIF(日報!B4:B691,$A126,日報!L4:L691)</f>
        <v>0</v>
      </c>
      <c r="O126" s="147">
        <f t="shared" si="69"/>
        <v>0</v>
      </c>
      <c r="P126" s="151"/>
      <c r="Q126" s="42" t="str">
        <f t="shared" si="77"/>
        <v/>
      </c>
      <c r="R126" s="154"/>
      <c r="S126" s="10" t="str">
        <f t="shared" si="78"/>
        <v/>
      </c>
      <c r="T126" s="11"/>
      <c r="U126" s="12"/>
      <c r="V126" s="136"/>
      <c r="W126" s="16"/>
      <c r="X126" s="17"/>
      <c r="Y126" s="18"/>
      <c r="Z126" s="15"/>
      <c r="AA126" s="15"/>
      <c r="AB126" s="155">
        <f t="shared" si="79"/>
        <v>0</v>
      </c>
      <c r="AC126" s="157">
        <f t="shared" si="80"/>
        <v>0</v>
      </c>
      <c r="AD126" s="144">
        <f t="shared" si="70"/>
        <v>0</v>
      </c>
      <c r="AE126" s="145">
        <f t="shared" si="71"/>
        <v>0</v>
      </c>
      <c r="AF126" s="146">
        <f t="shared" si="81"/>
        <v>0</v>
      </c>
      <c r="AH126" s="274">
        <f>SUMIF(日報!$T$4:$T$885,TEXT(YEAR(A126),"0000")&amp;TEXT(MONTH(A126),"00")&amp;TEXT(DAY(A126),"00")&amp;"SCSK",日報!$L$4:$L$885)</f>
        <v>0</v>
      </c>
      <c r="AI126" s="275">
        <f t="shared" si="83"/>
        <v>0</v>
      </c>
    </row>
    <row r="127" spans="1:35" s="2" customFormat="1" ht="14.25" outlineLevel="1" thickBot="1" x14ac:dyDescent="0.2">
      <c r="A127" s="168">
        <f>A126+1</f>
        <v>43951</v>
      </c>
      <c r="B127" s="167">
        <f t="shared" si="72"/>
        <v>43951</v>
      </c>
      <c r="C127" s="32"/>
      <c r="D127" s="16">
        <v>0.38541666666666669</v>
      </c>
      <c r="E127" s="17">
        <v>0.76041666666666663</v>
      </c>
      <c r="F127" s="18">
        <v>1</v>
      </c>
      <c r="G127" s="15"/>
      <c r="H127" s="19"/>
      <c r="I127" s="137">
        <f t="shared" si="73"/>
        <v>9</v>
      </c>
      <c r="J127" s="143">
        <f t="shared" si="74"/>
        <v>7.75</v>
      </c>
      <c r="K127" s="144">
        <f t="shared" si="68"/>
        <v>0.25</v>
      </c>
      <c r="L127" s="145">
        <f t="shared" si="75"/>
        <v>0</v>
      </c>
      <c r="M127" s="146">
        <f t="shared" si="76"/>
        <v>0</v>
      </c>
      <c r="N127" s="147">
        <f>SUMIF(日報!B4:B691,$A127,日報!L4:L691)</f>
        <v>0</v>
      </c>
      <c r="O127" s="147">
        <f t="shared" si="69"/>
        <v>8</v>
      </c>
      <c r="P127" s="151"/>
      <c r="Q127" s="42" t="str">
        <f t="shared" si="77"/>
        <v/>
      </c>
      <c r="R127" s="154"/>
      <c r="S127" s="10" t="str">
        <f t="shared" si="78"/>
        <v/>
      </c>
      <c r="T127" s="11"/>
      <c r="U127" s="12"/>
      <c r="V127" s="136"/>
      <c r="W127" s="16"/>
      <c r="X127" s="17"/>
      <c r="Y127" s="18"/>
      <c r="Z127" s="15"/>
      <c r="AA127" s="15"/>
      <c r="AB127" s="155">
        <f t="shared" si="79"/>
        <v>0</v>
      </c>
      <c r="AC127" s="157">
        <f t="shared" si="80"/>
        <v>0</v>
      </c>
      <c r="AD127" s="144">
        <f t="shared" si="70"/>
        <v>0</v>
      </c>
      <c r="AE127" s="145">
        <f t="shared" si="71"/>
        <v>0</v>
      </c>
      <c r="AF127" s="146">
        <f t="shared" si="81"/>
        <v>0</v>
      </c>
      <c r="AH127" s="274">
        <f>SUMIF(日報!$T$4:$T$885,TEXT(YEAR(A127),"0000")&amp;TEXT(MONTH(A127),"00")&amp;TEXT(DAY(A127),"00")&amp;"SCSK",日報!$L$4:$L$885)</f>
        <v>0</v>
      </c>
      <c r="AI127" s="275">
        <f t="shared" si="83"/>
        <v>0</v>
      </c>
    </row>
    <row r="128" spans="1:35" ht="15" thickTop="1" thickBot="1" x14ac:dyDescent="0.2">
      <c r="A128" s="107">
        <f>A127</f>
        <v>43951</v>
      </c>
      <c r="B128" s="108">
        <f>COUNT(B98:B127)</f>
        <v>30</v>
      </c>
      <c r="C128" s="108"/>
      <c r="D128" s="109"/>
      <c r="E128" s="109"/>
      <c r="F128" s="110">
        <f>SUM(F98:F127)</f>
        <v>19</v>
      </c>
      <c r="G128" s="110">
        <f t="shared" ref="G128:M128" si="84">SUM(G98:G127)</f>
        <v>0</v>
      </c>
      <c r="H128" s="110">
        <f t="shared" si="84"/>
        <v>0</v>
      </c>
      <c r="I128" s="110">
        <f t="shared" si="84"/>
        <v>180</v>
      </c>
      <c r="J128" s="110">
        <f t="shared" si="84"/>
        <v>147.25</v>
      </c>
      <c r="K128" s="110">
        <f t="shared" si="84"/>
        <v>13.75</v>
      </c>
      <c r="L128" s="110">
        <f t="shared" si="84"/>
        <v>0</v>
      </c>
      <c r="M128" s="123">
        <f t="shared" si="84"/>
        <v>0</v>
      </c>
      <c r="N128" s="115"/>
      <c r="O128" s="116">
        <f>SUM(O98:O127)</f>
        <v>104</v>
      </c>
      <c r="P128" s="105"/>
      <c r="Q128" s="118"/>
      <c r="R128" s="106"/>
      <c r="S128" s="120"/>
      <c r="T128" s="118"/>
      <c r="U128" s="121"/>
      <c r="W128" s="122"/>
      <c r="X128" s="109"/>
      <c r="Y128" s="110">
        <f t="shared" ref="Y128:AF128" si="85">SUM(Y98:Y127)</f>
        <v>0</v>
      </c>
      <c r="Z128" s="110">
        <f t="shared" si="85"/>
        <v>0</v>
      </c>
      <c r="AA128" s="110">
        <f t="shared" si="85"/>
        <v>0</v>
      </c>
      <c r="AB128" s="111">
        <f t="shared" si="85"/>
        <v>0</v>
      </c>
      <c r="AC128" s="112">
        <f t="shared" si="85"/>
        <v>0</v>
      </c>
      <c r="AD128" s="112">
        <f t="shared" si="85"/>
        <v>0</v>
      </c>
      <c r="AE128" s="112">
        <f t="shared" si="85"/>
        <v>0</v>
      </c>
      <c r="AF128" s="113">
        <f t="shared" si="85"/>
        <v>0</v>
      </c>
      <c r="AH128" s="276"/>
      <c r="AI128" s="277"/>
    </row>
    <row r="129" spans="1:35" s="2" customFormat="1" outlineLevel="1" x14ac:dyDescent="0.15">
      <c r="A129" s="168">
        <f>A127+1</f>
        <v>43952</v>
      </c>
      <c r="B129" s="167">
        <f>A129</f>
        <v>43952</v>
      </c>
      <c r="C129" s="32"/>
      <c r="D129" s="16">
        <v>0.38541666666666669</v>
      </c>
      <c r="E129" s="17">
        <v>0.80208333333333337</v>
      </c>
      <c r="F129" s="18">
        <v>1</v>
      </c>
      <c r="G129" s="15"/>
      <c r="H129" s="19"/>
      <c r="I129" s="137">
        <f>timediff(D129,E129,15)</f>
        <v>10</v>
      </c>
      <c r="J129" s="143">
        <f>IF(C129=1,0,I129-M129-L129-K129-F129-H129-G129)</f>
        <v>7.75</v>
      </c>
      <c r="K129" s="144">
        <f t="shared" ref="K129:K159" si="86">IF(C129=0,IF(時間外開始&lt;E129,timediff(時間外開始,E129,15)-M129-G129-H129,0),0)</f>
        <v>1.25</v>
      </c>
      <c r="L129" s="145">
        <f>IF(C129=1,$I129-F129-M129-H129,0)</f>
        <v>0</v>
      </c>
      <c r="M129" s="146">
        <f t="shared" ref="M129:M159" si="87">IF(深夜終了&lt;E129,timediff(深夜開始,深夜終了,15)-H129,IF(深夜開始&lt;E129,timediff(深夜開始,E129,15)-H129,0))</f>
        <v>0</v>
      </c>
      <c r="N129" s="147">
        <f>SUMIF(日報!B4:B691,$A129,日報!L4:L691)</f>
        <v>0</v>
      </c>
      <c r="O129" s="147">
        <f t="shared" ref="O129:O159" si="88">SUM(J129:M129)-N129</f>
        <v>9</v>
      </c>
      <c r="P129" s="151"/>
      <c r="Q129" s="42" t="str">
        <f t="shared" ref="Q129:Q159" si="89">IF(P129="不調","ここに症状を入力！","")</f>
        <v/>
      </c>
      <c r="R129" s="154"/>
      <c r="S129" s="10" t="str">
        <f t="shared" ref="S129:S159" si="90">IF(R129&lt;&gt;"","ここに理由を入力！","")</f>
        <v/>
      </c>
      <c r="T129" s="11"/>
      <c r="U129" s="12"/>
      <c r="V129" s="136"/>
      <c r="W129" s="16"/>
      <c r="X129" s="17"/>
      <c r="Y129" s="18"/>
      <c r="Z129" s="15"/>
      <c r="AA129" s="15"/>
      <c r="AB129" s="155">
        <f t="shared" ref="AB129:AB159" si="91">timediff(W129,X129,15)</f>
        <v>0</v>
      </c>
      <c r="AC129" s="157">
        <f>AB129-AF129-AE129-AD129-Y129-Z129-AA129</f>
        <v>0</v>
      </c>
      <c r="AD129" s="144">
        <f t="shared" ref="AD129:AD159" si="92">IF(C129=0,IF(時間外開始&lt;X129,timediff(時間外開始,X129,15)-AF129-Z129-AA129,0),0)</f>
        <v>0</v>
      </c>
      <c r="AE129" s="145">
        <f t="shared" ref="AE129:AE159" si="93">IF(C129=1,AB129-Y129-Z129-AA129,0)</f>
        <v>0</v>
      </c>
      <c r="AF129" s="146">
        <f t="shared" ref="AF129:AF159" si="94">IF(深夜終了&lt;X129,timediff(深夜開始,深夜終了,15)-AA129,IF(深夜開始&lt;X129,timediff(深夜開始,X129,15)-AA129,0))</f>
        <v>0</v>
      </c>
      <c r="AH129" s="274">
        <f>SUMIF(日報!$T$4:$T$885,TEXT(YEAR(A129),"0000")&amp;TEXT(MONTH(A129),"00")&amp;TEXT(DAY(A129),"00")&amp;"SCSK",日報!$L$4:$L$885)</f>
        <v>0</v>
      </c>
      <c r="AI129" s="275">
        <f t="shared" si="83"/>
        <v>0</v>
      </c>
    </row>
    <row r="130" spans="1:35" s="2" customFormat="1" outlineLevel="1" x14ac:dyDescent="0.15">
      <c r="A130" s="168">
        <f>A129+1</f>
        <v>43953</v>
      </c>
      <c r="B130" s="167">
        <f t="shared" ref="B130:B159" si="95">A130</f>
        <v>43953</v>
      </c>
      <c r="C130" s="32">
        <v>1</v>
      </c>
      <c r="D130" s="16"/>
      <c r="E130" s="17"/>
      <c r="F130" s="18"/>
      <c r="G130" s="15"/>
      <c r="H130" s="19"/>
      <c r="I130" s="137">
        <f t="shared" ref="I130:I159" si="96">timediff(D130,E130,15)</f>
        <v>0</v>
      </c>
      <c r="J130" s="143">
        <f t="shared" ref="J130:J159" si="97">IF(C130=1,0,I130-M130-L130-K130-F130-H130-G130)</f>
        <v>0</v>
      </c>
      <c r="K130" s="144">
        <f t="shared" si="86"/>
        <v>0</v>
      </c>
      <c r="L130" s="145">
        <f t="shared" ref="L130:L159" si="98">IF(C130=1,$I130-F130-M130-H130,0)</f>
        <v>0</v>
      </c>
      <c r="M130" s="146">
        <f t="shared" si="87"/>
        <v>0</v>
      </c>
      <c r="N130" s="147">
        <f>SUMIF(日報!B4:B691,$A130,日報!L4:L691)</f>
        <v>0</v>
      </c>
      <c r="O130" s="147">
        <f t="shared" si="88"/>
        <v>0</v>
      </c>
      <c r="P130" s="151"/>
      <c r="Q130" s="42" t="str">
        <f t="shared" si="89"/>
        <v/>
      </c>
      <c r="R130" s="154"/>
      <c r="S130" s="10" t="str">
        <f t="shared" si="90"/>
        <v/>
      </c>
      <c r="T130" s="11"/>
      <c r="U130" s="12"/>
      <c r="V130" s="136"/>
      <c r="W130" s="16"/>
      <c r="X130" s="17"/>
      <c r="Y130" s="18"/>
      <c r="Z130" s="15"/>
      <c r="AA130" s="15"/>
      <c r="AB130" s="155">
        <f t="shared" si="91"/>
        <v>0</v>
      </c>
      <c r="AC130" s="157">
        <f t="shared" ref="AC130:AC159" si="99">AB130-AF130-AE130-AD130-Y130-Z130-AA130</f>
        <v>0</v>
      </c>
      <c r="AD130" s="144">
        <f t="shared" si="92"/>
        <v>0</v>
      </c>
      <c r="AE130" s="145">
        <f t="shared" si="93"/>
        <v>0</v>
      </c>
      <c r="AF130" s="146">
        <f t="shared" si="94"/>
        <v>0</v>
      </c>
      <c r="AH130" s="274">
        <f>SUMIF(日報!$T$4:$T$885,TEXT(YEAR(A130),"0000")&amp;TEXT(MONTH(A130),"00")&amp;TEXT(DAY(A130),"00")&amp;"SCSK",日報!$L$4:$L$885)</f>
        <v>0</v>
      </c>
      <c r="AI130" s="275">
        <f t="shared" si="83"/>
        <v>0</v>
      </c>
    </row>
    <row r="131" spans="1:35" s="2" customFormat="1" outlineLevel="1" x14ac:dyDescent="0.15">
      <c r="A131" s="168">
        <f t="shared" ref="A131:A159" si="100">A130+1</f>
        <v>43954</v>
      </c>
      <c r="B131" s="167">
        <f t="shared" si="95"/>
        <v>43954</v>
      </c>
      <c r="C131" s="32">
        <v>1</v>
      </c>
      <c r="D131" s="16"/>
      <c r="E131" s="17"/>
      <c r="F131" s="18"/>
      <c r="G131" s="15"/>
      <c r="H131" s="19"/>
      <c r="I131" s="137">
        <f t="shared" si="96"/>
        <v>0</v>
      </c>
      <c r="J131" s="143">
        <f t="shared" si="97"/>
        <v>0</v>
      </c>
      <c r="K131" s="144">
        <f t="shared" si="86"/>
        <v>0</v>
      </c>
      <c r="L131" s="145">
        <f t="shared" si="98"/>
        <v>0</v>
      </c>
      <c r="M131" s="146">
        <f t="shared" si="87"/>
        <v>0</v>
      </c>
      <c r="N131" s="147">
        <f>SUMIF(日報!B4:B691,$A131,日報!L4:L691)</f>
        <v>0</v>
      </c>
      <c r="O131" s="147">
        <f t="shared" si="88"/>
        <v>0</v>
      </c>
      <c r="P131" s="151"/>
      <c r="Q131" s="42" t="str">
        <f t="shared" si="89"/>
        <v/>
      </c>
      <c r="R131" s="154"/>
      <c r="S131" s="10" t="str">
        <f t="shared" si="90"/>
        <v/>
      </c>
      <c r="T131" s="11"/>
      <c r="U131" s="12"/>
      <c r="V131" s="136"/>
      <c r="W131" s="16"/>
      <c r="X131" s="17"/>
      <c r="Y131" s="18"/>
      <c r="Z131" s="15"/>
      <c r="AA131" s="15"/>
      <c r="AB131" s="155">
        <f t="shared" si="91"/>
        <v>0</v>
      </c>
      <c r="AC131" s="157">
        <f t="shared" si="99"/>
        <v>0</v>
      </c>
      <c r="AD131" s="144">
        <f t="shared" si="92"/>
        <v>0</v>
      </c>
      <c r="AE131" s="145">
        <f t="shared" si="93"/>
        <v>0</v>
      </c>
      <c r="AF131" s="146">
        <f t="shared" si="94"/>
        <v>0</v>
      </c>
      <c r="AH131" s="274">
        <f>SUMIF(日報!$T$4:$T$885,TEXT(YEAR(A131),"0000")&amp;TEXT(MONTH(A131),"00")&amp;TEXT(DAY(A131),"00")&amp;"SCSK",日報!$L$4:$L$885)</f>
        <v>0</v>
      </c>
      <c r="AI131" s="275">
        <f t="shared" si="83"/>
        <v>0</v>
      </c>
    </row>
    <row r="132" spans="1:35" s="2" customFormat="1" outlineLevel="1" x14ac:dyDescent="0.15">
      <c r="A132" s="168">
        <f t="shared" si="100"/>
        <v>43955</v>
      </c>
      <c r="B132" s="167">
        <f t="shared" si="95"/>
        <v>43955</v>
      </c>
      <c r="C132" s="32">
        <v>1</v>
      </c>
      <c r="D132" s="16"/>
      <c r="E132" s="17"/>
      <c r="F132" s="18"/>
      <c r="G132" s="15"/>
      <c r="H132" s="19"/>
      <c r="I132" s="137">
        <f t="shared" si="96"/>
        <v>0</v>
      </c>
      <c r="J132" s="143">
        <f t="shared" si="97"/>
        <v>0</v>
      </c>
      <c r="K132" s="144">
        <f t="shared" si="86"/>
        <v>0</v>
      </c>
      <c r="L132" s="145">
        <f t="shared" si="98"/>
        <v>0</v>
      </c>
      <c r="M132" s="146">
        <f t="shared" si="87"/>
        <v>0</v>
      </c>
      <c r="N132" s="147">
        <f>SUMIF(日報!B4:B691,$A132,日報!L4:L691)</f>
        <v>0</v>
      </c>
      <c r="O132" s="147">
        <f t="shared" si="88"/>
        <v>0</v>
      </c>
      <c r="P132" s="151"/>
      <c r="Q132" s="42" t="str">
        <f t="shared" si="89"/>
        <v/>
      </c>
      <c r="R132" s="154"/>
      <c r="S132" s="10" t="str">
        <f t="shared" si="90"/>
        <v/>
      </c>
      <c r="T132" s="11"/>
      <c r="U132" s="12"/>
      <c r="V132" s="136"/>
      <c r="W132" s="16"/>
      <c r="X132" s="17"/>
      <c r="Y132" s="18"/>
      <c r="Z132" s="15"/>
      <c r="AA132" s="15"/>
      <c r="AB132" s="155">
        <f t="shared" si="91"/>
        <v>0</v>
      </c>
      <c r="AC132" s="157">
        <f t="shared" si="99"/>
        <v>0</v>
      </c>
      <c r="AD132" s="144">
        <f t="shared" si="92"/>
        <v>0</v>
      </c>
      <c r="AE132" s="145">
        <f t="shared" si="93"/>
        <v>0</v>
      </c>
      <c r="AF132" s="146">
        <f t="shared" si="94"/>
        <v>0</v>
      </c>
      <c r="AH132" s="274">
        <f>SUMIF(日報!$T$4:$T$885,TEXT(YEAR(A132),"0000")&amp;TEXT(MONTH(A132),"00")&amp;TEXT(DAY(A132),"00")&amp;"SCSK",日報!$L$4:$L$885)</f>
        <v>0</v>
      </c>
      <c r="AI132" s="275">
        <f t="shared" si="83"/>
        <v>0</v>
      </c>
    </row>
    <row r="133" spans="1:35" s="2" customFormat="1" outlineLevel="1" x14ac:dyDescent="0.15">
      <c r="A133" s="168">
        <f t="shared" si="100"/>
        <v>43956</v>
      </c>
      <c r="B133" s="167">
        <f t="shared" si="95"/>
        <v>43956</v>
      </c>
      <c r="C133" s="32">
        <v>1</v>
      </c>
      <c r="D133" s="16"/>
      <c r="E133" s="17"/>
      <c r="F133" s="18"/>
      <c r="G133" s="15"/>
      <c r="H133" s="19"/>
      <c r="I133" s="137">
        <f t="shared" si="96"/>
        <v>0</v>
      </c>
      <c r="J133" s="143">
        <f t="shared" si="97"/>
        <v>0</v>
      </c>
      <c r="K133" s="144">
        <f t="shared" si="86"/>
        <v>0</v>
      </c>
      <c r="L133" s="145">
        <f t="shared" si="98"/>
        <v>0</v>
      </c>
      <c r="M133" s="146">
        <f t="shared" si="87"/>
        <v>0</v>
      </c>
      <c r="N133" s="147">
        <f>SUMIF(日報!B4:B691,$A133,日報!L4:L691)</f>
        <v>0</v>
      </c>
      <c r="O133" s="147">
        <f t="shared" si="88"/>
        <v>0</v>
      </c>
      <c r="P133" s="151"/>
      <c r="Q133" s="42" t="str">
        <f t="shared" si="89"/>
        <v/>
      </c>
      <c r="R133" s="154"/>
      <c r="S133" s="10" t="str">
        <f t="shared" si="90"/>
        <v/>
      </c>
      <c r="T133" s="11"/>
      <c r="U133" s="12"/>
      <c r="V133" s="136"/>
      <c r="W133" s="16"/>
      <c r="X133" s="17"/>
      <c r="Y133" s="18"/>
      <c r="Z133" s="15"/>
      <c r="AA133" s="15"/>
      <c r="AB133" s="155">
        <f t="shared" si="91"/>
        <v>0</v>
      </c>
      <c r="AC133" s="157">
        <f t="shared" si="99"/>
        <v>0</v>
      </c>
      <c r="AD133" s="144">
        <f t="shared" si="92"/>
        <v>0</v>
      </c>
      <c r="AE133" s="145">
        <f t="shared" si="93"/>
        <v>0</v>
      </c>
      <c r="AF133" s="146">
        <f t="shared" si="94"/>
        <v>0</v>
      </c>
      <c r="AH133" s="274">
        <f>SUMIF(日報!$T$4:$T$885,TEXT(YEAR(A133),"0000")&amp;TEXT(MONTH(A133),"00")&amp;TEXT(DAY(A133),"00")&amp;"SCSK",日報!$L$4:$L$885)</f>
        <v>0</v>
      </c>
      <c r="AI133" s="275">
        <f t="shared" si="83"/>
        <v>0</v>
      </c>
    </row>
    <row r="134" spans="1:35" s="2" customFormat="1" outlineLevel="1" x14ac:dyDescent="0.15">
      <c r="A134" s="168">
        <f t="shared" si="100"/>
        <v>43957</v>
      </c>
      <c r="B134" s="167">
        <f t="shared" si="95"/>
        <v>43957</v>
      </c>
      <c r="C134" s="32">
        <v>1</v>
      </c>
      <c r="D134" s="16"/>
      <c r="E134" s="17"/>
      <c r="F134" s="18"/>
      <c r="G134" s="15"/>
      <c r="H134" s="19"/>
      <c r="I134" s="137">
        <f t="shared" si="96"/>
        <v>0</v>
      </c>
      <c r="J134" s="143">
        <f t="shared" si="97"/>
        <v>0</v>
      </c>
      <c r="K134" s="144">
        <f t="shared" si="86"/>
        <v>0</v>
      </c>
      <c r="L134" s="145">
        <f t="shared" si="98"/>
        <v>0</v>
      </c>
      <c r="M134" s="146">
        <f t="shared" si="87"/>
        <v>0</v>
      </c>
      <c r="N134" s="147">
        <f>SUMIF(日報!B4:B691,$A134,日報!L4:L691)</f>
        <v>0</v>
      </c>
      <c r="O134" s="147">
        <f t="shared" si="88"/>
        <v>0</v>
      </c>
      <c r="P134" s="151"/>
      <c r="Q134" s="42" t="str">
        <f t="shared" si="89"/>
        <v/>
      </c>
      <c r="R134" s="154"/>
      <c r="S134" s="10" t="str">
        <f t="shared" si="90"/>
        <v/>
      </c>
      <c r="T134" s="11"/>
      <c r="U134" s="12"/>
      <c r="V134" s="136"/>
      <c r="W134" s="16"/>
      <c r="X134" s="17"/>
      <c r="Y134" s="18"/>
      <c r="Z134" s="15"/>
      <c r="AA134" s="15"/>
      <c r="AB134" s="155">
        <f t="shared" si="91"/>
        <v>0</v>
      </c>
      <c r="AC134" s="157">
        <f t="shared" si="99"/>
        <v>0</v>
      </c>
      <c r="AD134" s="144">
        <f t="shared" si="92"/>
        <v>0</v>
      </c>
      <c r="AE134" s="145">
        <f t="shared" si="93"/>
        <v>0</v>
      </c>
      <c r="AF134" s="146">
        <f t="shared" si="94"/>
        <v>0</v>
      </c>
      <c r="AH134" s="274">
        <f>SUMIF(日報!$T$4:$T$885,TEXT(YEAR(A134),"0000")&amp;TEXT(MONTH(A134),"00")&amp;TEXT(DAY(A134),"00")&amp;"SCSK",日報!$L$4:$L$885)</f>
        <v>0</v>
      </c>
      <c r="AI134" s="275">
        <f t="shared" si="83"/>
        <v>0</v>
      </c>
    </row>
    <row r="135" spans="1:35" s="2" customFormat="1" outlineLevel="1" x14ac:dyDescent="0.15">
      <c r="A135" s="168">
        <f t="shared" si="100"/>
        <v>43958</v>
      </c>
      <c r="B135" s="167">
        <f t="shared" si="95"/>
        <v>43958</v>
      </c>
      <c r="C135" s="32"/>
      <c r="D135" s="16">
        <v>0.38541666666666669</v>
      </c>
      <c r="E135" s="17">
        <v>0.8125</v>
      </c>
      <c r="F135" s="18">
        <v>1</v>
      </c>
      <c r="G135" s="15"/>
      <c r="H135" s="19"/>
      <c r="I135" s="137">
        <f t="shared" si="96"/>
        <v>10.25</v>
      </c>
      <c r="J135" s="143">
        <f t="shared" si="97"/>
        <v>7.75</v>
      </c>
      <c r="K135" s="144">
        <f t="shared" si="86"/>
        <v>1.5</v>
      </c>
      <c r="L135" s="145">
        <f t="shared" si="98"/>
        <v>0</v>
      </c>
      <c r="M135" s="146">
        <f t="shared" si="87"/>
        <v>0</v>
      </c>
      <c r="N135" s="147">
        <f>SUMIF(日報!B4:B691,$A135,日報!L4:L691)</f>
        <v>8</v>
      </c>
      <c r="O135" s="147">
        <f t="shared" si="88"/>
        <v>1.25</v>
      </c>
      <c r="P135" s="151"/>
      <c r="Q135" s="42" t="str">
        <f t="shared" si="89"/>
        <v/>
      </c>
      <c r="R135" s="154"/>
      <c r="S135" s="10" t="str">
        <f t="shared" si="90"/>
        <v/>
      </c>
      <c r="T135" s="11"/>
      <c r="U135" s="12"/>
      <c r="V135" s="136"/>
      <c r="W135" s="16"/>
      <c r="X135" s="17"/>
      <c r="Y135" s="18"/>
      <c r="Z135" s="15"/>
      <c r="AA135" s="15"/>
      <c r="AB135" s="155">
        <f t="shared" si="91"/>
        <v>0</v>
      </c>
      <c r="AC135" s="157">
        <f t="shared" si="99"/>
        <v>0</v>
      </c>
      <c r="AD135" s="144">
        <f t="shared" si="92"/>
        <v>0</v>
      </c>
      <c r="AE135" s="145">
        <f t="shared" si="93"/>
        <v>0</v>
      </c>
      <c r="AF135" s="146">
        <f t="shared" si="94"/>
        <v>0</v>
      </c>
      <c r="AH135" s="274">
        <f>SUMIF(日報!$T$4:$T$885,TEXT(YEAR(A135),"0000")&amp;TEXT(MONTH(A135),"00")&amp;TEXT(DAY(A135),"00")&amp;"SCSK",日報!$L$4:$L$885)</f>
        <v>0</v>
      </c>
      <c r="AI135" s="275">
        <f t="shared" si="83"/>
        <v>8</v>
      </c>
    </row>
    <row r="136" spans="1:35" s="2" customFormat="1" outlineLevel="1" x14ac:dyDescent="0.15">
      <c r="A136" s="168">
        <f t="shared" si="100"/>
        <v>43959</v>
      </c>
      <c r="B136" s="167">
        <f t="shared" si="95"/>
        <v>43959</v>
      </c>
      <c r="C136" s="32"/>
      <c r="D136" s="16">
        <v>0.38541666666666669</v>
      </c>
      <c r="E136" s="17">
        <v>0.80208333333333337</v>
      </c>
      <c r="F136" s="18">
        <v>1</v>
      </c>
      <c r="G136" s="15"/>
      <c r="H136" s="19"/>
      <c r="I136" s="137">
        <f t="shared" si="96"/>
        <v>10</v>
      </c>
      <c r="J136" s="143">
        <f t="shared" si="97"/>
        <v>7.75</v>
      </c>
      <c r="K136" s="144">
        <f t="shared" si="86"/>
        <v>1.25</v>
      </c>
      <c r="L136" s="145">
        <f t="shared" si="98"/>
        <v>0</v>
      </c>
      <c r="M136" s="146">
        <f t="shared" si="87"/>
        <v>0</v>
      </c>
      <c r="N136" s="147">
        <f>SUMIF(日報!B4:B691,$A136,日報!L4:L691)</f>
        <v>8</v>
      </c>
      <c r="O136" s="147">
        <f t="shared" si="88"/>
        <v>1</v>
      </c>
      <c r="P136" s="151"/>
      <c r="Q136" s="42" t="str">
        <f t="shared" si="89"/>
        <v/>
      </c>
      <c r="R136" s="154"/>
      <c r="S136" s="10" t="str">
        <f t="shared" si="90"/>
        <v/>
      </c>
      <c r="T136" s="11"/>
      <c r="U136" s="12"/>
      <c r="V136" s="136"/>
      <c r="W136" s="16"/>
      <c r="X136" s="17"/>
      <c r="Y136" s="18"/>
      <c r="Z136" s="15"/>
      <c r="AA136" s="15"/>
      <c r="AB136" s="155">
        <f t="shared" si="91"/>
        <v>0</v>
      </c>
      <c r="AC136" s="157">
        <f t="shared" si="99"/>
        <v>0</v>
      </c>
      <c r="AD136" s="144">
        <f t="shared" si="92"/>
        <v>0</v>
      </c>
      <c r="AE136" s="145">
        <f t="shared" si="93"/>
        <v>0</v>
      </c>
      <c r="AF136" s="146">
        <f t="shared" si="94"/>
        <v>0</v>
      </c>
      <c r="AH136" s="274">
        <f>SUMIF(日報!$T$4:$T$885,TEXT(YEAR(A136),"0000")&amp;TEXT(MONTH(A136),"00")&amp;TEXT(DAY(A136),"00")&amp;"SCSK",日報!$L$4:$L$885)</f>
        <v>0</v>
      </c>
      <c r="AI136" s="275">
        <f t="shared" si="83"/>
        <v>8</v>
      </c>
    </row>
    <row r="137" spans="1:35" s="2" customFormat="1" outlineLevel="1" x14ac:dyDescent="0.15">
      <c r="A137" s="168">
        <f t="shared" si="100"/>
        <v>43960</v>
      </c>
      <c r="B137" s="167">
        <f t="shared" si="95"/>
        <v>43960</v>
      </c>
      <c r="C137" s="32">
        <v>1</v>
      </c>
      <c r="D137" s="16"/>
      <c r="E137" s="17"/>
      <c r="F137" s="18"/>
      <c r="G137" s="15"/>
      <c r="H137" s="19"/>
      <c r="I137" s="137">
        <f t="shared" si="96"/>
        <v>0</v>
      </c>
      <c r="J137" s="143">
        <f t="shared" si="97"/>
        <v>0</v>
      </c>
      <c r="K137" s="144">
        <f t="shared" si="86"/>
        <v>0</v>
      </c>
      <c r="L137" s="145">
        <f t="shared" si="98"/>
        <v>0</v>
      </c>
      <c r="M137" s="146">
        <f t="shared" si="87"/>
        <v>0</v>
      </c>
      <c r="N137" s="147">
        <f>SUMIF(日報!B4:B691,$A137,日報!L4:L691)</f>
        <v>0</v>
      </c>
      <c r="O137" s="147">
        <f t="shared" si="88"/>
        <v>0</v>
      </c>
      <c r="P137" s="151"/>
      <c r="Q137" s="42" t="str">
        <f t="shared" si="89"/>
        <v/>
      </c>
      <c r="R137" s="154"/>
      <c r="S137" s="10" t="str">
        <f t="shared" si="90"/>
        <v/>
      </c>
      <c r="T137" s="11"/>
      <c r="U137" s="12"/>
      <c r="V137" s="136"/>
      <c r="W137" s="16"/>
      <c r="X137" s="17"/>
      <c r="Y137" s="18"/>
      <c r="Z137" s="15"/>
      <c r="AA137" s="15"/>
      <c r="AB137" s="155">
        <f t="shared" si="91"/>
        <v>0</v>
      </c>
      <c r="AC137" s="157">
        <f t="shared" si="99"/>
        <v>0</v>
      </c>
      <c r="AD137" s="144">
        <f t="shared" si="92"/>
        <v>0</v>
      </c>
      <c r="AE137" s="145">
        <f t="shared" si="93"/>
        <v>0</v>
      </c>
      <c r="AF137" s="146">
        <f t="shared" si="94"/>
        <v>0</v>
      </c>
      <c r="AH137" s="274">
        <f>SUMIF(日報!$T$4:$T$885,TEXT(YEAR(A137),"0000")&amp;TEXT(MONTH(A137),"00")&amp;TEXT(DAY(A137),"00")&amp;"SCSK",日報!$L$4:$L$885)</f>
        <v>0</v>
      </c>
      <c r="AI137" s="275">
        <f t="shared" si="83"/>
        <v>0</v>
      </c>
    </row>
    <row r="138" spans="1:35" s="2" customFormat="1" outlineLevel="1" x14ac:dyDescent="0.15">
      <c r="A138" s="168">
        <f t="shared" si="100"/>
        <v>43961</v>
      </c>
      <c r="B138" s="167">
        <f t="shared" si="95"/>
        <v>43961</v>
      </c>
      <c r="C138" s="32">
        <v>1</v>
      </c>
      <c r="D138" s="16"/>
      <c r="E138" s="17"/>
      <c r="F138" s="18"/>
      <c r="G138" s="15"/>
      <c r="H138" s="19"/>
      <c r="I138" s="137">
        <f t="shared" si="96"/>
        <v>0</v>
      </c>
      <c r="J138" s="143">
        <f t="shared" si="97"/>
        <v>0</v>
      </c>
      <c r="K138" s="144">
        <f t="shared" si="86"/>
        <v>0</v>
      </c>
      <c r="L138" s="145">
        <f t="shared" si="98"/>
        <v>0</v>
      </c>
      <c r="M138" s="146">
        <f t="shared" si="87"/>
        <v>0</v>
      </c>
      <c r="N138" s="147">
        <f>SUMIF(日報!B4:B691,$A138,日報!L4:L691)</f>
        <v>0</v>
      </c>
      <c r="O138" s="147">
        <f t="shared" si="88"/>
        <v>0</v>
      </c>
      <c r="P138" s="151"/>
      <c r="Q138" s="42" t="str">
        <f t="shared" si="89"/>
        <v/>
      </c>
      <c r="R138" s="154"/>
      <c r="S138" s="10" t="str">
        <f t="shared" si="90"/>
        <v/>
      </c>
      <c r="T138" s="11"/>
      <c r="U138" s="12"/>
      <c r="V138" s="136"/>
      <c r="W138" s="16"/>
      <c r="X138" s="17"/>
      <c r="Y138" s="18"/>
      <c r="Z138" s="15"/>
      <c r="AA138" s="15"/>
      <c r="AB138" s="155">
        <f t="shared" si="91"/>
        <v>0</v>
      </c>
      <c r="AC138" s="157">
        <f t="shared" si="99"/>
        <v>0</v>
      </c>
      <c r="AD138" s="144">
        <f t="shared" si="92"/>
        <v>0</v>
      </c>
      <c r="AE138" s="145">
        <f t="shared" si="93"/>
        <v>0</v>
      </c>
      <c r="AF138" s="146">
        <f t="shared" si="94"/>
        <v>0</v>
      </c>
      <c r="AH138" s="274">
        <f>SUMIF(日報!$T$4:$T$885,TEXT(YEAR(A138),"0000")&amp;TEXT(MONTH(A138),"00")&amp;TEXT(DAY(A138),"00")&amp;"SCSK",日報!$L$4:$L$885)</f>
        <v>0</v>
      </c>
      <c r="AI138" s="275">
        <f t="shared" si="83"/>
        <v>0</v>
      </c>
    </row>
    <row r="139" spans="1:35" s="2" customFormat="1" outlineLevel="1" x14ac:dyDescent="0.15">
      <c r="A139" s="168">
        <f t="shared" si="100"/>
        <v>43962</v>
      </c>
      <c r="B139" s="167">
        <f t="shared" si="95"/>
        <v>43962</v>
      </c>
      <c r="C139" s="32"/>
      <c r="D139" s="16">
        <v>0.38541666666666669</v>
      </c>
      <c r="E139" s="17">
        <v>0.76041666666666663</v>
      </c>
      <c r="F139" s="18">
        <v>1</v>
      </c>
      <c r="G139" s="15"/>
      <c r="H139" s="19"/>
      <c r="I139" s="137">
        <f t="shared" si="96"/>
        <v>9</v>
      </c>
      <c r="J139" s="143">
        <f t="shared" si="97"/>
        <v>7.75</v>
      </c>
      <c r="K139" s="144">
        <f t="shared" si="86"/>
        <v>0.25</v>
      </c>
      <c r="L139" s="145">
        <f t="shared" si="98"/>
        <v>0</v>
      </c>
      <c r="M139" s="146">
        <f t="shared" si="87"/>
        <v>0</v>
      </c>
      <c r="N139" s="147">
        <f>SUMIF(日報!B4:B691,$A139,日報!L4:L691)</f>
        <v>0</v>
      </c>
      <c r="O139" s="147">
        <f t="shared" si="88"/>
        <v>8</v>
      </c>
      <c r="P139" s="151"/>
      <c r="Q139" s="42" t="str">
        <f t="shared" si="89"/>
        <v/>
      </c>
      <c r="R139" s="154"/>
      <c r="S139" s="10" t="str">
        <f t="shared" si="90"/>
        <v/>
      </c>
      <c r="T139" s="11"/>
      <c r="U139" s="12"/>
      <c r="V139" s="136"/>
      <c r="W139" s="16"/>
      <c r="X139" s="17"/>
      <c r="Y139" s="18"/>
      <c r="Z139" s="15"/>
      <c r="AA139" s="15"/>
      <c r="AB139" s="155">
        <f t="shared" si="91"/>
        <v>0</v>
      </c>
      <c r="AC139" s="157">
        <f t="shared" si="99"/>
        <v>0</v>
      </c>
      <c r="AD139" s="144">
        <f t="shared" si="92"/>
        <v>0</v>
      </c>
      <c r="AE139" s="145">
        <f t="shared" si="93"/>
        <v>0</v>
      </c>
      <c r="AF139" s="146">
        <f t="shared" si="94"/>
        <v>0</v>
      </c>
      <c r="AH139" s="274">
        <f>SUMIF(日報!$T$4:$T$885,TEXT(YEAR(A139),"0000")&amp;TEXT(MONTH(A139),"00")&amp;TEXT(DAY(A139),"00")&amp;"SCSK",日報!$L$4:$L$885)</f>
        <v>0</v>
      </c>
      <c r="AI139" s="275">
        <f t="shared" si="83"/>
        <v>0</v>
      </c>
    </row>
    <row r="140" spans="1:35" s="2" customFormat="1" outlineLevel="1" x14ac:dyDescent="0.15">
      <c r="A140" s="168">
        <f t="shared" si="100"/>
        <v>43963</v>
      </c>
      <c r="B140" s="167">
        <f t="shared" si="95"/>
        <v>43963</v>
      </c>
      <c r="C140" s="32"/>
      <c r="D140" s="16">
        <v>0.38541666666666669</v>
      </c>
      <c r="E140" s="17">
        <v>0.76041666666666663</v>
      </c>
      <c r="F140" s="18">
        <v>1</v>
      </c>
      <c r="G140" s="15"/>
      <c r="H140" s="19"/>
      <c r="I140" s="137">
        <f t="shared" si="96"/>
        <v>9</v>
      </c>
      <c r="J140" s="143">
        <f t="shared" si="97"/>
        <v>7.75</v>
      </c>
      <c r="K140" s="144">
        <f t="shared" si="86"/>
        <v>0.25</v>
      </c>
      <c r="L140" s="145">
        <f t="shared" si="98"/>
        <v>0</v>
      </c>
      <c r="M140" s="146">
        <f t="shared" si="87"/>
        <v>0</v>
      </c>
      <c r="N140" s="147">
        <f>SUMIF(日報!B4:B691,$A140,日報!L4:L691)</f>
        <v>0</v>
      </c>
      <c r="O140" s="147">
        <f t="shared" si="88"/>
        <v>8</v>
      </c>
      <c r="P140" s="151"/>
      <c r="Q140" s="42" t="str">
        <f t="shared" si="89"/>
        <v/>
      </c>
      <c r="R140" s="154"/>
      <c r="S140" s="10" t="str">
        <f t="shared" si="90"/>
        <v/>
      </c>
      <c r="T140" s="11"/>
      <c r="U140" s="12"/>
      <c r="V140" s="136"/>
      <c r="W140" s="16"/>
      <c r="X140" s="17"/>
      <c r="Y140" s="18"/>
      <c r="Z140" s="15"/>
      <c r="AA140" s="15"/>
      <c r="AB140" s="155">
        <f t="shared" si="91"/>
        <v>0</v>
      </c>
      <c r="AC140" s="157">
        <f t="shared" si="99"/>
        <v>0</v>
      </c>
      <c r="AD140" s="144">
        <f t="shared" si="92"/>
        <v>0</v>
      </c>
      <c r="AE140" s="145">
        <f t="shared" si="93"/>
        <v>0</v>
      </c>
      <c r="AF140" s="146">
        <f t="shared" si="94"/>
        <v>0</v>
      </c>
      <c r="AH140" s="274">
        <f>SUMIF(日報!$T$4:$T$885,TEXT(YEAR(A140),"0000")&amp;TEXT(MONTH(A140),"00")&amp;TEXT(DAY(A140),"00")&amp;"SCSK",日報!$L$4:$L$885)</f>
        <v>0</v>
      </c>
      <c r="AI140" s="275">
        <f t="shared" si="83"/>
        <v>0</v>
      </c>
    </row>
    <row r="141" spans="1:35" s="2" customFormat="1" outlineLevel="1" x14ac:dyDescent="0.15">
      <c r="A141" s="168">
        <f t="shared" si="100"/>
        <v>43964</v>
      </c>
      <c r="B141" s="167">
        <f t="shared" si="95"/>
        <v>43964</v>
      </c>
      <c r="C141" s="32"/>
      <c r="D141" s="16">
        <v>0.38541666666666669</v>
      </c>
      <c r="E141" s="17">
        <v>0.76041666666666663</v>
      </c>
      <c r="F141" s="18">
        <v>1</v>
      </c>
      <c r="G141" s="15"/>
      <c r="H141" s="19"/>
      <c r="I141" s="137">
        <f t="shared" si="96"/>
        <v>9</v>
      </c>
      <c r="J141" s="143">
        <f t="shared" si="97"/>
        <v>7.75</v>
      </c>
      <c r="K141" s="144">
        <f t="shared" si="86"/>
        <v>0.25</v>
      </c>
      <c r="L141" s="145">
        <f t="shared" si="98"/>
        <v>0</v>
      </c>
      <c r="M141" s="146">
        <f t="shared" si="87"/>
        <v>0</v>
      </c>
      <c r="N141" s="147">
        <f>SUMIF(日報!B4:B691,$A141,日報!L4:L691)</f>
        <v>0</v>
      </c>
      <c r="O141" s="147">
        <f t="shared" si="88"/>
        <v>8</v>
      </c>
      <c r="P141" s="151"/>
      <c r="Q141" s="42" t="str">
        <f t="shared" si="89"/>
        <v/>
      </c>
      <c r="R141" s="154"/>
      <c r="S141" s="10" t="str">
        <f t="shared" si="90"/>
        <v/>
      </c>
      <c r="T141" s="11"/>
      <c r="U141" s="12"/>
      <c r="V141" s="136"/>
      <c r="W141" s="16"/>
      <c r="X141" s="17"/>
      <c r="Y141" s="18"/>
      <c r="Z141" s="15"/>
      <c r="AA141" s="15"/>
      <c r="AB141" s="155">
        <f t="shared" si="91"/>
        <v>0</v>
      </c>
      <c r="AC141" s="157">
        <f t="shared" si="99"/>
        <v>0</v>
      </c>
      <c r="AD141" s="144">
        <f t="shared" si="92"/>
        <v>0</v>
      </c>
      <c r="AE141" s="145">
        <f t="shared" si="93"/>
        <v>0</v>
      </c>
      <c r="AF141" s="146">
        <f t="shared" si="94"/>
        <v>0</v>
      </c>
      <c r="AH141" s="274">
        <f>SUMIF(日報!$T$4:$T$885,TEXT(YEAR(A141),"0000")&amp;TEXT(MONTH(A141),"00")&amp;TEXT(DAY(A141),"00")&amp;"SCSK",日報!$L$4:$L$885)</f>
        <v>0</v>
      </c>
      <c r="AI141" s="275">
        <f t="shared" si="83"/>
        <v>0</v>
      </c>
    </row>
    <row r="142" spans="1:35" s="2" customFormat="1" outlineLevel="1" x14ac:dyDescent="0.15">
      <c r="A142" s="168">
        <f t="shared" si="100"/>
        <v>43965</v>
      </c>
      <c r="B142" s="167">
        <f t="shared" si="95"/>
        <v>43965</v>
      </c>
      <c r="C142" s="32"/>
      <c r="D142" s="16">
        <v>0.38541666666666669</v>
      </c>
      <c r="E142" s="17">
        <v>0.76041666666666663</v>
      </c>
      <c r="F142" s="18">
        <v>1</v>
      </c>
      <c r="G142" s="15"/>
      <c r="H142" s="19"/>
      <c r="I142" s="137">
        <f t="shared" si="96"/>
        <v>9</v>
      </c>
      <c r="J142" s="143">
        <f t="shared" si="97"/>
        <v>7.75</v>
      </c>
      <c r="K142" s="144">
        <f t="shared" si="86"/>
        <v>0.25</v>
      </c>
      <c r="L142" s="145">
        <f t="shared" si="98"/>
        <v>0</v>
      </c>
      <c r="M142" s="146">
        <f t="shared" si="87"/>
        <v>0</v>
      </c>
      <c r="N142" s="147">
        <f>SUMIF(日報!B4:B691,$A142,日報!L4:L691)</f>
        <v>0</v>
      </c>
      <c r="O142" s="147">
        <f t="shared" si="88"/>
        <v>8</v>
      </c>
      <c r="P142" s="151"/>
      <c r="Q142" s="42" t="str">
        <f t="shared" si="89"/>
        <v/>
      </c>
      <c r="R142" s="154"/>
      <c r="S142" s="10" t="str">
        <f t="shared" si="90"/>
        <v/>
      </c>
      <c r="T142" s="11"/>
      <c r="U142" s="12"/>
      <c r="V142" s="136"/>
      <c r="W142" s="16"/>
      <c r="X142" s="17"/>
      <c r="Y142" s="18"/>
      <c r="Z142" s="15"/>
      <c r="AA142" s="15"/>
      <c r="AB142" s="155">
        <f t="shared" si="91"/>
        <v>0</v>
      </c>
      <c r="AC142" s="157">
        <f t="shared" si="99"/>
        <v>0</v>
      </c>
      <c r="AD142" s="144">
        <f t="shared" si="92"/>
        <v>0</v>
      </c>
      <c r="AE142" s="145">
        <f t="shared" si="93"/>
        <v>0</v>
      </c>
      <c r="AF142" s="146">
        <f t="shared" si="94"/>
        <v>0</v>
      </c>
      <c r="AH142" s="274">
        <f>SUMIF(日報!$T$4:$T$885,TEXT(YEAR(A142),"0000")&amp;TEXT(MONTH(A142),"00")&amp;TEXT(DAY(A142),"00")&amp;"SCSK",日報!$L$4:$L$885)</f>
        <v>0</v>
      </c>
      <c r="AI142" s="275">
        <f t="shared" si="83"/>
        <v>0</v>
      </c>
    </row>
    <row r="143" spans="1:35" s="2" customFormat="1" outlineLevel="1" x14ac:dyDescent="0.15">
      <c r="A143" s="168">
        <f t="shared" si="100"/>
        <v>43966</v>
      </c>
      <c r="B143" s="167">
        <f t="shared" si="95"/>
        <v>43966</v>
      </c>
      <c r="C143" s="32"/>
      <c r="D143" s="16">
        <v>0.38541666666666669</v>
      </c>
      <c r="E143" s="17">
        <v>0.76041666666666663</v>
      </c>
      <c r="F143" s="18">
        <v>1</v>
      </c>
      <c r="G143" s="15"/>
      <c r="H143" s="19"/>
      <c r="I143" s="137">
        <f t="shared" si="96"/>
        <v>9</v>
      </c>
      <c r="J143" s="143">
        <f t="shared" si="97"/>
        <v>7.75</v>
      </c>
      <c r="K143" s="144">
        <f t="shared" si="86"/>
        <v>0.25</v>
      </c>
      <c r="L143" s="145">
        <f t="shared" si="98"/>
        <v>0</v>
      </c>
      <c r="M143" s="146">
        <f t="shared" si="87"/>
        <v>0</v>
      </c>
      <c r="N143" s="147">
        <f>SUMIF(日報!B4:B691,$A143,日報!L4:L691)</f>
        <v>0</v>
      </c>
      <c r="O143" s="147">
        <f t="shared" si="88"/>
        <v>8</v>
      </c>
      <c r="P143" s="151"/>
      <c r="Q143" s="42" t="str">
        <f t="shared" si="89"/>
        <v/>
      </c>
      <c r="R143" s="154"/>
      <c r="S143" s="10" t="str">
        <f t="shared" si="90"/>
        <v/>
      </c>
      <c r="T143" s="11"/>
      <c r="U143" s="12"/>
      <c r="V143" s="136"/>
      <c r="W143" s="16"/>
      <c r="X143" s="17"/>
      <c r="Y143" s="18"/>
      <c r="Z143" s="15"/>
      <c r="AA143" s="15"/>
      <c r="AB143" s="155">
        <f t="shared" si="91"/>
        <v>0</v>
      </c>
      <c r="AC143" s="157">
        <f t="shared" si="99"/>
        <v>0</v>
      </c>
      <c r="AD143" s="144">
        <f t="shared" si="92"/>
        <v>0</v>
      </c>
      <c r="AE143" s="145">
        <f t="shared" si="93"/>
        <v>0</v>
      </c>
      <c r="AF143" s="146">
        <f t="shared" si="94"/>
        <v>0</v>
      </c>
      <c r="AH143" s="274">
        <f>SUMIF(日報!$T$4:$T$885,TEXT(YEAR(A143),"0000")&amp;TEXT(MONTH(A143),"00")&amp;TEXT(DAY(A143),"00")&amp;"SCSK",日報!$L$4:$L$885)</f>
        <v>0</v>
      </c>
      <c r="AI143" s="275">
        <f t="shared" si="83"/>
        <v>0</v>
      </c>
    </row>
    <row r="144" spans="1:35" s="2" customFormat="1" outlineLevel="1" x14ac:dyDescent="0.15">
      <c r="A144" s="168">
        <f t="shared" si="100"/>
        <v>43967</v>
      </c>
      <c r="B144" s="167">
        <f t="shared" si="95"/>
        <v>43967</v>
      </c>
      <c r="C144" s="32">
        <v>1</v>
      </c>
      <c r="D144" s="16"/>
      <c r="E144" s="17"/>
      <c r="F144" s="18"/>
      <c r="G144" s="15"/>
      <c r="H144" s="19"/>
      <c r="I144" s="137">
        <f t="shared" si="96"/>
        <v>0</v>
      </c>
      <c r="J144" s="143">
        <f t="shared" si="97"/>
        <v>0</v>
      </c>
      <c r="K144" s="144">
        <f t="shared" si="86"/>
        <v>0</v>
      </c>
      <c r="L144" s="145">
        <f t="shared" si="98"/>
        <v>0</v>
      </c>
      <c r="M144" s="146">
        <f t="shared" si="87"/>
        <v>0</v>
      </c>
      <c r="N144" s="147">
        <f>SUMIF(日報!B4:B691,$A144,日報!L4:L691)</f>
        <v>0</v>
      </c>
      <c r="O144" s="147">
        <f t="shared" si="88"/>
        <v>0</v>
      </c>
      <c r="P144" s="151"/>
      <c r="Q144" s="42" t="str">
        <f t="shared" si="89"/>
        <v/>
      </c>
      <c r="R144" s="154"/>
      <c r="S144" s="10" t="str">
        <f t="shared" si="90"/>
        <v/>
      </c>
      <c r="T144" s="11"/>
      <c r="U144" s="12"/>
      <c r="V144" s="136"/>
      <c r="W144" s="16"/>
      <c r="X144" s="17"/>
      <c r="Y144" s="18"/>
      <c r="Z144" s="15"/>
      <c r="AA144" s="15"/>
      <c r="AB144" s="155">
        <f t="shared" si="91"/>
        <v>0</v>
      </c>
      <c r="AC144" s="157">
        <f t="shared" si="99"/>
        <v>0</v>
      </c>
      <c r="AD144" s="144">
        <f t="shared" si="92"/>
        <v>0</v>
      </c>
      <c r="AE144" s="145">
        <f t="shared" si="93"/>
        <v>0</v>
      </c>
      <c r="AF144" s="146">
        <f t="shared" si="94"/>
        <v>0</v>
      </c>
      <c r="AH144" s="274">
        <f>SUMIF(日報!$T$4:$T$885,TEXT(YEAR(A144),"0000")&amp;TEXT(MONTH(A144),"00")&amp;TEXT(DAY(A144),"00")&amp;"SCSK",日報!$L$4:$L$885)</f>
        <v>0</v>
      </c>
      <c r="AI144" s="275">
        <f t="shared" si="83"/>
        <v>0</v>
      </c>
    </row>
    <row r="145" spans="1:35" s="2" customFormat="1" outlineLevel="1" x14ac:dyDescent="0.15">
      <c r="A145" s="168">
        <f t="shared" si="100"/>
        <v>43968</v>
      </c>
      <c r="B145" s="167">
        <f t="shared" si="95"/>
        <v>43968</v>
      </c>
      <c r="C145" s="32">
        <v>1</v>
      </c>
      <c r="D145" s="16"/>
      <c r="E145" s="17"/>
      <c r="F145" s="18"/>
      <c r="G145" s="15"/>
      <c r="H145" s="19"/>
      <c r="I145" s="137">
        <f t="shared" si="96"/>
        <v>0</v>
      </c>
      <c r="J145" s="143">
        <f t="shared" si="97"/>
        <v>0</v>
      </c>
      <c r="K145" s="144">
        <f t="shared" si="86"/>
        <v>0</v>
      </c>
      <c r="L145" s="145">
        <f t="shared" si="98"/>
        <v>0</v>
      </c>
      <c r="M145" s="146">
        <f t="shared" si="87"/>
        <v>0</v>
      </c>
      <c r="N145" s="147">
        <f>SUMIF(日報!B4:B691,$A145,日報!L4:L691)</f>
        <v>0</v>
      </c>
      <c r="O145" s="147">
        <f t="shared" si="88"/>
        <v>0</v>
      </c>
      <c r="P145" s="151"/>
      <c r="Q145" s="42" t="str">
        <f t="shared" si="89"/>
        <v/>
      </c>
      <c r="R145" s="154"/>
      <c r="S145" s="10" t="str">
        <f t="shared" si="90"/>
        <v/>
      </c>
      <c r="T145" s="11"/>
      <c r="U145" s="12"/>
      <c r="V145" s="136"/>
      <c r="W145" s="16"/>
      <c r="X145" s="17"/>
      <c r="Y145" s="18"/>
      <c r="Z145" s="15"/>
      <c r="AA145" s="15"/>
      <c r="AB145" s="155">
        <f t="shared" si="91"/>
        <v>0</v>
      </c>
      <c r="AC145" s="157">
        <f t="shared" si="99"/>
        <v>0</v>
      </c>
      <c r="AD145" s="144">
        <f t="shared" si="92"/>
        <v>0</v>
      </c>
      <c r="AE145" s="145">
        <f t="shared" si="93"/>
        <v>0</v>
      </c>
      <c r="AF145" s="146">
        <f t="shared" si="94"/>
        <v>0</v>
      </c>
      <c r="AH145" s="274">
        <f>SUMIF(日報!$T$4:$T$885,TEXT(YEAR(A145),"0000")&amp;TEXT(MONTH(A145),"00")&amp;TEXT(DAY(A145),"00")&amp;"SCSK",日報!$L$4:$L$885)</f>
        <v>0</v>
      </c>
      <c r="AI145" s="275">
        <f t="shared" si="83"/>
        <v>0</v>
      </c>
    </row>
    <row r="146" spans="1:35" s="2" customFormat="1" outlineLevel="1" x14ac:dyDescent="0.15">
      <c r="A146" s="168">
        <f t="shared" si="100"/>
        <v>43969</v>
      </c>
      <c r="B146" s="167">
        <f t="shared" si="95"/>
        <v>43969</v>
      </c>
      <c r="C146" s="32"/>
      <c r="D146" s="16">
        <v>0.38541666666666669</v>
      </c>
      <c r="E146" s="17">
        <v>0.76041666666666663</v>
      </c>
      <c r="F146" s="18">
        <v>1</v>
      </c>
      <c r="G146" s="15"/>
      <c r="H146" s="19"/>
      <c r="I146" s="137">
        <f t="shared" si="96"/>
        <v>9</v>
      </c>
      <c r="J146" s="143">
        <f t="shared" si="97"/>
        <v>7.75</v>
      </c>
      <c r="K146" s="144">
        <f t="shared" si="86"/>
        <v>0.25</v>
      </c>
      <c r="L146" s="145">
        <f t="shared" si="98"/>
        <v>0</v>
      </c>
      <c r="M146" s="146">
        <f t="shared" si="87"/>
        <v>0</v>
      </c>
      <c r="N146" s="147">
        <f>SUMIF(日報!B4:B691,$A146,日報!L4:L691)</f>
        <v>3</v>
      </c>
      <c r="O146" s="147">
        <f t="shared" si="88"/>
        <v>5</v>
      </c>
      <c r="P146" s="151"/>
      <c r="Q146" s="42" t="str">
        <f t="shared" si="89"/>
        <v/>
      </c>
      <c r="R146" s="154"/>
      <c r="S146" s="10" t="str">
        <f t="shared" si="90"/>
        <v/>
      </c>
      <c r="T146" s="11"/>
      <c r="U146" s="12"/>
      <c r="V146" s="136"/>
      <c r="W146" s="16"/>
      <c r="X146" s="17"/>
      <c r="Y146" s="18"/>
      <c r="Z146" s="15"/>
      <c r="AA146" s="15"/>
      <c r="AB146" s="155">
        <f t="shared" si="91"/>
        <v>0</v>
      </c>
      <c r="AC146" s="157">
        <f t="shared" si="99"/>
        <v>0</v>
      </c>
      <c r="AD146" s="144">
        <f t="shared" si="92"/>
        <v>0</v>
      </c>
      <c r="AE146" s="145">
        <f t="shared" si="93"/>
        <v>0</v>
      </c>
      <c r="AF146" s="146">
        <f t="shared" si="94"/>
        <v>0</v>
      </c>
      <c r="AH146" s="274">
        <f>SUMIF(日報!$T$4:$T$885,TEXT(YEAR(A146),"0000")&amp;TEXT(MONTH(A146),"00")&amp;TEXT(DAY(A146),"00")&amp;"SCSK",日報!$L$4:$L$885)</f>
        <v>0</v>
      </c>
      <c r="AI146" s="275">
        <f t="shared" si="83"/>
        <v>3</v>
      </c>
    </row>
    <row r="147" spans="1:35" s="2" customFormat="1" outlineLevel="1" x14ac:dyDescent="0.15">
      <c r="A147" s="168">
        <f t="shared" si="100"/>
        <v>43970</v>
      </c>
      <c r="B147" s="167">
        <f t="shared" si="95"/>
        <v>43970</v>
      </c>
      <c r="C147" s="32"/>
      <c r="D147" s="16">
        <v>0.38541666666666669</v>
      </c>
      <c r="E147" s="17">
        <v>0.76041666666666663</v>
      </c>
      <c r="F147" s="18">
        <v>1</v>
      </c>
      <c r="G147" s="15"/>
      <c r="H147" s="19"/>
      <c r="I147" s="137">
        <f t="shared" si="96"/>
        <v>9</v>
      </c>
      <c r="J147" s="143">
        <f t="shared" si="97"/>
        <v>7.75</v>
      </c>
      <c r="K147" s="144">
        <f t="shared" si="86"/>
        <v>0.25</v>
      </c>
      <c r="L147" s="145">
        <f t="shared" si="98"/>
        <v>0</v>
      </c>
      <c r="M147" s="146">
        <f t="shared" si="87"/>
        <v>0</v>
      </c>
      <c r="N147" s="147">
        <f>SUMIF(日報!B4:B691,$A147,日報!L4:L691)</f>
        <v>5</v>
      </c>
      <c r="O147" s="147">
        <f t="shared" si="88"/>
        <v>3</v>
      </c>
      <c r="P147" s="151"/>
      <c r="Q147" s="42" t="str">
        <f t="shared" si="89"/>
        <v/>
      </c>
      <c r="R147" s="154"/>
      <c r="S147" s="10" t="str">
        <f t="shared" si="90"/>
        <v/>
      </c>
      <c r="T147" s="11"/>
      <c r="U147" s="12"/>
      <c r="V147" s="136"/>
      <c r="W147" s="16"/>
      <c r="X147" s="17"/>
      <c r="Y147" s="18"/>
      <c r="Z147" s="15"/>
      <c r="AA147" s="15"/>
      <c r="AB147" s="155">
        <f t="shared" si="91"/>
        <v>0</v>
      </c>
      <c r="AC147" s="157">
        <f t="shared" si="99"/>
        <v>0</v>
      </c>
      <c r="AD147" s="144">
        <f t="shared" si="92"/>
        <v>0</v>
      </c>
      <c r="AE147" s="145">
        <f t="shared" si="93"/>
        <v>0</v>
      </c>
      <c r="AF147" s="146">
        <f t="shared" si="94"/>
        <v>0</v>
      </c>
      <c r="AH147" s="274">
        <f>SUMIF(日報!$T$4:$T$885,TEXT(YEAR(A147),"0000")&amp;TEXT(MONTH(A147),"00")&amp;TEXT(DAY(A147),"00")&amp;"SCSK",日報!$L$4:$L$885)</f>
        <v>0</v>
      </c>
      <c r="AI147" s="275">
        <f t="shared" si="83"/>
        <v>5</v>
      </c>
    </row>
    <row r="148" spans="1:35" s="2" customFormat="1" outlineLevel="1" x14ac:dyDescent="0.15">
      <c r="A148" s="168">
        <f t="shared" si="100"/>
        <v>43971</v>
      </c>
      <c r="B148" s="167">
        <f t="shared" si="95"/>
        <v>43971</v>
      </c>
      <c r="C148" s="32"/>
      <c r="D148" s="16">
        <v>0.38541666666666669</v>
      </c>
      <c r="E148" s="17">
        <v>0.76041666666666663</v>
      </c>
      <c r="F148" s="18">
        <v>1</v>
      </c>
      <c r="G148" s="15"/>
      <c r="H148" s="19"/>
      <c r="I148" s="137">
        <f t="shared" si="96"/>
        <v>9</v>
      </c>
      <c r="J148" s="143">
        <f t="shared" si="97"/>
        <v>7.75</v>
      </c>
      <c r="K148" s="144">
        <f t="shared" si="86"/>
        <v>0.25</v>
      </c>
      <c r="L148" s="145">
        <f t="shared" si="98"/>
        <v>0</v>
      </c>
      <c r="M148" s="146">
        <f t="shared" si="87"/>
        <v>0</v>
      </c>
      <c r="N148" s="147">
        <f>SUMIF(日報!B4:B691,$A148,日報!L4:L691)</f>
        <v>4</v>
      </c>
      <c r="O148" s="147">
        <f t="shared" si="88"/>
        <v>4</v>
      </c>
      <c r="P148" s="151"/>
      <c r="Q148" s="42" t="str">
        <f t="shared" si="89"/>
        <v/>
      </c>
      <c r="R148" s="154"/>
      <c r="S148" s="10" t="str">
        <f t="shared" si="90"/>
        <v/>
      </c>
      <c r="T148" s="11"/>
      <c r="U148" s="12"/>
      <c r="V148" s="136"/>
      <c r="W148" s="16"/>
      <c r="X148" s="17"/>
      <c r="Y148" s="18"/>
      <c r="Z148" s="15"/>
      <c r="AA148" s="15"/>
      <c r="AB148" s="155">
        <f t="shared" si="91"/>
        <v>0</v>
      </c>
      <c r="AC148" s="157">
        <f t="shared" si="99"/>
        <v>0</v>
      </c>
      <c r="AD148" s="144">
        <f t="shared" si="92"/>
        <v>0</v>
      </c>
      <c r="AE148" s="145">
        <f t="shared" si="93"/>
        <v>0</v>
      </c>
      <c r="AF148" s="146">
        <f t="shared" si="94"/>
        <v>0</v>
      </c>
      <c r="AH148" s="274">
        <f>SUMIF(日報!$T$4:$T$885,TEXT(YEAR(A148),"0000")&amp;TEXT(MONTH(A148),"00")&amp;TEXT(DAY(A148),"00")&amp;"SCSK",日報!$L$4:$L$885)</f>
        <v>0</v>
      </c>
      <c r="AI148" s="275">
        <f t="shared" si="83"/>
        <v>4</v>
      </c>
    </row>
    <row r="149" spans="1:35" s="2" customFormat="1" outlineLevel="1" x14ac:dyDescent="0.15">
      <c r="A149" s="168">
        <f t="shared" si="100"/>
        <v>43972</v>
      </c>
      <c r="B149" s="167">
        <f t="shared" si="95"/>
        <v>43972</v>
      </c>
      <c r="C149" s="32"/>
      <c r="D149" s="16">
        <v>0.38541666666666669</v>
      </c>
      <c r="E149" s="17">
        <v>0.8125</v>
      </c>
      <c r="F149" s="18">
        <v>1</v>
      </c>
      <c r="G149" s="15"/>
      <c r="H149" s="19"/>
      <c r="I149" s="137">
        <f t="shared" si="96"/>
        <v>10.25</v>
      </c>
      <c r="J149" s="143">
        <f t="shared" si="97"/>
        <v>7.75</v>
      </c>
      <c r="K149" s="144">
        <f t="shared" si="86"/>
        <v>1.5</v>
      </c>
      <c r="L149" s="145">
        <f t="shared" si="98"/>
        <v>0</v>
      </c>
      <c r="M149" s="146">
        <f t="shared" si="87"/>
        <v>0</v>
      </c>
      <c r="N149" s="147">
        <f>SUMIF(日報!B4:B691,$A149,日報!L4:L691)</f>
        <v>4</v>
      </c>
      <c r="O149" s="147">
        <f t="shared" si="88"/>
        <v>5.25</v>
      </c>
      <c r="P149" s="151"/>
      <c r="Q149" s="42" t="str">
        <f t="shared" si="89"/>
        <v/>
      </c>
      <c r="R149" s="154"/>
      <c r="S149" s="10" t="str">
        <f t="shared" si="90"/>
        <v/>
      </c>
      <c r="T149" s="11"/>
      <c r="U149" s="12"/>
      <c r="V149" s="136"/>
      <c r="W149" s="16"/>
      <c r="X149" s="17"/>
      <c r="Y149" s="18"/>
      <c r="Z149" s="15"/>
      <c r="AA149" s="15"/>
      <c r="AB149" s="155">
        <f t="shared" si="91"/>
        <v>0</v>
      </c>
      <c r="AC149" s="157">
        <f t="shared" si="99"/>
        <v>0</v>
      </c>
      <c r="AD149" s="144">
        <f t="shared" si="92"/>
        <v>0</v>
      </c>
      <c r="AE149" s="145">
        <f t="shared" si="93"/>
        <v>0</v>
      </c>
      <c r="AF149" s="146">
        <f t="shared" si="94"/>
        <v>0</v>
      </c>
      <c r="AH149" s="274">
        <f>SUMIF(日報!$T$4:$T$885,TEXT(YEAR(A149),"0000")&amp;TEXT(MONTH(A149),"00")&amp;TEXT(DAY(A149),"00")&amp;"SCSK",日報!$L$4:$L$885)</f>
        <v>0</v>
      </c>
      <c r="AI149" s="275">
        <f t="shared" si="83"/>
        <v>4</v>
      </c>
    </row>
    <row r="150" spans="1:35" s="2" customFormat="1" outlineLevel="1" x14ac:dyDescent="0.15">
      <c r="A150" s="168">
        <f t="shared" si="100"/>
        <v>43973</v>
      </c>
      <c r="B150" s="167">
        <f t="shared" si="95"/>
        <v>43973</v>
      </c>
      <c r="C150" s="32">
        <v>1</v>
      </c>
      <c r="D150" s="16"/>
      <c r="E150" s="17"/>
      <c r="F150" s="18"/>
      <c r="G150" s="15"/>
      <c r="H150" s="19"/>
      <c r="I150" s="137">
        <f t="shared" si="96"/>
        <v>0</v>
      </c>
      <c r="J150" s="143">
        <f t="shared" si="97"/>
        <v>0</v>
      </c>
      <c r="K150" s="144">
        <f t="shared" si="86"/>
        <v>0</v>
      </c>
      <c r="L150" s="145">
        <f t="shared" si="98"/>
        <v>0</v>
      </c>
      <c r="M150" s="146">
        <f t="shared" si="87"/>
        <v>0</v>
      </c>
      <c r="N150" s="147">
        <f>SUMIF(日報!B4:B691,$A150,日報!L4:L691)</f>
        <v>0</v>
      </c>
      <c r="O150" s="147">
        <f t="shared" si="88"/>
        <v>0</v>
      </c>
      <c r="P150" s="151"/>
      <c r="Q150" s="42" t="str">
        <f t="shared" si="89"/>
        <v/>
      </c>
      <c r="R150" s="154"/>
      <c r="S150" s="10" t="str">
        <f t="shared" si="90"/>
        <v/>
      </c>
      <c r="T150" s="11"/>
      <c r="U150" s="12"/>
      <c r="V150" s="136"/>
      <c r="W150" s="16"/>
      <c r="X150" s="17"/>
      <c r="Y150" s="18"/>
      <c r="Z150" s="15"/>
      <c r="AA150" s="15"/>
      <c r="AB150" s="155">
        <f t="shared" si="91"/>
        <v>0</v>
      </c>
      <c r="AC150" s="157">
        <f t="shared" si="99"/>
        <v>0</v>
      </c>
      <c r="AD150" s="144">
        <f t="shared" si="92"/>
        <v>0</v>
      </c>
      <c r="AE150" s="145">
        <f t="shared" si="93"/>
        <v>0</v>
      </c>
      <c r="AF150" s="146">
        <f t="shared" si="94"/>
        <v>0</v>
      </c>
      <c r="AH150" s="274">
        <f>SUMIF(日報!$T$4:$T$885,TEXT(YEAR(A150),"0000")&amp;TEXT(MONTH(A150),"00")&amp;TEXT(DAY(A150),"00")&amp;"SCSK",日報!$L$4:$L$885)</f>
        <v>0</v>
      </c>
      <c r="AI150" s="275">
        <f t="shared" si="83"/>
        <v>0</v>
      </c>
    </row>
    <row r="151" spans="1:35" s="2" customFormat="1" outlineLevel="1" x14ac:dyDescent="0.15">
      <c r="A151" s="168">
        <f t="shared" si="100"/>
        <v>43974</v>
      </c>
      <c r="B151" s="167">
        <f t="shared" si="95"/>
        <v>43974</v>
      </c>
      <c r="C151" s="32">
        <v>1</v>
      </c>
      <c r="D151" s="16"/>
      <c r="E151" s="17"/>
      <c r="F151" s="18"/>
      <c r="G151" s="15"/>
      <c r="H151" s="19"/>
      <c r="I151" s="137">
        <f t="shared" si="96"/>
        <v>0</v>
      </c>
      <c r="J151" s="143">
        <f t="shared" si="97"/>
        <v>0</v>
      </c>
      <c r="K151" s="144">
        <f t="shared" si="86"/>
        <v>0</v>
      </c>
      <c r="L151" s="145">
        <f t="shared" si="98"/>
        <v>0</v>
      </c>
      <c r="M151" s="146">
        <f t="shared" si="87"/>
        <v>0</v>
      </c>
      <c r="N151" s="147">
        <f>SUMIF(日報!B4:B691,$A151,日報!L4:L691)</f>
        <v>0</v>
      </c>
      <c r="O151" s="147">
        <f t="shared" si="88"/>
        <v>0</v>
      </c>
      <c r="P151" s="151"/>
      <c r="Q151" s="42" t="str">
        <f t="shared" si="89"/>
        <v/>
      </c>
      <c r="R151" s="154"/>
      <c r="S151" s="10" t="str">
        <f t="shared" si="90"/>
        <v/>
      </c>
      <c r="T151" s="11"/>
      <c r="U151" s="12"/>
      <c r="V151" s="136"/>
      <c r="W151" s="16"/>
      <c r="X151" s="17"/>
      <c r="Y151" s="18"/>
      <c r="Z151" s="15"/>
      <c r="AA151" s="15"/>
      <c r="AB151" s="155">
        <f t="shared" si="91"/>
        <v>0</v>
      </c>
      <c r="AC151" s="157">
        <f t="shared" si="99"/>
        <v>0</v>
      </c>
      <c r="AD151" s="144">
        <f t="shared" si="92"/>
        <v>0</v>
      </c>
      <c r="AE151" s="145">
        <f t="shared" si="93"/>
        <v>0</v>
      </c>
      <c r="AF151" s="146">
        <f t="shared" si="94"/>
        <v>0</v>
      </c>
      <c r="AH151" s="274">
        <f>SUMIF(日報!$T$4:$T$885,TEXT(YEAR(A151),"0000")&amp;TEXT(MONTH(A151),"00")&amp;TEXT(DAY(A151),"00")&amp;"SCSK",日報!$L$4:$L$885)</f>
        <v>0</v>
      </c>
      <c r="AI151" s="275">
        <f t="shared" si="83"/>
        <v>0</v>
      </c>
    </row>
    <row r="152" spans="1:35" s="2" customFormat="1" outlineLevel="1" x14ac:dyDescent="0.15">
      <c r="A152" s="168">
        <f t="shared" si="100"/>
        <v>43975</v>
      </c>
      <c r="B152" s="167">
        <f t="shared" si="95"/>
        <v>43975</v>
      </c>
      <c r="C152" s="32">
        <v>1</v>
      </c>
      <c r="D152" s="16"/>
      <c r="E152" s="17"/>
      <c r="F152" s="18"/>
      <c r="G152" s="15"/>
      <c r="H152" s="19"/>
      <c r="I152" s="137">
        <f t="shared" si="96"/>
        <v>0</v>
      </c>
      <c r="J152" s="143">
        <f t="shared" si="97"/>
        <v>0</v>
      </c>
      <c r="K152" s="144">
        <f t="shared" si="86"/>
        <v>0</v>
      </c>
      <c r="L152" s="145">
        <f t="shared" si="98"/>
        <v>0</v>
      </c>
      <c r="M152" s="146">
        <f t="shared" si="87"/>
        <v>0</v>
      </c>
      <c r="N152" s="147">
        <f>SUMIF(日報!B4:B691,$A152,日報!L4:L691)</f>
        <v>0</v>
      </c>
      <c r="O152" s="147">
        <f t="shared" si="88"/>
        <v>0</v>
      </c>
      <c r="P152" s="151"/>
      <c r="Q152" s="42" t="str">
        <f t="shared" si="89"/>
        <v/>
      </c>
      <c r="R152" s="154"/>
      <c r="S152" s="10" t="str">
        <f t="shared" si="90"/>
        <v/>
      </c>
      <c r="T152" s="11"/>
      <c r="U152" s="12"/>
      <c r="V152" s="136"/>
      <c r="W152" s="16"/>
      <c r="X152" s="17"/>
      <c r="Y152" s="18"/>
      <c r="Z152" s="15"/>
      <c r="AA152" s="15"/>
      <c r="AB152" s="155">
        <f t="shared" si="91"/>
        <v>0</v>
      </c>
      <c r="AC152" s="157">
        <f t="shared" si="99"/>
        <v>0</v>
      </c>
      <c r="AD152" s="144">
        <f t="shared" si="92"/>
        <v>0</v>
      </c>
      <c r="AE152" s="145">
        <f t="shared" si="93"/>
        <v>0</v>
      </c>
      <c r="AF152" s="146">
        <f t="shared" si="94"/>
        <v>0</v>
      </c>
      <c r="AH152" s="274">
        <f>SUMIF(日報!$T$4:$T$885,TEXT(YEAR(A152),"0000")&amp;TEXT(MONTH(A152),"00")&amp;TEXT(DAY(A152),"00")&amp;"SCSK",日報!$L$4:$L$885)</f>
        <v>0</v>
      </c>
      <c r="AI152" s="275">
        <f t="shared" si="83"/>
        <v>0</v>
      </c>
    </row>
    <row r="153" spans="1:35" s="2" customFormat="1" outlineLevel="1" x14ac:dyDescent="0.15">
      <c r="A153" s="168">
        <f t="shared" si="100"/>
        <v>43976</v>
      </c>
      <c r="B153" s="167">
        <f t="shared" si="95"/>
        <v>43976</v>
      </c>
      <c r="C153" s="32"/>
      <c r="D153" s="16">
        <v>0.38541666666666669</v>
      </c>
      <c r="E153" s="17">
        <v>0.80208333333333337</v>
      </c>
      <c r="F153" s="18">
        <v>1</v>
      </c>
      <c r="G153" s="15"/>
      <c r="H153" s="19"/>
      <c r="I153" s="137">
        <f t="shared" si="96"/>
        <v>10</v>
      </c>
      <c r="J153" s="143">
        <f t="shared" si="97"/>
        <v>7.75</v>
      </c>
      <c r="K153" s="144">
        <f t="shared" si="86"/>
        <v>1.25</v>
      </c>
      <c r="L153" s="145">
        <f t="shared" si="98"/>
        <v>0</v>
      </c>
      <c r="M153" s="146">
        <f t="shared" si="87"/>
        <v>0</v>
      </c>
      <c r="N153" s="147">
        <f>SUMIF(日報!B4:B691,$A153,日報!L4:L691)</f>
        <v>0</v>
      </c>
      <c r="O153" s="147">
        <f t="shared" si="88"/>
        <v>9</v>
      </c>
      <c r="P153" s="151"/>
      <c r="Q153" s="42" t="str">
        <f t="shared" si="89"/>
        <v/>
      </c>
      <c r="R153" s="154"/>
      <c r="S153" s="10" t="str">
        <f t="shared" si="90"/>
        <v/>
      </c>
      <c r="T153" s="11"/>
      <c r="U153" s="12"/>
      <c r="V153" s="136"/>
      <c r="W153" s="16"/>
      <c r="X153" s="17"/>
      <c r="Y153" s="18"/>
      <c r="Z153" s="15"/>
      <c r="AA153" s="15"/>
      <c r="AB153" s="155">
        <f t="shared" si="91"/>
        <v>0</v>
      </c>
      <c r="AC153" s="157">
        <f t="shared" si="99"/>
        <v>0</v>
      </c>
      <c r="AD153" s="144">
        <f t="shared" si="92"/>
        <v>0</v>
      </c>
      <c r="AE153" s="145">
        <f t="shared" si="93"/>
        <v>0</v>
      </c>
      <c r="AF153" s="146">
        <f t="shared" si="94"/>
        <v>0</v>
      </c>
      <c r="AH153" s="274">
        <f>SUMIF(日報!$T$4:$T$885,TEXT(YEAR(A153),"0000")&amp;TEXT(MONTH(A153),"00")&amp;TEXT(DAY(A153),"00")&amp;"SCSK",日報!$L$4:$L$885)</f>
        <v>0</v>
      </c>
      <c r="AI153" s="275">
        <f t="shared" si="83"/>
        <v>0</v>
      </c>
    </row>
    <row r="154" spans="1:35" s="2" customFormat="1" outlineLevel="1" x14ac:dyDescent="0.15">
      <c r="A154" s="168">
        <f t="shared" si="100"/>
        <v>43977</v>
      </c>
      <c r="B154" s="167">
        <f t="shared" si="95"/>
        <v>43977</v>
      </c>
      <c r="C154" s="32"/>
      <c r="D154" s="16">
        <v>0.38541666666666669</v>
      </c>
      <c r="E154" s="17">
        <v>0.80208333333333337</v>
      </c>
      <c r="F154" s="18">
        <v>1</v>
      </c>
      <c r="G154" s="15"/>
      <c r="H154" s="19"/>
      <c r="I154" s="137">
        <f t="shared" si="96"/>
        <v>10</v>
      </c>
      <c r="J154" s="143">
        <f t="shared" si="97"/>
        <v>7.75</v>
      </c>
      <c r="K154" s="144">
        <f t="shared" si="86"/>
        <v>1.25</v>
      </c>
      <c r="L154" s="145">
        <f t="shared" si="98"/>
        <v>0</v>
      </c>
      <c r="M154" s="146">
        <f t="shared" si="87"/>
        <v>0</v>
      </c>
      <c r="N154" s="147">
        <f>SUMIF(日報!B4:B691,$A154,日報!L4:L691)</f>
        <v>0</v>
      </c>
      <c r="O154" s="147">
        <f t="shared" si="88"/>
        <v>9</v>
      </c>
      <c r="P154" s="151"/>
      <c r="Q154" s="42" t="str">
        <f t="shared" si="89"/>
        <v/>
      </c>
      <c r="R154" s="154"/>
      <c r="S154" s="10" t="str">
        <f t="shared" si="90"/>
        <v/>
      </c>
      <c r="T154" s="11"/>
      <c r="U154" s="12"/>
      <c r="V154" s="136"/>
      <c r="W154" s="16"/>
      <c r="X154" s="17"/>
      <c r="Y154" s="18"/>
      <c r="Z154" s="15"/>
      <c r="AA154" s="15"/>
      <c r="AB154" s="155">
        <f t="shared" si="91"/>
        <v>0</v>
      </c>
      <c r="AC154" s="157">
        <f t="shared" si="99"/>
        <v>0</v>
      </c>
      <c r="AD154" s="144">
        <f t="shared" si="92"/>
        <v>0</v>
      </c>
      <c r="AE154" s="145">
        <f t="shared" si="93"/>
        <v>0</v>
      </c>
      <c r="AF154" s="146">
        <f t="shared" si="94"/>
        <v>0</v>
      </c>
      <c r="AH154" s="274">
        <f>SUMIF(日報!$T$4:$T$885,TEXT(YEAR(A154),"0000")&amp;TEXT(MONTH(A154),"00")&amp;TEXT(DAY(A154),"00")&amp;"SCSK",日報!$L$4:$L$885)</f>
        <v>0</v>
      </c>
      <c r="AI154" s="275">
        <f t="shared" si="83"/>
        <v>0</v>
      </c>
    </row>
    <row r="155" spans="1:35" s="2" customFormat="1" outlineLevel="1" x14ac:dyDescent="0.15">
      <c r="A155" s="168">
        <f t="shared" si="100"/>
        <v>43978</v>
      </c>
      <c r="B155" s="167">
        <f t="shared" si="95"/>
        <v>43978</v>
      </c>
      <c r="C155" s="32"/>
      <c r="D155" s="16">
        <v>0.38541666666666669</v>
      </c>
      <c r="E155" s="17">
        <v>0.76041666666666663</v>
      </c>
      <c r="F155" s="18">
        <v>1</v>
      </c>
      <c r="G155" s="15"/>
      <c r="H155" s="19"/>
      <c r="I155" s="137">
        <f t="shared" si="96"/>
        <v>9</v>
      </c>
      <c r="J155" s="143">
        <f t="shared" si="97"/>
        <v>7.75</v>
      </c>
      <c r="K155" s="144">
        <f t="shared" si="86"/>
        <v>0.25</v>
      </c>
      <c r="L155" s="145">
        <f t="shared" si="98"/>
        <v>0</v>
      </c>
      <c r="M155" s="146">
        <f t="shared" si="87"/>
        <v>0</v>
      </c>
      <c r="N155" s="147">
        <f>SUMIF(日報!B4:B691,$A155,日報!L4:L691)</f>
        <v>0</v>
      </c>
      <c r="O155" s="147">
        <f t="shared" si="88"/>
        <v>8</v>
      </c>
      <c r="P155" s="151"/>
      <c r="Q155" s="42" t="str">
        <f t="shared" si="89"/>
        <v/>
      </c>
      <c r="R155" s="154"/>
      <c r="S155" s="10" t="str">
        <f t="shared" si="90"/>
        <v/>
      </c>
      <c r="T155" s="11"/>
      <c r="U155" s="12"/>
      <c r="V155" s="136"/>
      <c r="W155" s="16"/>
      <c r="X155" s="17"/>
      <c r="Y155" s="18"/>
      <c r="Z155" s="15"/>
      <c r="AA155" s="15"/>
      <c r="AB155" s="155">
        <f t="shared" si="91"/>
        <v>0</v>
      </c>
      <c r="AC155" s="157">
        <f t="shared" si="99"/>
        <v>0</v>
      </c>
      <c r="AD155" s="144">
        <f t="shared" si="92"/>
        <v>0</v>
      </c>
      <c r="AE155" s="145">
        <f t="shared" si="93"/>
        <v>0</v>
      </c>
      <c r="AF155" s="146">
        <f t="shared" si="94"/>
        <v>0</v>
      </c>
      <c r="AH155" s="274">
        <f>SUMIF(日報!$T$4:$T$885,TEXT(YEAR(A155),"0000")&amp;TEXT(MONTH(A155),"00")&amp;TEXT(DAY(A155),"00")&amp;"SCSK",日報!$L$4:$L$885)</f>
        <v>0</v>
      </c>
      <c r="AI155" s="275">
        <f t="shared" si="83"/>
        <v>0</v>
      </c>
    </row>
    <row r="156" spans="1:35" s="2" customFormat="1" outlineLevel="1" x14ac:dyDescent="0.15">
      <c r="A156" s="168">
        <f t="shared" si="100"/>
        <v>43979</v>
      </c>
      <c r="B156" s="167">
        <f t="shared" si="95"/>
        <v>43979</v>
      </c>
      <c r="C156" s="32"/>
      <c r="D156" s="16">
        <v>0.38541666666666669</v>
      </c>
      <c r="E156" s="17">
        <v>0.67708333333333337</v>
      </c>
      <c r="F156" s="18">
        <v>1</v>
      </c>
      <c r="G156" s="15"/>
      <c r="H156" s="19"/>
      <c r="I156" s="137">
        <f t="shared" si="96"/>
        <v>7</v>
      </c>
      <c r="J156" s="143">
        <f t="shared" si="97"/>
        <v>6</v>
      </c>
      <c r="K156" s="144">
        <f t="shared" si="86"/>
        <v>0</v>
      </c>
      <c r="L156" s="145">
        <f t="shared" si="98"/>
        <v>0</v>
      </c>
      <c r="M156" s="146">
        <f t="shared" si="87"/>
        <v>0</v>
      </c>
      <c r="N156" s="147">
        <f>SUMIF(日報!B4:B691,$A156,日報!L4:L691)</f>
        <v>0</v>
      </c>
      <c r="O156" s="147">
        <f t="shared" si="88"/>
        <v>6</v>
      </c>
      <c r="P156" s="151"/>
      <c r="Q156" s="42" t="str">
        <f t="shared" si="89"/>
        <v/>
      </c>
      <c r="R156" s="154"/>
      <c r="S156" s="10" t="str">
        <f t="shared" si="90"/>
        <v/>
      </c>
      <c r="T156" s="11"/>
      <c r="U156" s="12"/>
      <c r="V156" s="136"/>
      <c r="W156" s="16"/>
      <c r="X156" s="17"/>
      <c r="Y156" s="18"/>
      <c r="Z156" s="15"/>
      <c r="AA156" s="15"/>
      <c r="AB156" s="155">
        <f t="shared" si="91"/>
        <v>0</v>
      </c>
      <c r="AC156" s="157">
        <f t="shared" si="99"/>
        <v>0</v>
      </c>
      <c r="AD156" s="144">
        <f t="shared" si="92"/>
        <v>0</v>
      </c>
      <c r="AE156" s="145">
        <f t="shared" si="93"/>
        <v>0</v>
      </c>
      <c r="AF156" s="146">
        <f t="shared" si="94"/>
        <v>0</v>
      </c>
      <c r="AH156" s="274">
        <f>SUMIF(日報!$T$4:$T$885,TEXT(YEAR(A156),"0000")&amp;TEXT(MONTH(A156),"00")&amp;TEXT(DAY(A156),"00")&amp;"SCSK",日報!$L$4:$L$885)</f>
        <v>0</v>
      </c>
      <c r="AI156" s="275">
        <f t="shared" si="83"/>
        <v>0</v>
      </c>
    </row>
    <row r="157" spans="1:35" s="2" customFormat="1" outlineLevel="1" x14ac:dyDescent="0.15">
      <c r="A157" s="168">
        <f t="shared" si="100"/>
        <v>43980</v>
      </c>
      <c r="B157" s="167">
        <f t="shared" si="95"/>
        <v>43980</v>
      </c>
      <c r="C157" s="32"/>
      <c r="D157" s="16">
        <v>0.38541666666666669</v>
      </c>
      <c r="E157" s="17">
        <v>0.76041666666666663</v>
      </c>
      <c r="F157" s="18">
        <v>1</v>
      </c>
      <c r="G157" s="15"/>
      <c r="H157" s="19"/>
      <c r="I157" s="137">
        <f t="shared" si="96"/>
        <v>9</v>
      </c>
      <c r="J157" s="143">
        <f t="shared" si="97"/>
        <v>7.75</v>
      </c>
      <c r="K157" s="144">
        <f t="shared" si="86"/>
        <v>0.25</v>
      </c>
      <c r="L157" s="145">
        <f t="shared" si="98"/>
        <v>0</v>
      </c>
      <c r="M157" s="146">
        <f t="shared" si="87"/>
        <v>0</v>
      </c>
      <c r="N157" s="147">
        <f>SUMIF(日報!B4:B691,$A157,日報!L4:L691)</f>
        <v>0</v>
      </c>
      <c r="O157" s="147">
        <f t="shared" si="88"/>
        <v>8</v>
      </c>
      <c r="P157" s="151"/>
      <c r="Q157" s="42" t="str">
        <f t="shared" si="89"/>
        <v/>
      </c>
      <c r="R157" s="154"/>
      <c r="S157" s="10" t="str">
        <f t="shared" si="90"/>
        <v/>
      </c>
      <c r="T157" s="11"/>
      <c r="U157" s="12"/>
      <c r="V157" s="136"/>
      <c r="W157" s="16"/>
      <c r="X157" s="17"/>
      <c r="Y157" s="18"/>
      <c r="Z157" s="15"/>
      <c r="AA157" s="15"/>
      <c r="AB157" s="155">
        <f t="shared" si="91"/>
        <v>0</v>
      </c>
      <c r="AC157" s="157">
        <f t="shared" si="99"/>
        <v>0</v>
      </c>
      <c r="AD157" s="144">
        <f t="shared" si="92"/>
        <v>0</v>
      </c>
      <c r="AE157" s="145">
        <f t="shared" si="93"/>
        <v>0</v>
      </c>
      <c r="AF157" s="146">
        <f t="shared" si="94"/>
        <v>0</v>
      </c>
      <c r="AH157" s="274">
        <f>SUMIF(日報!$T$4:$T$885,TEXT(YEAR(A157),"0000")&amp;TEXT(MONTH(A157),"00")&amp;TEXT(DAY(A157),"00")&amp;"SCSK",日報!$L$4:$L$885)</f>
        <v>0</v>
      </c>
      <c r="AI157" s="275">
        <f t="shared" si="83"/>
        <v>0</v>
      </c>
    </row>
    <row r="158" spans="1:35" s="2" customFormat="1" outlineLevel="1" x14ac:dyDescent="0.15">
      <c r="A158" s="168">
        <f t="shared" si="100"/>
        <v>43981</v>
      </c>
      <c r="B158" s="167">
        <f t="shared" si="95"/>
        <v>43981</v>
      </c>
      <c r="C158" s="32">
        <v>1</v>
      </c>
      <c r="D158" s="16"/>
      <c r="E158" s="17"/>
      <c r="F158" s="18"/>
      <c r="G158" s="15"/>
      <c r="H158" s="19"/>
      <c r="I158" s="137">
        <f t="shared" si="96"/>
        <v>0</v>
      </c>
      <c r="J158" s="143">
        <f t="shared" si="97"/>
        <v>0</v>
      </c>
      <c r="K158" s="144">
        <f t="shared" si="86"/>
        <v>0</v>
      </c>
      <c r="L158" s="145">
        <f t="shared" si="98"/>
        <v>0</v>
      </c>
      <c r="M158" s="146">
        <f t="shared" si="87"/>
        <v>0</v>
      </c>
      <c r="N158" s="147">
        <f>SUMIF(日報!B4:B691,$A158,日報!L4:L691)</f>
        <v>0</v>
      </c>
      <c r="O158" s="147">
        <f t="shared" si="88"/>
        <v>0</v>
      </c>
      <c r="P158" s="151"/>
      <c r="Q158" s="42" t="str">
        <f t="shared" si="89"/>
        <v/>
      </c>
      <c r="R158" s="154"/>
      <c r="S158" s="10" t="str">
        <f t="shared" si="90"/>
        <v/>
      </c>
      <c r="T158" s="11"/>
      <c r="U158" s="12"/>
      <c r="V158" s="136"/>
      <c r="W158" s="16"/>
      <c r="X158" s="17"/>
      <c r="Y158" s="18"/>
      <c r="Z158" s="15"/>
      <c r="AA158" s="15"/>
      <c r="AB158" s="155">
        <f t="shared" si="91"/>
        <v>0</v>
      </c>
      <c r="AC158" s="157">
        <f t="shared" si="99"/>
        <v>0</v>
      </c>
      <c r="AD158" s="144">
        <f t="shared" si="92"/>
        <v>0</v>
      </c>
      <c r="AE158" s="145">
        <f t="shared" si="93"/>
        <v>0</v>
      </c>
      <c r="AF158" s="146">
        <f t="shared" si="94"/>
        <v>0</v>
      </c>
      <c r="AH158" s="274">
        <f>SUMIF(日報!$T$4:$T$885,TEXT(YEAR(A158),"0000")&amp;TEXT(MONTH(A158),"00")&amp;TEXT(DAY(A158),"00")&amp;"SCSK",日報!$L$4:$L$885)</f>
        <v>0</v>
      </c>
      <c r="AI158" s="275">
        <f t="shared" si="83"/>
        <v>0</v>
      </c>
    </row>
    <row r="159" spans="1:35" s="2" customFormat="1" ht="14.25" outlineLevel="1" thickBot="1" x14ac:dyDescent="0.2">
      <c r="A159" s="168">
        <f t="shared" si="100"/>
        <v>43982</v>
      </c>
      <c r="B159" s="167">
        <f t="shared" si="95"/>
        <v>43982</v>
      </c>
      <c r="C159" s="32">
        <v>1</v>
      </c>
      <c r="D159" s="16"/>
      <c r="E159" s="17"/>
      <c r="F159" s="18"/>
      <c r="G159" s="15"/>
      <c r="H159" s="19"/>
      <c r="I159" s="137">
        <f t="shared" si="96"/>
        <v>0</v>
      </c>
      <c r="J159" s="143">
        <f t="shared" si="97"/>
        <v>0</v>
      </c>
      <c r="K159" s="144">
        <f t="shared" si="86"/>
        <v>0</v>
      </c>
      <c r="L159" s="145">
        <f t="shared" si="98"/>
        <v>0</v>
      </c>
      <c r="M159" s="146">
        <f t="shared" si="87"/>
        <v>0</v>
      </c>
      <c r="N159" s="147">
        <f>SUMIF(日報!B4:B691,$A159,日報!L4:L691)</f>
        <v>0</v>
      </c>
      <c r="O159" s="147">
        <f t="shared" si="88"/>
        <v>0</v>
      </c>
      <c r="P159" s="151"/>
      <c r="Q159" s="42" t="str">
        <f t="shared" si="89"/>
        <v/>
      </c>
      <c r="R159" s="154"/>
      <c r="S159" s="10" t="str">
        <f t="shared" si="90"/>
        <v/>
      </c>
      <c r="T159" s="11"/>
      <c r="U159" s="12"/>
      <c r="V159" s="136"/>
      <c r="W159" s="16"/>
      <c r="X159" s="17"/>
      <c r="Y159" s="18"/>
      <c r="Z159" s="15"/>
      <c r="AA159" s="15"/>
      <c r="AB159" s="155">
        <f t="shared" si="91"/>
        <v>0</v>
      </c>
      <c r="AC159" s="157">
        <f t="shared" si="99"/>
        <v>0</v>
      </c>
      <c r="AD159" s="144">
        <f t="shared" si="92"/>
        <v>0</v>
      </c>
      <c r="AE159" s="145">
        <f t="shared" si="93"/>
        <v>0</v>
      </c>
      <c r="AF159" s="146">
        <f t="shared" si="94"/>
        <v>0</v>
      </c>
      <c r="AH159" s="274">
        <f>SUMIF(日報!$T$4:$T$885,TEXT(YEAR(A159),"0000")&amp;TEXT(MONTH(A159),"00")&amp;TEXT(DAY(A159),"00")&amp;"SCSK",日報!$L$4:$L$885)</f>
        <v>0</v>
      </c>
      <c r="AI159" s="275">
        <f t="shared" si="83"/>
        <v>0</v>
      </c>
    </row>
    <row r="160" spans="1:35" ht="15" thickTop="1" thickBot="1" x14ac:dyDescent="0.2">
      <c r="A160" s="107">
        <f>A159</f>
        <v>43982</v>
      </c>
      <c r="B160" s="108">
        <f>COUNT(B129:B159)</f>
        <v>31</v>
      </c>
      <c r="C160" s="108"/>
      <c r="D160" s="109"/>
      <c r="E160" s="109"/>
      <c r="F160" s="110">
        <f t="shared" ref="F160:M160" si="101">SUM(F129:F159)</f>
        <v>17</v>
      </c>
      <c r="G160" s="110">
        <f t="shared" si="101"/>
        <v>0</v>
      </c>
      <c r="H160" s="110">
        <f t="shared" si="101"/>
        <v>0</v>
      </c>
      <c r="I160" s="111">
        <f t="shared" si="101"/>
        <v>157.5</v>
      </c>
      <c r="J160" s="112">
        <f t="shared" si="101"/>
        <v>130</v>
      </c>
      <c r="K160" s="113">
        <f t="shared" si="101"/>
        <v>10.5</v>
      </c>
      <c r="L160" s="114">
        <f t="shared" si="101"/>
        <v>0</v>
      </c>
      <c r="M160" s="113">
        <f t="shared" si="101"/>
        <v>0</v>
      </c>
      <c r="N160" s="115"/>
      <c r="O160" s="116">
        <f>SUM(O129:O159)</f>
        <v>108.5</v>
      </c>
      <c r="P160" s="105"/>
      <c r="Q160" s="118"/>
      <c r="R160" s="106"/>
      <c r="S160" s="120"/>
      <c r="T160" s="118"/>
      <c r="U160" s="121"/>
      <c r="W160" s="122"/>
      <c r="X160" s="109"/>
      <c r="Y160" s="110">
        <f t="shared" ref="Y160:AF160" si="102">SUM(Y129:Y159)</f>
        <v>0</v>
      </c>
      <c r="Z160" s="110">
        <f t="shared" si="102"/>
        <v>0</v>
      </c>
      <c r="AA160" s="110">
        <f t="shared" si="102"/>
        <v>0</v>
      </c>
      <c r="AB160" s="111">
        <f t="shared" si="102"/>
        <v>0</v>
      </c>
      <c r="AC160" s="112">
        <f t="shared" si="102"/>
        <v>0</v>
      </c>
      <c r="AD160" s="112">
        <f t="shared" si="102"/>
        <v>0</v>
      </c>
      <c r="AE160" s="112">
        <f t="shared" si="102"/>
        <v>0</v>
      </c>
      <c r="AF160" s="113">
        <f t="shared" si="102"/>
        <v>0</v>
      </c>
      <c r="AH160" s="276"/>
      <c r="AI160" s="277"/>
    </row>
    <row r="161" spans="1:35" s="2" customFormat="1" outlineLevel="1" x14ac:dyDescent="0.15">
      <c r="A161" s="168">
        <f>A159+1</f>
        <v>43983</v>
      </c>
      <c r="B161" s="167">
        <f>A161</f>
        <v>43983</v>
      </c>
      <c r="C161" s="32"/>
      <c r="D161" s="16">
        <v>0.38541666666666669</v>
      </c>
      <c r="E161" s="17">
        <v>0.76041666666666663</v>
      </c>
      <c r="F161" s="18">
        <v>1</v>
      </c>
      <c r="G161" s="15"/>
      <c r="H161" s="19"/>
      <c r="I161" s="137">
        <f>timediff(D161,E161,15)</f>
        <v>9</v>
      </c>
      <c r="J161" s="143">
        <f>IF(C161=1,0,I161-M161-L161-K161-F161-H161-G161)</f>
        <v>7.75</v>
      </c>
      <c r="K161" s="144">
        <f t="shared" ref="K161:K190" si="103">IF(C161=0,IF(時間外開始&lt;E161,timediff(時間外開始,E161,15)-M161-G161-H161,0),0)</f>
        <v>0.25</v>
      </c>
      <c r="L161" s="145">
        <f>IF(C161=1,$I161-F161-M161-H161,0)</f>
        <v>0</v>
      </c>
      <c r="M161" s="146">
        <f t="shared" ref="M161:M190" si="104">IF(深夜終了&lt;E161,timediff(深夜開始,深夜終了,15)-H161,IF(深夜開始&lt;E161,timediff(深夜開始,E161,15)-H161,0))</f>
        <v>0</v>
      </c>
      <c r="N161" s="147">
        <f>SUMIF(日報!B4:B691,$A161,日報!L4:L691)</f>
        <v>4</v>
      </c>
      <c r="O161" s="147">
        <f t="shared" ref="O161:O190" si="105">SUM(J161:M161)-N161</f>
        <v>4</v>
      </c>
      <c r="P161" s="151"/>
      <c r="Q161" s="42" t="str">
        <f t="shared" ref="Q161:Q190" si="106">IF(P161="不調","ここに症状を入力！","")</f>
        <v/>
      </c>
      <c r="R161" s="154"/>
      <c r="S161" s="10" t="str">
        <f t="shared" ref="S161:S190" si="107">IF(R161&lt;&gt;"","ここに理由を入力！","")</f>
        <v/>
      </c>
      <c r="T161" s="11"/>
      <c r="U161" s="12"/>
      <c r="V161" s="136"/>
      <c r="W161" s="16"/>
      <c r="X161" s="17"/>
      <c r="Y161" s="18"/>
      <c r="Z161" s="15"/>
      <c r="AA161" s="15"/>
      <c r="AB161" s="155">
        <f t="shared" ref="AB161:AB190" si="108">timediff(W161,X161,15)</f>
        <v>0</v>
      </c>
      <c r="AC161" s="157">
        <f>AB161-AF161-AE161-AD161-Y161-Z161-AA161</f>
        <v>0</v>
      </c>
      <c r="AD161" s="144">
        <f t="shared" ref="AD161:AD190" si="109">IF(C161=0,IF(時間外開始&lt;X161,timediff(時間外開始,X161,15)-AF161-Z161-AA161,0),0)</f>
        <v>0</v>
      </c>
      <c r="AE161" s="145">
        <f t="shared" ref="AE161:AE190" si="110">IF(C161=1,AB161-Y161-Z161-AA161,0)</f>
        <v>0</v>
      </c>
      <c r="AF161" s="146">
        <f t="shared" ref="AF161:AF190" si="111">IF(深夜終了&lt;X161,timediff(深夜開始,深夜終了,15)-AA161,IF(深夜開始&lt;X161,timediff(深夜開始,X161,15)-AA161,0))</f>
        <v>0</v>
      </c>
      <c r="AH161" s="274">
        <f>SUMIF(日報!$T$4:$T$885,TEXT(YEAR(A161),"0000")&amp;TEXT(MONTH(A161),"00")&amp;TEXT(DAY(A161),"00")&amp;"SCSK",日報!$L$4:$L$885)</f>
        <v>0</v>
      </c>
      <c r="AI161" s="275">
        <f t="shared" si="83"/>
        <v>4</v>
      </c>
    </row>
    <row r="162" spans="1:35" s="2" customFormat="1" outlineLevel="1" x14ac:dyDescent="0.15">
      <c r="A162" s="168">
        <f>A161+1</f>
        <v>43984</v>
      </c>
      <c r="B162" s="167">
        <f t="shared" ref="B162:B190" si="112">A162</f>
        <v>43984</v>
      </c>
      <c r="C162" s="32"/>
      <c r="D162" s="16">
        <v>0.38541666666666669</v>
      </c>
      <c r="E162" s="17">
        <v>0.76041666666666663</v>
      </c>
      <c r="F162" s="18">
        <v>1</v>
      </c>
      <c r="G162" s="15"/>
      <c r="H162" s="19"/>
      <c r="I162" s="137">
        <f t="shared" ref="I162:I190" si="113">timediff(D162,E162,15)</f>
        <v>9</v>
      </c>
      <c r="J162" s="143">
        <f t="shared" ref="J162:J190" si="114">IF(C162=1,0,I162-M162-L162-K162-F162-H162-G162)</f>
        <v>7.75</v>
      </c>
      <c r="K162" s="144">
        <f t="shared" si="103"/>
        <v>0.25</v>
      </c>
      <c r="L162" s="145">
        <f t="shared" ref="L162:L190" si="115">IF(C162=1,$I162-F162-M162-H162,0)</f>
        <v>0</v>
      </c>
      <c r="M162" s="146">
        <f t="shared" si="104"/>
        <v>0</v>
      </c>
      <c r="N162" s="147">
        <f>SUMIF(日報!B4:B691,$A162,日報!L4:L691)</f>
        <v>6</v>
      </c>
      <c r="O162" s="147">
        <f t="shared" si="105"/>
        <v>2</v>
      </c>
      <c r="P162" s="151"/>
      <c r="Q162" s="42" t="str">
        <f t="shared" si="106"/>
        <v/>
      </c>
      <c r="R162" s="154"/>
      <c r="S162" s="10" t="str">
        <f t="shared" si="107"/>
        <v/>
      </c>
      <c r="T162" s="11"/>
      <c r="U162" s="12"/>
      <c r="V162" s="136"/>
      <c r="W162" s="16"/>
      <c r="X162" s="17"/>
      <c r="Y162" s="18"/>
      <c r="Z162" s="15"/>
      <c r="AA162" s="15"/>
      <c r="AB162" s="155">
        <f t="shared" si="108"/>
        <v>0</v>
      </c>
      <c r="AC162" s="157">
        <f t="shared" ref="AC162:AC190" si="116">AB162-AF162-AE162-AD162-Y162-Z162-AA162</f>
        <v>0</v>
      </c>
      <c r="AD162" s="144">
        <f t="shared" si="109"/>
        <v>0</v>
      </c>
      <c r="AE162" s="145">
        <f t="shared" si="110"/>
        <v>0</v>
      </c>
      <c r="AF162" s="146">
        <f t="shared" si="111"/>
        <v>0</v>
      </c>
      <c r="AH162" s="274">
        <f>SUMIF(日報!$T$4:$T$885,TEXT(YEAR(A162),"0000")&amp;TEXT(MONTH(A162),"00")&amp;TEXT(DAY(A162),"00")&amp;"SCSK",日報!$L$4:$L$885)</f>
        <v>0</v>
      </c>
      <c r="AI162" s="275">
        <f t="shared" si="83"/>
        <v>6</v>
      </c>
    </row>
    <row r="163" spans="1:35" s="2" customFormat="1" outlineLevel="1" x14ac:dyDescent="0.15">
      <c r="A163" s="168">
        <f t="shared" ref="A163:A190" si="117">A162+1</f>
        <v>43985</v>
      </c>
      <c r="B163" s="167">
        <f t="shared" si="112"/>
        <v>43985</v>
      </c>
      <c r="C163" s="32"/>
      <c r="D163" s="16">
        <v>0.38541666666666669</v>
      </c>
      <c r="E163" s="17">
        <v>0.76041666666666663</v>
      </c>
      <c r="F163" s="18">
        <v>1</v>
      </c>
      <c r="G163" s="15"/>
      <c r="H163" s="19"/>
      <c r="I163" s="137">
        <f t="shared" si="113"/>
        <v>9</v>
      </c>
      <c r="J163" s="143">
        <f t="shared" si="114"/>
        <v>7.75</v>
      </c>
      <c r="K163" s="144">
        <f t="shared" si="103"/>
        <v>0.25</v>
      </c>
      <c r="L163" s="145">
        <f t="shared" si="115"/>
        <v>0</v>
      </c>
      <c r="M163" s="146">
        <f t="shared" si="104"/>
        <v>0</v>
      </c>
      <c r="N163" s="147">
        <f>SUMIF(日報!B4:B691,$A163,日報!L4:L691)</f>
        <v>8</v>
      </c>
      <c r="O163" s="147">
        <f t="shared" si="105"/>
        <v>0</v>
      </c>
      <c r="P163" s="151"/>
      <c r="Q163" s="42" t="str">
        <f t="shared" si="106"/>
        <v/>
      </c>
      <c r="R163" s="154"/>
      <c r="S163" s="10" t="str">
        <f t="shared" si="107"/>
        <v/>
      </c>
      <c r="T163" s="11"/>
      <c r="U163" s="12"/>
      <c r="V163" s="136"/>
      <c r="W163" s="16"/>
      <c r="X163" s="17"/>
      <c r="Y163" s="18"/>
      <c r="Z163" s="15"/>
      <c r="AA163" s="15"/>
      <c r="AB163" s="155">
        <f t="shared" si="108"/>
        <v>0</v>
      </c>
      <c r="AC163" s="157">
        <f t="shared" si="116"/>
        <v>0</v>
      </c>
      <c r="AD163" s="144">
        <f t="shared" si="109"/>
        <v>0</v>
      </c>
      <c r="AE163" s="145">
        <f t="shared" si="110"/>
        <v>0</v>
      </c>
      <c r="AF163" s="146">
        <f t="shared" si="111"/>
        <v>0</v>
      </c>
      <c r="AH163" s="274">
        <f>SUMIF(日報!$T$4:$T$885,TEXT(YEAR(A163),"0000")&amp;TEXT(MONTH(A163),"00")&amp;TEXT(DAY(A163),"00")&amp;"SCSK",日報!$L$4:$L$885)</f>
        <v>0</v>
      </c>
      <c r="AI163" s="275">
        <f t="shared" si="83"/>
        <v>8</v>
      </c>
    </row>
    <row r="164" spans="1:35" s="2" customFormat="1" outlineLevel="1" x14ac:dyDescent="0.15">
      <c r="A164" s="168">
        <f t="shared" si="117"/>
        <v>43986</v>
      </c>
      <c r="B164" s="167">
        <f t="shared" si="112"/>
        <v>43986</v>
      </c>
      <c r="C164" s="32"/>
      <c r="D164" s="16">
        <v>0.38541666666666669</v>
      </c>
      <c r="E164" s="17">
        <v>0.76041666666666663</v>
      </c>
      <c r="F164" s="18">
        <v>1</v>
      </c>
      <c r="G164" s="15"/>
      <c r="H164" s="19"/>
      <c r="I164" s="137">
        <f t="shared" si="113"/>
        <v>9</v>
      </c>
      <c r="J164" s="143">
        <f t="shared" si="114"/>
        <v>7.75</v>
      </c>
      <c r="K164" s="144">
        <f t="shared" si="103"/>
        <v>0.25</v>
      </c>
      <c r="L164" s="145">
        <f t="shared" si="115"/>
        <v>0</v>
      </c>
      <c r="M164" s="146">
        <f t="shared" si="104"/>
        <v>0</v>
      </c>
      <c r="N164" s="147">
        <f>SUMIF(日報!B4:B691,$A164,日報!L4:L691)</f>
        <v>8</v>
      </c>
      <c r="O164" s="147">
        <f t="shared" si="105"/>
        <v>0</v>
      </c>
      <c r="P164" s="151"/>
      <c r="Q164" s="42" t="str">
        <f t="shared" si="106"/>
        <v/>
      </c>
      <c r="R164" s="154"/>
      <c r="S164" s="10" t="str">
        <f t="shared" si="107"/>
        <v/>
      </c>
      <c r="T164" s="11"/>
      <c r="U164" s="12"/>
      <c r="V164" s="136"/>
      <c r="W164" s="16"/>
      <c r="X164" s="17"/>
      <c r="Y164" s="18"/>
      <c r="Z164" s="15"/>
      <c r="AA164" s="15"/>
      <c r="AB164" s="155">
        <f t="shared" si="108"/>
        <v>0</v>
      </c>
      <c r="AC164" s="157">
        <f t="shared" si="116"/>
        <v>0</v>
      </c>
      <c r="AD164" s="144">
        <f t="shared" si="109"/>
        <v>0</v>
      </c>
      <c r="AE164" s="145">
        <f t="shared" si="110"/>
        <v>0</v>
      </c>
      <c r="AF164" s="146">
        <f t="shared" si="111"/>
        <v>0</v>
      </c>
      <c r="AH164" s="274">
        <f>SUMIF(日報!$T$4:$T$885,TEXT(YEAR(A164),"0000")&amp;TEXT(MONTH(A164),"00")&amp;TEXT(DAY(A164),"00")&amp;"SCSK",日報!$L$4:$L$885)</f>
        <v>0</v>
      </c>
      <c r="AI164" s="275">
        <f t="shared" si="83"/>
        <v>8</v>
      </c>
    </row>
    <row r="165" spans="1:35" s="2" customFormat="1" outlineLevel="1" x14ac:dyDescent="0.15">
      <c r="A165" s="168">
        <f t="shared" si="117"/>
        <v>43987</v>
      </c>
      <c r="B165" s="167">
        <f t="shared" si="112"/>
        <v>43987</v>
      </c>
      <c r="C165" s="32"/>
      <c r="D165" s="16">
        <v>0.38541666666666669</v>
      </c>
      <c r="E165" s="17">
        <v>0.76041666666666663</v>
      </c>
      <c r="F165" s="18">
        <v>1</v>
      </c>
      <c r="G165" s="15"/>
      <c r="H165" s="19"/>
      <c r="I165" s="137">
        <f t="shared" si="113"/>
        <v>9</v>
      </c>
      <c r="J165" s="143">
        <f t="shared" si="114"/>
        <v>7.75</v>
      </c>
      <c r="K165" s="144">
        <f t="shared" si="103"/>
        <v>0.25</v>
      </c>
      <c r="L165" s="145">
        <f t="shared" si="115"/>
        <v>0</v>
      </c>
      <c r="M165" s="146">
        <f t="shared" si="104"/>
        <v>0</v>
      </c>
      <c r="N165" s="147">
        <f>SUMIF(日報!B4:B691,$A165,日報!L4:L691)</f>
        <v>8</v>
      </c>
      <c r="O165" s="147">
        <f t="shared" si="105"/>
        <v>0</v>
      </c>
      <c r="P165" s="151"/>
      <c r="Q165" s="42" t="str">
        <f t="shared" si="106"/>
        <v/>
      </c>
      <c r="R165" s="154"/>
      <c r="S165" s="10" t="str">
        <f t="shared" si="107"/>
        <v/>
      </c>
      <c r="T165" s="11"/>
      <c r="U165" s="12"/>
      <c r="V165" s="136"/>
      <c r="W165" s="16"/>
      <c r="X165" s="17"/>
      <c r="Y165" s="18"/>
      <c r="Z165" s="15"/>
      <c r="AA165" s="15"/>
      <c r="AB165" s="155">
        <f t="shared" si="108"/>
        <v>0</v>
      </c>
      <c r="AC165" s="157">
        <f t="shared" si="116"/>
        <v>0</v>
      </c>
      <c r="AD165" s="144">
        <f t="shared" si="109"/>
        <v>0</v>
      </c>
      <c r="AE165" s="145">
        <f t="shared" si="110"/>
        <v>0</v>
      </c>
      <c r="AF165" s="146">
        <f t="shared" si="111"/>
        <v>0</v>
      </c>
      <c r="AH165" s="274">
        <f>SUMIF(日報!$T$4:$T$885,TEXT(YEAR(A165),"0000")&amp;TEXT(MONTH(A165),"00")&amp;TEXT(DAY(A165),"00")&amp;"SCSK",日報!$L$4:$L$885)</f>
        <v>0</v>
      </c>
      <c r="AI165" s="275">
        <f t="shared" si="83"/>
        <v>8</v>
      </c>
    </row>
    <row r="166" spans="1:35" s="2" customFormat="1" outlineLevel="1" x14ac:dyDescent="0.15">
      <c r="A166" s="168">
        <f t="shared" si="117"/>
        <v>43988</v>
      </c>
      <c r="B166" s="167">
        <f t="shared" si="112"/>
        <v>43988</v>
      </c>
      <c r="C166" s="32">
        <v>1</v>
      </c>
      <c r="D166" s="16"/>
      <c r="E166" s="17"/>
      <c r="F166" s="18"/>
      <c r="G166" s="15"/>
      <c r="H166" s="19"/>
      <c r="I166" s="137">
        <f t="shared" si="113"/>
        <v>0</v>
      </c>
      <c r="J166" s="143">
        <f t="shared" si="114"/>
        <v>0</v>
      </c>
      <c r="K166" s="144">
        <f t="shared" si="103"/>
        <v>0</v>
      </c>
      <c r="L166" s="145">
        <f t="shared" si="115"/>
        <v>0</v>
      </c>
      <c r="M166" s="146">
        <f t="shared" si="104"/>
        <v>0</v>
      </c>
      <c r="N166" s="147">
        <f>SUMIF(日報!B4:B691,$A166,日報!L4:L691)</f>
        <v>0</v>
      </c>
      <c r="O166" s="147">
        <f t="shared" si="105"/>
        <v>0</v>
      </c>
      <c r="P166" s="151"/>
      <c r="Q166" s="42" t="str">
        <f t="shared" si="106"/>
        <v/>
      </c>
      <c r="R166" s="154"/>
      <c r="S166" s="10" t="str">
        <f t="shared" si="107"/>
        <v/>
      </c>
      <c r="T166" s="11"/>
      <c r="U166" s="12"/>
      <c r="V166" s="136"/>
      <c r="W166" s="16"/>
      <c r="X166" s="17"/>
      <c r="Y166" s="18"/>
      <c r="Z166" s="15"/>
      <c r="AA166" s="15"/>
      <c r="AB166" s="155">
        <f t="shared" si="108"/>
        <v>0</v>
      </c>
      <c r="AC166" s="157">
        <f t="shared" si="116"/>
        <v>0</v>
      </c>
      <c r="AD166" s="144">
        <f t="shared" si="109"/>
        <v>0</v>
      </c>
      <c r="AE166" s="145">
        <f t="shared" si="110"/>
        <v>0</v>
      </c>
      <c r="AF166" s="146">
        <f t="shared" si="111"/>
        <v>0</v>
      </c>
      <c r="AH166" s="274">
        <f>SUMIF(日報!$T$4:$T$885,TEXT(YEAR(A166),"0000")&amp;TEXT(MONTH(A166),"00")&amp;TEXT(DAY(A166),"00")&amp;"SCSK",日報!$L$4:$L$885)</f>
        <v>0</v>
      </c>
      <c r="AI166" s="275">
        <f t="shared" ref="AI166:AI190" si="118">N166-AH166</f>
        <v>0</v>
      </c>
    </row>
    <row r="167" spans="1:35" s="2" customFormat="1" outlineLevel="1" x14ac:dyDescent="0.15">
      <c r="A167" s="168">
        <f t="shared" si="117"/>
        <v>43989</v>
      </c>
      <c r="B167" s="167">
        <f t="shared" si="112"/>
        <v>43989</v>
      </c>
      <c r="C167" s="32">
        <v>1</v>
      </c>
      <c r="D167" s="16"/>
      <c r="E167" s="17"/>
      <c r="F167" s="18"/>
      <c r="G167" s="15"/>
      <c r="H167" s="19"/>
      <c r="I167" s="137">
        <f t="shared" si="113"/>
        <v>0</v>
      </c>
      <c r="J167" s="143">
        <f t="shared" si="114"/>
        <v>0</v>
      </c>
      <c r="K167" s="144">
        <f t="shared" si="103"/>
        <v>0</v>
      </c>
      <c r="L167" s="145">
        <f t="shared" si="115"/>
        <v>0</v>
      </c>
      <c r="M167" s="146">
        <f t="shared" si="104"/>
        <v>0</v>
      </c>
      <c r="N167" s="147">
        <f>SUMIF(日報!B4:B691,$A167,日報!L4:L691)</f>
        <v>0</v>
      </c>
      <c r="O167" s="147">
        <f t="shared" si="105"/>
        <v>0</v>
      </c>
      <c r="P167" s="151"/>
      <c r="Q167" s="42" t="str">
        <f t="shared" si="106"/>
        <v/>
      </c>
      <c r="R167" s="154"/>
      <c r="S167" s="10" t="str">
        <f t="shared" si="107"/>
        <v/>
      </c>
      <c r="T167" s="11"/>
      <c r="U167" s="12"/>
      <c r="V167" s="136"/>
      <c r="W167" s="16"/>
      <c r="X167" s="17"/>
      <c r="Y167" s="18"/>
      <c r="Z167" s="15"/>
      <c r="AA167" s="15"/>
      <c r="AB167" s="155">
        <f t="shared" si="108"/>
        <v>0</v>
      </c>
      <c r="AC167" s="157">
        <f t="shared" si="116"/>
        <v>0</v>
      </c>
      <c r="AD167" s="144">
        <f t="shared" si="109"/>
        <v>0</v>
      </c>
      <c r="AE167" s="145">
        <f t="shared" si="110"/>
        <v>0</v>
      </c>
      <c r="AF167" s="146">
        <f t="shared" si="111"/>
        <v>0</v>
      </c>
      <c r="AH167" s="274">
        <f>SUMIF(日報!$T$4:$T$885,TEXT(YEAR(A167),"0000")&amp;TEXT(MONTH(A167),"00")&amp;TEXT(DAY(A167),"00")&amp;"SCSK",日報!$L$4:$L$885)</f>
        <v>0</v>
      </c>
      <c r="AI167" s="275">
        <f t="shared" si="118"/>
        <v>0</v>
      </c>
    </row>
    <row r="168" spans="1:35" s="2" customFormat="1" outlineLevel="1" x14ac:dyDescent="0.15">
      <c r="A168" s="168">
        <f t="shared" si="117"/>
        <v>43990</v>
      </c>
      <c r="B168" s="167">
        <f t="shared" si="112"/>
        <v>43990</v>
      </c>
      <c r="C168" s="32"/>
      <c r="D168" s="16">
        <v>0.38541666666666669</v>
      </c>
      <c r="E168" s="17">
        <v>0.80208333333333337</v>
      </c>
      <c r="F168" s="18">
        <v>1</v>
      </c>
      <c r="G168" s="15"/>
      <c r="H168" s="19"/>
      <c r="I168" s="137">
        <f t="shared" si="113"/>
        <v>10</v>
      </c>
      <c r="J168" s="143">
        <f t="shared" si="114"/>
        <v>7.75</v>
      </c>
      <c r="K168" s="144">
        <f t="shared" si="103"/>
        <v>1.25</v>
      </c>
      <c r="L168" s="145">
        <f t="shared" si="115"/>
        <v>0</v>
      </c>
      <c r="M168" s="146">
        <f t="shared" si="104"/>
        <v>0</v>
      </c>
      <c r="N168" s="147">
        <f>SUMIF(日報!B4:B691,$A168,日報!L4:L691)</f>
        <v>0</v>
      </c>
      <c r="O168" s="147">
        <f t="shared" si="105"/>
        <v>9</v>
      </c>
      <c r="P168" s="151"/>
      <c r="Q168" s="42" t="str">
        <f t="shared" si="106"/>
        <v/>
      </c>
      <c r="R168" s="154"/>
      <c r="S168" s="10" t="str">
        <f t="shared" si="107"/>
        <v/>
      </c>
      <c r="T168" s="11"/>
      <c r="U168" s="12"/>
      <c r="V168" s="136"/>
      <c r="W168" s="16"/>
      <c r="X168" s="17"/>
      <c r="Y168" s="18"/>
      <c r="Z168" s="15"/>
      <c r="AA168" s="15"/>
      <c r="AB168" s="155">
        <f t="shared" si="108"/>
        <v>0</v>
      </c>
      <c r="AC168" s="157">
        <f t="shared" si="116"/>
        <v>0</v>
      </c>
      <c r="AD168" s="144">
        <f t="shared" si="109"/>
        <v>0</v>
      </c>
      <c r="AE168" s="145">
        <f t="shared" si="110"/>
        <v>0</v>
      </c>
      <c r="AF168" s="146">
        <f t="shared" si="111"/>
        <v>0</v>
      </c>
      <c r="AH168" s="274">
        <f>SUMIF(日報!$T$4:$T$885,TEXT(YEAR(A168),"0000")&amp;TEXT(MONTH(A168),"00")&amp;TEXT(DAY(A168),"00")&amp;"SCSK",日報!$L$4:$L$885)</f>
        <v>0</v>
      </c>
      <c r="AI168" s="275">
        <f t="shared" si="118"/>
        <v>0</v>
      </c>
    </row>
    <row r="169" spans="1:35" s="2" customFormat="1" outlineLevel="1" x14ac:dyDescent="0.15">
      <c r="A169" s="168">
        <f t="shared" si="117"/>
        <v>43991</v>
      </c>
      <c r="B169" s="167">
        <f t="shared" si="112"/>
        <v>43991</v>
      </c>
      <c r="C169" s="32"/>
      <c r="D169" s="16">
        <v>0.38541666666666669</v>
      </c>
      <c r="E169" s="17">
        <v>0.80208333333333337</v>
      </c>
      <c r="F169" s="18">
        <v>1</v>
      </c>
      <c r="G169" s="15"/>
      <c r="H169" s="19"/>
      <c r="I169" s="137">
        <f t="shared" si="113"/>
        <v>10</v>
      </c>
      <c r="J169" s="143">
        <f t="shared" si="114"/>
        <v>7.75</v>
      </c>
      <c r="K169" s="144">
        <f t="shared" si="103"/>
        <v>1.25</v>
      </c>
      <c r="L169" s="145">
        <f t="shared" si="115"/>
        <v>0</v>
      </c>
      <c r="M169" s="146">
        <f t="shared" si="104"/>
        <v>0</v>
      </c>
      <c r="N169" s="147">
        <f>SUMIF(日報!B4:B691,$A169,日報!L4:L691)</f>
        <v>0</v>
      </c>
      <c r="O169" s="147">
        <f t="shared" si="105"/>
        <v>9</v>
      </c>
      <c r="P169" s="151"/>
      <c r="Q169" s="42" t="str">
        <f t="shared" si="106"/>
        <v/>
      </c>
      <c r="R169" s="154"/>
      <c r="S169" s="10" t="str">
        <f t="shared" si="107"/>
        <v/>
      </c>
      <c r="T169" s="11"/>
      <c r="U169" s="12"/>
      <c r="V169" s="136"/>
      <c r="W169" s="16"/>
      <c r="X169" s="17"/>
      <c r="Y169" s="18"/>
      <c r="Z169" s="15"/>
      <c r="AA169" s="15"/>
      <c r="AB169" s="155">
        <f t="shared" si="108"/>
        <v>0</v>
      </c>
      <c r="AC169" s="157">
        <f t="shared" si="116"/>
        <v>0</v>
      </c>
      <c r="AD169" s="144">
        <f t="shared" si="109"/>
        <v>0</v>
      </c>
      <c r="AE169" s="145">
        <f t="shared" si="110"/>
        <v>0</v>
      </c>
      <c r="AF169" s="146">
        <f t="shared" si="111"/>
        <v>0</v>
      </c>
      <c r="AH169" s="274">
        <f>SUMIF(日報!$T$4:$T$885,TEXT(YEAR(A169),"0000")&amp;TEXT(MONTH(A169),"00")&amp;TEXT(DAY(A169),"00")&amp;"SCSK",日報!$L$4:$L$885)</f>
        <v>0</v>
      </c>
      <c r="AI169" s="275">
        <f t="shared" si="118"/>
        <v>0</v>
      </c>
    </row>
    <row r="170" spans="1:35" s="2" customFormat="1" outlineLevel="1" x14ac:dyDescent="0.15">
      <c r="A170" s="168">
        <f t="shared" si="117"/>
        <v>43992</v>
      </c>
      <c r="B170" s="167">
        <f t="shared" si="112"/>
        <v>43992</v>
      </c>
      <c r="C170" s="32"/>
      <c r="D170" s="16">
        <v>0.38541666666666669</v>
      </c>
      <c r="E170" s="17">
        <v>0.76041666666666663</v>
      </c>
      <c r="F170" s="18">
        <v>1</v>
      </c>
      <c r="G170" s="15"/>
      <c r="H170" s="19"/>
      <c r="I170" s="137">
        <f t="shared" si="113"/>
        <v>9</v>
      </c>
      <c r="J170" s="143">
        <f t="shared" si="114"/>
        <v>7.75</v>
      </c>
      <c r="K170" s="144">
        <f t="shared" si="103"/>
        <v>0.25</v>
      </c>
      <c r="L170" s="145">
        <f t="shared" si="115"/>
        <v>0</v>
      </c>
      <c r="M170" s="146">
        <f t="shared" si="104"/>
        <v>0</v>
      </c>
      <c r="N170" s="147">
        <f>SUMIF(日報!B4:B691,$A170,日報!L4:L691)</f>
        <v>0</v>
      </c>
      <c r="O170" s="147">
        <f t="shared" si="105"/>
        <v>8</v>
      </c>
      <c r="P170" s="151"/>
      <c r="Q170" s="42" t="str">
        <f t="shared" si="106"/>
        <v/>
      </c>
      <c r="R170" s="154"/>
      <c r="S170" s="10" t="str">
        <f t="shared" si="107"/>
        <v/>
      </c>
      <c r="T170" s="11"/>
      <c r="U170" s="12"/>
      <c r="V170" s="136"/>
      <c r="W170" s="16"/>
      <c r="X170" s="17"/>
      <c r="Y170" s="18"/>
      <c r="Z170" s="15"/>
      <c r="AA170" s="15"/>
      <c r="AB170" s="155">
        <f t="shared" si="108"/>
        <v>0</v>
      </c>
      <c r="AC170" s="157">
        <f t="shared" si="116"/>
        <v>0</v>
      </c>
      <c r="AD170" s="144">
        <f t="shared" si="109"/>
        <v>0</v>
      </c>
      <c r="AE170" s="145">
        <f t="shared" si="110"/>
        <v>0</v>
      </c>
      <c r="AF170" s="146">
        <f t="shared" si="111"/>
        <v>0</v>
      </c>
      <c r="AH170" s="274">
        <f>SUMIF(日報!$T$4:$T$885,TEXT(YEAR(A170),"0000")&amp;TEXT(MONTH(A170),"00")&amp;TEXT(DAY(A170),"00")&amp;"SCSK",日報!$L$4:$L$885)</f>
        <v>0</v>
      </c>
      <c r="AI170" s="275">
        <f t="shared" si="118"/>
        <v>0</v>
      </c>
    </row>
    <row r="171" spans="1:35" s="2" customFormat="1" outlineLevel="1" x14ac:dyDescent="0.15">
      <c r="A171" s="168">
        <f t="shared" si="117"/>
        <v>43993</v>
      </c>
      <c r="B171" s="167">
        <f t="shared" si="112"/>
        <v>43993</v>
      </c>
      <c r="C171" s="32"/>
      <c r="D171" s="16">
        <v>0.38541666666666669</v>
      </c>
      <c r="E171" s="17">
        <v>0.76041666666666663</v>
      </c>
      <c r="F171" s="18">
        <v>1</v>
      </c>
      <c r="G171" s="15"/>
      <c r="H171" s="19"/>
      <c r="I171" s="137">
        <f t="shared" si="113"/>
        <v>9</v>
      </c>
      <c r="J171" s="143">
        <f t="shared" si="114"/>
        <v>7.75</v>
      </c>
      <c r="K171" s="144">
        <f t="shared" si="103"/>
        <v>0.25</v>
      </c>
      <c r="L171" s="145">
        <f t="shared" si="115"/>
        <v>0</v>
      </c>
      <c r="M171" s="146">
        <f t="shared" si="104"/>
        <v>0</v>
      </c>
      <c r="N171" s="147">
        <f>SUMIF(日報!B4:B691,$A171,日報!L4:L691)</f>
        <v>0</v>
      </c>
      <c r="O171" s="147">
        <f t="shared" si="105"/>
        <v>8</v>
      </c>
      <c r="P171" s="151"/>
      <c r="Q171" s="42" t="str">
        <f t="shared" si="106"/>
        <v/>
      </c>
      <c r="R171" s="154"/>
      <c r="S171" s="10" t="str">
        <f t="shared" si="107"/>
        <v/>
      </c>
      <c r="T171" s="11"/>
      <c r="U171" s="12"/>
      <c r="V171" s="136"/>
      <c r="W171" s="16"/>
      <c r="X171" s="17"/>
      <c r="Y171" s="18"/>
      <c r="Z171" s="15"/>
      <c r="AA171" s="15"/>
      <c r="AB171" s="155">
        <f t="shared" si="108"/>
        <v>0</v>
      </c>
      <c r="AC171" s="157">
        <f t="shared" si="116"/>
        <v>0</v>
      </c>
      <c r="AD171" s="144">
        <f t="shared" si="109"/>
        <v>0</v>
      </c>
      <c r="AE171" s="145">
        <f t="shared" si="110"/>
        <v>0</v>
      </c>
      <c r="AF171" s="146">
        <f t="shared" si="111"/>
        <v>0</v>
      </c>
      <c r="AH171" s="274">
        <f>SUMIF(日報!$T$4:$T$885,TEXT(YEAR(A171),"0000")&amp;TEXT(MONTH(A171),"00")&amp;TEXT(DAY(A171),"00")&amp;"SCSK",日報!$L$4:$L$885)</f>
        <v>0</v>
      </c>
      <c r="AI171" s="275">
        <f t="shared" si="118"/>
        <v>0</v>
      </c>
    </row>
    <row r="172" spans="1:35" s="2" customFormat="1" outlineLevel="1" x14ac:dyDescent="0.15">
      <c r="A172" s="168">
        <f t="shared" si="117"/>
        <v>43994</v>
      </c>
      <c r="B172" s="167">
        <f t="shared" si="112"/>
        <v>43994</v>
      </c>
      <c r="C172" s="32"/>
      <c r="D172" s="16">
        <v>0.38541666666666669</v>
      </c>
      <c r="E172" s="17">
        <v>0.76041666666666663</v>
      </c>
      <c r="F172" s="18">
        <v>1</v>
      </c>
      <c r="G172" s="15"/>
      <c r="H172" s="19"/>
      <c r="I172" s="137">
        <f t="shared" si="113"/>
        <v>9</v>
      </c>
      <c r="J172" s="143">
        <f t="shared" si="114"/>
        <v>7.75</v>
      </c>
      <c r="K172" s="144">
        <f t="shared" si="103"/>
        <v>0.25</v>
      </c>
      <c r="L172" s="145">
        <f t="shared" si="115"/>
        <v>0</v>
      </c>
      <c r="M172" s="146">
        <f t="shared" si="104"/>
        <v>0</v>
      </c>
      <c r="N172" s="147">
        <f>SUMIF(日報!B4:B691,$A172,日報!L4:L691)</f>
        <v>0</v>
      </c>
      <c r="O172" s="147">
        <f t="shared" si="105"/>
        <v>8</v>
      </c>
      <c r="P172" s="151"/>
      <c r="Q172" s="42" t="str">
        <f t="shared" si="106"/>
        <v/>
      </c>
      <c r="R172" s="154"/>
      <c r="S172" s="10" t="str">
        <f t="shared" si="107"/>
        <v/>
      </c>
      <c r="T172" s="11"/>
      <c r="U172" s="12"/>
      <c r="V172" s="136"/>
      <c r="W172" s="16"/>
      <c r="X172" s="17"/>
      <c r="Y172" s="18"/>
      <c r="Z172" s="15"/>
      <c r="AA172" s="15"/>
      <c r="AB172" s="155">
        <f t="shared" si="108"/>
        <v>0</v>
      </c>
      <c r="AC172" s="157">
        <f t="shared" si="116"/>
        <v>0</v>
      </c>
      <c r="AD172" s="144">
        <f t="shared" si="109"/>
        <v>0</v>
      </c>
      <c r="AE172" s="145">
        <f t="shared" si="110"/>
        <v>0</v>
      </c>
      <c r="AF172" s="146">
        <f t="shared" si="111"/>
        <v>0</v>
      </c>
      <c r="AH172" s="274">
        <f>SUMIF(日報!$T$4:$T$885,TEXT(YEAR(A172),"0000")&amp;TEXT(MONTH(A172),"00")&amp;TEXT(DAY(A172),"00")&amp;"SCSK",日報!$L$4:$L$885)</f>
        <v>0</v>
      </c>
      <c r="AI172" s="275">
        <f t="shared" si="118"/>
        <v>0</v>
      </c>
    </row>
    <row r="173" spans="1:35" s="2" customFormat="1" outlineLevel="1" x14ac:dyDescent="0.15">
      <c r="A173" s="168">
        <f t="shared" si="117"/>
        <v>43995</v>
      </c>
      <c r="B173" s="167">
        <f t="shared" si="112"/>
        <v>43995</v>
      </c>
      <c r="C173" s="32">
        <v>1</v>
      </c>
      <c r="D173" s="16"/>
      <c r="E173" s="17"/>
      <c r="F173" s="18"/>
      <c r="G173" s="15"/>
      <c r="H173" s="19"/>
      <c r="I173" s="137">
        <f t="shared" si="113"/>
        <v>0</v>
      </c>
      <c r="J173" s="143">
        <f t="shared" si="114"/>
        <v>0</v>
      </c>
      <c r="K173" s="144">
        <f t="shared" si="103"/>
        <v>0</v>
      </c>
      <c r="L173" s="145">
        <f t="shared" si="115"/>
        <v>0</v>
      </c>
      <c r="M173" s="146">
        <f t="shared" si="104"/>
        <v>0</v>
      </c>
      <c r="N173" s="147">
        <f>SUMIF(日報!B4:B691,$A173,日報!L4:L691)</f>
        <v>0</v>
      </c>
      <c r="O173" s="147">
        <f t="shared" si="105"/>
        <v>0</v>
      </c>
      <c r="P173" s="151"/>
      <c r="Q173" s="42" t="str">
        <f t="shared" si="106"/>
        <v/>
      </c>
      <c r="R173" s="154"/>
      <c r="S173" s="10" t="str">
        <f t="shared" si="107"/>
        <v/>
      </c>
      <c r="T173" s="11"/>
      <c r="U173" s="12"/>
      <c r="V173" s="136"/>
      <c r="W173" s="16"/>
      <c r="X173" s="17"/>
      <c r="Y173" s="18"/>
      <c r="Z173" s="15"/>
      <c r="AA173" s="15"/>
      <c r="AB173" s="155">
        <f t="shared" si="108"/>
        <v>0</v>
      </c>
      <c r="AC173" s="157">
        <f t="shared" si="116"/>
        <v>0</v>
      </c>
      <c r="AD173" s="144">
        <f t="shared" si="109"/>
        <v>0</v>
      </c>
      <c r="AE173" s="145">
        <f t="shared" si="110"/>
        <v>0</v>
      </c>
      <c r="AF173" s="146">
        <f t="shared" si="111"/>
        <v>0</v>
      </c>
      <c r="AH173" s="274">
        <f>SUMIF(日報!$T$4:$T$885,TEXT(YEAR(A173),"0000")&amp;TEXT(MONTH(A173),"00")&amp;TEXT(DAY(A173),"00")&amp;"SCSK",日報!$L$4:$L$885)</f>
        <v>0</v>
      </c>
      <c r="AI173" s="275">
        <f t="shared" si="118"/>
        <v>0</v>
      </c>
    </row>
    <row r="174" spans="1:35" s="2" customFormat="1" outlineLevel="1" x14ac:dyDescent="0.15">
      <c r="A174" s="168">
        <f t="shared" si="117"/>
        <v>43996</v>
      </c>
      <c r="B174" s="167">
        <f t="shared" si="112"/>
        <v>43996</v>
      </c>
      <c r="C174" s="32">
        <v>1</v>
      </c>
      <c r="D174" s="16"/>
      <c r="E174" s="17"/>
      <c r="F174" s="18"/>
      <c r="G174" s="15"/>
      <c r="H174" s="19"/>
      <c r="I174" s="137">
        <f t="shared" si="113"/>
        <v>0</v>
      </c>
      <c r="J174" s="143">
        <f t="shared" si="114"/>
        <v>0</v>
      </c>
      <c r="K174" s="144">
        <f t="shared" si="103"/>
        <v>0</v>
      </c>
      <c r="L174" s="145">
        <f t="shared" si="115"/>
        <v>0</v>
      </c>
      <c r="M174" s="146">
        <f t="shared" si="104"/>
        <v>0</v>
      </c>
      <c r="N174" s="147">
        <f>SUMIF(日報!B4:B691,$A174,日報!L4:L691)</f>
        <v>0</v>
      </c>
      <c r="O174" s="147">
        <f t="shared" si="105"/>
        <v>0</v>
      </c>
      <c r="P174" s="151"/>
      <c r="Q174" s="42" t="str">
        <f t="shared" si="106"/>
        <v/>
      </c>
      <c r="R174" s="154"/>
      <c r="S174" s="10" t="str">
        <f t="shared" si="107"/>
        <v/>
      </c>
      <c r="T174" s="11"/>
      <c r="U174" s="12"/>
      <c r="V174" s="136"/>
      <c r="W174" s="16"/>
      <c r="X174" s="17"/>
      <c r="Y174" s="18"/>
      <c r="Z174" s="15"/>
      <c r="AA174" s="15"/>
      <c r="AB174" s="155">
        <f t="shared" si="108"/>
        <v>0</v>
      </c>
      <c r="AC174" s="157">
        <f t="shared" si="116"/>
        <v>0</v>
      </c>
      <c r="AD174" s="144">
        <f t="shared" si="109"/>
        <v>0</v>
      </c>
      <c r="AE174" s="145">
        <f t="shared" si="110"/>
        <v>0</v>
      </c>
      <c r="AF174" s="146">
        <f t="shared" si="111"/>
        <v>0</v>
      </c>
      <c r="AH174" s="274">
        <f>SUMIF(日報!$T$4:$T$885,TEXT(YEAR(A174),"0000")&amp;TEXT(MONTH(A174),"00")&amp;TEXT(DAY(A174),"00")&amp;"SCSK",日報!$L$4:$L$885)</f>
        <v>0</v>
      </c>
      <c r="AI174" s="275">
        <f t="shared" si="118"/>
        <v>0</v>
      </c>
    </row>
    <row r="175" spans="1:35" s="2" customFormat="1" outlineLevel="1" x14ac:dyDescent="0.15">
      <c r="A175" s="168">
        <f t="shared" si="117"/>
        <v>43997</v>
      </c>
      <c r="B175" s="167">
        <f t="shared" si="112"/>
        <v>43997</v>
      </c>
      <c r="C175" s="32"/>
      <c r="D175" s="16">
        <v>0.38541666666666669</v>
      </c>
      <c r="E175" s="17">
        <v>0.76041666666666663</v>
      </c>
      <c r="F175" s="18">
        <v>1</v>
      </c>
      <c r="G175" s="15"/>
      <c r="H175" s="19"/>
      <c r="I175" s="137">
        <f t="shared" si="113"/>
        <v>9</v>
      </c>
      <c r="J175" s="143">
        <f t="shared" si="114"/>
        <v>7.75</v>
      </c>
      <c r="K175" s="144">
        <f t="shared" si="103"/>
        <v>0.25</v>
      </c>
      <c r="L175" s="145">
        <f t="shared" si="115"/>
        <v>0</v>
      </c>
      <c r="M175" s="146">
        <f t="shared" si="104"/>
        <v>0</v>
      </c>
      <c r="N175" s="147">
        <f>SUMIF(日報!B4:B691,$A175,日報!L4:L691)</f>
        <v>0</v>
      </c>
      <c r="O175" s="147">
        <f t="shared" si="105"/>
        <v>8</v>
      </c>
      <c r="P175" s="151"/>
      <c r="Q175" s="42" t="str">
        <f t="shared" si="106"/>
        <v/>
      </c>
      <c r="R175" s="154"/>
      <c r="S175" s="10" t="str">
        <f t="shared" si="107"/>
        <v/>
      </c>
      <c r="T175" s="11"/>
      <c r="U175" s="12"/>
      <c r="V175" s="136"/>
      <c r="W175" s="16"/>
      <c r="X175" s="17"/>
      <c r="Y175" s="18"/>
      <c r="Z175" s="15"/>
      <c r="AA175" s="15"/>
      <c r="AB175" s="155">
        <f t="shared" si="108"/>
        <v>0</v>
      </c>
      <c r="AC175" s="157">
        <f t="shared" si="116"/>
        <v>0</v>
      </c>
      <c r="AD175" s="144">
        <f t="shared" si="109"/>
        <v>0</v>
      </c>
      <c r="AE175" s="145">
        <f t="shared" si="110"/>
        <v>0</v>
      </c>
      <c r="AF175" s="146">
        <f t="shared" si="111"/>
        <v>0</v>
      </c>
      <c r="AH175" s="274">
        <f>SUMIF(日報!$T$4:$T$885,TEXT(YEAR(A175),"0000")&amp;TEXT(MONTH(A175),"00")&amp;TEXT(DAY(A175),"00")&amp;"SCSK",日報!$L$4:$L$885)</f>
        <v>0</v>
      </c>
      <c r="AI175" s="275">
        <f t="shared" si="118"/>
        <v>0</v>
      </c>
    </row>
    <row r="176" spans="1:35" s="2" customFormat="1" outlineLevel="1" x14ac:dyDescent="0.15">
      <c r="A176" s="168">
        <f t="shared" si="117"/>
        <v>43998</v>
      </c>
      <c r="B176" s="167">
        <f t="shared" si="112"/>
        <v>43998</v>
      </c>
      <c r="C176" s="32"/>
      <c r="D176" s="16">
        <v>0.38541666666666669</v>
      </c>
      <c r="E176" s="17">
        <v>0.76041666666666663</v>
      </c>
      <c r="F176" s="18">
        <v>1</v>
      </c>
      <c r="G176" s="15"/>
      <c r="H176" s="19"/>
      <c r="I176" s="137">
        <f t="shared" si="113"/>
        <v>9</v>
      </c>
      <c r="J176" s="143">
        <f t="shared" si="114"/>
        <v>7.75</v>
      </c>
      <c r="K176" s="144">
        <f t="shared" si="103"/>
        <v>0.25</v>
      </c>
      <c r="L176" s="145">
        <f t="shared" si="115"/>
        <v>0</v>
      </c>
      <c r="M176" s="146">
        <f t="shared" si="104"/>
        <v>0</v>
      </c>
      <c r="N176" s="147">
        <f>SUMIF(日報!B4:B691,$A176,日報!L4:L691)</f>
        <v>0</v>
      </c>
      <c r="O176" s="147">
        <f t="shared" si="105"/>
        <v>8</v>
      </c>
      <c r="P176" s="151"/>
      <c r="Q176" s="42" t="str">
        <f t="shared" si="106"/>
        <v/>
      </c>
      <c r="R176" s="154"/>
      <c r="S176" s="10" t="str">
        <f t="shared" si="107"/>
        <v/>
      </c>
      <c r="T176" s="11"/>
      <c r="U176" s="12"/>
      <c r="V176" s="136"/>
      <c r="W176" s="16"/>
      <c r="X176" s="17"/>
      <c r="Y176" s="18"/>
      <c r="Z176" s="15"/>
      <c r="AA176" s="15"/>
      <c r="AB176" s="155">
        <f t="shared" si="108"/>
        <v>0</v>
      </c>
      <c r="AC176" s="157">
        <f t="shared" si="116"/>
        <v>0</v>
      </c>
      <c r="AD176" s="144">
        <f t="shared" si="109"/>
        <v>0</v>
      </c>
      <c r="AE176" s="145">
        <f t="shared" si="110"/>
        <v>0</v>
      </c>
      <c r="AF176" s="146">
        <f t="shared" si="111"/>
        <v>0</v>
      </c>
      <c r="AH176" s="274">
        <f>SUMIF(日報!$T$4:$T$885,TEXT(YEAR(A176),"0000")&amp;TEXT(MONTH(A176),"00")&amp;TEXT(DAY(A176),"00")&amp;"SCSK",日報!$L$4:$L$885)</f>
        <v>0</v>
      </c>
      <c r="AI176" s="275">
        <f t="shared" si="118"/>
        <v>0</v>
      </c>
    </row>
    <row r="177" spans="1:35" s="2" customFormat="1" outlineLevel="1" x14ac:dyDescent="0.15">
      <c r="A177" s="168">
        <f t="shared" si="117"/>
        <v>43999</v>
      </c>
      <c r="B177" s="167">
        <f t="shared" si="112"/>
        <v>43999</v>
      </c>
      <c r="C177" s="32"/>
      <c r="D177" s="16">
        <v>0.38541666666666669</v>
      </c>
      <c r="E177" s="17">
        <v>0.76041666666666663</v>
      </c>
      <c r="F177" s="18">
        <v>1</v>
      </c>
      <c r="G177" s="15"/>
      <c r="H177" s="19"/>
      <c r="I177" s="137">
        <f t="shared" si="113"/>
        <v>9</v>
      </c>
      <c r="J177" s="143">
        <f t="shared" si="114"/>
        <v>7.75</v>
      </c>
      <c r="K177" s="144">
        <f t="shared" si="103"/>
        <v>0.25</v>
      </c>
      <c r="L177" s="145">
        <f t="shared" si="115"/>
        <v>0</v>
      </c>
      <c r="M177" s="146">
        <f t="shared" si="104"/>
        <v>0</v>
      </c>
      <c r="N177" s="147">
        <f>SUMIF(日報!B4:B691,$A177,日報!L4:L691)</f>
        <v>0</v>
      </c>
      <c r="O177" s="147">
        <f t="shared" si="105"/>
        <v>8</v>
      </c>
      <c r="P177" s="151"/>
      <c r="Q177" s="42" t="str">
        <f t="shared" si="106"/>
        <v/>
      </c>
      <c r="R177" s="154"/>
      <c r="S177" s="10" t="str">
        <f t="shared" si="107"/>
        <v/>
      </c>
      <c r="T177" s="11"/>
      <c r="U177" s="12"/>
      <c r="V177" s="136"/>
      <c r="W177" s="16"/>
      <c r="X177" s="17"/>
      <c r="Y177" s="18"/>
      <c r="Z177" s="15"/>
      <c r="AA177" s="15"/>
      <c r="AB177" s="155">
        <f t="shared" si="108"/>
        <v>0</v>
      </c>
      <c r="AC177" s="157">
        <f t="shared" si="116"/>
        <v>0</v>
      </c>
      <c r="AD177" s="144">
        <f t="shared" si="109"/>
        <v>0</v>
      </c>
      <c r="AE177" s="145">
        <f t="shared" si="110"/>
        <v>0</v>
      </c>
      <c r="AF177" s="146">
        <f t="shared" si="111"/>
        <v>0</v>
      </c>
      <c r="AH177" s="274">
        <f>SUMIF(日報!$T$4:$T$885,TEXT(YEAR(A177),"0000")&amp;TEXT(MONTH(A177),"00")&amp;TEXT(DAY(A177),"00")&amp;"SCSK",日報!$L$4:$L$885)</f>
        <v>0</v>
      </c>
      <c r="AI177" s="275">
        <f t="shared" si="118"/>
        <v>0</v>
      </c>
    </row>
    <row r="178" spans="1:35" s="2" customFormat="1" outlineLevel="1" x14ac:dyDescent="0.15">
      <c r="A178" s="168">
        <f t="shared" si="117"/>
        <v>44000</v>
      </c>
      <c r="B178" s="167">
        <f t="shared" si="112"/>
        <v>44000</v>
      </c>
      <c r="C178" s="32"/>
      <c r="D178" s="16"/>
      <c r="E178" s="17"/>
      <c r="F178" s="18"/>
      <c r="G178" s="15"/>
      <c r="H178" s="19"/>
      <c r="I178" s="137">
        <f t="shared" si="113"/>
        <v>0</v>
      </c>
      <c r="J178" s="143">
        <f t="shared" si="114"/>
        <v>0</v>
      </c>
      <c r="K178" s="144">
        <f t="shared" si="103"/>
        <v>0</v>
      </c>
      <c r="L178" s="145">
        <f t="shared" si="115"/>
        <v>0</v>
      </c>
      <c r="M178" s="146">
        <f t="shared" si="104"/>
        <v>0</v>
      </c>
      <c r="N178" s="147">
        <f>SUMIF(日報!B4:B691,$A178,日報!L4:L691)</f>
        <v>0</v>
      </c>
      <c r="O178" s="147">
        <f t="shared" si="105"/>
        <v>0</v>
      </c>
      <c r="P178" s="151"/>
      <c r="Q178" s="42" t="str">
        <f t="shared" si="106"/>
        <v/>
      </c>
      <c r="R178" s="154"/>
      <c r="S178" s="10" t="str">
        <f t="shared" si="107"/>
        <v/>
      </c>
      <c r="T178" s="11"/>
      <c r="U178" s="12"/>
      <c r="V178" s="136"/>
      <c r="W178" s="16"/>
      <c r="X178" s="17"/>
      <c r="Y178" s="18"/>
      <c r="Z178" s="15"/>
      <c r="AA178" s="15"/>
      <c r="AB178" s="155">
        <f t="shared" si="108"/>
        <v>0</v>
      </c>
      <c r="AC178" s="157">
        <f t="shared" si="116"/>
        <v>0</v>
      </c>
      <c r="AD178" s="144">
        <f t="shared" si="109"/>
        <v>0</v>
      </c>
      <c r="AE178" s="145">
        <f t="shared" si="110"/>
        <v>0</v>
      </c>
      <c r="AF178" s="146">
        <f t="shared" si="111"/>
        <v>0</v>
      </c>
      <c r="AH178" s="274">
        <f>SUMIF(日報!$T$4:$T$885,TEXT(YEAR(A178),"0000")&amp;TEXT(MONTH(A178),"00")&amp;TEXT(DAY(A178),"00")&amp;"SCSK",日報!$L$4:$L$885)</f>
        <v>0</v>
      </c>
      <c r="AI178" s="275">
        <f t="shared" si="118"/>
        <v>0</v>
      </c>
    </row>
    <row r="179" spans="1:35" s="2" customFormat="1" outlineLevel="1" x14ac:dyDescent="0.15">
      <c r="A179" s="168">
        <f t="shared" si="117"/>
        <v>44001</v>
      </c>
      <c r="B179" s="167">
        <f t="shared" si="112"/>
        <v>44001</v>
      </c>
      <c r="C179" s="32"/>
      <c r="D179" s="16">
        <v>0.38541666666666669</v>
      </c>
      <c r="E179" s="17">
        <v>0.76041666666666663</v>
      </c>
      <c r="F179" s="18">
        <v>1</v>
      </c>
      <c r="G179" s="15"/>
      <c r="H179" s="19"/>
      <c r="I179" s="137">
        <f t="shared" si="113"/>
        <v>9</v>
      </c>
      <c r="J179" s="143">
        <f t="shared" si="114"/>
        <v>7.75</v>
      </c>
      <c r="K179" s="144">
        <f t="shared" si="103"/>
        <v>0.25</v>
      </c>
      <c r="L179" s="145">
        <f t="shared" si="115"/>
        <v>0</v>
      </c>
      <c r="M179" s="146">
        <f t="shared" si="104"/>
        <v>0</v>
      </c>
      <c r="N179" s="147">
        <f>SUMIF(日報!B4:B691,$A179,日報!L4:L691)</f>
        <v>0</v>
      </c>
      <c r="O179" s="147">
        <f t="shared" si="105"/>
        <v>8</v>
      </c>
      <c r="P179" s="151"/>
      <c r="Q179" s="42" t="str">
        <f t="shared" si="106"/>
        <v/>
      </c>
      <c r="R179" s="154"/>
      <c r="S179" s="10" t="str">
        <f t="shared" si="107"/>
        <v/>
      </c>
      <c r="T179" s="11"/>
      <c r="U179" s="12"/>
      <c r="V179" s="136"/>
      <c r="W179" s="16"/>
      <c r="X179" s="17"/>
      <c r="Y179" s="18"/>
      <c r="Z179" s="15"/>
      <c r="AA179" s="15"/>
      <c r="AB179" s="155">
        <f t="shared" si="108"/>
        <v>0</v>
      </c>
      <c r="AC179" s="157">
        <f t="shared" si="116"/>
        <v>0</v>
      </c>
      <c r="AD179" s="144">
        <f t="shared" si="109"/>
        <v>0</v>
      </c>
      <c r="AE179" s="145">
        <f t="shared" si="110"/>
        <v>0</v>
      </c>
      <c r="AF179" s="146">
        <f t="shared" si="111"/>
        <v>0</v>
      </c>
      <c r="AH179" s="274">
        <f>SUMIF(日報!$T$4:$T$885,TEXT(YEAR(A179),"0000")&amp;TEXT(MONTH(A179),"00")&amp;TEXT(DAY(A179),"00")&amp;"SCSK",日報!$L$4:$L$885)</f>
        <v>0</v>
      </c>
      <c r="AI179" s="275">
        <f t="shared" si="118"/>
        <v>0</v>
      </c>
    </row>
    <row r="180" spans="1:35" s="2" customFormat="1" outlineLevel="1" x14ac:dyDescent="0.15">
      <c r="A180" s="168">
        <f t="shared" si="117"/>
        <v>44002</v>
      </c>
      <c r="B180" s="167">
        <f t="shared" si="112"/>
        <v>44002</v>
      </c>
      <c r="C180" s="32">
        <v>1</v>
      </c>
      <c r="D180" s="16"/>
      <c r="E180" s="17"/>
      <c r="F180" s="18"/>
      <c r="G180" s="15"/>
      <c r="H180" s="19"/>
      <c r="I180" s="137">
        <f t="shared" si="113"/>
        <v>0</v>
      </c>
      <c r="J180" s="143">
        <f t="shared" si="114"/>
        <v>0</v>
      </c>
      <c r="K180" s="144">
        <f t="shared" si="103"/>
        <v>0</v>
      </c>
      <c r="L180" s="145">
        <f t="shared" si="115"/>
        <v>0</v>
      </c>
      <c r="M180" s="146">
        <f t="shared" si="104"/>
        <v>0</v>
      </c>
      <c r="N180" s="147">
        <f>SUMIF(日報!B4:B691,$A180,日報!L4:L691)</f>
        <v>0</v>
      </c>
      <c r="O180" s="147">
        <f t="shared" si="105"/>
        <v>0</v>
      </c>
      <c r="P180" s="151"/>
      <c r="Q180" s="42" t="str">
        <f t="shared" si="106"/>
        <v/>
      </c>
      <c r="R180" s="154"/>
      <c r="S180" s="10" t="str">
        <f t="shared" si="107"/>
        <v/>
      </c>
      <c r="T180" s="11"/>
      <c r="U180" s="12"/>
      <c r="V180" s="136"/>
      <c r="W180" s="16"/>
      <c r="X180" s="17"/>
      <c r="Y180" s="18"/>
      <c r="Z180" s="15"/>
      <c r="AA180" s="15"/>
      <c r="AB180" s="155">
        <f t="shared" si="108"/>
        <v>0</v>
      </c>
      <c r="AC180" s="157">
        <f t="shared" si="116"/>
        <v>0</v>
      </c>
      <c r="AD180" s="144">
        <f t="shared" si="109"/>
        <v>0</v>
      </c>
      <c r="AE180" s="145">
        <f t="shared" si="110"/>
        <v>0</v>
      </c>
      <c r="AF180" s="146">
        <f t="shared" si="111"/>
        <v>0</v>
      </c>
      <c r="AH180" s="274">
        <f>SUMIF(日報!$T$4:$T$885,TEXT(YEAR(A180),"0000")&amp;TEXT(MONTH(A180),"00")&amp;TEXT(DAY(A180),"00")&amp;"SCSK",日報!$L$4:$L$885)</f>
        <v>0</v>
      </c>
      <c r="AI180" s="275">
        <f t="shared" si="118"/>
        <v>0</v>
      </c>
    </row>
    <row r="181" spans="1:35" s="2" customFormat="1" outlineLevel="1" x14ac:dyDescent="0.15">
      <c r="A181" s="168">
        <f t="shared" si="117"/>
        <v>44003</v>
      </c>
      <c r="B181" s="167">
        <f t="shared" si="112"/>
        <v>44003</v>
      </c>
      <c r="C181" s="32">
        <v>1</v>
      </c>
      <c r="D181" s="16"/>
      <c r="E181" s="17"/>
      <c r="F181" s="18"/>
      <c r="G181" s="15"/>
      <c r="H181" s="19"/>
      <c r="I181" s="137">
        <f t="shared" si="113"/>
        <v>0</v>
      </c>
      <c r="J181" s="143">
        <f t="shared" si="114"/>
        <v>0</v>
      </c>
      <c r="K181" s="144">
        <f t="shared" si="103"/>
        <v>0</v>
      </c>
      <c r="L181" s="145">
        <f t="shared" si="115"/>
        <v>0</v>
      </c>
      <c r="M181" s="146">
        <f t="shared" si="104"/>
        <v>0</v>
      </c>
      <c r="N181" s="147">
        <f>SUMIF(日報!B4:B691,$A181,日報!L4:L691)</f>
        <v>0</v>
      </c>
      <c r="O181" s="147">
        <f t="shared" si="105"/>
        <v>0</v>
      </c>
      <c r="P181" s="151"/>
      <c r="Q181" s="42" t="str">
        <f t="shared" si="106"/>
        <v/>
      </c>
      <c r="R181" s="154"/>
      <c r="S181" s="10" t="str">
        <f t="shared" si="107"/>
        <v/>
      </c>
      <c r="T181" s="11"/>
      <c r="U181" s="12"/>
      <c r="V181" s="136"/>
      <c r="W181" s="16"/>
      <c r="X181" s="17"/>
      <c r="Y181" s="18"/>
      <c r="Z181" s="15"/>
      <c r="AA181" s="15"/>
      <c r="AB181" s="155">
        <f t="shared" si="108"/>
        <v>0</v>
      </c>
      <c r="AC181" s="157">
        <f t="shared" si="116"/>
        <v>0</v>
      </c>
      <c r="AD181" s="144">
        <f t="shared" si="109"/>
        <v>0</v>
      </c>
      <c r="AE181" s="145">
        <f t="shared" si="110"/>
        <v>0</v>
      </c>
      <c r="AF181" s="146">
        <f t="shared" si="111"/>
        <v>0</v>
      </c>
      <c r="AH181" s="274">
        <f>SUMIF(日報!$T$4:$T$885,TEXT(YEAR(A181),"0000")&amp;TEXT(MONTH(A181),"00")&amp;TEXT(DAY(A181),"00")&amp;"SCSK",日報!$L$4:$L$885)</f>
        <v>0</v>
      </c>
      <c r="AI181" s="275">
        <f t="shared" si="118"/>
        <v>0</v>
      </c>
    </row>
    <row r="182" spans="1:35" s="2" customFormat="1" outlineLevel="1" x14ac:dyDescent="0.15">
      <c r="A182" s="168">
        <f t="shared" si="117"/>
        <v>44004</v>
      </c>
      <c r="B182" s="167">
        <f t="shared" si="112"/>
        <v>44004</v>
      </c>
      <c r="C182" s="32"/>
      <c r="D182" s="16">
        <v>0.38541666666666669</v>
      </c>
      <c r="E182" s="17">
        <v>0.76041666666666663</v>
      </c>
      <c r="F182" s="18">
        <v>1</v>
      </c>
      <c r="G182" s="15"/>
      <c r="H182" s="19"/>
      <c r="I182" s="137">
        <f t="shared" si="113"/>
        <v>9</v>
      </c>
      <c r="J182" s="143">
        <f t="shared" si="114"/>
        <v>7.75</v>
      </c>
      <c r="K182" s="144">
        <f t="shared" si="103"/>
        <v>0.25</v>
      </c>
      <c r="L182" s="145">
        <f t="shared" si="115"/>
        <v>0</v>
      </c>
      <c r="M182" s="146">
        <f t="shared" si="104"/>
        <v>0</v>
      </c>
      <c r="N182" s="147">
        <f>SUMIF(日報!B4:B691,$A182,日報!L4:L691)</f>
        <v>0</v>
      </c>
      <c r="O182" s="147">
        <f t="shared" si="105"/>
        <v>8</v>
      </c>
      <c r="P182" s="151"/>
      <c r="Q182" s="42" t="str">
        <f t="shared" si="106"/>
        <v/>
      </c>
      <c r="R182" s="154"/>
      <c r="S182" s="10" t="str">
        <f t="shared" si="107"/>
        <v/>
      </c>
      <c r="T182" s="11"/>
      <c r="U182" s="12"/>
      <c r="V182" s="136"/>
      <c r="W182" s="16"/>
      <c r="X182" s="17"/>
      <c r="Y182" s="18"/>
      <c r="Z182" s="15"/>
      <c r="AA182" s="15"/>
      <c r="AB182" s="155">
        <f t="shared" si="108"/>
        <v>0</v>
      </c>
      <c r="AC182" s="157">
        <f t="shared" si="116"/>
        <v>0</v>
      </c>
      <c r="AD182" s="144">
        <f t="shared" si="109"/>
        <v>0</v>
      </c>
      <c r="AE182" s="145">
        <f t="shared" si="110"/>
        <v>0</v>
      </c>
      <c r="AF182" s="146">
        <f t="shared" si="111"/>
        <v>0</v>
      </c>
      <c r="AH182" s="274">
        <f>SUMIF(日報!$T$4:$T$885,TEXT(YEAR(A182),"0000")&amp;TEXT(MONTH(A182),"00")&amp;TEXT(DAY(A182),"00")&amp;"SCSK",日報!$L$4:$L$885)</f>
        <v>0</v>
      </c>
      <c r="AI182" s="275">
        <f t="shared" si="118"/>
        <v>0</v>
      </c>
    </row>
    <row r="183" spans="1:35" s="2" customFormat="1" outlineLevel="1" x14ac:dyDescent="0.15">
      <c r="A183" s="168">
        <f t="shared" si="117"/>
        <v>44005</v>
      </c>
      <c r="B183" s="167">
        <f t="shared" si="112"/>
        <v>44005</v>
      </c>
      <c r="C183" s="32"/>
      <c r="D183" s="16">
        <v>0.38541666666666669</v>
      </c>
      <c r="E183" s="17">
        <v>0.76041666666666663</v>
      </c>
      <c r="F183" s="18">
        <v>1</v>
      </c>
      <c r="G183" s="15"/>
      <c r="H183" s="19"/>
      <c r="I183" s="137">
        <f t="shared" si="113"/>
        <v>9</v>
      </c>
      <c r="J183" s="143">
        <f t="shared" si="114"/>
        <v>7.75</v>
      </c>
      <c r="K183" s="144">
        <f t="shared" si="103"/>
        <v>0.25</v>
      </c>
      <c r="L183" s="145">
        <f t="shared" si="115"/>
        <v>0</v>
      </c>
      <c r="M183" s="146">
        <f t="shared" si="104"/>
        <v>0</v>
      </c>
      <c r="N183" s="147">
        <f>SUMIF(日報!B4:B691,$A183,日報!L4:L691)</f>
        <v>0</v>
      </c>
      <c r="O183" s="147">
        <f t="shared" si="105"/>
        <v>8</v>
      </c>
      <c r="P183" s="151"/>
      <c r="Q183" s="42" t="str">
        <f t="shared" si="106"/>
        <v/>
      </c>
      <c r="R183" s="154"/>
      <c r="S183" s="10" t="str">
        <f t="shared" si="107"/>
        <v/>
      </c>
      <c r="T183" s="11"/>
      <c r="U183" s="12"/>
      <c r="V183" s="136"/>
      <c r="W183" s="16"/>
      <c r="X183" s="17"/>
      <c r="Y183" s="18"/>
      <c r="Z183" s="15"/>
      <c r="AA183" s="15"/>
      <c r="AB183" s="155">
        <f t="shared" si="108"/>
        <v>0</v>
      </c>
      <c r="AC183" s="157">
        <f t="shared" si="116"/>
        <v>0</v>
      </c>
      <c r="AD183" s="144">
        <f t="shared" si="109"/>
        <v>0</v>
      </c>
      <c r="AE183" s="145">
        <f t="shared" si="110"/>
        <v>0</v>
      </c>
      <c r="AF183" s="146">
        <f t="shared" si="111"/>
        <v>0</v>
      </c>
      <c r="AH183" s="274">
        <f>SUMIF(日報!$T$4:$T$885,TEXT(YEAR(A183),"0000")&amp;TEXT(MONTH(A183),"00")&amp;TEXT(DAY(A183),"00")&amp;"SCSK",日報!$L$4:$L$885)</f>
        <v>0</v>
      </c>
      <c r="AI183" s="275">
        <f t="shared" si="118"/>
        <v>0</v>
      </c>
    </row>
    <row r="184" spans="1:35" s="2" customFormat="1" outlineLevel="1" x14ac:dyDescent="0.15">
      <c r="A184" s="168">
        <f t="shared" si="117"/>
        <v>44006</v>
      </c>
      <c r="B184" s="167">
        <f t="shared" si="112"/>
        <v>44006</v>
      </c>
      <c r="C184" s="32"/>
      <c r="D184" s="16">
        <v>0.38541666666666669</v>
      </c>
      <c r="E184" s="17">
        <v>0.76041666666666663</v>
      </c>
      <c r="F184" s="18">
        <v>1</v>
      </c>
      <c r="G184" s="15"/>
      <c r="H184" s="19"/>
      <c r="I184" s="137">
        <f t="shared" si="113"/>
        <v>9</v>
      </c>
      <c r="J184" s="143">
        <f t="shared" si="114"/>
        <v>7.75</v>
      </c>
      <c r="K184" s="144">
        <f t="shared" si="103"/>
        <v>0.25</v>
      </c>
      <c r="L184" s="145">
        <f t="shared" si="115"/>
        <v>0</v>
      </c>
      <c r="M184" s="146">
        <f t="shared" si="104"/>
        <v>0</v>
      </c>
      <c r="N184" s="147">
        <f>SUMIF(日報!B4:B691,$A184,日報!L4:L691)</f>
        <v>0</v>
      </c>
      <c r="O184" s="147">
        <f t="shared" si="105"/>
        <v>8</v>
      </c>
      <c r="P184" s="151"/>
      <c r="Q184" s="42" t="str">
        <f t="shared" si="106"/>
        <v/>
      </c>
      <c r="R184" s="154"/>
      <c r="S184" s="10" t="str">
        <f t="shared" si="107"/>
        <v/>
      </c>
      <c r="T184" s="11"/>
      <c r="U184" s="12"/>
      <c r="V184" s="136"/>
      <c r="W184" s="16"/>
      <c r="X184" s="17"/>
      <c r="Y184" s="18"/>
      <c r="Z184" s="15"/>
      <c r="AA184" s="15"/>
      <c r="AB184" s="155">
        <f t="shared" si="108"/>
        <v>0</v>
      </c>
      <c r="AC184" s="157">
        <f t="shared" si="116"/>
        <v>0</v>
      </c>
      <c r="AD184" s="144">
        <f t="shared" si="109"/>
        <v>0</v>
      </c>
      <c r="AE184" s="145">
        <f t="shared" si="110"/>
        <v>0</v>
      </c>
      <c r="AF184" s="146">
        <f t="shared" si="111"/>
        <v>0</v>
      </c>
      <c r="AH184" s="274">
        <f>SUMIF(日報!$T$4:$T$885,TEXT(YEAR(A184),"0000")&amp;TEXT(MONTH(A184),"00")&amp;TEXT(DAY(A184),"00")&amp;"SCSK",日報!$L$4:$L$885)</f>
        <v>0</v>
      </c>
      <c r="AI184" s="275">
        <f t="shared" si="118"/>
        <v>0</v>
      </c>
    </row>
    <row r="185" spans="1:35" s="2" customFormat="1" outlineLevel="1" x14ac:dyDescent="0.15">
      <c r="A185" s="168">
        <f t="shared" si="117"/>
        <v>44007</v>
      </c>
      <c r="B185" s="167">
        <f t="shared" si="112"/>
        <v>44007</v>
      </c>
      <c r="C185" s="32"/>
      <c r="D185" s="16">
        <v>0.38541666666666669</v>
      </c>
      <c r="E185" s="17">
        <v>0.76041666666666663</v>
      </c>
      <c r="F185" s="18">
        <v>1</v>
      </c>
      <c r="G185" s="15"/>
      <c r="H185" s="19"/>
      <c r="I185" s="137">
        <f t="shared" si="113"/>
        <v>9</v>
      </c>
      <c r="J185" s="143">
        <f t="shared" si="114"/>
        <v>7.75</v>
      </c>
      <c r="K185" s="144">
        <f t="shared" si="103"/>
        <v>0.25</v>
      </c>
      <c r="L185" s="145">
        <f t="shared" si="115"/>
        <v>0</v>
      </c>
      <c r="M185" s="146">
        <f t="shared" si="104"/>
        <v>0</v>
      </c>
      <c r="N185" s="147">
        <f>SUMIF(日報!B4:B691,$A185,日報!L4:L691)</f>
        <v>8</v>
      </c>
      <c r="O185" s="147">
        <f t="shared" si="105"/>
        <v>0</v>
      </c>
      <c r="P185" s="151"/>
      <c r="Q185" s="42" t="str">
        <f t="shared" si="106"/>
        <v/>
      </c>
      <c r="R185" s="154"/>
      <c r="S185" s="10" t="str">
        <f t="shared" si="107"/>
        <v/>
      </c>
      <c r="T185" s="11"/>
      <c r="U185" s="12"/>
      <c r="V185" s="136"/>
      <c r="W185" s="16"/>
      <c r="X185" s="17"/>
      <c r="Y185" s="18"/>
      <c r="Z185" s="15"/>
      <c r="AA185" s="15"/>
      <c r="AB185" s="155">
        <f t="shared" si="108"/>
        <v>0</v>
      </c>
      <c r="AC185" s="157">
        <f t="shared" si="116"/>
        <v>0</v>
      </c>
      <c r="AD185" s="144">
        <f t="shared" si="109"/>
        <v>0</v>
      </c>
      <c r="AE185" s="145">
        <f t="shared" si="110"/>
        <v>0</v>
      </c>
      <c r="AF185" s="146">
        <f t="shared" si="111"/>
        <v>0</v>
      </c>
      <c r="AH185" s="274">
        <f>SUMIF(日報!$T$4:$T$885,TEXT(YEAR(A185),"0000")&amp;TEXT(MONTH(A185),"00")&amp;TEXT(DAY(A185),"00")&amp;"SCSK",日報!$L$4:$L$885)</f>
        <v>0</v>
      </c>
      <c r="AI185" s="275">
        <f t="shared" si="118"/>
        <v>8</v>
      </c>
    </row>
    <row r="186" spans="1:35" s="2" customFormat="1" outlineLevel="1" x14ac:dyDescent="0.15">
      <c r="A186" s="168">
        <f t="shared" si="117"/>
        <v>44008</v>
      </c>
      <c r="B186" s="167">
        <f t="shared" si="112"/>
        <v>44008</v>
      </c>
      <c r="C186" s="32"/>
      <c r="D186" s="16">
        <v>0.38541666666666669</v>
      </c>
      <c r="E186" s="17">
        <v>0.76041666666666663</v>
      </c>
      <c r="F186" s="18">
        <v>1</v>
      </c>
      <c r="G186" s="15"/>
      <c r="H186" s="19"/>
      <c r="I186" s="137">
        <f t="shared" si="113"/>
        <v>9</v>
      </c>
      <c r="J186" s="143">
        <f t="shared" si="114"/>
        <v>7.75</v>
      </c>
      <c r="K186" s="144">
        <f t="shared" si="103"/>
        <v>0.25</v>
      </c>
      <c r="L186" s="145">
        <f t="shared" si="115"/>
        <v>0</v>
      </c>
      <c r="M186" s="146">
        <f t="shared" si="104"/>
        <v>0</v>
      </c>
      <c r="N186" s="147">
        <f>SUMIF(日報!B4:B691,$A186,日報!L4:L691)</f>
        <v>8</v>
      </c>
      <c r="O186" s="147">
        <f t="shared" si="105"/>
        <v>0</v>
      </c>
      <c r="P186" s="151"/>
      <c r="Q186" s="42" t="str">
        <f t="shared" si="106"/>
        <v/>
      </c>
      <c r="R186" s="154"/>
      <c r="S186" s="10" t="str">
        <f t="shared" si="107"/>
        <v/>
      </c>
      <c r="T186" s="11"/>
      <c r="U186" s="12"/>
      <c r="V186" s="136"/>
      <c r="W186" s="16"/>
      <c r="X186" s="17"/>
      <c r="Y186" s="18"/>
      <c r="Z186" s="15"/>
      <c r="AA186" s="15"/>
      <c r="AB186" s="155">
        <f t="shared" si="108"/>
        <v>0</v>
      </c>
      <c r="AC186" s="157">
        <f t="shared" si="116"/>
        <v>0</v>
      </c>
      <c r="AD186" s="144">
        <f t="shared" si="109"/>
        <v>0</v>
      </c>
      <c r="AE186" s="145">
        <f t="shared" si="110"/>
        <v>0</v>
      </c>
      <c r="AF186" s="146">
        <f t="shared" si="111"/>
        <v>0</v>
      </c>
      <c r="AH186" s="274">
        <f>SUMIF(日報!$T$4:$T$885,TEXT(YEAR(A186),"0000")&amp;TEXT(MONTH(A186),"00")&amp;TEXT(DAY(A186),"00")&amp;"SCSK",日報!$L$4:$L$885)</f>
        <v>0</v>
      </c>
      <c r="AI186" s="275">
        <f t="shared" si="118"/>
        <v>8</v>
      </c>
    </row>
    <row r="187" spans="1:35" s="2" customFormat="1" outlineLevel="1" x14ac:dyDescent="0.15">
      <c r="A187" s="168">
        <f t="shared" si="117"/>
        <v>44009</v>
      </c>
      <c r="B187" s="167">
        <f t="shared" si="112"/>
        <v>44009</v>
      </c>
      <c r="C187" s="32">
        <v>1</v>
      </c>
      <c r="D187" s="16"/>
      <c r="E187" s="17"/>
      <c r="F187" s="18"/>
      <c r="G187" s="15"/>
      <c r="H187" s="19"/>
      <c r="I187" s="137">
        <f t="shared" si="113"/>
        <v>0</v>
      </c>
      <c r="J187" s="143">
        <f t="shared" si="114"/>
        <v>0</v>
      </c>
      <c r="K187" s="144">
        <f t="shared" si="103"/>
        <v>0</v>
      </c>
      <c r="L187" s="145">
        <f t="shared" si="115"/>
        <v>0</v>
      </c>
      <c r="M187" s="146">
        <f t="shared" si="104"/>
        <v>0</v>
      </c>
      <c r="N187" s="147">
        <f>SUMIF(日報!B4:B691,$A187,日報!L4:L691)</f>
        <v>0</v>
      </c>
      <c r="O187" s="147">
        <f t="shared" si="105"/>
        <v>0</v>
      </c>
      <c r="P187" s="151"/>
      <c r="Q187" s="42" t="str">
        <f t="shared" si="106"/>
        <v/>
      </c>
      <c r="R187" s="154"/>
      <c r="S187" s="10" t="str">
        <f t="shared" si="107"/>
        <v/>
      </c>
      <c r="T187" s="11"/>
      <c r="U187" s="12"/>
      <c r="V187" s="136"/>
      <c r="W187" s="16"/>
      <c r="X187" s="17"/>
      <c r="Y187" s="18"/>
      <c r="Z187" s="15"/>
      <c r="AA187" s="15"/>
      <c r="AB187" s="155">
        <f t="shared" si="108"/>
        <v>0</v>
      </c>
      <c r="AC187" s="157">
        <f t="shared" si="116"/>
        <v>0</v>
      </c>
      <c r="AD187" s="144">
        <f t="shared" si="109"/>
        <v>0</v>
      </c>
      <c r="AE187" s="145">
        <f t="shared" si="110"/>
        <v>0</v>
      </c>
      <c r="AF187" s="146">
        <f t="shared" si="111"/>
        <v>0</v>
      </c>
      <c r="AH187" s="274">
        <f>SUMIF(日報!$T$4:$T$885,TEXT(YEAR(A187),"0000")&amp;TEXT(MONTH(A187),"00")&amp;TEXT(DAY(A187),"00")&amp;"SCSK",日報!$L$4:$L$885)</f>
        <v>0</v>
      </c>
      <c r="AI187" s="275">
        <f t="shared" si="118"/>
        <v>0</v>
      </c>
    </row>
    <row r="188" spans="1:35" s="2" customFormat="1" outlineLevel="1" x14ac:dyDescent="0.15">
      <c r="A188" s="168">
        <f t="shared" si="117"/>
        <v>44010</v>
      </c>
      <c r="B188" s="167">
        <f t="shared" si="112"/>
        <v>44010</v>
      </c>
      <c r="C188" s="32">
        <v>1</v>
      </c>
      <c r="D188" s="16"/>
      <c r="E188" s="17"/>
      <c r="F188" s="18"/>
      <c r="G188" s="15"/>
      <c r="H188" s="19"/>
      <c r="I188" s="137">
        <f t="shared" si="113"/>
        <v>0</v>
      </c>
      <c r="J188" s="143">
        <f t="shared" si="114"/>
        <v>0</v>
      </c>
      <c r="K188" s="144">
        <f t="shared" si="103"/>
        <v>0</v>
      </c>
      <c r="L188" s="145">
        <f t="shared" si="115"/>
        <v>0</v>
      </c>
      <c r="M188" s="146">
        <f t="shared" si="104"/>
        <v>0</v>
      </c>
      <c r="N188" s="147">
        <f>SUMIF(日報!B4:B691,$A188,日報!L4:L691)</f>
        <v>0</v>
      </c>
      <c r="O188" s="147">
        <f t="shared" si="105"/>
        <v>0</v>
      </c>
      <c r="P188" s="151"/>
      <c r="Q188" s="42" t="str">
        <f t="shared" si="106"/>
        <v/>
      </c>
      <c r="R188" s="154"/>
      <c r="S188" s="10" t="str">
        <f t="shared" si="107"/>
        <v/>
      </c>
      <c r="T188" s="11"/>
      <c r="U188" s="12"/>
      <c r="V188" s="136"/>
      <c r="W188" s="16"/>
      <c r="X188" s="17"/>
      <c r="Y188" s="18"/>
      <c r="Z188" s="15"/>
      <c r="AA188" s="15"/>
      <c r="AB188" s="155">
        <f t="shared" si="108"/>
        <v>0</v>
      </c>
      <c r="AC188" s="157">
        <f t="shared" si="116"/>
        <v>0</v>
      </c>
      <c r="AD188" s="144">
        <f t="shared" si="109"/>
        <v>0</v>
      </c>
      <c r="AE188" s="145">
        <f t="shared" si="110"/>
        <v>0</v>
      </c>
      <c r="AF188" s="146">
        <f t="shared" si="111"/>
        <v>0</v>
      </c>
      <c r="AH188" s="274">
        <f>SUMIF(日報!$T$4:$T$885,TEXT(YEAR(A188),"0000")&amp;TEXT(MONTH(A188),"00")&amp;TEXT(DAY(A188),"00")&amp;"SCSK",日報!$L$4:$L$885)</f>
        <v>0</v>
      </c>
      <c r="AI188" s="275">
        <f t="shared" si="118"/>
        <v>0</v>
      </c>
    </row>
    <row r="189" spans="1:35" s="2" customFormat="1" outlineLevel="1" x14ac:dyDescent="0.15">
      <c r="A189" s="168">
        <f t="shared" si="117"/>
        <v>44011</v>
      </c>
      <c r="B189" s="167">
        <f t="shared" si="112"/>
        <v>44011</v>
      </c>
      <c r="C189" s="32"/>
      <c r="D189" s="16">
        <v>0.38541666666666669</v>
      </c>
      <c r="E189" s="17">
        <v>0.76041666666666663</v>
      </c>
      <c r="F189" s="18">
        <v>1</v>
      </c>
      <c r="G189" s="15"/>
      <c r="H189" s="19"/>
      <c r="I189" s="137">
        <f t="shared" si="113"/>
        <v>9</v>
      </c>
      <c r="J189" s="143">
        <f t="shared" si="114"/>
        <v>7.75</v>
      </c>
      <c r="K189" s="144">
        <f t="shared" si="103"/>
        <v>0.25</v>
      </c>
      <c r="L189" s="145">
        <f t="shared" si="115"/>
        <v>0</v>
      </c>
      <c r="M189" s="146">
        <f t="shared" si="104"/>
        <v>0</v>
      </c>
      <c r="N189" s="147">
        <f>SUMIF(日報!B4:B691,$A189,日報!L4:L691)</f>
        <v>0</v>
      </c>
      <c r="O189" s="147">
        <f t="shared" si="105"/>
        <v>8</v>
      </c>
      <c r="P189" s="151"/>
      <c r="Q189" s="42" t="str">
        <f t="shared" si="106"/>
        <v/>
      </c>
      <c r="R189" s="154"/>
      <c r="S189" s="10" t="str">
        <f t="shared" si="107"/>
        <v/>
      </c>
      <c r="T189" s="11"/>
      <c r="U189" s="12"/>
      <c r="V189" s="136"/>
      <c r="W189" s="16"/>
      <c r="X189" s="17"/>
      <c r="Y189" s="18"/>
      <c r="Z189" s="15"/>
      <c r="AA189" s="15"/>
      <c r="AB189" s="155">
        <f t="shared" si="108"/>
        <v>0</v>
      </c>
      <c r="AC189" s="157">
        <f t="shared" si="116"/>
        <v>0</v>
      </c>
      <c r="AD189" s="144">
        <f t="shared" si="109"/>
        <v>0</v>
      </c>
      <c r="AE189" s="145">
        <f t="shared" si="110"/>
        <v>0</v>
      </c>
      <c r="AF189" s="146">
        <f t="shared" si="111"/>
        <v>0</v>
      </c>
      <c r="AH189" s="274">
        <f>SUMIF(日報!$T$4:$T$885,TEXT(YEAR(A189),"0000")&amp;TEXT(MONTH(A189),"00")&amp;TEXT(DAY(A189),"00")&amp;"SCSK",日報!$L$4:$L$885)</f>
        <v>0</v>
      </c>
      <c r="AI189" s="275">
        <f t="shared" si="118"/>
        <v>0</v>
      </c>
    </row>
    <row r="190" spans="1:35" s="2" customFormat="1" ht="14.25" outlineLevel="1" thickBot="1" x14ac:dyDescent="0.2">
      <c r="A190" s="168">
        <f t="shared" si="117"/>
        <v>44012</v>
      </c>
      <c r="B190" s="167">
        <f t="shared" si="112"/>
        <v>44012</v>
      </c>
      <c r="C190" s="32"/>
      <c r="D190" s="16">
        <v>0.38541666666666669</v>
      </c>
      <c r="E190" s="17">
        <v>0.76041666666666663</v>
      </c>
      <c r="F190" s="18">
        <v>1</v>
      </c>
      <c r="G190" s="15"/>
      <c r="H190" s="19"/>
      <c r="I190" s="137">
        <f t="shared" si="113"/>
        <v>9</v>
      </c>
      <c r="J190" s="143">
        <f t="shared" si="114"/>
        <v>7.75</v>
      </c>
      <c r="K190" s="144">
        <f t="shared" si="103"/>
        <v>0.25</v>
      </c>
      <c r="L190" s="145">
        <f t="shared" si="115"/>
        <v>0</v>
      </c>
      <c r="M190" s="146">
        <f t="shared" si="104"/>
        <v>0</v>
      </c>
      <c r="N190" s="147">
        <f>SUMIF(日報!B4:B691,$A190,日報!L4:L691)</f>
        <v>0</v>
      </c>
      <c r="O190" s="147">
        <f t="shared" si="105"/>
        <v>8</v>
      </c>
      <c r="P190" s="151"/>
      <c r="Q190" s="42" t="str">
        <f t="shared" si="106"/>
        <v/>
      </c>
      <c r="R190" s="154"/>
      <c r="S190" s="10" t="str">
        <f t="shared" si="107"/>
        <v/>
      </c>
      <c r="T190" s="11"/>
      <c r="U190" s="12"/>
      <c r="V190" s="136"/>
      <c r="W190" s="16"/>
      <c r="X190" s="17"/>
      <c r="Y190" s="18"/>
      <c r="Z190" s="15"/>
      <c r="AA190" s="15"/>
      <c r="AB190" s="155">
        <f t="shared" si="108"/>
        <v>0</v>
      </c>
      <c r="AC190" s="157">
        <f t="shared" si="116"/>
        <v>0</v>
      </c>
      <c r="AD190" s="144">
        <f t="shared" si="109"/>
        <v>0</v>
      </c>
      <c r="AE190" s="145">
        <f t="shared" si="110"/>
        <v>0</v>
      </c>
      <c r="AF190" s="146">
        <f t="shared" si="111"/>
        <v>0</v>
      </c>
      <c r="AH190" s="274">
        <f>SUMIF(日報!$T$4:$T$885,TEXT(YEAR(A190),"0000")&amp;TEXT(MONTH(A190),"00")&amp;TEXT(DAY(A190),"00")&amp;"SCSK",日報!$L$4:$L$885)</f>
        <v>0</v>
      </c>
      <c r="AI190" s="275">
        <f t="shared" si="118"/>
        <v>0</v>
      </c>
    </row>
    <row r="191" spans="1:35" ht="15" thickTop="1" thickBot="1" x14ac:dyDescent="0.2">
      <c r="A191" s="107">
        <f>A190</f>
        <v>44012</v>
      </c>
      <c r="B191" s="108">
        <f>COUNT(B161:B190)</f>
        <v>30</v>
      </c>
      <c r="C191" s="108"/>
      <c r="D191" s="109"/>
      <c r="E191" s="109"/>
      <c r="F191" s="110">
        <f t="shared" ref="F191:M191" si="119">SUM(F161:F190)</f>
        <v>21</v>
      </c>
      <c r="G191" s="110">
        <f t="shared" si="119"/>
        <v>0</v>
      </c>
      <c r="H191" s="110">
        <f t="shared" si="119"/>
        <v>0</v>
      </c>
      <c r="I191" s="110">
        <f t="shared" si="119"/>
        <v>191</v>
      </c>
      <c r="J191" s="110">
        <f t="shared" si="119"/>
        <v>162.75</v>
      </c>
      <c r="K191" s="110">
        <f t="shared" si="119"/>
        <v>7.25</v>
      </c>
      <c r="L191" s="110">
        <f t="shared" si="119"/>
        <v>0</v>
      </c>
      <c r="M191" s="123">
        <f t="shared" si="119"/>
        <v>0</v>
      </c>
      <c r="N191" s="115"/>
      <c r="O191" s="116">
        <f>SUM(O161:O190)</f>
        <v>120</v>
      </c>
      <c r="P191" s="105"/>
      <c r="Q191" s="118"/>
      <c r="R191" s="106"/>
      <c r="S191" s="120"/>
      <c r="T191" s="118"/>
      <c r="U191" s="121"/>
      <c r="W191" s="122"/>
      <c r="X191" s="109"/>
      <c r="Y191" s="110">
        <f t="shared" ref="Y191:AF191" si="120">SUM(Y161:Y190)</f>
        <v>0</v>
      </c>
      <c r="Z191" s="110">
        <f t="shared" si="120"/>
        <v>0</v>
      </c>
      <c r="AA191" s="110">
        <f t="shared" si="120"/>
        <v>0</v>
      </c>
      <c r="AB191" s="111">
        <f t="shared" si="120"/>
        <v>0</v>
      </c>
      <c r="AC191" s="112">
        <f t="shared" si="120"/>
        <v>0</v>
      </c>
      <c r="AD191" s="112">
        <f t="shared" si="120"/>
        <v>0</v>
      </c>
      <c r="AE191" s="112">
        <f t="shared" si="120"/>
        <v>0</v>
      </c>
      <c r="AF191" s="113">
        <f t="shared" si="120"/>
        <v>0</v>
      </c>
      <c r="AH191" s="276"/>
      <c r="AI191" s="277"/>
    </row>
    <row r="192" spans="1:35" s="2" customFormat="1" outlineLevel="1" x14ac:dyDescent="0.15">
      <c r="A192" s="168">
        <f>A190+1</f>
        <v>44013</v>
      </c>
      <c r="B192" s="167">
        <f>A192</f>
        <v>44013</v>
      </c>
      <c r="C192" s="32"/>
      <c r="D192" s="16">
        <v>0.38541666666666669</v>
      </c>
      <c r="E192" s="17">
        <v>0.76041666666666663</v>
      </c>
      <c r="F192" s="18">
        <v>1</v>
      </c>
      <c r="G192" s="15"/>
      <c r="H192" s="19"/>
      <c r="I192" s="137">
        <f>timediff(D192,E192,15)</f>
        <v>9</v>
      </c>
      <c r="J192" s="143">
        <f>IF(C192=1,0,I192-M192-L192-K192-F192-H192-G192)</f>
        <v>7.75</v>
      </c>
      <c r="K192" s="144">
        <f t="shared" ref="K192:K222" si="121">IF(C192=0,IF(時間外開始&lt;E192,timediff(時間外開始,E192,15)-M192-G192-H192,0),0)</f>
        <v>0.25</v>
      </c>
      <c r="L192" s="145">
        <f>IF(C192=1,$I192-F192-M192-H192,0)</f>
        <v>0</v>
      </c>
      <c r="M192" s="146">
        <f t="shared" ref="M192:M222" si="122">IF(深夜終了&lt;E192,timediff(深夜開始,深夜終了,15)-H192,IF(深夜開始&lt;E192,timediff(深夜開始,E192,15)-H192,0))</f>
        <v>0</v>
      </c>
      <c r="N192" s="147">
        <f>SUMIF(日報!B4:B691,$A192,日報!L4:L691)</f>
        <v>0</v>
      </c>
      <c r="O192" s="147">
        <f t="shared" ref="O192:O222" si="123">SUM(J192:M192)-N192</f>
        <v>8</v>
      </c>
      <c r="P192" s="151"/>
      <c r="Q192" s="42" t="str">
        <f t="shared" ref="Q192:Q222" si="124">IF(P192="不調","ここに症状を入力！","")</f>
        <v/>
      </c>
      <c r="R192" s="154"/>
      <c r="S192" s="10" t="str">
        <f t="shared" ref="S192:S222" si="125">IF(R192&lt;&gt;"","ここに理由を入力！","")</f>
        <v/>
      </c>
      <c r="T192" s="11"/>
      <c r="U192" s="12"/>
      <c r="V192" s="136"/>
      <c r="W192" s="16"/>
      <c r="X192" s="17"/>
      <c r="Y192" s="18"/>
      <c r="Z192" s="15"/>
      <c r="AA192" s="15"/>
      <c r="AB192" s="155">
        <f t="shared" ref="AB192:AB222" si="126">timediff(W192,X192,15)</f>
        <v>0</v>
      </c>
      <c r="AC192" s="157">
        <f>AB192-AF192-AE192-AD192-Y192-Z192-AA192</f>
        <v>0</v>
      </c>
      <c r="AD192" s="144">
        <f t="shared" ref="AD192:AD222" si="127">IF(C192=0,IF(時間外開始&lt;X192,timediff(時間外開始,X192,15)-AF192-Z192-AA192,0),0)</f>
        <v>0</v>
      </c>
      <c r="AE192" s="145">
        <f t="shared" ref="AE192:AE222" si="128">IF(C192=1,AB192-Y192-Z192-AA192,0)</f>
        <v>0</v>
      </c>
      <c r="AF192" s="146">
        <f t="shared" ref="AF192:AF222" si="129">IF(深夜終了&lt;X192,timediff(深夜開始,深夜終了,15)-AA192,IF(深夜開始&lt;X192,timediff(深夜開始,X192,15)-AA192,0))</f>
        <v>0</v>
      </c>
      <c r="AH192" s="274">
        <f>SUMIF(日報!$T$4:$T$885,TEXT(YEAR(A192),"0000")&amp;TEXT(MONTH(A192),"00")&amp;TEXT(DAY(A192),"00")&amp;"SCSK",日報!$L$4:$L$885)</f>
        <v>0</v>
      </c>
      <c r="AI192" s="275">
        <f t="shared" ref="AI192:AI254" si="130">N192-AH192</f>
        <v>0</v>
      </c>
    </row>
    <row r="193" spans="1:35" s="2" customFormat="1" outlineLevel="1" x14ac:dyDescent="0.15">
      <c r="A193" s="168">
        <f>A192+1</f>
        <v>44014</v>
      </c>
      <c r="B193" s="167">
        <f t="shared" ref="B193:B222" si="131">A193</f>
        <v>44014</v>
      </c>
      <c r="C193" s="32"/>
      <c r="D193" s="16">
        <v>0.38541666666666669</v>
      </c>
      <c r="E193" s="17">
        <v>0.76041666666666663</v>
      </c>
      <c r="F193" s="18">
        <v>1</v>
      </c>
      <c r="G193" s="15"/>
      <c r="H193" s="19"/>
      <c r="I193" s="137">
        <f t="shared" ref="I193:I222" si="132">timediff(D193,E193,15)</f>
        <v>9</v>
      </c>
      <c r="J193" s="143">
        <f t="shared" ref="J193:J222" si="133">IF(C193=1,0,I193-M193-L193-K193-F193-H193-G193)</f>
        <v>7.75</v>
      </c>
      <c r="K193" s="144">
        <f t="shared" si="121"/>
        <v>0.25</v>
      </c>
      <c r="L193" s="145">
        <f t="shared" ref="L193:L222" si="134">IF(C193=1,$I193-F193-M193-H193,0)</f>
        <v>0</v>
      </c>
      <c r="M193" s="146">
        <f t="shared" si="122"/>
        <v>0</v>
      </c>
      <c r="N193" s="147">
        <f>SUMIF(日報!B4:B691,$A193,日報!L4:L691)</f>
        <v>0</v>
      </c>
      <c r="O193" s="147">
        <f t="shared" si="123"/>
        <v>8</v>
      </c>
      <c r="P193" s="151"/>
      <c r="Q193" s="42" t="str">
        <f t="shared" si="124"/>
        <v/>
      </c>
      <c r="R193" s="154"/>
      <c r="S193" s="10" t="str">
        <f t="shared" si="125"/>
        <v/>
      </c>
      <c r="T193" s="11"/>
      <c r="U193" s="12"/>
      <c r="V193" s="136"/>
      <c r="W193" s="16"/>
      <c r="X193" s="17"/>
      <c r="Y193" s="18"/>
      <c r="Z193" s="15"/>
      <c r="AA193" s="15"/>
      <c r="AB193" s="155">
        <f t="shared" si="126"/>
        <v>0</v>
      </c>
      <c r="AC193" s="157">
        <f t="shared" ref="AC193:AC222" si="135">AB193-AF193-AE193-AD193-Y193-Z193-AA193</f>
        <v>0</v>
      </c>
      <c r="AD193" s="144">
        <f t="shared" si="127"/>
        <v>0</v>
      </c>
      <c r="AE193" s="145">
        <f t="shared" si="128"/>
        <v>0</v>
      </c>
      <c r="AF193" s="146">
        <f t="shared" si="129"/>
        <v>0</v>
      </c>
      <c r="AH193" s="274">
        <f>SUMIF(日報!$T$4:$T$885,TEXT(YEAR(A193),"0000")&amp;TEXT(MONTH(A193),"00")&amp;TEXT(DAY(A193),"00")&amp;"SCSK",日報!$L$4:$L$885)</f>
        <v>0</v>
      </c>
      <c r="AI193" s="275">
        <f t="shared" si="130"/>
        <v>0</v>
      </c>
    </row>
    <row r="194" spans="1:35" s="2" customFormat="1" outlineLevel="1" x14ac:dyDescent="0.15">
      <c r="A194" s="168">
        <f t="shared" ref="A194:A222" si="136">A193+1</f>
        <v>44015</v>
      </c>
      <c r="B194" s="167">
        <f t="shared" si="131"/>
        <v>44015</v>
      </c>
      <c r="C194" s="32"/>
      <c r="D194" s="16">
        <v>0.38541666666666669</v>
      </c>
      <c r="E194" s="17">
        <v>0.76041666666666663</v>
      </c>
      <c r="F194" s="18">
        <v>1</v>
      </c>
      <c r="G194" s="15"/>
      <c r="H194" s="19"/>
      <c r="I194" s="137">
        <f t="shared" si="132"/>
        <v>9</v>
      </c>
      <c r="J194" s="143">
        <f t="shared" si="133"/>
        <v>7.75</v>
      </c>
      <c r="K194" s="144">
        <f t="shared" si="121"/>
        <v>0.25</v>
      </c>
      <c r="L194" s="145">
        <f t="shared" si="134"/>
        <v>0</v>
      </c>
      <c r="M194" s="146">
        <f t="shared" si="122"/>
        <v>0</v>
      </c>
      <c r="N194" s="147">
        <f>SUMIF(日報!B4:B691,$A194,日報!L4:L691)</f>
        <v>0</v>
      </c>
      <c r="O194" s="147">
        <f t="shared" si="123"/>
        <v>8</v>
      </c>
      <c r="P194" s="151"/>
      <c r="Q194" s="42" t="str">
        <f t="shared" si="124"/>
        <v/>
      </c>
      <c r="R194" s="154"/>
      <c r="S194" s="10" t="str">
        <f t="shared" si="125"/>
        <v/>
      </c>
      <c r="T194" s="11"/>
      <c r="U194" s="12"/>
      <c r="V194" s="136"/>
      <c r="W194" s="16"/>
      <c r="X194" s="17"/>
      <c r="Y194" s="18"/>
      <c r="Z194" s="15"/>
      <c r="AA194" s="15"/>
      <c r="AB194" s="155">
        <f t="shared" si="126"/>
        <v>0</v>
      </c>
      <c r="AC194" s="157">
        <f t="shared" si="135"/>
        <v>0</v>
      </c>
      <c r="AD194" s="144">
        <f t="shared" si="127"/>
        <v>0</v>
      </c>
      <c r="AE194" s="145">
        <f t="shared" si="128"/>
        <v>0</v>
      </c>
      <c r="AF194" s="146">
        <f t="shared" si="129"/>
        <v>0</v>
      </c>
      <c r="AH194" s="274">
        <f>SUMIF(日報!$T$4:$T$885,TEXT(YEAR(A194),"0000")&amp;TEXT(MONTH(A194),"00")&amp;TEXT(DAY(A194),"00")&amp;"SCSK",日報!$L$4:$L$885)</f>
        <v>0</v>
      </c>
      <c r="AI194" s="275">
        <f t="shared" si="130"/>
        <v>0</v>
      </c>
    </row>
    <row r="195" spans="1:35" s="2" customFormat="1" outlineLevel="1" x14ac:dyDescent="0.15">
      <c r="A195" s="168">
        <f t="shared" si="136"/>
        <v>44016</v>
      </c>
      <c r="B195" s="167">
        <f t="shared" si="131"/>
        <v>44016</v>
      </c>
      <c r="C195" s="32">
        <v>1</v>
      </c>
      <c r="D195" s="16"/>
      <c r="E195" s="17"/>
      <c r="F195" s="18"/>
      <c r="G195" s="15"/>
      <c r="H195" s="19"/>
      <c r="I195" s="137">
        <f t="shared" si="132"/>
        <v>0</v>
      </c>
      <c r="J195" s="143">
        <f t="shared" si="133"/>
        <v>0</v>
      </c>
      <c r="K195" s="144">
        <f t="shared" si="121"/>
        <v>0</v>
      </c>
      <c r="L195" s="145">
        <f t="shared" si="134"/>
        <v>0</v>
      </c>
      <c r="M195" s="146">
        <f t="shared" si="122"/>
        <v>0</v>
      </c>
      <c r="N195" s="147">
        <f>SUMIF(日報!B4:B691,$A195,日報!L4:L691)</f>
        <v>0</v>
      </c>
      <c r="O195" s="147">
        <f t="shared" si="123"/>
        <v>0</v>
      </c>
      <c r="P195" s="151"/>
      <c r="Q195" s="42" t="str">
        <f t="shared" si="124"/>
        <v/>
      </c>
      <c r="R195" s="154"/>
      <c r="S195" s="10" t="str">
        <f t="shared" si="125"/>
        <v/>
      </c>
      <c r="T195" s="11"/>
      <c r="U195" s="12"/>
      <c r="V195" s="136"/>
      <c r="W195" s="16"/>
      <c r="X195" s="17"/>
      <c r="Y195" s="18"/>
      <c r="Z195" s="15"/>
      <c r="AA195" s="15"/>
      <c r="AB195" s="155">
        <f t="shared" si="126"/>
        <v>0</v>
      </c>
      <c r="AC195" s="157">
        <f t="shared" si="135"/>
        <v>0</v>
      </c>
      <c r="AD195" s="144">
        <f t="shared" si="127"/>
        <v>0</v>
      </c>
      <c r="AE195" s="145">
        <f t="shared" si="128"/>
        <v>0</v>
      </c>
      <c r="AF195" s="146">
        <f t="shared" si="129"/>
        <v>0</v>
      </c>
      <c r="AH195" s="274">
        <f>SUMIF(日報!$T$4:$T$885,TEXT(YEAR(A195),"0000")&amp;TEXT(MONTH(A195),"00")&amp;TEXT(DAY(A195),"00")&amp;"SCSK",日報!$L$4:$L$885)</f>
        <v>0</v>
      </c>
      <c r="AI195" s="275">
        <f t="shared" si="130"/>
        <v>0</v>
      </c>
    </row>
    <row r="196" spans="1:35" s="2" customFormat="1" outlineLevel="1" x14ac:dyDescent="0.15">
      <c r="A196" s="168">
        <f t="shared" si="136"/>
        <v>44017</v>
      </c>
      <c r="B196" s="167">
        <f t="shared" si="131"/>
        <v>44017</v>
      </c>
      <c r="C196" s="32">
        <v>1</v>
      </c>
      <c r="D196" s="16"/>
      <c r="E196" s="17"/>
      <c r="F196" s="18"/>
      <c r="G196" s="15"/>
      <c r="H196" s="19"/>
      <c r="I196" s="137">
        <f t="shared" si="132"/>
        <v>0</v>
      </c>
      <c r="J196" s="143">
        <f t="shared" si="133"/>
        <v>0</v>
      </c>
      <c r="K196" s="144">
        <f t="shared" si="121"/>
        <v>0</v>
      </c>
      <c r="L196" s="145">
        <f t="shared" si="134"/>
        <v>0</v>
      </c>
      <c r="M196" s="146">
        <f t="shared" si="122"/>
        <v>0</v>
      </c>
      <c r="N196" s="147">
        <f>SUMIF(日報!B4:B691,$A196,日報!L4:L691)</f>
        <v>0</v>
      </c>
      <c r="O196" s="147">
        <f t="shared" si="123"/>
        <v>0</v>
      </c>
      <c r="P196" s="151"/>
      <c r="Q196" s="42" t="str">
        <f t="shared" si="124"/>
        <v/>
      </c>
      <c r="R196" s="154"/>
      <c r="S196" s="10" t="str">
        <f t="shared" si="125"/>
        <v/>
      </c>
      <c r="T196" s="11"/>
      <c r="U196" s="12"/>
      <c r="V196" s="136"/>
      <c r="W196" s="16"/>
      <c r="X196" s="17"/>
      <c r="Y196" s="18"/>
      <c r="Z196" s="15"/>
      <c r="AA196" s="15"/>
      <c r="AB196" s="155">
        <f t="shared" si="126"/>
        <v>0</v>
      </c>
      <c r="AC196" s="157">
        <f t="shared" si="135"/>
        <v>0</v>
      </c>
      <c r="AD196" s="144">
        <f t="shared" si="127"/>
        <v>0</v>
      </c>
      <c r="AE196" s="145">
        <f t="shared" si="128"/>
        <v>0</v>
      </c>
      <c r="AF196" s="146">
        <f t="shared" si="129"/>
        <v>0</v>
      </c>
      <c r="AH196" s="274">
        <f>SUMIF(日報!$T$4:$T$885,TEXT(YEAR(A196),"0000")&amp;TEXT(MONTH(A196),"00")&amp;TEXT(DAY(A196),"00")&amp;"SCSK",日報!$L$4:$L$885)</f>
        <v>0</v>
      </c>
      <c r="AI196" s="275">
        <f t="shared" si="130"/>
        <v>0</v>
      </c>
    </row>
    <row r="197" spans="1:35" s="2" customFormat="1" outlineLevel="1" x14ac:dyDescent="0.15">
      <c r="A197" s="168">
        <f t="shared" si="136"/>
        <v>44018</v>
      </c>
      <c r="B197" s="167">
        <f t="shared" si="131"/>
        <v>44018</v>
      </c>
      <c r="C197" s="32"/>
      <c r="D197" s="16">
        <v>0.38541666666666669</v>
      </c>
      <c r="E197" s="17">
        <v>0.76041666666666663</v>
      </c>
      <c r="F197" s="18">
        <v>1</v>
      </c>
      <c r="G197" s="15"/>
      <c r="H197" s="19"/>
      <c r="I197" s="137">
        <f t="shared" si="132"/>
        <v>9</v>
      </c>
      <c r="J197" s="143">
        <f t="shared" si="133"/>
        <v>7.75</v>
      </c>
      <c r="K197" s="144">
        <f t="shared" si="121"/>
        <v>0.25</v>
      </c>
      <c r="L197" s="145">
        <f t="shared" si="134"/>
        <v>0</v>
      </c>
      <c r="M197" s="146">
        <f t="shared" si="122"/>
        <v>0</v>
      </c>
      <c r="N197" s="147">
        <f>SUMIF(日報!B4:B691,$A197,日報!L4:L691)</f>
        <v>0</v>
      </c>
      <c r="O197" s="147">
        <f t="shared" si="123"/>
        <v>8</v>
      </c>
      <c r="P197" s="151"/>
      <c r="Q197" s="42" t="str">
        <f t="shared" si="124"/>
        <v/>
      </c>
      <c r="R197" s="154"/>
      <c r="S197" s="10" t="str">
        <f t="shared" si="125"/>
        <v/>
      </c>
      <c r="T197" s="11"/>
      <c r="U197" s="12"/>
      <c r="V197" s="136"/>
      <c r="W197" s="16"/>
      <c r="X197" s="17"/>
      <c r="Y197" s="18"/>
      <c r="Z197" s="15"/>
      <c r="AA197" s="15"/>
      <c r="AB197" s="155">
        <f t="shared" si="126"/>
        <v>0</v>
      </c>
      <c r="AC197" s="157">
        <f t="shared" si="135"/>
        <v>0</v>
      </c>
      <c r="AD197" s="144">
        <f t="shared" si="127"/>
        <v>0</v>
      </c>
      <c r="AE197" s="145">
        <f t="shared" si="128"/>
        <v>0</v>
      </c>
      <c r="AF197" s="146">
        <f t="shared" si="129"/>
        <v>0</v>
      </c>
      <c r="AH197" s="274">
        <f>SUMIF(日報!$T$4:$T$885,TEXT(YEAR(A197),"0000")&amp;TEXT(MONTH(A197),"00")&amp;TEXT(DAY(A197),"00")&amp;"SCSK",日報!$L$4:$L$885)</f>
        <v>0</v>
      </c>
      <c r="AI197" s="275">
        <f t="shared" si="130"/>
        <v>0</v>
      </c>
    </row>
    <row r="198" spans="1:35" s="2" customFormat="1" outlineLevel="1" x14ac:dyDescent="0.15">
      <c r="A198" s="168">
        <f t="shared" si="136"/>
        <v>44019</v>
      </c>
      <c r="B198" s="167">
        <f t="shared" si="131"/>
        <v>44019</v>
      </c>
      <c r="C198" s="32"/>
      <c r="D198" s="16">
        <v>0.38541666666666669</v>
      </c>
      <c r="E198" s="17">
        <v>0.76041666666666663</v>
      </c>
      <c r="F198" s="18">
        <v>1</v>
      </c>
      <c r="G198" s="15"/>
      <c r="H198" s="19"/>
      <c r="I198" s="137">
        <f t="shared" si="132"/>
        <v>9</v>
      </c>
      <c r="J198" s="143">
        <f t="shared" si="133"/>
        <v>7.75</v>
      </c>
      <c r="K198" s="144">
        <f t="shared" si="121"/>
        <v>0.25</v>
      </c>
      <c r="L198" s="145">
        <f t="shared" si="134"/>
        <v>0</v>
      </c>
      <c r="M198" s="146">
        <f t="shared" si="122"/>
        <v>0</v>
      </c>
      <c r="N198" s="147">
        <f>SUMIF(日報!B4:B691,$A198,日報!L4:L691)</f>
        <v>0</v>
      </c>
      <c r="O198" s="147">
        <f t="shared" si="123"/>
        <v>8</v>
      </c>
      <c r="P198" s="151"/>
      <c r="Q198" s="42" t="str">
        <f t="shared" si="124"/>
        <v/>
      </c>
      <c r="R198" s="154"/>
      <c r="S198" s="10" t="str">
        <f t="shared" si="125"/>
        <v/>
      </c>
      <c r="T198" s="11"/>
      <c r="U198" s="12"/>
      <c r="V198" s="136"/>
      <c r="W198" s="16"/>
      <c r="X198" s="17"/>
      <c r="Y198" s="18"/>
      <c r="Z198" s="15"/>
      <c r="AA198" s="15"/>
      <c r="AB198" s="155">
        <f t="shared" si="126"/>
        <v>0</v>
      </c>
      <c r="AC198" s="157">
        <f t="shared" si="135"/>
        <v>0</v>
      </c>
      <c r="AD198" s="144">
        <f t="shared" si="127"/>
        <v>0</v>
      </c>
      <c r="AE198" s="145">
        <f t="shared" si="128"/>
        <v>0</v>
      </c>
      <c r="AF198" s="146">
        <f t="shared" si="129"/>
        <v>0</v>
      </c>
      <c r="AH198" s="274">
        <f>SUMIF(日報!$T$4:$T$885,TEXT(YEAR(A198),"0000")&amp;TEXT(MONTH(A198),"00")&amp;TEXT(DAY(A198),"00")&amp;"SCSK",日報!$L$4:$L$885)</f>
        <v>0</v>
      </c>
      <c r="AI198" s="275">
        <f t="shared" si="130"/>
        <v>0</v>
      </c>
    </row>
    <row r="199" spans="1:35" s="2" customFormat="1" outlineLevel="1" x14ac:dyDescent="0.15">
      <c r="A199" s="168">
        <f t="shared" si="136"/>
        <v>44020</v>
      </c>
      <c r="B199" s="167">
        <f t="shared" si="131"/>
        <v>44020</v>
      </c>
      <c r="C199" s="32"/>
      <c r="D199" s="16">
        <v>0.38541666666666669</v>
      </c>
      <c r="E199" s="17">
        <v>0.76041666666666663</v>
      </c>
      <c r="F199" s="18">
        <v>1</v>
      </c>
      <c r="G199" s="15"/>
      <c r="H199" s="19"/>
      <c r="I199" s="137">
        <f t="shared" si="132"/>
        <v>9</v>
      </c>
      <c r="J199" s="143">
        <f t="shared" si="133"/>
        <v>7.75</v>
      </c>
      <c r="K199" s="144">
        <f t="shared" si="121"/>
        <v>0.25</v>
      </c>
      <c r="L199" s="145">
        <f t="shared" si="134"/>
        <v>0</v>
      </c>
      <c r="M199" s="146">
        <f t="shared" si="122"/>
        <v>0</v>
      </c>
      <c r="N199" s="147">
        <f>SUMIF(日報!B4:B691,$A199,日報!L4:L691)</f>
        <v>0</v>
      </c>
      <c r="O199" s="147">
        <f t="shared" si="123"/>
        <v>8</v>
      </c>
      <c r="P199" s="151"/>
      <c r="Q199" s="42" t="str">
        <f t="shared" si="124"/>
        <v/>
      </c>
      <c r="R199" s="154"/>
      <c r="S199" s="10" t="str">
        <f t="shared" si="125"/>
        <v/>
      </c>
      <c r="T199" s="11"/>
      <c r="U199" s="12"/>
      <c r="V199" s="136"/>
      <c r="W199" s="16"/>
      <c r="X199" s="17"/>
      <c r="Y199" s="18"/>
      <c r="Z199" s="15"/>
      <c r="AA199" s="15"/>
      <c r="AB199" s="155">
        <f t="shared" si="126"/>
        <v>0</v>
      </c>
      <c r="AC199" s="157">
        <f t="shared" si="135"/>
        <v>0</v>
      </c>
      <c r="AD199" s="144">
        <f t="shared" si="127"/>
        <v>0</v>
      </c>
      <c r="AE199" s="145">
        <f t="shared" si="128"/>
        <v>0</v>
      </c>
      <c r="AF199" s="146">
        <f t="shared" si="129"/>
        <v>0</v>
      </c>
      <c r="AH199" s="274">
        <f>SUMIF(日報!$T$4:$T$885,TEXT(YEAR(A199),"0000")&amp;TEXT(MONTH(A199),"00")&amp;TEXT(DAY(A199),"00")&amp;"SCSK",日報!$L$4:$L$885)</f>
        <v>0</v>
      </c>
      <c r="AI199" s="275">
        <f t="shared" si="130"/>
        <v>0</v>
      </c>
    </row>
    <row r="200" spans="1:35" s="2" customFormat="1" outlineLevel="1" x14ac:dyDescent="0.15">
      <c r="A200" s="168">
        <f t="shared" si="136"/>
        <v>44021</v>
      </c>
      <c r="B200" s="167">
        <f t="shared" si="131"/>
        <v>44021</v>
      </c>
      <c r="C200" s="32"/>
      <c r="D200" s="16">
        <v>0.38541666666666669</v>
      </c>
      <c r="E200" s="17">
        <v>0.76041666666666663</v>
      </c>
      <c r="F200" s="18">
        <v>1</v>
      </c>
      <c r="G200" s="15"/>
      <c r="H200" s="19"/>
      <c r="I200" s="137">
        <f t="shared" si="132"/>
        <v>9</v>
      </c>
      <c r="J200" s="143">
        <f t="shared" si="133"/>
        <v>7.75</v>
      </c>
      <c r="K200" s="144">
        <f t="shared" si="121"/>
        <v>0.25</v>
      </c>
      <c r="L200" s="145">
        <f t="shared" si="134"/>
        <v>0</v>
      </c>
      <c r="M200" s="146">
        <f t="shared" si="122"/>
        <v>0</v>
      </c>
      <c r="N200" s="147">
        <f>SUMIF(日報!B4:B691,$A200,日報!L4:L691)</f>
        <v>0</v>
      </c>
      <c r="O200" s="147">
        <f t="shared" si="123"/>
        <v>8</v>
      </c>
      <c r="P200" s="151"/>
      <c r="Q200" s="42" t="str">
        <f t="shared" si="124"/>
        <v/>
      </c>
      <c r="R200" s="154"/>
      <c r="S200" s="10" t="str">
        <f t="shared" si="125"/>
        <v/>
      </c>
      <c r="T200" s="11"/>
      <c r="U200" s="12"/>
      <c r="V200" s="136"/>
      <c r="W200" s="16"/>
      <c r="X200" s="17"/>
      <c r="Y200" s="18"/>
      <c r="Z200" s="15"/>
      <c r="AA200" s="15"/>
      <c r="AB200" s="155">
        <f t="shared" si="126"/>
        <v>0</v>
      </c>
      <c r="AC200" s="157">
        <f t="shared" si="135"/>
        <v>0</v>
      </c>
      <c r="AD200" s="144">
        <f t="shared" si="127"/>
        <v>0</v>
      </c>
      <c r="AE200" s="145">
        <f t="shared" si="128"/>
        <v>0</v>
      </c>
      <c r="AF200" s="146">
        <f t="shared" si="129"/>
        <v>0</v>
      </c>
      <c r="AH200" s="274">
        <f>SUMIF(日報!$T$4:$T$885,TEXT(YEAR(A200),"0000")&amp;TEXT(MONTH(A200),"00")&amp;TEXT(DAY(A200),"00")&amp;"SCSK",日報!$L$4:$L$885)</f>
        <v>0</v>
      </c>
      <c r="AI200" s="275">
        <f t="shared" si="130"/>
        <v>0</v>
      </c>
    </row>
    <row r="201" spans="1:35" s="2" customFormat="1" outlineLevel="1" x14ac:dyDescent="0.15">
      <c r="A201" s="168">
        <f t="shared" si="136"/>
        <v>44022</v>
      </c>
      <c r="B201" s="167">
        <f t="shared" si="131"/>
        <v>44022</v>
      </c>
      <c r="C201" s="32"/>
      <c r="D201" s="16">
        <v>0.38541666666666669</v>
      </c>
      <c r="E201" s="17">
        <v>0.76041666666666663</v>
      </c>
      <c r="F201" s="18">
        <v>1</v>
      </c>
      <c r="G201" s="15"/>
      <c r="H201" s="19"/>
      <c r="I201" s="137">
        <f t="shared" si="132"/>
        <v>9</v>
      </c>
      <c r="J201" s="143">
        <f t="shared" si="133"/>
        <v>7.75</v>
      </c>
      <c r="K201" s="144">
        <f t="shared" si="121"/>
        <v>0.25</v>
      </c>
      <c r="L201" s="145">
        <f t="shared" si="134"/>
        <v>0</v>
      </c>
      <c r="M201" s="146">
        <f t="shared" si="122"/>
        <v>0</v>
      </c>
      <c r="N201" s="147">
        <f>SUMIF(日報!B4:B691,$A201,日報!L4:L691)</f>
        <v>0</v>
      </c>
      <c r="O201" s="147">
        <f t="shared" si="123"/>
        <v>8</v>
      </c>
      <c r="P201" s="151"/>
      <c r="Q201" s="42" t="str">
        <f t="shared" si="124"/>
        <v/>
      </c>
      <c r="R201" s="154"/>
      <c r="S201" s="10" t="str">
        <f t="shared" si="125"/>
        <v/>
      </c>
      <c r="T201" s="11"/>
      <c r="U201" s="12"/>
      <c r="V201" s="136"/>
      <c r="W201" s="16"/>
      <c r="X201" s="17"/>
      <c r="Y201" s="18"/>
      <c r="Z201" s="15"/>
      <c r="AA201" s="15"/>
      <c r="AB201" s="155">
        <f t="shared" si="126"/>
        <v>0</v>
      </c>
      <c r="AC201" s="157">
        <f t="shared" si="135"/>
        <v>0</v>
      </c>
      <c r="AD201" s="144">
        <f t="shared" si="127"/>
        <v>0</v>
      </c>
      <c r="AE201" s="145">
        <f t="shared" si="128"/>
        <v>0</v>
      </c>
      <c r="AF201" s="146">
        <f t="shared" si="129"/>
        <v>0</v>
      </c>
      <c r="AH201" s="274">
        <f>SUMIF(日報!$T$4:$T$885,TEXT(YEAR(A201),"0000")&amp;TEXT(MONTH(A201),"00")&amp;TEXT(DAY(A201),"00")&amp;"SCSK",日報!$L$4:$L$885)</f>
        <v>0</v>
      </c>
      <c r="AI201" s="275">
        <f t="shared" si="130"/>
        <v>0</v>
      </c>
    </row>
    <row r="202" spans="1:35" s="2" customFormat="1" outlineLevel="1" x14ac:dyDescent="0.15">
      <c r="A202" s="168">
        <f t="shared" si="136"/>
        <v>44023</v>
      </c>
      <c r="B202" s="167">
        <f t="shared" si="131"/>
        <v>44023</v>
      </c>
      <c r="C202" s="32">
        <v>1</v>
      </c>
      <c r="D202" s="16"/>
      <c r="E202" s="17"/>
      <c r="F202" s="18"/>
      <c r="G202" s="15"/>
      <c r="H202" s="19"/>
      <c r="I202" s="137">
        <f t="shared" si="132"/>
        <v>0</v>
      </c>
      <c r="J202" s="143">
        <f t="shared" si="133"/>
        <v>0</v>
      </c>
      <c r="K202" s="144">
        <f t="shared" si="121"/>
        <v>0</v>
      </c>
      <c r="L202" s="145">
        <f t="shared" si="134"/>
        <v>0</v>
      </c>
      <c r="M202" s="146">
        <f t="shared" si="122"/>
        <v>0</v>
      </c>
      <c r="N202" s="147">
        <f>SUMIF(日報!B4:B691,$A202,日報!L4:L691)</f>
        <v>0</v>
      </c>
      <c r="O202" s="147">
        <f t="shared" si="123"/>
        <v>0</v>
      </c>
      <c r="P202" s="151"/>
      <c r="Q202" s="42" t="str">
        <f t="shared" si="124"/>
        <v/>
      </c>
      <c r="R202" s="154"/>
      <c r="S202" s="10" t="str">
        <f t="shared" si="125"/>
        <v/>
      </c>
      <c r="T202" s="11"/>
      <c r="U202" s="12"/>
      <c r="V202" s="136"/>
      <c r="W202" s="16"/>
      <c r="X202" s="17"/>
      <c r="Y202" s="18"/>
      <c r="Z202" s="15"/>
      <c r="AA202" s="15"/>
      <c r="AB202" s="155">
        <f t="shared" si="126"/>
        <v>0</v>
      </c>
      <c r="AC202" s="157">
        <f t="shared" si="135"/>
        <v>0</v>
      </c>
      <c r="AD202" s="144">
        <f t="shared" si="127"/>
        <v>0</v>
      </c>
      <c r="AE202" s="145">
        <f t="shared" si="128"/>
        <v>0</v>
      </c>
      <c r="AF202" s="146">
        <f t="shared" si="129"/>
        <v>0</v>
      </c>
      <c r="AH202" s="274">
        <f>SUMIF(日報!$T$4:$T$885,TEXT(YEAR(A202),"0000")&amp;TEXT(MONTH(A202),"00")&amp;TEXT(DAY(A202),"00")&amp;"SCSK",日報!$L$4:$L$885)</f>
        <v>0</v>
      </c>
      <c r="AI202" s="275">
        <f t="shared" si="130"/>
        <v>0</v>
      </c>
    </row>
    <row r="203" spans="1:35" s="2" customFormat="1" outlineLevel="1" x14ac:dyDescent="0.15">
      <c r="A203" s="168">
        <f t="shared" si="136"/>
        <v>44024</v>
      </c>
      <c r="B203" s="167">
        <f t="shared" si="131"/>
        <v>44024</v>
      </c>
      <c r="C203" s="32">
        <v>1</v>
      </c>
      <c r="D203" s="16"/>
      <c r="E203" s="17"/>
      <c r="F203" s="18"/>
      <c r="G203" s="15"/>
      <c r="H203" s="19"/>
      <c r="I203" s="137">
        <f t="shared" si="132"/>
        <v>0</v>
      </c>
      <c r="J203" s="143">
        <f t="shared" si="133"/>
        <v>0</v>
      </c>
      <c r="K203" s="144">
        <f t="shared" si="121"/>
        <v>0</v>
      </c>
      <c r="L203" s="145">
        <f t="shared" si="134"/>
        <v>0</v>
      </c>
      <c r="M203" s="146">
        <f t="shared" si="122"/>
        <v>0</v>
      </c>
      <c r="N203" s="147">
        <f>SUMIF(日報!B4:B691,$A203,日報!L4:L691)</f>
        <v>0</v>
      </c>
      <c r="O203" s="147">
        <f t="shared" si="123"/>
        <v>0</v>
      </c>
      <c r="P203" s="151"/>
      <c r="Q203" s="42" t="str">
        <f t="shared" si="124"/>
        <v/>
      </c>
      <c r="R203" s="154"/>
      <c r="S203" s="10" t="str">
        <f t="shared" si="125"/>
        <v/>
      </c>
      <c r="T203" s="11"/>
      <c r="U203" s="12"/>
      <c r="V203" s="136"/>
      <c r="W203" s="16"/>
      <c r="X203" s="17"/>
      <c r="Y203" s="18"/>
      <c r="Z203" s="15"/>
      <c r="AA203" s="15"/>
      <c r="AB203" s="155">
        <f t="shared" si="126"/>
        <v>0</v>
      </c>
      <c r="AC203" s="157">
        <f t="shared" si="135"/>
        <v>0</v>
      </c>
      <c r="AD203" s="144">
        <f t="shared" si="127"/>
        <v>0</v>
      </c>
      <c r="AE203" s="145">
        <f t="shared" si="128"/>
        <v>0</v>
      </c>
      <c r="AF203" s="146">
        <f t="shared" si="129"/>
        <v>0</v>
      </c>
      <c r="AH203" s="274">
        <f>SUMIF(日報!$T$4:$T$885,TEXT(YEAR(A203),"0000")&amp;TEXT(MONTH(A203),"00")&amp;TEXT(DAY(A203),"00")&amp;"SCSK",日報!$L$4:$L$885)</f>
        <v>0</v>
      </c>
      <c r="AI203" s="275">
        <f t="shared" si="130"/>
        <v>0</v>
      </c>
    </row>
    <row r="204" spans="1:35" s="2" customFormat="1" outlineLevel="1" x14ac:dyDescent="0.15">
      <c r="A204" s="168">
        <f t="shared" si="136"/>
        <v>44025</v>
      </c>
      <c r="B204" s="167">
        <f t="shared" si="131"/>
        <v>44025</v>
      </c>
      <c r="C204" s="32"/>
      <c r="D204" s="16">
        <v>0.38541666666666669</v>
      </c>
      <c r="E204" s="17">
        <v>0.76041666666666663</v>
      </c>
      <c r="F204" s="18">
        <v>1</v>
      </c>
      <c r="G204" s="15"/>
      <c r="H204" s="19"/>
      <c r="I204" s="137">
        <f t="shared" si="132"/>
        <v>9</v>
      </c>
      <c r="J204" s="143">
        <f t="shared" si="133"/>
        <v>7.75</v>
      </c>
      <c r="K204" s="144">
        <f t="shared" si="121"/>
        <v>0.25</v>
      </c>
      <c r="L204" s="145">
        <f t="shared" si="134"/>
        <v>0</v>
      </c>
      <c r="M204" s="146">
        <f t="shared" si="122"/>
        <v>0</v>
      </c>
      <c r="N204" s="147">
        <f>SUMIF(日報!B4:B691,$A204,日報!L4:L691)</f>
        <v>0</v>
      </c>
      <c r="O204" s="147">
        <f t="shared" si="123"/>
        <v>8</v>
      </c>
      <c r="P204" s="151"/>
      <c r="Q204" s="42" t="str">
        <f t="shared" si="124"/>
        <v/>
      </c>
      <c r="R204" s="154"/>
      <c r="S204" s="10" t="str">
        <f t="shared" si="125"/>
        <v/>
      </c>
      <c r="T204" s="11"/>
      <c r="U204" s="12"/>
      <c r="V204" s="136"/>
      <c r="W204" s="16"/>
      <c r="X204" s="17"/>
      <c r="Y204" s="18"/>
      <c r="Z204" s="15"/>
      <c r="AA204" s="15"/>
      <c r="AB204" s="155">
        <f t="shared" si="126"/>
        <v>0</v>
      </c>
      <c r="AC204" s="157">
        <f t="shared" si="135"/>
        <v>0</v>
      </c>
      <c r="AD204" s="144">
        <f t="shared" si="127"/>
        <v>0</v>
      </c>
      <c r="AE204" s="145">
        <f t="shared" si="128"/>
        <v>0</v>
      </c>
      <c r="AF204" s="146">
        <f t="shared" si="129"/>
        <v>0</v>
      </c>
      <c r="AH204" s="274">
        <f>SUMIF(日報!$T$4:$T$885,TEXT(YEAR(A204),"0000")&amp;TEXT(MONTH(A204),"00")&amp;TEXT(DAY(A204),"00")&amp;"SCSK",日報!$L$4:$L$885)</f>
        <v>0</v>
      </c>
      <c r="AI204" s="275">
        <f t="shared" si="130"/>
        <v>0</v>
      </c>
    </row>
    <row r="205" spans="1:35" s="2" customFormat="1" outlineLevel="1" x14ac:dyDescent="0.15">
      <c r="A205" s="168">
        <f t="shared" si="136"/>
        <v>44026</v>
      </c>
      <c r="B205" s="167">
        <f t="shared" si="131"/>
        <v>44026</v>
      </c>
      <c r="C205" s="32"/>
      <c r="D205" s="16">
        <v>0.38541666666666669</v>
      </c>
      <c r="E205" s="17">
        <v>0.76041666666666663</v>
      </c>
      <c r="F205" s="18">
        <v>1</v>
      </c>
      <c r="G205" s="15"/>
      <c r="H205" s="19"/>
      <c r="I205" s="137">
        <f t="shared" si="132"/>
        <v>9</v>
      </c>
      <c r="J205" s="143">
        <f t="shared" si="133"/>
        <v>7.75</v>
      </c>
      <c r="K205" s="144">
        <f t="shared" si="121"/>
        <v>0.25</v>
      </c>
      <c r="L205" s="145">
        <f t="shared" si="134"/>
        <v>0</v>
      </c>
      <c r="M205" s="146">
        <f t="shared" si="122"/>
        <v>0</v>
      </c>
      <c r="N205" s="147">
        <f>SUMIF(日報!B4:B691,$A205,日報!L4:L691)</f>
        <v>0</v>
      </c>
      <c r="O205" s="147">
        <f t="shared" si="123"/>
        <v>8</v>
      </c>
      <c r="P205" s="151"/>
      <c r="Q205" s="42" t="str">
        <f t="shared" si="124"/>
        <v/>
      </c>
      <c r="R205" s="154"/>
      <c r="S205" s="10" t="str">
        <f t="shared" si="125"/>
        <v/>
      </c>
      <c r="T205" s="11"/>
      <c r="U205" s="12"/>
      <c r="V205" s="136"/>
      <c r="W205" s="16"/>
      <c r="X205" s="17"/>
      <c r="Y205" s="18"/>
      <c r="Z205" s="15"/>
      <c r="AA205" s="15"/>
      <c r="AB205" s="155">
        <f t="shared" si="126"/>
        <v>0</v>
      </c>
      <c r="AC205" s="157">
        <f t="shared" si="135"/>
        <v>0</v>
      </c>
      <c r="AD205" s="144">
        <f t="shared" si="127"/>
        <v>0</v>
      </c>
      <c r="AE205" s="145">
        <f t="shared" si="128"/>
        <v>0</v>
      </c>
      <c r="AF205" s="146">
        <f t="shared" si="129"/>
        <v>0</v>
      </c>
      <c r="AH205" s="274">
        <f>SUMIF(日報!$T$4:$T$885,TEXT(YEAR(A205),"0000")&amp;TEXT(MONTH(A205),"00")&amp;TEXT(DAY(A205),"00")&amp;"SCSK",日報!$L$4:$L$885)</f>
        <v>0</v>
      </c>
      <c r="AI205" s="275">
        <f t="shared" si="130"/>
        <v>0</v>
      </c>
    </row>
    <row r="206" spans="1:35" s="2" customFormat="1" outlineLevel="1" x14ac:dyDescent="0.15">
      <c r="A206" s="168">
        <f t="shared" si="136"/>
        <v>44027</v>
      </c>
      <c r="B206" s="167">
        <f t="shared" si="131"/>
        <v>44027</v>
      </c>
      <c r="C206" s="32"/>
      <c r="D206" s="16">
        <v>0.38541666666666669</v>
      </c>
      <c r="E206" s="17">
        <v>0.76041666666666663</v>
      </c>
      <c r="F206" s="18">
        <v>1</v>
      </c>
      <c r="G206" s="15"/>
      <c r="H206" s="19"/>
      <c r="I206" s="137">
        <f t="shared" si="132"/>
        <v>9</v>
      </c>
      <c r="J206" s="143">
        <f t="shared" si="133"/>
        <v>7.75</v>
      </c>
      <c r="K206" s="144">
        <f t="shared" si="121"/>
        <v>0.25</v>
      </c>
      <c r="L206" s="145">
        <f t="shared" si="134"/>
        <v>0</v>
      </c>
      <c r="M206" s="146">
        <f t="shared" si="122"/>
        <v>0</v>
      </c>
      <c r="N206" s="147">
        <f>SUMIF(日報!B4:B691,$A206,日報!L4:L691)</f>
        <v>4</v>
      </c>
      <c r="O206" s="147">
        <f t="shared" si="123"/>
        <v>4</v>
      </c>
      <c r="P206" s="151"/>
      <c r="Q206" s="42" t="str">
        <f t="shared" si="124"/>
        <v/>
      </c>
      <c r="R206" s="154"/>
      <c r="S206" s="10" t="str">
        <f t="shared" si="125"/>
        <v/>
      </c>
      <c r="T206" s="11"/>
      <c r="U206" s="12"/>
      <c r="V206" s="136"/>
      <c r="W206" s="16"/>
      <c r="X206" s="17"/>
      <c r="Y206" s="18"/>
      <c r="Z206" s="15"/>
      <c r="AA206" s="15"/>
      <c r="AB206" s="155">
        <f t="shared" si="126"/>
        <v>0</v>
      </c>
      <c r="AC206" s="157">
        <f t="shared" si="135"/>
        <v>0</v>
      </c>
      <c r="AD206" s="144">
        <f t="shared" si="127"/>
        <v>0</v>
      </c>
      <c r="AE206" s="145">
        <f t="shared" si="128"/>
        <v>0</v>
      </c>
      <c r="AF206" s="146">
        <f t="shared" si="129"/>
        <v>0</v>
      </c>
      <c r="AH206" s="274">
        <f>SUMIF(日報!$T$4:$T$885,TEXT(YEAR(A206),"0000")&amp;TEXT(MONTH(A206),"00")&amp;TEXT(DAY(A206),"00")&amp;"SCSK",日報!$L$4:$L$885)</f>
        <v>0</v>
      </c>
      <c r="AI206" s="275">
        <f t="shared" si="130"/>
        <v>4</v>
      </c>
    </row>
    <row r="207" spans="1:35" s="2" customFormat="1" outlineLevel="1" x14ac:dyDescent="0.15">
      <c r="A207" s="168">
        <f t="shared" si="136"/>
        <v>44028</v>
      </c>
      <c r="B207" s="167">
        <f t="shared" si="131"/>
        <v>44028</v>
      </c>
      <c r="C207" s="32"/>
      <c r="D207" s="16">
        <v>0.38541666666666669</v>
      </c>
      <c r="E207" s="17">
        <v>0.76041666666666663</v>
      </c>
      <c r="F207" s="18">
        <v>1</v>
      </c>
      <c r="G207" s="15"/>
      <c r="H207" s="19"/>
      <c r="I207" s="137">
        <f t="shared" si="132"/>
        <v>9</v>
      </c>
      <c r="J207" s="143">
        <f t="shared" si="133"/>
        <v>7.75</v>
      </c>
      <c r="K207" s="144">
        <f t="shared" si="121"/>
        <v>0.25</v>
      </c>
      <c r="L207" s="145">
        <f t="shared" si="134"/>
        <v>0</v>
      </c>
      <c r="M207" s="146">
        <f t="shared" si="122"/>
        <v>0</v>
      </c>
      <c r="N207" s="147">
        <f>SUMIF(日報!B4:B691,$A207,日報!L4:L691)</f>
        <v>4</v>
      </c>
      <c r="O207" s="147">
        <f t="shared" si="123"/>
        <v>4</v>
      </c>
      <c r="P207" s="151"/>
      <c r="Q207" s="42" t="str">
        <f t="shared" si="124"/>
        <v/>
      </c>
      <c r="R207" s="154"/>
      <c r="S207" s="10" t="str">
        <f t="shared" si="125"/>
        <v/>
      </c>
      <c r="T207" s="11"/>
      <c r="U207" s="12"/>
      <c r="V207" s="136"/>
      <c r="W207" s="16"/>
      <c r="X207" s="17"/>
      <c r="Y207" s="18"/>
      <c r="Z207" s="15"/>
      <c r="AA207" s="15"/>
      <c r="AB207" s="155">
        <f t="shared" si="126"/>
        <v>0</v>
      </c>
      <c r="AC207" s="157">
        <f t="shared" si="135"/>
        <v>0</v>
      </c>
      <c r="AD207" s="144">
        <f t="shared" si="127"/>
        <v>0</v>
      </c>
      <c r="AE207" s="145">
        <f t="shared" si="128"/>
        <v>0</v>
      </c>
      <c r="AF207" s="146">
        <f t="shared" si="129"/>
        <v>0</v>
      </c>
      <c r="AH207" s="274">
        <f>SUMIF(日報!$T$4:$T$885,TEXT(YEAR(A207),"0000")&amp;TEXT(MONTH(A207),"00")&amp;TEXT(DAY(A207),"00")&amp;"SCSK",日報!$L$4:$L$885)</f>
        <v>0</v>
      </c>
      <c r="AI207" s="275">
        <f t="shared" si="130"/>
        <v>4</v>
      </c>
    </row>
    <row r="208" spans="1:35" s="2" customFormat="1" outlineLevel="1" x14ac:dyDescent="0.15">
      <c r="A208" s="168">
        <f t="shared" si="136"/>
        <v>44029</v>
      </c>
      <c r="B208" s="167">
        <f t="shared" si="131"/>
        <v>44029</v>
      </c>
      <c r="C208" s="32"/>
      <c r="D208" s="16">
        <v>0.38541666666666669</v>
      </c>
      <c r="E208" s="17">
        <v>0.67708333333333337</v>
      </c>
      <c r="F208" s="18">
        <v>1</v>
      </c>
      <c r="G208" s="15"/>
      <c r="H208" s="19"/>
      <c r="I208" s="137">
        <f t="shared" si="132"/>
        <v>7</v>
      </c>
      <c r="J208" s="143">
        <f t="shared" si="133"/>
        <v>6</v>
      </c>
      <c r="K208" s="144">
        <f t="shared" si="121"/>
        <v>0</v>
      </c>
      <c r="L208" s="145">
        <f t="shared" si="134"/>
        <v>0</v>
      </c>
      <c r="M208" s="146">
        <f t="shared" si="122"/>
        <v>0</v>
      </c>
      <c r="N208" s="147">
        <f>SUMIF(日報!B4:B691,$A208,日報!L4:L691)</f>
        <v>4</v>
      </c>
      <c r="O208" s="147">
        <f t="shared" si="123"/>
        <v>2</v>
      </c>
      <c r="P208" s="151"/>
      <c r="Q208" s="42" t="str">
        <f t="shared" si="124"/>
        <v/>
      </c>
      <c r="R208" s="154"/>
      <c r="S208" s="10" t="str">
        <f t="shared" si="125"/>
        <v/>
      </c>
      <c r="T208" s="11"/>
      <c r="U208" s="12"/>
      <c r="V208" s="136"/>
      <c r="W208" s="16"/>
      <c r="X208" s="17"/>
      <c r="Y208" s="18"/>
      <c r="Z208" s="15"/>
      <c r="AA208" s="15"/>
      <c r="AB208" s="155">
        <f t="shared" si="126"/>
        <v>0</v>
      </c>
      <c r="AC208" s="157">
        <f t="shared" si="135"/>
        <v>0</v>
      </c>
      <c r="AD208" s="144">
        <f t="shared" si="127"/>
        <v>0</v>
      </c>
      <c r="AE208" s="145">
        <f t="shared" si="128"/>
        <v>0</v>
      </c>
      <c r="AF208" s="146">
        <f t="shared" si="129"/>
        <v>0</v>
      </c>
      <c r="AH208" s="274">
        <f>SUMIF(日報!$T$4:$T$885,TEXT(YEAR(A208),"0000")&amp;TEXT(MONTH(A208),"00")&amp;TEXT(DAY(A208),"00")&amp;"SCSK",日報!$L$4:$L$885)</f>
        <v>0</v>
      </c>
      <c r="AI208" s="275">
        <f t="shared" si="130"/>
        <v>4</v>
      </c>
    </row>
    <row r="209" spans="1:35" s="2" customFormat="1" outlineLevel="1" x14ac:dyDescent="0.15">
      <c r="A209" s="168">
        <f t="shared" si="136"/>
        <v>44030</v>
      </c>
      <c r="B209" s="167">
        <f t="shared" si="131"/>
        <v>44030</v>
      </c>
      <c r="C209" s="32">
        <v>1</v>
      </c>
      <c r="D209" s="16"/>
      <c r="E209" s="17"/>
      <c r="F209" s="18"/>
      <c r="G209" s="15"/>
      <c r="H209" s="19"/>
      <c r="I209" s="137">
        <f t="shared" si="132"/>
        <v>0</v>
      </c>
      <c r="J209" s="143">
        <f t="shared" si="133"/>
        <v>0</v>
      </c>
      <c r="K209" s="144">
        <f t="shared" si="121"/>
        <v>0</v>
      </c>
      <c r="L209" s="145">
        <f t="shared" si="134"/>
        <v>0</v>
      </c>
      <c r="M209" s="146">
        <f t="shared" si="122"/>
        <v>0</v>
      </c>
      <c r="N209" s="147">
        <f>SUMIF(日報!B4:B691,$A209,日報!L4:L691)</f>
        <v>0</v>
      </c>
      <c r="O209" s="147">
        <f t="shared" si="123"/>
        <v>0</v>
      </c>
      <c r="P209" s="151"/>
      <c r="Q209" s="42" t="str">
        <f t="shared" si="124"/>
        <v/>
      </c>
      <c r="R209" s="154"/>
      <c r="S209" s="10" t="str">
        <f t="shared" si="125"/>
        <v/>
      </c>
      <c r="T209" s="11"/>
      <c r="U209" s="12"/>
      <c r="V209" s="136"/>
      <c r="W209" s="16"/>
      <c r="X209" s="17"/>
      <c r="Y209" s="18"/>
      <c r="Z209" s="15"/>
      <c r="AA209" s="15"/>
      <c r="AB209" s="155">
        <f t="shared" si="126"/>
        <v>0</v>
      </c>
      <c r="AC209" s="157">
        <f t="shared" si="135"/>
        <v>0</v>
      </c>
      <c r="AD209" s="144">
        <f t="shared" si="127"/>
        <v>0</v>
      </c>
      <c r="AE209" s="145">
        <f t="shared" si="128"/>
        <v>0</v>
      </c>
      <c r="AF209" s="146">
        <f t="shared" si="129"/>
        <v>0</v>
      </c>
      <c r="AH209" s="274">
        <f>SUMIF(日報!$T$4:$T$885,TEXT(YEAR(A209),"0000")&amp;TEXT(MONTH(A209),"00")&amp;TEXT(DAY(A209),"00")&amp;"SCSK",日報!$L$4:$L$885)</f>
        <v>0</v>
      </c>
      <c r="AI209" s="275">
        <f t="shared" si="130"/>
        <v>0</v>
      </c>
    </row>
    <row r="210" spans="1:35" s="2" customFormat="1" outlineLevel="1" x14ac:dyDescent="0.15">
      <c r="A210" s="168">
        <f t="shared" si="136"/>
        <v>44031</v>
      </c>
      <c r="B210" s="167">
        <f t="shared" si="131"/>
        <v>44031</v>
      </c>
      <c r="C210" s="32">
        <v>1</v>
      </c>
      <c r="D210" s="16"/>
      <c r="E210" s="17"/>
      <c r="F210" s="18"/>
      <c r="G210" s="15"/>
      <c r="H210" s="19"/>
      <c r="I210" s="137">
        <f t="shared" si="132"/>
        <v>0</v>
      </c>
      <c r="J210" s="143">
        <f t="shared" si="133"/>
        <v>0</v>
      </c>
      <c r="K210" s="144">
        <f t="shared" si="121"/>
        <v>0</v>
      </c>
      <c r="L210" s="145">
        <f t="shared" si="134"/>
        <v>0</v>
      </c>
      <c r="M210" s="146">
        <f t="shared" si="122"/>
        <v>0</v>
      </c>
      <c r="N210" s="147">
        <f>SUMIF(日報!B4:B691,$A210,日報!L4:L691)</f>
        <v>0</v>
      </c>
      <c r="O210" s="147">
        <f t="shared" si="123"/>
        <v>0</v>
      </c>
      <c r="P210" s="151"/>
      <c r="Q210" s="42" t="str">
        <f t="shared" si="124"/>
        <v/>
      </c>
      <c r="R210" s="154"/>
      <c r="S210" s="10" t="str">
        <f t="shared" si="125"/>
        <v/>
      </c>
      <c r="T210" s="11"/>
      <c r="U210" s="12"/>
      <c r="V210" s="136"/>
      <c r="W210" s="16"/>
      <c r="X210" s="17"/>
      <c r="Y210" s="18"/>
      <c r="Z210" s="15"/>
      <c r="AA210" s="15"/>
      <c r="AB210" s="155">
        <f t="shared" si="126"/>
        <v>0</v>
      </c>
      <c r="AC210" s="157">
        <f t="shared" si="135"/>
        <v>0</v>
      </c>
      <c r="AD210" s="144">
        <f t="shared" si="127"/>
        <v>0</v>
      </c>
      <c r="AE210" s="145">
        <f t="shared" si="128"/>
        <v>0</v>
      </c>
      <c r="AF210" s="146">
        <f t="shared" si="129"/>
        <v>0</v>
      </c>
      <c r="AH210" s="274">
        <f>SUMIF(日報!$T$4:$T$885,TEXT(YEAR(A210),"0000")&amp;TEXT(MONTH(A210),"00")&amp;TEXT(DAY(A210),"00")&amp;"SCSK",日報!$L$4:$L$885)</f>
        <v>0</v>
      </c>
      <c r="AI210" s="275">
        <f t="shared" si="130"/>
        <v>0</v>
      </c>
    </row>
    <row r="211" spans="1:35" s="2" customFormat="1" outlineLevel="1" x14ac:dyDescent="0.15">
      <c r="A211" s="168">
        <f t="shared" si="136"/>
        <v>44032</v>
      </c>
      <c r="B211" s="167">
        <f t="shared" si="131"/>
        <v>44032</v>
      </c>
      <c r="C211" s="32"/>
      <c r="D211" s="16">
        <v>0.38541666666666669</v>
      </c>
      <c r="E211" s="17">
        <v>0.76041666666666663</v>
      </c>
      <c r="F211" s="18">
        <v>1</v>
      </c>
      <c r="G211" s="15"/>
      <c r="H211" s="19"/>
      <c r="I211" s="137">
        <f t="shared" si="132"/>
        <v>9</v>
      </c>
      <c r="J211" s="143">
        <f t="shared" si="133"/>
        <v>7.75</v>
      </c>
      <c r="K211" s="144">
        <f t="shared" si="121"/>
        <v>0.25</v>
      </c>
      <c r="L211" s="145">
        <f t="shared" si="134"/>
        <v>0</v>
      </c>
      <c r="M211" s="146">
        <f t="shared" si="122"/>
        <v>0</v>
      </c>
      <c r="N211" s="147">
        <f>SUMIF(日報!B4:B691,$A211,日報!L4:L691)</f>
        <v>8</v>
      </c>
      <c r="O211" s="147">
        <f t="shared" si="123"/>
        <v>0</v>
      </c>
      <c r="P211" s="151"/>
      <c r="Q211" s="42" t="str">
        <f t="shared" si="124"/>
        <v/>
      </c>
      <c r="R211" s="154"/>
      <c r="S211" s="10" t="str">
        <f t="shared" si="125"/>
        <v/>
      </c>
      <c r="T211" s="11"/>
      <c r="U211" s="12"/>
      <c r="V211" s="136"/>
      <c r="W211" s="16"/>
      <c r="X211" s="17"/>
      <c r="Y211" s="18"/>
      <c r="Z211" s="15"/>
      <c r="AA211" s="15"/>
      <c r="AB211" s="155">
        <f t="shared" si="126"/>
        <v>0</v>
      </c>
      <c r="AC211" s="157">
        <f t="shared" si="135"/>
        <v>0</v>
      </c>
      <c r="AD211" s="144">
        <f t="shared" si="127"/>
        <v>0</v>
      </c>
      <c r="AE211" s="145">
        <f t="shared" si="128"/>
        <v>0</v>
      </c>
      <c r="AF211" s="146">
        <f t="shared" si="129"/>
        <v>0</v>
      </c>
      <c r="AH211" s="274">
        <f>SUMIF(日報!$T$4:$T$885,TEXT(YEAR(A211),"0000")&amp;TEXT(MONTH(A211),"00")&amp;TEXT(DAY(A211),"00")&amp;"SCSK",日報!$L$4:$L$885)</f>
        <v>0</v>
      </c>
      <c r="AI211" s="275">
        <f t="shared" si="130"/>
        <v>8</v>
      </c>
    </row>
    <row r="212" spans="1:35" s="2" customFormat="1" outlineLevel="1" x14ac:dyDescent="0.15">
      <c r="A212" s="168">
        <f t="shared" si="136"/>
        <v>44033</v>
      </c>
      <c r="B212" s="167">
        <f t="shared" si="131"/>
        <v>44033</v>
      </c>
      <c r="C212" s="32"/>
      <c r="D212" s="16">
        <v>0.38541666666666669</v>
      </c>
      <c r="E212" s="17">
        <v>0.76041666666666663</v>
      </c>
      <c r="F212" s="18">
        <v>1</v>
      </c>
      <c r="G212" s="15"/>
      <c r="H212" s="19"/>
      <c r="I212" s="137">
        <f t="shared" si="132"/>
        <v>9</v>
      </c>
      <c r="J212" s="143">
        <f t="shared" si="133"/>
        <v>7.75</v>
      </c>
      <c r="K212" s="144">
        <f t="shared" si="121"/>
        <v>0.25</v>
      </c>
      <c r="L212" s="145">
        <f t="shared" si="134"/>
        <v>0</v>
      </c>
      <c r="M212" s="146">
        <f t="shared" si="122"/>
        <v>0</v>
      </c>
      <c r="N212" s="147">
        <f>SUMIF(日報!B4:B691,$A212,日報!L4:L691)</f>
        <v>8</v>
      </c>
      <c r="O212" s="147">
        <f t="shared" si="123"/>
        <v>0</v>
      </c>
      <c r="P212" s="151"/>
      <c r="Q212" s="42" t="str">
        <f t="shared" si="124"/>
        <v/>
      </c>
      <c r="R212" s="154"/>
      <c r="S212" s="10" t="str">
        <f t="shared" si="125"/>
        <v/>
      </c>
      <c r="T212" s="11"/>
      <c r="U212" s="12"/>
      <c r="V212" s="136"/>
      <c r="W212" s="16"/>
      <c r="X212" s="17"/>
      <c r="Y212" s="18"/>
      <c r="Z212" s="15"/>
      <c r="AA212" s="15"/>
      <c r="AB212" s="155">
        <f t="shared" si="126"/>
        <v>0</v>
      </c>
      <c r="AC212" s="157">
        <f t="shared" si="135"/>
        <v>0</v>
      </c>
      <c r="AD212" s="144">
        <f t="shared" si="127"/>
        <v>0</v>
      </c>
      <c r="AE212" s="145">
        <f t="shared" si="128"/>
        <v>0</v>
      </c>
      <c r="AF212" s="146">
        <f t="shared" si="129"/>
        <v>0</v>
      </c>
      <c r="AH212" s="274">
        <f>SUMIF(日報!$T$4:$T$885,TEXT(YEAR(A212),"0000")&amp;TEXT(MONTH(A212),"00")&amp;TEXT(DAY(A212),"00")&amp;"SCSK",日報!$L$4:$L$885)</f>
        <v>0</v>
      </c>
      <c r="AI212" s="275">
        <f t="shared" si="130"/>
        <v>8</v>
      </c>
    </row>
    <row r="213" spans="1:35" s="2" customFormat="1" outlineLevel="1" x14ac:dyDescent="0.15">
      <c r="A213" s="168">
        <f t="shared" si="136"/>
        <v>44034</v>
      </c>
      <c r="B213" s="167">
        <f t="shared" si="131"/>
        <v>44034</v>
      </c>
      <c r="C213" s="32"/>
      <c r="D213" s="16">
        <v>0.38541666666666669</v>
      </c>
      <c r="E213" s="17">
        <v>0.76041666666666663</v>
      </c>
      <c r="F213" s="18">
        <v>1</v>
      </c>
      <c r="G213" s="15"/>
      <c r="H213" s="19"/>
      <c r="I213" s="137">
        <f t="shared" si="132"/>
        <v>9</v>
      </c>
      <c r="J213" s="143">
        <f t="shared" si="133"/>
        <v>7.75</v>
      </c>
      <c r="K213" s="144">
        <f t="shared" si="121"/>
        <v>0.25</v>
      </c>
      <c r="L213" s="145">
        <f t="shared" si="134"/>
        <v>0</v>
      </c>
      <c r="M213" s="146">
        <f t="shared" si="122"/>
        <v>0</v>
      </c>
      <c r="N213" s="147">
        <f>SUMIF(日報!B4:B691,$A213,日報!L4:L691)</f>
        <v>8</v>
      </c>
      <c r="O213" s="147">
        <f t="shared" si="123"/>
        <v>0</v>
      </c>
      <c r="P213" s="151"/>
      <c r="Q213" s="42" t="str">
        <f t="shared" si="124"/>
        <v/>
      </c>
      <c r="R213" s="154"/>
      <c r="S213" s="10" t="str">
        <f t="shared" si="125"/>
        <v/>
      </c>
      <c r="T213" s="11"/>
      <c r="U213" s="12"/>
      <c r="V213" s="136"/>
      <c r="W213" s="16"/>
      <c r="X213" s="17"/>
      <c r="Y213" s="18"/>
      <c r="Z213" s="15"/>
      <c r="AA213" s="15"/>
      <c r="AB213" s="155">
        <f t="shared" si="126"/>
        <v>0</v>
      </c>
      <c r="AC213" s="157">
        <f t="shared" si="135"/>
        <v>0</v>
      </c>
      <c r="AD213" s="144">
        <f t="shared" si="127"/>
        <v>0</v>
      </c>
      <c r="AE213" s="145">
        <f t="shared" si="128"/>
        <v>0</v>
      </c>
      <c r="AF213" s="146">
        <f t="shared" si="129"/>
        <v>0</v>
      </c>
      <c r="AH213" s="274">
        <f>SUMIF(日報!$T$4:$T$885,TEXT(YEAR(A213),"0000")&amp;TEXT(MONTH(A213),"00")&amp;TEXT(DAY(A213),"00")&amp;"SCSK",日報!$L$4:$L$885)</f>
        <v>0</v>
      </c>
      <c r="AI213" s="275">
        <f t="shared" si="130"/>
        <v>8</v>
      </c>
    </row>
    <row r="214" spans="1:35" s="2" customFormat="1" outlineLevel="1" x14ac:dyDescent="0.15">
      <c r="A214" s="168">
        <f t="shared" si="136"/>
        <v>44035</v>
      </c>
      <c r="B214" s="167">
        <f t="shared" si="131"/>
        <v>44035</v>
      </c>
      <c r="C214" s="32">
        <v>1</v>
      </c>
      <c r="D214" s="16"/>
      <c r="E214" s="17"/>
      <c r="F214" s="18"/>
      <c r="G214" s="15"/>
      <c r="H214" s="19"/>
      <c r="I214" s="137">
        <f t="shared" si="132"/>
        <v>0</v>
      </c>
      <c r="J214" s="143">
        <f t="shared" si="133"/>
        <v>0</v>
      </c>
      <c r="K214" s="144">
        <f t="shared" si="121"/>
        <v>0</v>
      </c>
      <c r="L214" s="145">
        <f t="shared" si="134"/>
        <v>0</v>
      </c>
      <c r="M214" s="146">
        <f t="shared" si="122"/>
        <v>0</v>
      </c>
      <c r="N214" s="147">
        <f>SUMIF(日報!B4:B691,$A214,日報!L4:L691)</f>
        <v>0</v>
      </c>
      <c r="O214" s="147">
        <f t="shared" si="123"/>
        <v>0</v>
      </c>
      <c r="P214" s="151"/>
      <c r="Q214" s="42" t="str">
        <f t="shared" si="124"/>
        <v/>
      </c>
      <c r="R214" s="154"/>
      <c r="S214" s="10" t="str">
        <f t="shared" si="125"/>
        <v/>
      </c>
      <c r="T214" s="11"/>
      <c r="U214" s="12"/>
      <c r="V214" s="136"/>
      <c r="W214" s="16"/>
      <c r="X214" s="17"/>
      <c r="Y214" s="18"/>
      <c r="Z214" s="15"/>
      <c r="AA214" s="15"/>
      <c r="AB214" s="155">
        <f t="shared" si="126"/>
        <v>0</v>
      </c>
      <c r="AC214" s="157">
        <f t="shared" si="135"/>
        <v>0</v>
      </c>
      <c r="AD214" s="144">
        <f t="shared" si="127"/>
        <v>0</v>
      </c>
      <c r="AE214" s="145">
        <f t="shared" si="128"/>
        <v>0</v>
      </c>
      <c r="AF214" s="146">
        <f t="shared" si="129"/>
        <v>0</v>
      </c>
      <c r="AH214" s="274">
        <f>SUMIF(日報!$T$4:$T$885,TEXT(YEAR(A214),"0000")&amp;TEXT(MONTH(A214),"00")&amp;TEXT(DAY(A214),"00")&amp;"SCSK",日報!$L$4:$L$885)</f>
        <v>0</v>
      </c>
      <c r="AI214" s="275">
        <f t="shared" si="130"/>
        <v>0</v>
      </c>
    </row>
    <row r="215" spans="1:35" s="2" customFormat="1" outlineLevel="1" x14ac:dyDescent="0.15">
      <c r="A215" s="168">
        <f t="shared" si="136"/>
        <v>44036</v>
      </c>
      <c r="B215" s="167">
        <f t="shared" si="131"/>
        <v>44036</v>
      </c>
      <c r="C215" s="32">
        <v>1</v>
      </c>
      <c r="D215" s="16"/>
      <c r="E215" s="17"/>
      <c r="F215" s="18"/>
      <c r="G215" s="15"/>
      <c r="H215" s="19"/>
      <c r="I215" s="137">
        <f t="shared" si="132"/>
        <v>0</v>
      </c>
      <c r="J215" s="143">
        <f t="shared" si="133"/>
        <v>0</v>
      </c>
      <c r="K215" s="144">
        <f t="shared" si="121"/>
        <v>0</v>
      </c>
      <c r="L215" s="145">
        <f t="shared" si="134"/>
        <v>0</v>
      </c>
      <c r="M215" s="146">
        <f t="shared" si="122"/>
        <v>0</v>
      </c>
      <c r="N215" s="147">
        <f>SUMIF(日報!B4:B691,$A215,日報!L4:L691)</f>
        <v>0</v>
      </c>
      <c r="O215" s="147">
        <f t="shared" si="123"/>
        <v>0</v>
      </c>
      <c r="P215" s="151"/>
      <c r="Q215" s="42" t="str">
        <f t="shared" si="124"/>
        <v/>
      </c>
      <c r="R215" s="154"/>
      <c r="S215" s="10" t="str">
        <f t="shared" si="125"/>
        <v/>
      </c>
      <c r="T215" s="11"/>
      <c r="U215" s="12"/>
      <c r="V215" s="136"/>
      <c r="W215" s="16"/>
      <c r="X215" s="17"/>
      <c r="Y215" s="18"/>
      <c r="Z215" s="15"/>
      <c r="AA215" s="15"/>
      <c r="AB215" s="155">
        <f t="shared" si="126"/>
        <v>0</v>
      </c>
      <c r="AC215" s="157">
        <f t="shared" si="135"/>
        <v>0</v>
      </c>
      <c r="AD215" s="144">
        <f t="shared" si="127"/>
        <v>0</v>
      </c>
      <c r="AE215" s="145">
        <f t="shared" si="128"/>
        <v>0</v>
      </c>
      <c r="AF215" s="146">
        <f t="shared" si="129"/>
        <v>0</v>
      </c>
      <c r="AH215" s="274">
        <f>SUMIF(日報!$T$4:$T$885,TEXT(YEAR(A215),"0000")&amp;TEXT(MONTH(A215),"00")&amp;TEXT(DAY(A215),"00")&amp;"SCSK",日報!$L$4:$L$885)</f>
        <v>0</v>
      </c>
      <c r="AI215" s="275">
        <f t="shared" si="130"/>
        <v>0</v>
      </c>
    </row>
    <row r="216" spans="1:35" s="2" customFormat="1" outlineLevel="1" x14ac:dyDescent="0.15">
      <c r="A216" s="168">
        <f t="shared" si="136"/>
        <v>44037</v>
      </c>
      <c r="B216" s="167">
        <f t="shared" si="131"/>
        <v>44037</v>
      </c>
      <c r="C216" s="32">
        <v>1</v>
      </c>
      <c r="D216" s="16"/>
      <c r="E216" s="17"/>
      <c r="F216" s="18"/>
      <c r="G216" s="15"/>
      <c r="H216" s="19"/>
      <c r="I216" s="137">
        <f t="shared" si="132"/>
        <v>0</v>
      </c>
      <c r="J216" s="143">
        <f t="shared" si="133"/>
        <v>0</v>
      </c>
      <c r="K216" s="144">
        <f t="shared" si="121"/>
        <v>0</v>
      </c>
      <c r="L216" s="145">
        <f t="shared" si="134"/>
        <v>0</v>
      </c>
      <c r="M216" s="146">
        <f t="shared" si="122"/>
        <v>0</v>
      </c>
      <c r="N216" s="147">
        <f>SUMIF(日報!B4:B691,$A216,日報!L4:L691)</f>
        <v>0</v>
      </c>
      <c r="O216" s="147">
        <f t="shared" si="123"/>
        <v>0</v>
      </c>
      <c r="P216" s="151"/>
      <c r="Q216" s="42" t="str">
        <f t="shared" si="124"/>
        <v/>
      </c>
      <c r="R216" s="154"/>
      <c r="S216" s="10" t="str">
        <f t="shared" si="125"/>
        <v/>
      </c>
      <c r="T216" s="11"/>
      <c r="U216" s="12"/>
      <c r="V216" s="136"/>
      <c r="W216" s="16"/>
      <c r="X216" s="17"/>
      <c r="Y216" s="18"/>
      <c r="Z216" s="15"/>
      <c r="AA216" s="15"/>
      <c r="AB216" s="155">
        <f t="shared" si="126"/>
        <v>0</v>
      </c>
      <c r="AC216" s="157">
        <f t="shared" si="135"/>
        <v>0</v>
      </c>
      <c r="AD216" s="144">
        <f t="shared" si="127"/>
        <v>0</v>
      </c>
      <c r="AE216" s="145">
        <f t="shared" si="128"/>
        <v>0</v>
      </c>
      <c r="AF216" s="146">
        <f t="shared" si="129"/>
        <v>0</v>
      </c>
      <c r="AH216" s="274">
        <f>SUMIF(日報!$T$4:$T$885,TEXT(YEAR(A216),"0000")&amp;TEXT(MONTH(A216),"00")&amp;TEXT(DAY(A216),"00")&amp;"SCSK",日報!$L$4:$L$885)</f>
        <v>0</v>
      </c>
      <c r="AI216" s="275">
        <f t="shared" si="130"/>
        <v>0</v>
      </c>
    </row>
    <row r="217" spans="1:35" s="2" customFormat="1" outlineLevel="1" x14ac:dyDescent="0.15">
      <c r="A217" s="168">
        <f t="shared" si="136"/>
        <v>44038</v>
      </c>
      <c r="B217" s="167">
        <f t="shared" si="131"/>
        <v>44038</v>
      </c>
      <c r="C217" s="32">
        <v>1</v>
      </c>
      <c r="D217" s="16"/>
      <c r="E217" s="17"/>
      <c r="F217" s="18"/>
      <c r="G217" s="15"/>
      <c r="H217" s="19"/>
      <c r="I217" s="137">
        <f t="shared" si="132"/>
        <v>0</v>
      </c>
      <c r="J217" s="143">
        <f t="shared" si="133"/>
        <v>0</v>
      </c>
      <c r="K217" s="144">
        <f t="shared" si="121"/>
        <v>0</v>
      </c>
      <c r="L217" s="145">
        <f t="shared" si="134"/>
        <v>0</v>
      </c>
      <c r="M217" s="146">
        <f t="shared" si="122"/>
        <v>0</v>
      </c>
      <c r="N217" s="147">
        <f>SUMIF(日報!B4:B691,$A217,日報!L4:L691)</f>
        <v>0</v>
      </c>
      <c r="O217" s="147">
        <f t="shared" si="123"/>
        <v>0</v>
      </c>
      <c r="P217" s="151"/>
      <c r="Q217" s="42" t="str">
        <f t="shared" si="124"/>
        <v/>
      </c>
      <c r="R217" s="154"/>
      <c r="S217" s="10" t="str">
        <f t="shared" si="125"/>
        <v/>
      </c>
      <c r="T217" s="11"/>
      <c r="U217" s="12"/>
      <c r="V217" s="136"/>
      <c r="W217" s="16"/>
      <c r="X217" s="17"/>
      <c r="Y217" s="18"/>
      <c r="Z217" s="15"/>
      <c r="AA217" s="15"/>
      <c r="AB217" s="155">
        <f t="shared" si="126"/>
        <v>0</v>
      </c>
      <c r="AC217" s="157">
        <f t="shared" si="135"/>
        <v>0</v>
      </c>
      <c r="AD217" s="144">
        <f t="shared" si="127"/>
        <v>0</v>
      </c>
      <c r="AE217" s="145">
        <f t="shared" si="128"/>
        <v>0</v>
      </c>
      <c r="AF217" s="146">
        <f t="shared" si="129"/>
        <v>0</v>
      </c>
      <c r="AH217" s="274">
        <f>SUMIF(日報!$T$4:$T$885,TEXT(YEAR(A217),"0000")&amp;TEXT(MONTH(A217),"00")&amp;TEXT(DAY(A217),"00")&amp;"SCSK",日報!$L$4:$L$885)</f>
        <v>0</v>
      </c>
      <c r="AI217" s="275">
        <f t="shared" si="130"/>
        <v>0</v>
      </c>
    </row>
    <row r="218" spans="1:35" s="2" customFormat="1" outlineLevel="1" x14ac:dyDescent="0.15">
      <c r="A218" s="168">
        <f t="shared" si="136"/>
        <v>44039</v>
      </c>
      <c r="B218" s="167">
        <f t="shared" si="131"/>
        <v>44039</v>
      </c>
      <c r="C218" s="32"/>
      <c r="D218" s="16">
        <v>0.38541666666666669</v>
      </c>
      <c r="E218" s="17">
        <v>0.76041666666666663</v>
      </c>
      <c r="F218" s="18">
        <v>1</v>
      </c>
      <c r="G218" s="15"/>
      <c r="H218" s="19"/>
      <c r="I218" s="137">
        <f t="shared" si="132"/>
        <v>9</v>
      </c>
      <c r="J218" s="143">
        <f t="shared" si="133"/>
        <v>7.75</v>
      </c>
      <c r="K218" s="144">
        <f t="shared" si="121"/>
        <v>0.25</v>
      </c>
      <c r="L218" s="145">
        <f t="shared" si="134"/>
        <v>0</v>
      </c>
      <c r="M218" s="146">
        <f t="shared" si="122"/>
        <v>0</v>
      </c>
      <c r="N218" s="147">
        <f>SUMIF(日報!B4:B691,$A218,日報!L4:L691)</f>
        <v>8</v>
      </c>
      <c r="O218" s="147">
        <f t="shared" si="123"/>
        <v>0</v>
      </c>
      <c r="P218" s="151"/>
      <c r="Q218" s="42" t="str">
        <f t="shared" si="124"/>
        <v/>
      </c>
      <c r="R218" s="154"/>
      <c r="S218" s="10" t="str">
        <f t="shared" si="125"/>
        <v/>
      </c>
      <c r="T218" s="11"/>
      <c r="U218" s="12"/>
      <c r="V218" s="136"/>
      <c r="W218" s="16"/>
      <c r="X218" s="17"/>
      <c r="Y218" s="18"/>
      <c r="Z218" s="15"/>
      <c r="AA218" s="15"/>
      <c r="AB218" s="155">
        <f t="shared" si="126"/>
        <v>0</v>
      </c>
      <c r="AC218" s="157">
        <f t="shared" si="135"/>
        <v>0</v>
      </c>
      <c r="AD218" s="144">
        <f t="shared" si="127"/>
        <v>0</v>
      </c>
      <c r="AE218" s="145">
        <f t="shared" si="128"/>
        <v>0</v>
      </c>
      <c r="AF218" s="146">
        <f t="shared" si="129"/>
        <v>0</v>
      </c>
      <c r="AH218" s="274">
        <f>SUMIF(日報!$T$4:$T$885,TEXT(YEAR(A218),"0000")&amp;TEXT(MONTH(A218),"00")&amp;TEXT(DAY(A218),"00")&amp;"SCSK",日報!$L$4:$L$885)</f>
        <v>0</v>
      </c>
      <c r="AI218" s="275">
        <f t="shared" si="130"/>
        <v>8</v>
      </c>
    </row>
    <row r="219" spans="1:35" s="2" customFormat="1" outlineLevel="1" x14ac:dyDescent="0.15">
      <c r="A219" s="168">
        <f t="shared" si="136"/>
        <v>44040</v>
      </c>
      <c r="B219" s="167">
        <f t="shared" si="131"/>
        <v>44040</v>
      </c>
      <c r="C219" s="32"/>
      <c r="D219" s="16">
        <v>0.38541666666666669</v>
      </c>
      <c r="E219" s="17">
        <v>0.76041666666666663</v>
      </c>
      <c r="F219" s="18">
        <v>1</v>
      </c>
      <c r="G219" s="15"/>
      <c r="H219" s="19"/>
      <c r="I219" s="137">
        <f t="shared" si="132"/>
        <v>9</v>
      </c>
      <c r="J219" s="143">
        <f t="shared" si="133"/>
        <v>7.75</v>
      </c>
      <c r="K219" s="144">
        <f t="shared" si="121"/>
        <v>0.25</v>
      </c>
      <c r="L219" s="145">
        <f t="shared" si="134"/>
        <v>0</v>
      </c>
      <c r="M219" s="146">
        <f t="shared" si="122"/>
        <v>0</v>
      </c>
      <c r="N219" s="147">
        <f>SUMIF(日報!B4:B691,$A219,日報!L4:L691)</f>
        <v>8</v>
      </c>
      <c r="O219" s="147">
        <f t="shared" si="123"/>
        <v>0</v>
      </c>
      <c r="P219" s="151"/>
      <c r="Q219" s="42" t="str">
        <f t="shared" si="124"/>
        <v/>
      </c>
      <c r="R219" s="154"/>
      <c r="S219" s="10" t="str">
        <f t="shared" si="125"/>
        <v/>
      </c>
      <c r="T219" s="11"/>
      <c r="U219" s="12"/>
      <c r="V219" s="136"/>
      <c r="W219" s="16"/>
      <c r="X219" s="17"/>
      <c r="Y219" s="18"/>
      <c r="Z219" s="15"/>
      <c r="AA219" s="15"/>
      <c r="AB219" s="155">
        <f t="shared" si="126"/>
        <v>0</v>
      </c>
      <c r="AC219" s="157">
        <f t="shared" si="135"/>
        <v>0</v>
      </c>
      <c r="AD219" s="144">
        <f t="shared" si="127"/>
        <v>0</v>
      </c>
      <c r="AE219" s="145">
        <f t="shared" si="128"/>
        <v>0</v>
      </c>
      <c r="AF219" s="146">
        <f t="shared" si="129"/>
        <v>0</v>
      </c>
      <c r="AH219" s="274">
        <f>SUMIF(日報!$T$4:$T$885,TEXT(YEAR(A219),"0000")&amp;TEXT(MONTH(A219),"00")&amp;TEXT(DAY(A219),"00")&amp;"SCSK",日報!$L$4:$L$885)</f>
        <v>0</v>
      </c>
      <c r="AI219" s="275">
        <f t="shared" si="130"/>
        <v>8</v>
      </c>
    </row>
    <row r="220" spans="1:35" s="2" customFormat="1" outlineLevel="1" x14ac:dyDescent="0.15">
      <c r="A220" s="168">
        <f t="shared" si="136"/>
        <v>44041</v>
      </c>
      <c r="B220" s="167">
        <f t="shared" si="131"/>
        <v>44041</v>
      </c>
      <c r="C220" s="32"/>
      <c r="D220" s="16">
        <v>0.38541666666666669</v>
      </c>
      <c r="E220" s="17">
        <v>0.76041666666666663</v>
      </c>
      <c r="F220" s="18">
        <v>1</v>
      </c>
      <c r="G220" s="15"/>
      <c r="H220" s="19"/>
      <c r="I220" s="137">
        <f t="shared" si="132"/>
        <v>9</v>
      </c>
      <c r="J220" s="143">
        <f t="shared" si="133"/>
        <v>7.75</v>
      </c>
      <c r="K220" s="144">
        <f t="shared" si="121"/>
        <v>0.25</v>
      </c>
      <c r="L220" s="145">
        <f t="shared" si="134"/>
        <v>0</v>
      </c>
      <c r="M220" s="146">
        <f t="shared" si="122"/>
        <v>0</v>
      </c>
      <c r="N220" s="147">
        <f>SUMIF(日報!B4:B691,$A220,日報!L4:L691)</f>
        <v>8</v>
      </c>
      <c r="O220" s="147">
        <f t="shared" si="123"/>
        <v>0</v>
      </c>
      <c r="P220" s="151"/>
      <c r="Q220" s="42" t="str">
        <f t="shared" si="124"/>
        <v/>
      </c>
      <c r="R220" s="154"/>
      <c r="S220" s="10" t="str">
        <f t="shared" si="125"/>
        <v/>
      </c>
      <c r="T220" s="11"/>
      <c r="U220" s="12"/>
      <c r="V220" s="136"/>
      <c r="W220" s="16"/>
      <c r="X220" s="17"/>
      <c r="Y220" s="18"/>
      <c r="Z220" s="15"/>
      <c r="AA220" s="15"/>
      <c r="AB220" s="155">
        <f t="shared" si="126"/>
        <v>0</v>
      </c>
      <c r="AC220" s="157">
        <f t="shared" si="135"/>
        <v>0</v>
      </c>
      <c r="AD220" s="144">
        <f t="shared" si="127"/>
        <v>0</v>
      </c>
      <c r="AE220" s="145">
        <f t="shared" si="128"/>
        <v>0</v>
      </c>
      <c r="AF220" s="146">
        <f t="shared" si="129"/>
        <v>0</v>
      </c>
      <c r="AH220" s="274">
        <f>SUMIF(日報!$T$4:$T$885,TEXT(YEAR(A220),"0000")&amp;TEXT(MONTH(A220),"00")&amp;TEXT(DAY(A220),"00")&amp;"SCSK",日報!$L$4:$L$885)</f>
        <v>0</v>
      </c>
      <c r="AI220" s="275">
        <f t="shared" si="130"/>
        <v>8</v>
      </c>
    </row>
    <row r="221" spans="1:35" s="2" customFormat="1" outlineLevel="1" x14ac:dyDescent="0.15">
      <c r="A221" s="168">
        <f t="shared" si="136"/>
        <v>44042</v>
      </c>
      <c r="B221" s="167">
        <f t="shared" si="131"/>
        <v>44042</v>
      </c>
      <c r="C221" s="32"/>
      <c r="D221" s="16">
        <v>0.38541666666666669</v>
      </c>
      <c r="E221" s="17">
        <v>0.86458333333333337</v>
      </c>
      <c r="F221" s="18">
        <v>1</v>
      </c>
      <c r="G221" s="15"/>
      <c r="H221" s="19"/>
      <c r="I221" s="137">
        <f t="shared" si="132"/>
        <v>11.5</v>
      </c>
      <c r="J221" s="143">
        <f t="shared" si="133"/>
        <v>7.75</v>
      </c>
      <c r="K221" s="144">
        <f t="shared" si="121"/>
        <v>2.75</v>
      </c>
      <c r="L221" s="145">
        <f t="shared" si="134"/>
        <v>0</v>
      </c>
      <c r="M221" s="146">
        <f t="shared" si="122"/>
        <v>0</v>
      </c>
      <c r="N221" s="147">
        <f>SUMIF(日報!B4:B691,$A221,日報!L4:L691)</f>
        <v>8</v>
      </c>
      <c r="O221" s="147">
        <f t="shared" si="123"/>
        <v>2.5</v>
      </c>
      <c r="P221" s="151"/>
      <c r="Q221" s="42" t="str">
        <f t="shared" si="124"/>
        <v/>
      </c>
      <c r="R221" s="154"/>
      <c r="S221" s="10" t="str">
        <f t="shared" si="125"/>
        <v/>
      </c>
      <c r="T221" s="11"/>
      <c r="U221" s="12"/>
      <c r="V221" s="136"/>
      <c r="W221" s="16"/>
      <c r="X221" s="17"/>
      <c r="Y221" s="18"/>
      <c r="Z221" s="15"/>
      <c r="AA221" s="15"/>
      <c r="AB221" s="155">
        <f t="shared" si="126"/>
        <v>0</v>
      </c>
      <c r="AC221" s="157">
        <f t="shared" si="135"/>
        <v>0</v>
      </c>
      <c r="AD221" s="144">
        <f t="shared" si="127"/>
        <v>0</v>
      </c>
      <c r="AE221" s="145">
        <f t="shared" si="128"/>
        <v>0</v>
      </c>
      <c r="AF221" s="146">
        <f t="shared" si="129"/>
        <v>0</v>
      </c>
      <c r="AH221" s="274">
        <f>SUMIF(日報!$T$4:$T$885,TEXT(YEAR(A221),"0000")&amp;TEXT(MONTH(A221),"00")&amp;TEXT(DAY(A221),"00")&amp;"SCSK",日報!$L$4:$L$885)</f>
        <v>0</v>
      </c>
      <c r="AI221" s="275">
        <f t="shared" si="130"/>
        <v>8</v>
      </c>
    </row>
    <row r="222" spans="1:35" s="2" customFormat="1" ht="14.25" outlineLevel="1" thickBot="1" x14ac:dyDescent="0.2">
      <c r="A222" s="168">
        <f t="shared" si="136"/>
        <v>44043</v>
      </c>
      <c r="B222" s="167">
        <f t="shared" si="131"/>
        <v>44043</v>
      </c>
      <c r="C222" s="32"/>
      <c r="D222" s="16">
        <v>0.38541666666666669</v>
      </c>
      <c r="E222" s="17">
        <v>0.76041666666666663</v>
      </c>
      <c r="F222" s="18">
        <v>1</v>
      </c>
      <c r="G222" s="15"/>
      <c r="H222" s="19"/>
      <c r="I222" s="137">
        <f t="shared" si="132"/>
        <v>9</v>
      </c>
      <c r="J222" s="143">
        <f t="shared" si="133"/>
        <v>7.75</v>
      </c>
      <c r="K222" s="144">
        <f t="shared" si="121"/>
        <v>0.25</v>
      </c>
      <c r="L222" s="145">
        <f t="shared" si="134"/>
        <v>0</v>
      </c>
      <c r="M222" s="146">
        <f t="shared" si="122"/>
        <v>0</v>
      </c>
      <c r="N222" s="147">
        <f>SUMIF(日報!B4:B691,$A222,日報!L4:L691)</f>
        <v>8</v>
      </c>
      <c r="O222" s="147">
        <f t="shared" si="123"/>
        <v>0</v>
      </c>
      <c r="P222" s="151"/>
      <c r="Q222" s="42" t="str">
        <f t="shared" si="124"/>
        <v/>
      </c>
      <c r="R222" s="154"/>
      <c r="S222" s="10" t="str">
        <f t="shared" si="125"/>
        <v/>
      </c>
      <c r="T222" s="11"/>
      <c r="U222" s="12"/>
      <c r="V222" s="136"/>
      <c r="W222" s="16"/>
      <c r="X222" s="17"/>
      <c r="Y222" s="18"/>
      <c r="Z222" s="15"/>
      <c r="AA222" s="15"/>
      <c r="AB222" s="155">
        <f t="shared" si="126"/>
        <v>0</v>
      </c>
      <c r="AC222" s="157">
        <f t="shared" si="135"/>
        <v>0</v>
      </c>
      <c r="AD222" s="144">
        <f t="shared" si="127"/>
        <v>0</v>
      </c>
      <c r="AE222" s="145">
        <f t="shared" si="128"/>
        <v>0</v>
      </c>
      <c r="AF222" s="146">
        <f t="shared" si="129"/>
        <v>0</v>
      </c>
      <c r="AH222" s="274">
        <f>SUMIF(日報!$T$4:$T$885,TEXT(YEAR(A222),"0000")&amp;TEXT(MONTH(A222),"00")&amp;TEXT(DAY(A222),"00")&amp;"SCSK",日報!$L$4:$L$885)</f>
        <v>0</v>
      </c>
      <c r="AI222" s="275">
        <f t="shared" si="130"/>
        <v>8</v>
      </c>
    </row>
    <row r="223" spans="1:35" ht="15" thickTop="1" thickBot="1" x14ac:dyDescent="0.2">
      <c r="A223" s="107">
        <f>A222</f>
        <v>44043</v>
      </c>
      <c r="B223" s="108">
        <f>COUNT(B192:B222)</f>
        <v>31</v>
      </c>
      <c r="C223" s="108"/>
      <c r="D223" s="109"/>
      <c r="E223" s="109"/>
      <c r="F223" s="110">
        <f t="shared" ref="F223:M223" si="137">SUM(F192:F222)</f>
        <v>21</v>
      </c>
      <c r="G223" s="110">
        <f t="shared" si="137"/>
        <v>0</v>
      </c>
      <c r="H223" s="110">
        <f t="shared" si="137"/>
        <v>0</v>
      </c>
      <c r="I223" s="111">
        <f t="shared" si="137"/>
        <v>189.5</v>
      </c>
      <c r="J223" s="112">
        <f t="shared" si="137"/>
        <v>161</v>
      </c>
      <c r="K223" s="113">
        <f t="shared" si="137"/>
        <v>7.5</v>
      </c>
      <c r="L223" s="114">
        <f t="shared" si="137"/>
        <v>0</v>
      </c>
      <c r="M223" s="113">
        <f t="shared" si="137"/>
        <v>0</v>
      </c>
      <c r="N223" s="115"/>
      <c r="O223" s="116">
        <f>SUM(O192:O222)</f>
        <v>92.5</v>
      </c>
      <c r="P223" s="105"/>
      <c r="Q223" s="118"/>
      <c r="R223" s="106"/>
      <c r="S223" s="120"/>
      <c r="T223" s="118"/>
      <c r="U223" s="121"/>
      <c r="W223" s="122"/>
      <c r="X223" s="109"/>
      <c r="Y223" s="110">
        <f t="shared" ref="Y223:AF223" si="138">SUM(Y192:Y222)</f>
        <v>0</v>
      </c>
      <c r="Z223" s="110">
        <f t="shared" si="138"/>
        <v>0</v>
      </c>
      <c r="AA223" s="110">
        <f t="shared" si="138"/>
        <v>0</v>
      </c>
      <c r="AB223" s="111">
        <f t="shared" si="138"/>
        <v>0</v>
      </c>
      <c r="AC223" s="112">
        <f t="shared" si="138"/>
        <v>0</v>
      </c>
      <c r="AD223" s="112">
        <f t="shared" si="138"/>
        <v>0</v>
      </c>
      <c r="AE223" s="112">
        <f t="shared" si="138"/>
        <v>0</v>
      </c>
      <c r="AF223" s="113">
        <f t="shared" si="138"/>
        <v>0</v>
      </c>
      <c r="AH223" s="276"/>
      <c r="AI223" s="277"/>
    </row>
    <row r="224" spans="1:35" s="2" customFormat="1" outlineLevel="1" x14ac:dyDescent="0.15">
      <c r="A224" s="168">
        <f>A222+1</f>
        <v>44044</v>
      </c>
      <c r="B224" s="167">
        <f>A224</f>
        <v>44044</v>
      </c>
      <c r="C224" s="32">
        <v>1</v>
      </c>
      <c r="D224" s="16"/>
      <c r="E224" s="17"/>
      <c r="F224" s="18"/>
      <c r="G224" s="15"/>
      <c r="H224" s="19"/>
      <c r="I224" s="137">
        <f>timediff(D224,E224,15)</f>
        <v>0</v>
      </c>
      <c r="J224" s="143">
        <f>IF(C224=1,0,I224-M224-L224-K224-F224-H224-G224)</f>
        <v>0</v>
      </c>
      <c r="K224" s="144">
        <f t="shared" ref="K224:K254" si="139">IF(C224=0,IF(時間外開始&lt;E224,timediff(時間外開始,E224,15)-M224-G224-H224,0),0)</f>
        <v>0</v>
      </c>
      <c r="L224" s="145">
        <f>IF(C224=1,$I224-F224-M224-H224,0)</f>
        <v>0</v>
      </c>
      <c r="M224" s="146">
        <f t="shared" ref="M224:M253" si="140">IF(深夜終了&lt;E224,timediff(深夜開始,深夜終了,15)-H224,IF(深夜開始&lt;E224,timediff(深夜開始,E224,15)-H224,0))</f>
        <v>0</v>
      </c>
      <c r="N224" s="147">
        <f>SUMIF(日報!B4:B691,$A224,日報!L4:L691)</f>
        <v>0</v>
      </c>
      <c r="O224" s="147">
        <f t="shared" ref="O224:O254" si="141">SUM(J224:M224)-N224</f>
        <v>0</v>
      </c>
      <c r="P224" s="151"/>
      <c r="Q224" s="42" t="str">
        <f t="shared" ref="Q224:Q253" si="142">IF(P224="不調","ここに症状を入力！","")</f>
        <v/>
      </c>
      <c r="R224" s="154"/>
      <c r="S224" s="10" t="str">
        <f t="shared" ref="S224:S253" si="143">IF(R224&lt;&gt;"","ここに理由を入力！","")</f>
        <v/>
      </c>
      <c r="T224" s="11"/>
      <c r="U224" s="12"/>
      <c r="V224" s="136"/>
      <c r="W224" s="16"/>
      <c r="X224" s="17"/>
      <c r="Y224" s="18"/>
      <c r="Z224" s="15"/>
      <c r="AA224" s="15"/>
      <c r="AB224" s="155">
        <f t="shared" ref="AB224:AB253" si="144">timediff(W224,X224,15)</f>
        <v>0</v>
      </c>
      <c r="AC224" s="157">
        <f>AB224-AF224-AE224-AD224-Y224-Z224-AA224</f>
        <v>0</v>
      </c>
      <c r="AD224" s="144">
        <f t="shared" ref="AD224:AD254" si="145">IF(C224=0,IF(時間外開始&lt;X224,timediff(時間外開始,X224,15)-AF224-Z224-AA224,0),0)</f>
        <v>0</v>
      </c>
      <c r="AE224" s="145">
        <f t="shared" ref="AE224:AE254" si="146">IF(C224=1,AB224-Y224-Z224-AA224,0)</f>
        <v>0</v>
      </c>
      <c r="AF224" s="146">
        <f t="shared" ref="AF224:AF253" si="147">IF(深夜終了&lt;X224,timediff(深夜開始,深夜終了,15)-AA224,IF(深夜開始&lt;X224,timediff(深夜開始,X224,15)-AA224,0))</f>
        <v>0</v>
      </c>
      <c r="AH224" s="274">
        <f>SUMIF(日報!$T$4:$T$885,TEXT(YEAR(A224),"0000")&amp;TEXT(MONTH(A224),"00")&amp;TEXT(DAY(A224),"00")&amp;"SCSK",日報!$L$4:$L$885)</f>
        <v>0</v>
      </c>
      <c r="AI224" s="275">
        <f t="shared" si="130"/>
        <v>0</v>
      </c>
    </row>
    <row r="225" spans="1:35" s="2" customFormat="1" outlineLevel="1" x14ac:dyDescent="0.15">
      <c r="A225" s="168">
        <f>A224+1</f>
        <v>44045</v>
      </c>
      <c r="B225" s="167">
        <f t="shared" ref="B225:B254" si="148">A225</f>
        <v>44045</v>
      </c>
      <c r="C225" s="32">
        <v>1</v>
      </c>
      <c r="D225" s="16"/>
      <c r="E225" s="17"/>
      <c r="F225" s="18"/>
      <c r="G225" s="15"/>
      <c r="H225" s="19"/>
      <c r="I225" s="137">
        <f t="shared" ref="I225:I253" si="149">timediff(D225,E225,15)</f>
        <v>0</v>
      </c>
      <c r="J225" s="143">
        <f t="shared" ref="J225:J253" si="150">IF(C225=1,0,I225-M225-L225-K225-F225-H225-G225)</f>
        <v>0</v>
      </c>
      <c r="K225" s="144">
        <f t="shared" si="139"/>
        <v>0</v>
      </c>
      <c r="L225" s="145">
        <f t="shared" ref="L225:L253" si="151">IF(C225=1,$I225-F225-M225-H225,0)</f>
        <v>0</v>
      </c>
      <c r="M225" s="146">
        <f t="shared" si="140"/>
        <v>0</v>
      </c>
      <c r="N225" s="147">
        <f>SUMIF(日報!B4:B691,$A225,日報!L4:L691)</f>
        <v>0</v>
      </c>
      <c r="O225" s="147">
        <f t="shared" si="141"/>
        <v>0</v>
      </c>
      <c r="P225" s="151"/>
      <c r="Q225" s="42" t="str">
        <f t="shared" si="142"/>
        <v/>
      </c>
      <c r="R225" s="154"/>
      <c r="S225" s="10" t="str">
        <f t="shared" si="143"/>
        <v/>
      </c>
      <c r="T225" s="11"/>
      <c r="U225" s="12"/>
      <c r="V225" s="136"/>
      <c r="W225" s="16"/>
      <c r="X225" s="17"/>
      <c r="Y225" s="18"/>
      <c r="Z225" s="15"/>
      <c r="AA225" s="15"/>
      <c r="AB225" s="155">
        <f t="shared" si="144"/>
        <v>0</v>
      </c>
      <c r="AC225" s="157">
        <f t="shared" ref="AC225:AC253" si="152">AB225-AF225-AE225-AD225-Y225-Z225-AA225</f>
        <v>0</v>
      </c>
      <c r="AD225" s="144">
        <f t="shared" si="145"/>
        <v>0</v>
      </c>
      <c r="AE225" s="145">
        <f t="shared" si="146"/>
        <v>0</v>
      </c>
      <c r="AF225" s="146">
        <f t="shared" si="147"/>
        <v>0</v>
      </c>
      <c r="AH225" s="274">
        <f>SUMIF(日報!$T$4:$T$885,TEXT(YEAR(A225),"0000")&amp;TEXT(MONTH(A225),"00")&amp;TEXT(DAY(A225),"00")&amp;"SCSK",日報!$L$4:$L$885)</f>
        <v>0</v>
      </c>
      <c r="AI225" s="275">
        <f t="shared" si="130"/>
        <v>0</v>
      </c>
    </row>
    <row r="226" spans="1:35" s="2" customFormat="1" outlineLevel="1" x14ac:dyDescent="0.15">
      <c r="A226" s="168">
        <f t="shared" ref="A226:A253" si="153">A225+1</f>
        <v>44046</v>
      </c>
      <c r="B226" s="167">
        <f t="shared" si="148"/>
        <v>44046</v>
      </c>
      <c r="C226" s="32"/>
      <c r="D226" s="16">
        <v>0.38541666666666669</v>
      </c>
      <c r="E226" s="17">
        <v>0.76041666666666663</v>
      </c>
      <c r="F226" s="18">
        <v>1</v>
      </c>
      <c r="G226" s="15"/>
      <c r="H226" s="19"/>
      <c r="I226" s="137">
        <f t="shared" si="149"/>
        <v>9</v>
      </c>
      <c r="J226" s="143">
        <f t="shared" si="150"/>
        <v>7.75</v>
      </c>
      <c r="K226" s="144">
        <f t="shared" si="139"/>
        <v>0.25</v>
      </c>
      <c r="L226" s="145">
        <f t="shared" si="151"/>
        <v>0</v>
      </c>
      <c r="M226" s="146">
        <f t="shared" si="140"/>
        <v>0</v>
      </c>
      <c r="N226" s="147">
        <f>SUMIF(日報!B4:B691,$A226,日報!L4:L691)</f>
        <v>8</v>
      </c>
      <c r="O226" s="147">
        <f t="shared" si="141"/>
        <v>0</v>
      </c>
      <c r="P226" s="151"/>
      <c r="Q226" s="42" t="str">
        <f t="shared" si="142"/>
        <v/>
      </c>
      <c r="R226" s="154"/>
      <c r="S226" s="10" t="str">
        <f t="shared" si="143"/>
        <v/>
      </c>
      <c r="T226" s="11"/>
      <c r="U226" s="12"/>
      <c r="V226" s="136"/>
      <c r="W226" s="16"/>
      <c r="X226" s="17"/>
      <c r="Y226" s="18"/>
      <c r="Z226" s="15"/>
      <c r="AA226" s="15"/>
      <c r="AB226" s="155">
        <f t="shared" si="144"/>
        <v>0</v>
      </c>
      <c r="AC226" s="157">
        <f t="shared" si="152"/>
        <v>0</v>
      </c>
      <c r="AD226" s="144">
        <f t="shared" si="145"/>
        <v>0</v>
      </c>
      <c r="AE226" s="145">
        <f t="shared" si="146"/>
        <v>0</v>
      </c>
      <c r="AF226" s="146">
        <f t="shared" si="147"/>
        <v>0</v>
      </c>
      <c r="AH226" s="274">
        <f>SUMIF(日報!$T$4:$T$885,TEXT(YEAR(A226),"0000")&amp;TEXT(MONTH(A226),"00")&amp;TEXT(DAY(A226),"00")&amp;"SCSK",日報!$L$4:$L$885)</f>
        <v>0</v>
      </c>
      <c r="AI226" s="275">
        <f t="shared" si="130"/>
        <v>8</v>
      </c>
    </row>
    <row r="227" spans="1:35" s="2" customFormat="1" outlineLevel="1" x14ac:dyDescent="0.15">
      <c r="A227" s="168">
        <f t="shared" si="153"/>
        <v>44047</v>
      </c>
      <c r="B227" s="167">
        <f t="shared" si="148"/>
        <v>44047</v>
      </c>
      <c r="C227" s="32"/>
      <c r="D227" s="16">
        <v>0.38541666666666669</v>
      </c>
      <c r="E227" s="17">
        <v>0.76041666666666663</v>
      </c>
      <c r="F227" s="18">
        <v>1</v>
      </c>
      <c r="G227" s="15"/>
      <c r="H227" s="19"/>
      <c r="I227" s="137">
        <f t="shared" si="149"/>
        <v>9</v>
      </c>
      <c r="J227" s="143">
        <f t="shared" si="150"/>
        <v>7.75</v>
      </c>
      <c r="K227" s="144">
        <f t="shared" si="139"/>
        <v>0.25</v>
      </c>
      <c r="L227" s="145">
        <f t="shared" si="151"/>
        <v>0</v>
      </c>
      <c r="M227" s="146">
        <f t="shared" si="140"/>
        <v>0</v>
      </c>
      <c r="N227" s="147">
        <f>SUMIF(日報!B4:B691,$A227,日報!L4:L691)</f>
        <v>8</v>
      </c>
      <c r="O227" s="147">
        <f t="shared" si="141"/>
        <v>0</v>
      </c>
      <c r="P227" s="151"/>
      <c r="Q227" s="42" t="str">
        <f t="shared" si="142"/>
        <v/>
      </c>
      <c r="R227" s="154"/>
      <c r="S227" s="10" t="str">
        <f t="shared" si="143"/>
        <v/>
      </c>
      <c r="T227" s="11"/>
      <c r="U227" s="12"/>
      <c r="V227" s="136"/>
      <c r="W227" s="16"/>
      <c r="X227" s="17"/>
      <c r="Y227" s="18"/>
      <c r="Z227" s="15"/>
      <c r="AA227" s="15"/>
      <c r="AB227" s="155">
        <f t="shared" si="144"/>
        <v>0</v>
      </c>
      <c r="AC227" s="157">
        <f t="shared" si="152"/>
        <v>0</v>
      </c>
      <c r="AD227" s="144">
        <f t="shared" si="145"/>
        <v>0</v>
      </c>
      <c r="AE227" s="145">
        <f t="shared" si="146"/>
        <v>0</v>
      </c>
      <c r="AF227" s="146">
        <f t="shared" si="147"/>
        <v>0</v>
      </c>
      <c r="AH227" s="274">
        <f>SUMIF(日報!$T$4:$T$885,TEXT(YEAR(A227),"0000")&amp;TEXT(MONTH(A227),"00")&amp;TEXT(DAY(A227),"00")&amp;"SCSK",日報!$L$4:$L$885)</f>
        <v>0</v>
      </c>
      <c r="AI227" s="275">
        <f t="shared" si="130"/>
        <v>8</v>
      </c>
    </row>
    <row r="228" spans="1:35" s="2" customFormat="1" outlineLevel="1" x14ac:dyDescent="0.15">
      <c r="A228" s="168">
        <f t="shared" si="153"/>
        <v>44048</v>
      </c>
      <c r="B228" s="167">
        <f t="shared" si="148"/>
        <v>44048</v>
      </c>
      <c r="C228" s="32"/>
      <c r="D228" s="16">
        <v>0.38541666666666669</v>
      </c>
      <c r="E228" s="17">
        <v>0.76041666666666663</v>
      </c>
      <c r="F228" s="18">
        <v>1</v>
      </c>
      <c r="G228" s="15"/>
      <c r="H228" s="19"/>
      <c r="I228" s="137">
        <f t="shared" si="149"/>
        <v>9</v>
      </c>
      <c r="J228" s="143">
        <f t="shared" si="150"/>
        <v>7.75</v>
      </c>
      <c r="K228" s="144">
        <f t="shared" si="139"/>
        <v>0.25</v>
      </c>
      <c r="L228" s="145">
        <f t="shared" si="151"/>
        <v>0</v>
      </c>
      <c r="M228" s="146">
        <f t="shared" si="140"/>
        <v>0</v>
      </c>
      <c r="N228" s="147">
        <f>SUMIF(日報!B4:B691,$A228,日報!L4:L691)</f>
        <v>8</v>
      </c>
      <c r="O228" s="147">
        <f t="shared" si="141"/>
        <v>0</v>
      </c>
      <c r="P228" s="151"/>
      <c r="Q228" s="42" t="str">
        <f t="shared" si="142"/>
        <v/>
      </c>
      <c r="R228" s="154"/>
      <c r="S228" s="10" t="str">
        <f t="shared" si="143"/>
        <v/>
      </c>
      <c r="T228" s="11"/>
      <c r="U228" s="12"/>
      <c r="V228" s="136"/>
      <c r="W228" s="16"/>
      <c r="X228" s="17"/>
      <c r="Y228" s="18"/>
      <c r="Z228" s="15"/>
      <c r="AA228" s="15"/>
      <c r="AB228" s="155">
        <f t="shared" si="144"/>
        <v>0</v>
      </c>
      <c r="AC228" s="157">
        <f t="shared" si="152"/>
        <v>0</v>
      </c>
      <c r="AD228" s="144">
        <f t="shared" si="145"/>
        <v>0</v>
      </c>
      <c r="AE228" s="145">
        <f t="shared" si="146"/>
        <v>0</v>
      </c>
      <c r="AF228" s="146">
        <f t="shared" si="147"/>
        <v>0</v>
      </c>
      <c r="AH228" s="274">
        <f>SUMIF(日報!$T$4:$T$885,TEXT(YEAR(A228),"0000")&amp;TEXT(MONTH(A228),"00")&amp;TEXT(DAY(A228),"00")&amp;"SCSK",日報!$L$4:$L$885)</f>
        <v>0</v>
      </c>
      <c r="AI228" s="275">
        <f t="shared" si="130"/>
        <v>8</v>
      </c>
    </row>
    <row r="229" spans="1:35" s="2" customFormat="1" outlineLevel="1" x14ac:dyDescent="0.15">
      <c r="A229" s="168">
        <f t="shared" si="153"/>
        <v>44049</v>
      </c>
      <c r="B229" s="167">
        <f t="shared" si="148"/>
        <v>44049</v>
      </c>
      <c r="C229" s="32"/>
      <c r="D229" s="16">
        <v>0.38541666666666669</v>
      </c>
      <c r="E229" s="17">
        <v>0.76041666666666663</v>
      </c>
      <c r="F229" s="18">
        <v>1</v>
      </c>
      <c r="G229" s="15"/>
      <c r="H229" s="19"/>
      <c r="I229" s="137">
        <f t="shared" si="149"/>
        <v>9</v>
      </c>
      <c r="J229" s="143">
        <f t="shared" si="150"/>
        <v>7.75</v>
      </c>
      <c r="K229" s="144">
        <f t="shared" si="139"/>
        <v>0.25</v>
      </c>
      <c r="L229" s="145">
        <f t="shared" si="151"/>
        <v>0</v>
      </c>
      <c r="M229" s="146">
        <f t="shared" si="140"/>
        <v>0</v>
      </c>
      <c r="N229" s="147">
        <f>SUMIF(日報!B4:B691,$A229,日報!L4:L691)</f>
        <v>8</v>
      </c>
      <c r="O229" s="147">
        <f t="shared" si="141"/>
        <v>0</v>
      </c>
      <c r="P229" s="151"/>
      <c r="Q229" s="42" t="str">
        <f t="shared" si="142"/>
        <v/>
      </c>
      <c r="R229" s="154"/>
      <c r="S229" s="10" t="str">
        <f t="shared" si="143"/>
        <v/>
      </c>
      <c r="T229" s="11"/>
      <c r="U229" s="12"/>
      <c r="V229" s="136"/>
      <c r="W229" s="16"/>
      <c r="X229" s="17"/>
      <c r="Y229" s="18"/>
      <c r="Z229" s="15"/>
      <c r="AA229" s="15"/>
      <c r="AB229" s="155">
        <f t="shared" si="144"/>
        <v>0</v>
      </c>
      <c r="AC229" s="157">
        <f t="shared" si="152"/>
        <v>0</v>
      </c>
      <c r="AD229" s="144">
        <f t="shared" si="145"/>
        <v>0</v>
      </c>
      <c r="AE229" s="145">
        <f t="shared" si="146"/>
        <v>0</v>
      </c>
      <c r="AF229" s="146">
        <f t="shared" si="147"/>
        <v>0</v>
      </c>
      <c r="AH229" s="274">
        <f>SUMIF(日報!$T$4:$T$885,TEXT(YEAR(A229),"0000")&amp;TEXT(MONTH(A229),"00")&amp;TEXT(DAY(A229),"00")&amp;"SCSK",日報!$L$4:$L$885)</f>
        <v>0</v>
      </c>
      <c r="AI229" s="275">
        <f t="shared" si="130"/>
        <v>8</v>
      </c>
    </row>
    <row r="230" spans="1:35" s="2" customFormat="1" outlineLevel="1" x14ac:dyDescent="0.15">
      <c r="A230" s="168">
        <f t="shared" si="153"/>
        <v>44050</v>
      </c>
      <c r="B230" s="167">
        <f t="shared" si="148"/>
        <v>44050</v>
      </c>
      <c r="C230" s="32"/>
      <c r="D230" s="16">
        <v>0.38541666666666669</v>
      </c>
      <c r="E230" s="17">
        <v>0.76041666666666663</v>
      </c>
      <c r="F230" s="18">
        <v>1</v>
      </c>
      <c r="G230" s="15"/>
      <c r="H230" s="19"/>
      <c r="I230" s="137">
        <f t="shared" si="149"/>
        <v>9</v>
      </c>
      <c r="J230" s="143">
        <f t="shared" si="150"/>
        <v>7.75</v>
      </c>
      <c r="K230" s="144">
        <f t="shared" si="139"/>
        <v>0.25</v>
      </c>
      <c r="L230" s="145">
        <f t="shared" si="151"/>
        <v>0</v>
      </c>
      <c r="M230" s="146">
        <f t="shared" si="140"/>
        <v>0</v>
      </c>
      <c r="N230" s="147">
        <f>SUMIF(日報!B4:B691,$A230,日報!L4:L691)</f>
        <v>8</v>
      </c>
      <c r="O230" s="147">
        <f t="shared" si="141"/>
        <v>0</v>
      </c>
      <c r="P230" s="151"/>
      <c r="Q230" s="42" t="str">
        <f t="shared" si="142"/>
        <v/>
      </c>
      <c r="R230" s="154"/>
      <c r="S230" s="10" t="str">
        <f t="shared" si="143"/>
        <v/>
      </c>
      <c r="T230" s="11"/>
      <c r="U230" s="12"/>
      <c r="V230" s="136"/>
      <c r="W230" s="16"/>
      <c r="X230" s="17"/>
      <c r="Y230" s="18"/>
      <c r="Z230" s="15"/>
      <c r="AA230" s="15"/>
      <c r="AB230" s="155">
        <f t="shared" si="144"/>
        <v>0</v>
      </c>
      <c r="AC230" s="157">
        <f t="shared" si="152"/>
        <v>0</v>
      </c>
      <c r="AD230" s="144">
        <f t="shared" si="145"/>
        <v>0</v>
      </c>
      <c r="AE230" s="145">
        <f t="shared" si="146"/>
        <v>0</v>
      </c>
      <c r="AF230" s="146">
        <f t="shared" si="147"/>
        <v>0</v>
      </c>
      <c r="AH230" s="274">
        <f>SUMIF(日報!$T$4:$T$885,TEXT(YEAR(A230),"0000")&amp;TEXT(MONTH(A230),"00")&amp;TEXT(DAY(A230),"00")&amp;"SCSK",日報!$L$4:$L$885)</f>
        <v>0</v>
      </c>
      <c r="AI230" s="275">
        <f t="shared" si="130"/>
        <v>8</v>
      </c>
    </row>
    <row r="231" spans="1:35" s="2" customFormat="1" outlineLevel="1" x14ac:dyDescent="0.15">
      <c r="A231" s="168">
        <f t="shared" si="153"/>
        <v>44051</v>
      </c>
      <c r="B231" s="167">
        <f t="shared" si="148"/>
        <v>44051</v>
      </c>
      <c r="C231" s="32">
        <v>1</v>
      </c>
      <c r="D231" s="16"/>
      <c r="E231" s="17"/>
      <c r="F231" s="18"/>
      <c r="G231" s="15"/>
      <c r="H231" s="19"/>
      <c r="I231" s="137">
        <f t="shared" si="149"/>
        <v>0</v>
      </c>
      <c r="J231" s="143">
        <f t="shared" si="150"/>
        <v>0</v>
      </c>
      <c r="K231" s="144">
        <f t="shared" si="139"/>
        <v>0</v>
      </c>
      <c r="L231" s="145">
        <f t="shared" si="151"/>
        <v>0</v>
      </c>
      <c r="M231" s="146">
        <f t="shared" si="140"/>
        <v>0</v>
      </c>
      <c r="N231" s="147">
        <f>SUMIF(日報!B4:B691,$A231,日報!L4:L691)</f>
        <v>0</v>
      </c>
      <c r="O231" s="147">
        <f t="shared" si="141"/>
        <v>0</v>
      </c>
      <c r="P231" s="151"/>
      <c r="Q231" s="42" t="str">
        <f t="shared" si="142"/>
        <v/>
      </c>
      <c r="R231" s="154"/>
      <c r="S231" s="10" t="str">
        <f t="shared" si="143"/>
        <v/>
      </c>
      <c r="T231" s="11"/>
      <c r="U231" s="12"/>
      <c r="V231" s="136"/>
      <c r="W231" s="16"/>
      <c r="X231" s="17"/>
      <c r="Y231" s="18"/>
      <c r="Z231" s="15"/>
      <c r="AA231" s="15"/>
      <c r="AB231" s="155">
        <f t="shared" si="144"/>
        <v>0</v>
      </c>
      <c r="AC231" s="157">
        <f t="shared" si="152"/>
        <v>0</v>
      </c>
      <c r="AD231" s="144">
        <f t="shared" si="145"/>
        <v>0</v>
      </c>
      <c r="AE231" s="145">
        <f t="shared" si="146"/>
        <v>0</v>
      </c>
      <c r="AF231" s="146">
        <f t="shared" si="147"/>
        <v>0</v>
      </c>
      <c r="AH231" s="274">
        <f>SUMIF(日報!$T$4:$T$885,TEXT(YEAR(A231),"0000")&amp;TEXT(MONTH(A231),"00")&amp;TEXT(DAY(A231),"00")&amp;"SCSK",日報!$L$4:$L$885)</f>
        <v>0</v>
      </c>
      <c r="AI231" s="275">
        <f t="shared" si="130"/>
        <v>0</v>
      </c>
    </row>
    <row r="232" spans="1:35" s="2" customFormat="1" outlineLevel="1" x14ac:dyDescent="0.15">
      <c r="A232" s="168">
        <f t="shared" si="153"/>
        <v>44052</v>
      </c>
      <c r="B232" s="167">
        <f t="shared" si="148"/>
        <v>44052</v>
      </c>
      <c r="C232" s="32">
        <v>1</v>
      </c>
      <c r="D232" s="16"/>
      <c r="E232" s="17"/>
      <c r="F232" s="18"/>
      <c r="G232" s="15"/>
      <c r="H232" s="19"/>
      <c r="I232" s="137">
        <f t="shared" si="149"/>
        <v>0</v>
      </c>
      <c r="J232" s="143">
        <f t="shared" si="150"/>
        <v>0</v>
      </c>
      <c r="K232" s="144">
        <f t="shared" si="139"/>
        <v>0</v>
      </c>
      <c r="L232" s="145">
        <f t="shared" si="151"/>
        <v>0</v>
      </c>
      <c r="M232" s="146">
        <f t="shared" si="140"/>
        <v>0</v>
      </c>
      <c r="N232" s="147">
        <f>SUMIF(日報!B4:B691,$A232,日報!L4:L691)</f>
        <v>0</v>
      </c>
      <c r="O232" s="147">
        <f t="shared" si="141"/>
        <v>0</v>
      </c>
      <c r="P232" s="151"/>
      <c r="Q232" s="42" t="str">
        <f t="shared" si="142"/>
        <v/>
      </c>
      <c r="R232" s="154"/>
      <c r="S232" s="10" t="str">
        <f t="shared" si="143"/>
        <v/>
      </c>
      <c r="T232" s="11"/>
      <c r="U232" s="12"/>
      <c r="V232" s="136"/>
      <c r="W232" s="16"/>
      <c r="X232" s="17"/>
      <c r="Y232" s="18"/>
      <c r="Z232" s="15"/>
      <c r="AA232" s="15"/>
      <c r="AB232" s="155">
        <f t="shared" si="144"/>
        <v>0</v>
      </c>
      <c r="AC232" s="157">
        <f t="shared" si="152"/>
        <v>0</v>
      </c>
      <c r="AD232" s="144">
        <f t="shared" si="145"/>
        <v>0</v>
      </c>
      <c r="AE232" s="145">
        <f t="shared" si="146"/>
        <v>0</v>
      </c>
      <c r="AF232" s="146">
        <f t="shared" si="147"/>
        <v>0</v>
      </c>
      <c r="AH232" s="274">
        <f>SUMIF(日報!$T$4:$T$885,TEXT(YEAR(A232),"0000")&amp;TEXT(MONTH(A232),"00")&amp;TEXT(DAY(A232),"00")&amp;"SCSK",日報!$L$4:$L$885)</f>
        <v>0</v>
      </c>
      <c r="AI232" s="275">
        <f t="shared" si="130"/>
        <v>0</v>
      </c>
    </row>
    <row r="233" spans="1:35" s="2" customFormat="1" outlineLevel="1" x14ac:dyDescent="0.15">
      <c r="A233" s="168">
        <f t="shared" si="153"/>
        <v>44053</v>
      </c>
      <c r="B233" s="167">
        <f t="shared" si="148"/>
        <v>44053</v>
      </c>
      <c r="C233" s="32">
        <v>1</v>
      </c>
      <c r="D233" s="16"/>
      <c r="E233" s="17"/>
      <c r="F233" s="18"/>
      <c r="G233" s="15"/>
      <c r="H233" s="19"/>
      <c r="I233" s="137">
        <f t="shared" si="149"/>
        <v>0</v>
      </c>
      <c r="J233" s="143">
        <f t="shared" si="150"/>
        <v>0</v>
      </c>
      <c r="K233" s="144">
        <f t="shared" si="139"/>
        <v>0</v>
      </c>
      <c r="L233" s="145">
        <f t="shared" si="151"/>
        <v>0</v>
      </c>
      <c r="M233" s="146">
        <f t="shared" si="140"/>
        <v>0</v>
      </c>
      <c r="N233" s="147">
        <f>SUMIF(日報!B4:B691,$A233,日報!L4:L691)</f>
        <v>0</v>
      </c>
      <c r="O233" s="147">
        <f t="shared" si="141"/>
        <v>0</v>
      </c>
      <c r="P233" s="151"/>
      <c r="Q233" s="42" t="str">
        <f t="shared" si="142"/>
        <v/>
      </c>
      <c r="R233" s="154"/>
      <c r="S233" s="10" t="str">
        <f t="shared" si="143"/>
        <v/>
      </c>
      <c r="T233" s="11"/>
      <c r="U233" s="12"/>
      <c r="V233" s="136"/>
      <c r="W233" s="16"/>
      <c r="X233" s="17"/>
      <c r="Y233" s="18"/>
      <c r="Z233" s="15"/>
      <c r="AA233" s="15"/>
      <c r="AB233" s="155">
        <f t="shared" si="144"/>
        <v>0</v>
      </c>
      <c r="AC233" s="157">
        <f t="shared" si="152"/>
        <v>0</v>
      </c>
      <c r="AD233" s="144">
        <f t="shared" si="145"/>
        <v>0</v>
      </c>
      <c r="AE233" s="145">
        <f t="shared" si="146"/>
        <v>0</v>
      </c>
      <c r="AF233" s="146">
        <f t="shared" si="147"/>
        <v>0</v>
      </c>
      <c r="AH233" s="274">
        <f>SUMIF(日報!$T$4:$T$885,TEXT(YEAR(A233),"0000")&amp;TEXT(MONTH(A233),"00")&amp;TEXT(DAY(A233),"00")&amp;"SCSK",日報!$L$4:$L$885)</f>
        <v>0</v>
      </c>
      <c r="AI233" s="275">
        <f t="shared" si="130"/>
        <v>0</v>
      </c>
    </row>
    <row r="234" spans="1:35" s="2" customFormat="1" outlineLevel="1" x14ac:dyDescent="0.15">
      <c r="A234" s="168">
        <f t="shared" si="153"/>
        <v>44054</v>
      </c>
      <c r="B234" s="167">
        <f t="shared" si="148"/>
        <v>44054</v>
      </c>
      <c r="C234" s="32"/>
      <c r="D234" s="16">
        <v>0.38541666666666669</v>
      </c>
      <c r="E234" s="17">
        <v>0.76041666666666663</v>
      </c>
      <c r="F234" s="18">
        <v>1</v>
      </c>
      <c r="G234" s="15"/>
      <c r="H234" s="19"/>
      <c r="I234" s="137">
        <f t="shared" si="149"/>
        <v>9</v>
      </c>
      <c r="J234" s="143">
        <f t="shared" si="150"/>
        <v>7.75</v>
      </c>
      <c r="K234" s="144">
        <f t="shared" si="139"/>
        <v>0.25</v>
      </c>
      <c r="L234" s="145">
        <f t="shared" si="151"/>
        <v>0</v>
      </c>
      <c r="M234" s="146">
        <f t="shared" si="140"/>
        <v>0</v>
      </c>
      <c r="N234" s="147">
        <f>SUMIF(日報!B4:B691,$A234,日報!L4:L691)</f>
        <v>8</v>
      </c>
      <c r="O234" s="147">
        <f t="shared" si="141"/>
        <v>0</v>
      </c>
      <c r="P234" s="151"/>
      <c r="Q234" s="42" t="str">
        <f t="shared" si="142"/>
        <v/>
      </c>
      <c r="R234" s="154"/>
      <c r="S234" s="10" t="str">
        <f t="shared" si="143"/>
        <v/>
      </c>
      <c r="T234" s="11"/>
      <c r="U234" s="12"/>
      <c r="V234" s="136"/>
      <c r="W234" s="16"/>
      <c r="X234" s="17"/>
      <c r="Y234" s="18"/>
      <c r="Z234" s="15"/>
      <c r="AA234" s="15"/>
      <c r="AB234" s="155">
        <f t="shared" si="144"/>
        <v>0</v>
      </c>
      <c r="AC234" s="157">
        <f t="shared" si="152"/>
        <v>0</v>
      </c>
      <c r="AD234" s="144">
        <f t="shared" si="145"/>
        <v>0</v>
      </c>
      <c r="AE234" s="145">
        <f t="shared" si="146"/>
        <v>0</v>
      </c>
      <c r="AF234" s="146">
        <f t="shared" si="147"/>
        <v>0</v>
      </c>
      <c r="AH234" s="274">
        <f>SUMIF(日報!$T$4:$T$885,TEXT(YEAR(A234),"0000")&amp;TEXT(MONTH(A234),"00")&amp;TEXT(DAY(A234),"00")&amp;"SCSK",日報!$L$4:$L$885)</f>
        <v>0</v>
      </c>
      <c r="AI234" s="275">
        <f t="shared" si="130"/>
        <v>8</v>
      </c>
    </row>
    <row r="235" spans="1:35" s="2" customFormat="1" outlineLevel="1" x14ac:dyDescent="0.15">
      <c r="A235" s="168">
        <f t="shared" si="153"/>
        <v>44055</v>
      </c>
      <c r="B235" s="167">
        <f t="shared" si="148"/>
        <v>44055</v>
      </c>
      <c r="C235" s="32"/>
      <c r="D235" s="16">
        <v>0.38541666666666669</v>
      </c>
      <c r="E235" s="17">
        <v>0.76041666666666663</v>
      </c>
      <c r="F235" s="18">
        <v>1</v>
      </c>
      <c r="G235" s="15">
        <v>2</v>
      </c>
      <c r="H235" s="19"/>
      <c r="I235" s="137">
        <f t="shared" si="149"/>
        <v>9</v>
      </c>
      <c r="J235" s="143">
        <f t="shared" si="150"/>
        <v>7.75</v>
      </c>
      <c r="K235" s="144">
        <f t="shared" si="139"/>
        <v>-1.75</v>
      </c>
      <c r="L235" s="145">
        <f t="shared" si="151"/>
        <v>0</v>
      </c>
      <c r="M235" s="146">
        <f t="shared" si="140"/>
        <v>0</v>
      </c>
      <c r="N235" s="147">
        <f>SUMIF(日報!B4:B691,$A235,日報!L4:L691)</f>
        <v>6</v>
      </c>
      <c r="O235" s="147">
        <f t="shared" si="141"/>
        <v>0</v>
      </c>
      <c r="P235" s="151"/>
      <c r="Q235" s="42" t="str">
        <f t="shared" si="142"/>
        <v/>
      </c>
      <c r="R235" s="154"/>
      <c r="S235" s="10" t="str">
        <f t="shared" si="143"/>
        <v/>
      </c>
      <c r="T235" s="11"/>
      <c r="U235" s="12"/>
      <c r="V235" s="136"/>
      <c r="W235" s="16"/>
      <c r="X235" s="17"/>
      <c r="Y235" s="18"/>
      <c r="Z235" s="15"/>
      <c r="AA235" s="15"/>
      <c r="AB235" s="155">
        <f t="shared" si="144"/>
        <v>0</v>
      </c>
      <c r="AC235" s="157">
        <f t="shared" si="152"/>
        <v>0</v>
      </c>
      <c r="AD235" s="144">
        <f t="shared" si="145"/>
        <v>0</v>
      </c>
      <c r="AE235" s="145">
        <f t="shared" si="146"/>
        <v>0</v>
      </c>
      <c r="AF235" s="146">
        <f t="shared" si="147"/>
        <v>0</v>
      </c>
      <c r="AH235" s="274">
        <f>SUMIF(日報!$T$4:$T$885,TEXT(YEAR(A235),"0000")&amp;TEXT(MONTH(A235),"00")&amp;TEXT(DAY(A235),"00")&amp;"SCSK",日報!$L$4:$L$885)</f>
        <v>0</v>
      </c>
      <c r="AI235" s="275">
        <f t="shared" si="130"/>
        <v>6</v>
      </c>
    </row>
    <row r="236" spans="1:35" s="2" customFormat="1" outlineLevel="1" x14ac:dyDescent="0.15">
      <c r="A236" s="168">
        <f t="shared" si="153"/>
        <v>44056</v>
      </c>
      <c r="B236" s="167">
        <f t="shared" si="148"/>
        <v>44056</v>
      </c>
      <c r="C236" s="32"/>
      <c r="D236" s="16">
        <v>0.38541666666666669</v>
      </c>
      <c r="E236" s="17">
        <v>0.76041666666666663</v>
      </c>
      <c r="F236" s="18">
        <v>1</v>
      </c>
      <c r="G236" s="15"/>
      <c r="H236" s="19"/>
      <c r="I236" s="137">
        <f t="shared" si="149"/>
        <v>9</v>
      </c>
      <c r="J236" s="143">
        <f t="shared" si="150"/>
        <v>7.75</v>
      </c>
      <c r="K236" s="144">
        <f t="shared" si="139"/>
        <v>0.25</v>
      </c>
      <c r="L236" s="145">
        <f t="shared" si="151"/>
        <v>0</v>
      </c>
      <c r="M236" s="146">
        <f t="shared" si="140"/>
        <v>0</v>
      </c>
      <c r="N236" s="147">
        <f>SUMIF(日報!B4:B691,$A236,日報!L4:L691)</f>
        <v>8</v>
      </c>
      <c r="O236" s="147">
        <f t="shared" si="141"/>
        <v>0</v>
      </c>
      <c r="P236" s="151"/>
      <c r="Q236" s="42" t="str">
        <f t="shared" si="142"/>
        <v/>
      </c>
      <c r="R236" s="154"/>
      <c r="S236" s="10" t="str">
        <f t="shared" si="143"/>
        <v/>
      </c>
      <c r="T236" s="11"/>
      <c r="U236" s="12"/>
      <c r="V236" s="136"/>
      <c r="W236" s="16"/>
      <c r="X236" s="17"/>
      <c r="Y236" s="18"/>
      <c r="Z236" s="15"/>
      <c r="AA236" s="15"/>
      <c r="AB236" s="155">
        <f t="shared" si="144"/>
        <v>0</v>
      </c>
      <c r="AC236" s="157">
        <f t="shared" si="152"/>
        <v>0</v>
      </c>
      <c r="AD236" s="144">
        <f t="shared" si="145"/>
        <v>0</v>
      </c>
      <c r="AE236" s="145">
        <f t="shared" si="146"/>
        <v>0</v>
      </c>
      <c r="AF236" s="146">
        <f t="shared" si="147"/>
        <v>0</v>
      </c>
      <c r="AH236" s="274">
        <f>SUMIF(日報!$T$4:$T$885,TEXT(YEAR(A236),"0000")&amp;TEXT(MONTH(A236),"00")&amp;TEXT(DAY(A236),"00")&amp;"SCSK",日報!$L$4:$L$885)</f>
        <v>0</v>
      </c>
      <c r="AI236" s="275">
        <f t="shared" si="130"/>
        <v>8</v>
      </c>
    </row>
    <row r="237" spans="1:35" s="2" customFormat="1" outlineLevel="1" x14ac:dyDescent="0.15">
      <c r="A237" s="168">
        <f t="shared" si="153"/>
        <v>44057</v>
      </c>
      <c r="B237" s="167">
        <f t="shared" si="148"/>
        <v>44057</v>
      </c>
      <c r="C237" s="32"/>
      <c r="D237" s="16"/>
      <c r="E237" s="17"/>
      <c r="F237" s="18"/>
      <c r="G237" s="15"/>
      <c r="H237" s="19"/>
      <c r="I237" s="137">
        <f t="shared" si="149"/>
        <v>0</v>
      </c>
      <c r="J237" s="143">
        <f t="shared" si="150"/>
        <v>0</v>
      </c>
      <c r="K237" s="144">
        <f t="shared" si="139"/>
        <v>0</v>
      </c>
      <c r="L237" s="145">
        <f t="shared" si="151"/>
        <v>0</v>
      </c>
      <c r="M237" s="146">
        <f t="shared" si="140"/>
        <v>0</v>
      </c>
      <c r="N237" s="147">
        <f>SUMIF(日報!B4:B691,$A237,日報!L4:L691)</f>
        <v>0</v>
      </c>
      <c r="O237" s="147">
        <f t="shared" si="141"/>
        <v>0</v>
      </c>
      <c r="P237" s="151"/>
      <c r="Q237" s="42" t="str">
        <f t="shared" si="142"/>
        <v/>
      </c>
      <c r="R237" s="154"/>
      <c r="S237" s="10" t="str">
        <f t="shared" si="143"/>
        <v/>
      </c>
      <c r="T237" s="11"/>
      <c r="U237" s="12"/>
      <c r="V237" s="136"/>
      <c r="W237" s="16"/>
      <c r="X237" s="17"/>
      <c r="Y237" s="18"/>
      <c r="Z237" s="15"/>
      <c r="AA237" s="15"/>
      <c r="AB237" s="155">
        <f t="shared" si="144"/>
        <v>0</v>
      </c>
      <c r="AC237" s="157">
        <f t="shared" si="152"/>
        <v>0</v>
      </c>
      <c r="AD237" s="144">
        <f t="shared" si="145"/>
        <v>0</v>
      </c>
      <c r="AE237" s="145">
        <f t="shared" si="146"/>
        <v>0</v>
      </c>
      <c r="AF237" s="146">
        <f t="shared" si="147"/>
        <v>0</v>
      </c>
      <c r="AH237" s="274">
        <f>SUMIF(日報!$T$4:$T$885,TEXT(YEAR(A237),"0000")&amp;TEXT(MONTH(A237),"00")&amp;TEXT(DAY(A237),"00")&amp;"SCSK",日報!$L$4:$L$885)</f>
        <v>0</v>
      </c>
      <c r="AI237" s="275">
        <f t="shared" si="130"/>
        <v>0</v>
      </c>
    </row>
    <row r="238" spans="1:35" s="2" customFormat="1" outlineLevel="1" x14ac:dyDescent="0.15">
      <c r="A238" s="168">
        <f t="shared" si="153"/>
        <v>44058</v>
      </c>
      <c r="B238" s="167">
        <f t="shared" si="148"/>
        <v>44058</v>
      </c>
      <c r="C238" s="32">
        <v>1</v>
      </c>
      <c r="D238" s="16"/>
      <c r="E238" s="17"/>
      <c r="F238" s="18"/>
      <c r="G238" s="15"/>
      <c r="H238" s="19"/>
      <c r="I238" s="137">
        <f t="shared" si="149"/>
        <v>0</v>
      </c>
      <c r="J238" s="143">
        <f t="shared" si="150"/>
        <v>0</v>
      </c>
      <c r="K238" s="144">
        <f t="shared" si="139"/>
        <v>0</v>
      </c>
      <c r="L238" s="145">
        <f t="shared" si="151"/>
        <v>0</v>
      </c>
      <c r="M238" s="146">
        <f t="shared" si="140"/>
        <v>0</v>
      </c>
      <c r="N238" s="147">
        <f>SUMIF(日報!B4:B691,$A238,日報!L4:L691)</f>
        <v>0</v>
      </c>
      <c r="O238" s="147">
        <f t="shared" si="141"/>
        <v>0</v>
      </c>
      <c r="P238" s="151"/>
      <c r="Q238" s="42" t="str">
        <f t="shared" si="142"/>
        <v/>
      </c>
      <c r="R238" s="154"/>
      <c r="S238" s="10" t="str">
        <f t="shared" si="143"/>
        <v/>
      </c>
      <c r="T238" s="11"/>
      <c r="U238" s="12"/>
      <c r="V238" s="136"/>
      <c r="W238" s="16"/>
      <c r="X238" s="17"/>
      <c r="Y238" s="18"/>
      <c r="Z238" s="15"/>
      <c r="AA238" s="15"/>
      <c r="AB238" s="155">
        <f t="shared" si="144"/>
        <v>0</v>
      </c>
      <c r="AC238" s="157">
        <f t="shared" si="152"/>
        <v>0</v>
      </c>
      <c r="AD238" s="144">
        <f t="shared" si="145"/>
        <v>0</v>
      </c>
      <c r="AE238" s="145">
        <f t="shared" si="146"/>
        <v>0</v>
      </c>
      <c r="AF238" s="146">
        <f t="shared" si="147"/>
        <v>0</v>
      </c>
      <c r="AH238" s="274">
        <f>SUMIF(日報!$T$4:$T$885,TEXT(YEAR(A238),"0000")&amp;TEXT(MONTH(A238),"00")&amp;TEXT(DAY(A238),"00")&amp;"SCSK",日報!$L$4:$L$885)</f>
        <v>0</v>
      </c>
      <c r="AI238" s="275">
        <f t="shared" si="130"/>
        <v>0</v>
      </c>
    </row>
    <row r="239" spans="1:35" s="2" customFormat="1" outlineLevel="1" x14ac:dyDescent="0.15">
      <c r="A239" s="168">
        <f t="shared" si="153"/>
        <v>44059</v>
      </c>
      <c r="B239" s="167">
        <f t="shared" si="148"/>
        <v>44059</v>
      </c>
      <c r="C239" s="32">
        <v>1</v>
      </c>
      <c r="D239" s="16"/>
      <c r="E239" s="17"/>
      <c r="F239" s="18"/>
      <c r="G239" s="15"/>
      <c r="H239" s="19"/>
      <c r="I239" s="137">
        <f t="shared" si="149"/>
        <v>0</v>
      </c>
      <c r="J239" s="143">
        <f t="shared" si="150"/>
        <v>0</v>
      </c>
      <c r="K239" s="144">
        <f t="shared" si="139"/>
        <v>0</v>
      </c>
      <c r="L239" s="145">
        <f t="shared" si="151"/>
        <v>0</v>
      </c>
      <c r="M239" s="146">
        <f t="shared" si="140"/>
        <v>0</v>
      </c>
      <c r="N239" s="147">
        <f>SUMIF(日報!B4:B691,$A239,日報!L4:L691)</f>
        <v>0</v>
      </c>
      <c r="O239" s="147">
        <f t="shared" si="141"/>
        <v>0</v>
      </c>
      <c r="P239" s="151"/>
      <c r="Q239" s="42" t="str">
        <f t="shared" si="142"/>
        <v/>
      </c>
      <c r="R239" s="154"/>
      <c r="S239" s="10" t="str">
        <f t="shared" si="143"/>
        <v/>
      </c>
      <c r="T239" s="11"/>
      <c r="U239" s="12"/>
      <c r="V239" s="136"/>
      <c r="W239" s="16"/>
      <c r="X239" s="17"/>
      <c r="Y239" s="18"/>
      <c r="Z239" s="15"/>
      <c r="AA239" s="15"/>
      <c r="AB239" s="155">
        <f t="shared" si="144"/>
        <v>0</v>
      </c>
      <c r="AC239" s="157">
        <f t="shared" si="152"/>
        <v>0</v>
      </c>
      <c r="AD239" s="144">
        <f t="shared" si="145"/>
        <v>0</v>
      </c>
      <c r="AE239" s="145">
        <f t="shared" si="146"/>
        <v>0</v>
      </c>
      <c r="AF239" s="146">
        <f t="shared" si="147"/>
        <v>0</v>
      </c>
      <c r="AH239" s="274">
        <f>SUMIF(日報!$T$4:$T$885,TEXT(YEAR(A239),"0000")&amp;TEXT(MONTH(A239),"00")&amp;TEXT(DAY(A239),"00")&amp;"SCSK",日報!$L$4:$L$885)</f>
        <v>0</v>
      </c>
      <c r="AI239" s="275">
        <f t="shared" si="130"/>
        <v>0</v>
      </c>
    </row>
    <row r="240" spans="1:35" s="2" customFormat="1" outlineLevel="1" x14ac:dyDescent="0.15">
      <c r="A240" s="168">
        <f t="shared" si="153"/>
        <v>44060</v>
      </c>
      <c r="B240" s="167">
        <f t="shared" si="148"/>
        <v>44060</v>
      </c>
      <c r="C240" s="32"/>
      <c r="D240" s="16">
        <v>0.38541666666666669</v>
      </c>
      <c r="E240" s="17">
        <v>0.76041666666666663</v>
      </c>
      <c r="F240" s="18">
        <v>1</v>
      </c>
      <c r="G240" s="15"/>
      <c r="H240" s="19"/>
      <c r="I240" s="137">
        <f t="shared" si="149"/>
        <v>9</v>
      </c>
      <c r="J240" s="143">
        <f t="shared" si="150"/>
        <v>7.75</v>
      </c>
      <c r="K240" s="144">
        <f t="shared" si="139"/>
        <v>0.25</v>
      </c>
      <c r="L240" s="145">
        <f t="shared" si="151"/>
        <v>0</v>
      </c>
      <c r="M240" s="146">
        <f t="shared" si="140"/>
        <v>0</v>
      </c>
      <c r="N240" s="147">
        <f>SUMIF(日報!B4:B691,$A240,日報!L4:L691)</f>
        <v>8</v>
      </c>
      <c r="O240" s="147">
        <f t="shared" si="141"/>
        <v>0</v>
      </c>
      <c r="P240" s="151"/>
      <c r="Q240" s="42" t="str">
        <f t="shared" si="142"/>
        <v/>
      </c>
      <c r="R240" s="154"/>
      <c r="S240" s="10" t="str">
        <f t="shared" si="143"/>
        <v/>
      </c>
      <c r="T240" s="11"/>
      <c r="U240" s="12"/>
      <c r="V240" s="136"/>
      <c r="W240" s="16"/>
      <c r="X240" s="17"/>
      <c r="Y240" s="18"/>
      <c r="Z240" s="15"/>
      <c r="AA240" s="15"/>
      <c r="AB240" s="155">
        <f t="shared" si="144"/>
        <v>0</v>
      </c>
      <c r="AC240" s="157">
        <f t="shared" si="152"/>
        <v>0</v>
      </c>
      <c r="AD240" s="144">
        <f t="shared" si="145"/>
        <v>0</v>
      </c>
      <c r="AE240" s="145">
        <f t="shared" si="146"/>
        <v>0</v>
      </c>
      <c r="AF240" s="146">
        <f t="shared" si="147"/>
        <v>0</v>
      </c>
      <c r="AH240" s="274">
        <f>SUMIF(日報!$T$4:$T$885,TEXT(YEAR(A240),"0000")&amp;TEXT(MONTH(A240),"00")&amp;TEXT(DAY(A240),"00")&amp;"SCSK",日報!$L$4:$L$885)</f>
        <v>0</v>
      </c>
      <c r="AI240" s="275">
        <f t="shared" si="130"/>
        <v>8</v>
      </c>
    </row>
    <row r="241" spans="1:35" s="2" customFormat="1" outlineLevel="1" x14ac:dyDescent="0.15">
      <c r="A241" s="168">
        <f t="shared" si="153"/>
        <v>44061</v>
      </c>
      <c r="B241" s="167">
        <f t="shared" si="148"/>
        <v>44061</v>
      </c>
      <c r="C241" s="32"/>
      <c r="D241" s="16">
        <v>0.38541666666666669</v>
      </c>
      <c r="E241" s="17">
        <v>0.76041666666666663</v>
      </c>
      <c r="F241" s="18">
        <v>1</v>
      </c>
      <c r="G241" s="15"/>
      <c r="H241" s="19"/>
      <c r="I241" s="137">
        <f t="shared" si="149"/>
        <v>9</v>
      </c>
      <c r="J241" s="143">
        <f t="shared" si="150"/>
        <v>7.75</v>
      </c>
      <c r="K241" s="144">
        <f t="shared" si="139"/>
        <v>0.25</v>
      </c>
      <c r="L241" s="145">
        <f t="shared" si="151"/>
        <v>0</v>
      </c>
      <c r="M241" s="146">
        <f t="shared" si="140"/>
        <v>0</v>
      </c>
      <c r="N241" s="147">
        <f>SUMIF(日報!B4:B691,$A241,日報!L4:L691)</f>
        <v>8</v>
      </c>
      <c r="O241" s="147">
        <f t="shared" si="141"/>
        <v>0</v>
      </c>
      <c r="P241" s="151"/>
      <c r="Q241" s="42" t="str">
        <f t="shared" si="142"/>
        <v/>
      </c>
      <c r="R241" s="154"/>
      <c r="S241" s="10" t="str">
        <f t="shared" si="143"/>
        <v/>
      </c>
      <c r="T241" s="11"/>
      <c r="U241" s="12"/>
      <c r="V241" s="136"/>
      <c r="W241" s="16"/>
      <c r="X241" s="17"/>
      <c r="Y241" s="18"/>
      <c r="Z241" s="15"/>
      <c r="AA241" s="15"/>
      <c r="AB241" s="155">
        <f t="shared" si="144"/>
        <v>0</v>
      </c>
      <c r="AC241" s="157">
        <f t="shared" si="152"/>
        <v>0</v>
      </c>
      <c r="AD241" s="144">
        <f t="shared" si="145"/>
        <v>0</v>
      </c>
      <c r="AE241" s="145">
        <f t="shared" si="146"/>
        <v>0</v>
      </c>
      <c r="AF241" s="146">
        <f t="shared" si="147"/>
        <v>0</v>
      </c>
      <c r="AH241" s="274">
        <f>SUMIF(日報!$T$4:$T$885,TEXT(YEAR(A241),"0000")&amp;TEXT(MONTH(A241),"00")&amp;TEXT(DAY(A241),"00")&amp;"SCSK",日報!$L$4:$L$885)</f>
        <v>0</v>
      </c>
      <c r="AI241" s="275">
        <f t="shared" si="130"/>
        <v>8</v>
      </c>
    </row>
    <row r="242" spans="1:35" s="2" customFormat="1" outlineLevel="1" x14ac:dyDescent="0.15">
      <c r="A242" s="168">
        <f t="shared" si="153"/>
        <v>44062</v>
      </c>
      <c r="B242" s="167">
        <f t="shared" si="148"/>
        <v>44062</v>
      </c>
      <c r="C242" s="32"/>
      <c r="D242" s="16">
        <v>0.38541666666666669</v>
      </c>
      <c r="E242" s="17">
        <v>0.76041666666666663</v>
      </c>
      <c r="F242" s="18">
        <v>1</v>
      </c>
      <c r="G242" s="15"/>
      <c r="H242" s="19"/>
      <c r="I242" s="137">
        <f t="shared" si="149"/>
        <v>9</v>
      </c>
      <c r="J242" s="143">
        <f t="shared" si="150"/>
        <v>7.75</v>
      </c>
      <c r="K242" s="144">
        <f t="shared" si="139"/>
        <v>0.25</v>
      </c>
      <c r="L242" s="145">
        <f t="shared" si="151"/>
        <v>0</v>
      </c>
      <c r="M242" s="146">
        <f t="shared" si="140"/>
        <v>0</v>
      </c>
      <c r="N242" s="147">
        <f>SUMIF(日報!B4:B691,$A242,日報!L4:L691)</f>
        <v>8</v>
      </c>
      <c r="O242" s="147">
        <f t="shared" si="141"/>
        <v>0</v>
      </c>
      <c r="P242" s="151"/>
      <c r="Q242" s="42" t="str">
        <f t="shared" si="142"/>
        <v/>
      </c>
      <c r="R242" s="154"/>
      <c r="S242" s="10" t="str">
        <f t="shared" si="143"/>
        <v/>
      </c>
      <c r="T242" s="11"/>
      <c r="U242" s="12"/>
      <c r="V242" s="136"/>
      <c r="W242" s="16"/>
      <c r="X242" s="17"/>
      <c r="Y242" s="18"/>
      <c r="Z242" s="15"/>
      <c r="AA242" s="15"/>
      <c r="AB242" s="155">
        <f t="shared" si="144"/>
        <v>0</v>
      </c>
      <c r="AC242" s="157">
        <f t="shared" si="152"/>
        <v>0</v>
      </c>
      <c r="AD242" s="144">
        <f t="shared" si="145"/>
        <v>0</v>
      </c>
      <c r="AE242" s="145">
        <f t="shared" si="146"/>
        <v>0</v>
      </c>
      <c r="AF242" s="146">
        <f t="shared" si="147"/>
        <v>0</v>
      </c>
      <c r="AH242" s="274">
        <f>SUMIF(日報!$T$4:$T$885,TEXT(YEAR(A242),"0000")&amp;TEXT(MONTH(A242),"00")&amp;TEXT(DAY(A242),"00")&amp;"SCSK",日報!$L$4:$L$885)</f>
        <v>0</v>
      </c>
      <c r="AI242" s="275">
        <f t="shared" si="130"/>
        <v>8</v>
      </c>
    </row>
    <row r="243" spans="1:35" s="2" customFormat="1" outlineLevel="1" x14ac:dyDescent="0.15">
      <c r="A243" s="168">
        <f t="shared" si="153"/>
        <v>44063</v>
      </c>
      <c r="B243" s="167">
        <f t="shared" si="148"/>
        <v>44063</v>
      </c>
      <c r="C243" s="32"/>
      <c r="D243" s="16">
        <v>0.38541666666666669</v>
      </c>
      <c r="E243" s="17">
        <v>0.76041666666666663</v>
      </c>
      <c r="F243" s="18">
        <v>1</v>
      </c>
      <c r="G243" s="15"/>
      <c r="H243" s="19"/>
      <c r="I243" s="137">
        <f t="shared" si="149"/>
        <v>9</v>
      </c>
      <c r="J243" s="143">
        <f t="shared" si="150"/>
        <v>7.75</v>
      </c>
      <c r="K243" s="144">
        <f t="shared" si="139"/>
        <v>0.25</v>
      </c>
      <c r="L243" s="145">
        <f t="shared" si="151"/>
        <v>0</v>
      </c>
      <c r="M243" s="146">
        <f t="shared" si="140"/>
        <v>0</v>
      </c>
      <c r="N243" s="147">
        <f>SUMIF(日報!B4:B691,$A243,日報!L4:L691)</f>
        <v>8</v>
      </c>
      <c r="O243" s="147">
        <f t="shared" si="141"/>
        <v>0</v>
      </c>
      <c r="P243" s="151"/>
      <c r="Q243" s="42" t="str">
        <f t="shared" si="142"/>
        <v/>
      </c>
      <c r="R243" s="154"/>
      <c r="S243" s="10" t="str">
        <f t="shared" si="143"/>
        <v/>
      </c>
      <c r="T243" s="11"/>
      <c r="U243" s="12"/>
      <c r="V243" s="136"/>
      <c r="W243" s="16"/>
      <c r="X243" s="17"/>
      <c r="Y243" s="18"/>
      <c r="Z243" s="15"/>
      <c r="AA243" s="15"/>
      <c r="AB243" s="155">
        <f t="shared" si="144"/>
        <v>0</v>
      </c>
      <c r="AC243" s="157">
        <f t="shared" si="152"/>
        <v>0</v>
      </c>
      <c r="AD243" s="144">
        <f t="shared" si="145"/>
        <v>0</v>
      </c>
      <c r="AE243" s="145">
        <f t="shared" si="146"/>
        <v>0</v>
      </c>
      <c r="AF243" s="146">
        <f t="shared" si="147"/>
        <v>0</v>
      </c>
      <c r="AH243" s="274">
        <f>SUMIF(日報!$T$4:$T$885,TEXT(YEAR(A243),"0000")&amp;TEXT(MONTH(A243),"00")&amp;TEXT(DAY(A243),"00")&amp;"SCSK",日報!$L$4:$L$885)</f>
        <v>0</v>
      </c>
      <c r="AI243" s="275">
        <f t="shared" si="130"/>
        <v>8</v>
      </c>
    </row>
    <row r="244" spans="1:35" s="2" customFormat="1" outlineLevel="1" x14ac:dyDescent="0.15">
      <c r="A244" s="168">
        <f t="shared" si="153"/>
        <v>44064</v>
      </c>
      <c r="B244" s="167">
        <f t="shared" si="148"/>
        <v>44064</v>
      </c>
      <c r="C244" s="32"/>
      <c r="D244" s="16">
        <v>0.38541666666666669</v>
      </c>
      <c r="E244" s="17">
        <v>0.76041666666666663</v>
      </c>
      <c r="F244" s="18">
        <v>1</v>
      </c>
      <c r="G244" s="15"/>
      <c r="H244" s="19"/>
      <c r="I244" s="137">
        <f t="shared" si="149"/>
        <v>9</v>
      </c>
      <c r="J244" s="143">
        <f t="shared" si="150"/>
        <v>7.75</v>
      </c>
      <c r="K244" s="144">
        <f t="shared" si="139"/>
        <v>0.25</v>
      </c>
      <c r="L244" s="145">
        <f t="shared" si="151"/>
        <v>0</v>
      </c>
      <c r="M244" s="146">
        <f t="shared" si="140"/>
        <v>0</v>
      </c>
      <c r="N244" s="147">
        <f>SUMIF(日報!B4:B691,$A244,日報!L4:L691)</f>
        <v>8</v>
      </c>
      <c r="O244" s="147">
        <f t="shared" si="141"/>
        <v>0</v>
      </c>
      <c r="P244" s="151"/>
      <c r="Q244" s="42" t="str">
        <f t="shared" si="142"/>
        <v/>
      </c>
      <c r="R244" s="154"/>
      <c r="S244" s="10" t="str">
        <f t="shared" si="143"/>
        <v/>
      </c>
      <c r="T244" s="11"/>
      <c r="U244" s="12"/>
      <c r="V244" s="136"/>
      <c r="W244" s="16"/>
      <c r="X244" s="17"/>
      <c r="Y244" s="18"/>
      <c r="Z244" s="15"/>
      <c r="AA244" s="15"/>
      <c r="AB244" s="155">
        <f t="shared" si="144"/>
        <v>0</v>
      </c>
      <c r="AC244" s="157">
        <f t="shared" si="152"/>
        <v>0</v>
      </c>
      <c r="AD244" s="144">
        <f t="shared" si="145"/>
        <v>0</v>
      </c>
      <c r="AE244" s="145">
        <f t="shared" si="146"/>
        <v>0</v>
      </c>
      <c r="AF244" s="146">
        <f t="shared" si="147"/>
        <v>0</v>
      </c>
      <c r="AH244" s="274">
        <f>SUMIF(日報!$T$4:$T$885,TEXT(YEAR(A244),"0000")&amp;TEXT(MONTH(A244),"00")&amp;TEXT(DAY(A244),"00")&amp;"SCSK",日報!$L$4:$L$885)</f>
        <v>0</v>
      </c>
      <c r="AI244" s="275">
        <f t="shared" si="130"/>
        <v>8</v>
      </c>
    </row>
    <row r="245" spans="1:35" s="2" customFormat="1" outlineLevel="1" x14ac:dyDescent="0.15">
      <c r="A245" s="168">
        <f t="shared" si="153"/>
        <v>44065</v>
      </c>
      <c r="B245" s="167">
        <f t="shared" si="148"/>
        <v>44065</v>
      </c>
      <c r="C245" s="32">
        <v>1</v>
      </c>
      <c r="D245" s="16"/>
      <c r="E245" s="17"/>
      <c r="F245" s="18"/>
      <c r="G245" s="15"/>
      <c r="H245" s="19"/>
      <c r="I245" s="137">
        <f t="shared" si="149"/>
        <v>0</v>
      </c>
      <c r="J245" s="143">
        <f t="shared" si="150"/>
        <v>0</v>
      </c>
      <c r="K245" s="144">
        <f t="shared" si="139"/>
        <v>0</v>
      </c>
      <c r="L245" s="145">
        <f t="shared" si="151"/>
        <v>0</v>
      </c>
      <c r="M245" s="146">
        <f t="shared" si="140"/>
        <v>0</v>
      </c>
      <c r="N245" s="147">
        <f>SUMIF(日報!B4:B691,$A245,日報!L4:L691)</f>
        <v>0</v>
      </c>
      <c r="O245" s="147">
        <f t="shared" si="141"/>
        <v>0</v>
      </c>
      <c r="P245" s="151"/>
      <c r="Q245" s="42" t="str">
        <f t="shared" si="142"/>
        <v/>
      </c>
      <c r="R245" s="154"/>
      <c r="S245" s="10" t="str">
        <f t="shared" si="143"/>
        <v/>
      </c>
      <c r="T245" s="11"/>
      <c r="U245" s="12"/>
      <c r="V245" s="136"/>
      <c r="W245" s="16"/>
      <c r="X245" s="17"/>
      <c r="Y245" s="18"/>
      <c r="Z245" s="15"/>
      <c r="AA245" s="15"/>
      <c r="AB245" s="155">
        <f t="shared" si="144"/>
        <v>0</v>
      </c>
      <c r="AC245" s="157">
        <f t="shared" si="152"/>
        <v>0</v>
      </c>
      <c r="AD245" s="144">
        <f t="shared" si="145"/>
        <v>0</v>
      </c>
      <c r="AE245" s="145">
        <f t="shared" si="146"/>
        <v>0</v>
      </c>
      <c r="AF245" s="146">
        <f t="shared" si="147"/>
        <v>0</v>
      </c>
      <c r="AH245" s="274">
        <f>SUMIF(日報!$T$4:$T$885,TEXT(YEAR(A245),"0000")&amp;TEXT(MONTH(A245),"00")&amp;TEXT(DAY(A245),"00")&amp;"SCSK",日報!$L$4:$L$885)</f>
        <v>0</v>
      </c>
      <c r="AI245" s="275">
        <f t="shared" si="130"/>
        <v>0</v>
      </c>
    </row>
    <row r="246" spans="1:35" s="2" customFormat="1" outlineLevel="1" x14ac:dyDescent="0.15">
      <c r="A246" s="168">
        <f t="shared" si="153"/>
        <v>44066</v>
      </c>
      <c r="B246" s="167">
        <f t="shared" si="148"/>
        <v>44066</v>
      </c>
      <c r="C246" s="32">
        <v>1</v>
      </c>
      <c r="D246" s="16"/>
      <c r="E246" s="17"/>
      <c r="F246" s="18"/>
      <c r="G246" s="15"/>
      <c r="H246" s="19"/>
      <c r="I246" s="137">
        <f t="shared" si="149"/>
        <v>0</v>
      </c>
      <c r="J246" s="143">
        <f t="shared" si="150"/>
        <v>0</v>
      </c>
      <c r="K246" s="144">
        <f t="shared" si="139"/>
        <v>0</v>
      </c>
      <c r="L246" s="145">
        <f t="shared" si="151"/>
        <v>0</v>
      </c>
      <c r="M246" s="146">
        <f t="shared" si="140"/>
        <v>0</v>
      </c>
      <c r="N246" s="147">
        <f>SUMIF(日報!B4:B691,$A246,日報!L4:L691)</f>
        <v>0</v>
      </c>
      <c r="O246" s="147">
        <f t="shared" si="141"/>
        <v>0</v>
      </c>
      <c r="P246" s="151"/>
      <c r="Q246" s="42" t="str">
        <f t="shared" si="142"/>
        <v/>
      </c>
      <c r="R246" s="154"/>
      <c r="S246" s="10" t="str">
        <f t="shared" si="143"/>
        <v/>
      </c>
      <c r="T246" s="11"/>
      <c r="U246" s="12"/>
      <c r="V246" s="136"/>
      <c r="W246" s="16"/>
      <c r="X246" s="17"/>
      <c r="Y246" s="18"/>
      <c r="Z246" s="15"/>
      <c r="AA246" s="15"/>
      <c r="AB246" s="155">
        <f t="shared" si="144"/>
        <v>0</v>
      </c>
      <c r="AC246" s="157">
        <f t="shared" si="152"/>
        <v>0</v>
      </c>
      <c r="AD246" s="144">
        <f t="shared" si="145"/>
        <v>0</v>
      </c>
      <c r="AE246" s="145">
        <f t="shared" si="146"/>
        <v>0</v>
      </c>
      <c r="AF246" s="146">
        <f t="shared" si="147"/>
        <v>0</v>
      </c>
      <c r="AH246" s="274">
        <f>SUMIF(日報!$T$4:$T$885,TEXT(YEAR(A246),"0000")&amp;TEXT(MONTH(A246),"00")&amp;TEXT(DAY(A246),"00")&amp;"SCSK",日報!$L$4:$L$885)</f>
        <v>0</v>
      </c>
      <c r="AI246" s="275">
        <f t="shared" si="130"/>
        <v>0</v>
      </c>
    </row>
    <row r="247" spans="1:35" s="2" customFormat="1" outlineLevel="1" x14ac:dyDescent="0.15">
      <c r="A247" s="168">
        <f t="shared" si="153"/>
        <v>44067</v>
      </c>
      <c r="B247" s="167">
        <f t="shared" si="148"/>
        <v>44067</v>
      </c>
      <c r="C247" s="32"/>
      <c r="D247" s="16">
        <v>0.38541666666666669</v>
      </c>
      <c r="E247" s="17">
        <v>0.76041666666666663</v>
      </c>
      <c r="F247" s="18">
        <v>1</v>
      </c>
      <c r="G247" s="15"/>
      <c r="H247" s="19"/>
      <c r="I247" s="137">
        <f t="shared" si="149"/>
        <v>9</v>
      </c>
      <c r="J247" s="143">
        <f t="shared" si="150"/>
        <v>7.75</v>
      </c>
      <c r="K247" s="144">
        <f t="shared" si="139"/>
        <v>0.25</v>
      </c>
      <c r="L247" s="145">
        <f t="shared" si="151"/>
        <v>0</v>
      </c>
      <c r="M247" s="146">
        <f t="shared" si="140"/>
        <v>0</v>
      </c>
      <c r="N247" s="147">
        <f>SUMIF(日報!B4:B691,$A247,日報!L4:L691)</f>
        <v>8</v>
      </c>
      <c r="O247" s="147">
        <f t="shared" si="141"/>
        <v>0</v>
      </c>
      <c r="P247" s="151"/>
      <c r="Q247" s="42" t="str">
        <f t="shared" si="142"/>
        <v/>
      </c>
      <c r="R247" s="154"/>
      <c r="S247" s="10" t="str">
        <f t="shared" si="143"/>
        <v/>
      </c>
      <c r="T247" s="11"/>
      <c r="U247" s="12"/>
      <c r="V247" s="136"/>
      <c r="W247" s="16"/>
      <c r="X247" s="17"/>
      <c r="Y247" s="18"/>
      <c r="Z247" s="15"/>
      <c r="AA247" s="15"/>
      <c r="AB247" s="155">
        <f t="shared" si="144"/>
        <v>0</v>
      </c>
      <c r="AC247" s="157">
        <f t="shared" si="152"/>
        <v>0</v>
      </c>
      <c r="AD247" s="144">
        <f t="shared" si="145"/>
        <v>0</v>
      </c>
      <c r="AE247" s="145">
        <f t="shared" si="146"/>
        <v>0</v>
      </c>
      <c r="AF247" s="146">
        <f t="shared" si="147"/>
        <v>0</v>
      </c>
      <c r="AH247" s="274">
        <f>SUMIF(日報!$T$4:$T$885,TEXT(YEAR(A247),"0000")&amp;TEXT(MONTH(A247),"00")&amp;TEXT(DAY(A247),"00")&amp;"SCSK",日報!$L$4:$L$885)</f>
        <v>0</v>
      </c>
      <c r="AI247" s="275">
        <f t="shared" si="130"/>
        <v>8</v>
      </c>
    </row>
    <row r="248" spans="1:35" s="2" customFormat="1" outlineLevel="1" x14ac:dyDescent="0.15">
      <c r="A248" s="168">
        <f t="shared" si="153"/>
        <v>44068</v>
      </c>
      <c r="B248" s="167">
        <f t="shared" si="148"/>
        <v>44068</v>
      </c>
      <c r="C248" s="32"/>
      <c r="D248" s="16">
        <v>0.38541666666666669</v>
      </c>
      <c r="E248" s="17">
        <v>0.76041666666666663</v>
      </c>
      <c r="F248" s="18">
        <v>1</v>
      </c>
      <c r="G248" s="15"/>
      <c r="H248" s="19"/>
      <c r="I248" s="137">
        <f t="shared" si="149"/>
        <v>9</v>
      </c>
      <c r="J248" s="143">
        <f t="shared" si="150"/>
        <v>7.75</v>
      </c>
      <c r="K248" s="144">
        <f t="shared" si="139"/>
        <v>0.25</v>
      </c>
      <c r="L248" s="145">
        <f t="shared" si="151"/>
        <v>0</v>
      </c>
      <c r="M248" s="146">
        <f t="shared" si="140"/>
        <v>0</v>
      </c>
      <c r="N248" s="147">
        <f>SUMIF(日報!B4:B691,$A248,日報!L4:L691)</f>
        <v>8</v>
      </c>
      <c r="O248" s="147">
        <f t="shared" si="141"/>
        <v>0</v>
      </c>
      <c r="P248" s="151"/>
      <c r="Q248" s="42" t="str">
        <f t="shared" si="142"/>
        <v/>
      </c>
      <c r="R248" s="154"/>
      <c r="S248" s="10" t="str">
        <f t="shared" si="143"/>
        <v/>
      </c>
      <c r="T248" s="11"/>
      <c r="U248" s="12"/>
      <c r="V248" s="136"/>
      <c r="W248" s="16"/>
      <c r="X248" s="17"/>
      <c r="Y248" s="18"/>
      <c r="Z248" s="15"/>
      <c r="AA248" s="15"/>
      <c r="AB248" s="155">
        <f t="shared" si="144"/>
        <v>0</v>
      </c>
      <c r="AC248" s="157">
        <f t="shared" si="152"/>
        <v>0</v>
      </c>
      <c r="AD248" s="144">
        <f t="shared" si="145"/>
        <v>0</v>
      </c>
      <c r="AE248" s="145">
        <f t="shared" si="146"/>
        <v>0</v>
      </c>
      <c r="AF248" s="146">
        <f t="shared" si="147"/>
        <v>0</v>
      </c>
      <c r="AH248" s="274">
        <f>SUMIF(日報!$T$4:$T$885,TEXT(YEAR(A248),"0000")&amp;TEXT(MONTH(A248),"00")&amp;TEXT(DAY(A248),"00")&amp;"SCSK",日報!$L$4:$L$885)</f>
        <v>0</v>
      </c>
      <c r="AI248" s="275">
        <f t="shared" si="130"/>
        <v>8</v>
      </c>
    </row>
    <row r="249" spans="1:35" s="2" customFormat="1" outlineLevel="1" x14ac:dyDescent="0.15">
      <c r="A249" s="168">
        <f t="shared" si="153"/>
        <v>44069</v>
      </c>
      <c r="B249" s="167">
        <f t="shared" si="148"/>
        <v>44069</v>
      </c>
      <c r="C249" s="32"/>
      <c r="D249" s="16">
        <v>0.38541666666666669</v>
      </c>
      <c r="E249" s="17">
        <v>0.76041666666666663</v>
      </c>
      <c r="F249" s="18">
        <v>1</v>
      </c>
      <c r="G249" s="15"/>
      <c r="H249" s="19"/>
      <c r="I249" s="137">
        <f t="shared" si="149"/>
        <v>9</v>
      </c>
      <c r="J249" s="143">
        <f t="shared" si="150"/>
        <v>7.75</v>
      </c>
      <c r="K249" s="144">
        <f t="shared" si="139"/>
        <v>0.25</v>
      </c>
      <c r="L249" s="145">
        <f t="shared" si="151"/>
        <v>0</v>
      </c>
      <c r="M249" s="146">
        <f t="shared" si="140"/>
        <v>0</v>
      </c>
      <c r="N249" s="147">
        <f>SUMIF(日報!B4:B691,$A249,日報!L4:L691)</f>
        <v>8</v>
      </c>
      <c r="O249" s="147">
        <f t="shared" si="141"/>
        <v>0</v>
      </c>
      <c r="P249" s="151"/>
      <c r="Q249" s="42" t="str">
        <f t="shared" si="142"/>
        <v/>
      </c>
      <c r="R249" s="154"/>
      <c r="S249" s="10" t="str">
        <f t="shared" si="143"/>
        <v/>
      </c>
      <c r="T249" s="11"/>
      <c r="U249" s="12"/>
      <c r="V249" s="136"/>
      <c r="W249" s="16"/>
      <c r="X249" s="17"/>
      <c r="Y249" s="18"/>
      <c r="Z249" s="15"/>
      <c r="AA249" s="15"/>
      <c r="AB249" s="155">
        <f t="shared" si="144"/>
        <v>0</v>
      </c>
      <c r="AC249" s="157">
        <f t="shared" si="152"/>
        <v>0</v>
      </c>
      <c r="AD249" s="144">
        <f t="shared" si="145"/>
        <v>0</v>
      </c>
      <c r="AE249" s="145">
        <f t="shared" si="146"/>
        <v>0</v>
      </c>
      <c r="AF249" s="146">
        <f t="shared" si="147"/>
        <v>0</v>
      </c>
      <c r="AH249" s="274">
        <f>SUMIF(日報!$T$4:$T$885,TEXT(YEAR(A249),"0000")&amp;TEXT(MONTH(A249),"00")&amp;TEXT(DAY(A249),"00")&amp;"SCSK",日報!$L$4:$L$885)</f>
        <v>0</v>
      </c>
      <c r="AI249" s="275">
        <f t="shared" si="130"/>
        <v>8</v>
      </c>
    </row>
    <row r="250" spans="1:35" s="2" customFormat="1" outlineLevel="1" x14ac:dyDescent="0.15">
      <c r="A250" s="168">
        <f t="shared" si="153"/>
        <v>44070</v>
      </c>
      <c r="B250" s="167">
        <f t="shared" si="148"/>
        <v>44070</v>
      </c>
      <c r="C250" s="32"/>
      <c r="D250" s="16">
        <v>0.38541666666666669</v>
      </c>
      <c r="E250" s="17">
        <v>0.76041666666666663</v>
      </c>
      <c r="F250" s="18">
        <v>1</v>
      </c>
      <c r="G250" s="15"/>
      <c r="H250" s="19"/>
      <c r="I250" s="137">
        <f t="shared" si="149"/>
        <v>9</v>
      </c>
      <c r="J250" s="143">
        <f t="shared" si="150"/>
        <v>7.75</v>
      </c>
      <c r="K250" s="144">
        <f t="shared" si="139"/>
        <v>0.25</v>
      </c>
      <c r="L250" s="145">
        <f t="shared" si="151"/>
        <v>0</v>
      </c>
      <c r="M250" s="146">
        <f t="shared" si="140"/>
        <v>0</v>
      </c>
      <c r="N250" s="147">
        <f>SUMIF(日報!B4:B691,$A250,日報!L4:L691)</f>
        <v>8</v>
      </c>
      <c r="O250" s="147">
        <f t="shared" si="141"/>
        <v>0</v>
      </c>
      <c r="P250" s="151"/>
      <c r="Q250" s="42" t="str">
        <f t="shared" si="142"/>
        <v/>
      </c>
      <c r="R250" s="154"/>
      <c r="S250" s="10" t="str">
        <f t="shared" si="143"/>
        <v/>
      </c>
      <c r="T250" s="11"/>
      <c r="U250" s="12"/>
      <c r="V250" s="136"/>
      <c r="W250" s="16"/>
      <c r="X250" s="17"/>
      <c r="Y250" s="18"/>
      <c r="Z250" s="15"/>
      <c r="AA250" s="15"/>
      <c r="AB250" s="155">
        <f t="shared" si="144"/>
        <v>0</v>
      </c>
      <c r="AC250" s="157">
        <f t="shared" si="152"/>
        <v>0</v>
      </c>
      <c r="AD250" s="144">
        <f t="shared" si="145"/>
        <v>0</v>
      </c>
      <c r="AE250" s="145">
        <f t="shared" si="146"/>
        <v>0</v>
      </c>
      <c r="AF250" s="146">
        <f t="shared" si="147"/>
        <v>0</v>
      </c>
      <c r="AH250" s="274">
        <f>SUMIF(日報!$T$4:$T$885,TEXT(YEAR(A250),"0000")&amp;TEXT(MONTH(A250),"00")&amp;TEXT(DAY(A250),"00")&amp;"SCSK",日報!$L$4:$L$885)</f>
        <v>0</v>
      </c>
      <c r="AI250" s="275">
        <f t="shared" si="130"/>
        <v>8</v>
      </c>
    </row>
    <row r="251" spans="1:35" s="2" customFormat="1" outlineLevel="1" x14ac:dyDescent="0.15">
      <c r="A251" s="168">
        <f t="shared" si="153"/>
        <v>44071</v>
      </c>
      <c r="B251" s="167">
        <f t="shared" si="148"/>
        <v>44071</v>
      </c>
      <c r="C251" s="32"/>
      <c r="D251" s="16">
        <v>0.38541666666666669</v>
      </c>
      <c r="E251" s="17">
        <v>0.80208333333333337</v>
      </c>
      <c r="F251" s="18">
        <v>1</v>
      </c>
      <c r="G251" s="15"/>
      <c r="H251" s="19"/>
      <c r="I251" s="137">
        <f t="shared" si="149"/>
        <v>10</v>
      </c>
      <c r="J251" s="143">
        <f t="shared" si="150"/>
        <v>7.75</v>
      </c>
      <c r="K251" s="144">
        <f t="shared" si="139"/>
        <v>1.25</v>
      </c>
      <c r="L251" s="145">
        <f t="shared" si="151"/>
        <v>0</v>
      </c>
      <c r="M251" s="146">
        <f t="shared" si="140"/>
        <v>0</v>
      </c>
      <c r="N251" s="147">
        <f>SUMIF(日報!B4:B691,$A251,日報!L4:L691)</f>
        <v>9</v>
      </c>
      <c r="O251" s="147">
        <f t="shared" si="141"/>
        <v>0</v>
      </c>
      <c r="P251" s="151"/>
      <c r="Q251" s="42" t="str">
        <f t="shared" si="142"/>
        <v/>
      </c>
      <c r="R251" s="154"/>
      <c r="S251" s="10" t="str">
        <f t="shared" si="143"/>
        <v/>
      </c>
      <c r="T251" s="11"/>
      <c r="U251" s="12"/>
      <c r="V251" s="136"/>
      <c r="W251" s="16"/>
      <c r="X251" s="17"/>
      <c r="Y251" s="18"/>
      <c r="Z251" s="15"/>
      <c r="AA251" s="15"/>
      <c r="AB251" s="155">
        <f t="shared" si="144"/>
        <v>0</v>
      </c>
      <c r="AC251" s="157">
        <f t="shared" si="152"/>
        <v>0</v>
      </c>
      <c r="AD251" s="144">
        <f t="shared" si="145"/>
        <v>0</v>
      </c>
      <c r="AE251" s="145">
        <f t="shared" si="146"/>
        <v>0</v>
      </c>
      <c r="AF251" s="146">
        <f t="shared" si="147"/>
        <v>0</v>
      </c>
      <c r="AH251" s="274">
        <f>SUMIF(日報!$T$4:$T$885,TEXT(YEAR(A251),"0000")&amp;TEXT(MONTH(A251),"00")&amp;TEXT(DAY(A251),"00")&amp;"SCSK",日報!$L$4:$L$885)</f>
        <v>0</v>
      </c>
      <c r="AI251" s="275">
        <f t="shared" si="130"/>
        <v>9</v>
      </c>
    </row>
    <row r="252" spans="1:35" s="2" customFormat="1" outlineLevel="1" x14ac:dyDescent="0.15">
      <c r="A252" s="168">
        <f t="shared" si="153"/>
        <v>44072</v>
      </c>
      <c r="B252" s="167">
        <f t="shared" si="148"/>
        <v>44072</v>
      </c>
      <c r="C252" s="32">
        <v>1</v>
      </c>
      <c r="D252" s="16"/>
      <c r="E252" s="17"/>
      <c r="F252" s="18"/>
      <c r="G252" s="15"/>
      <c r="H252" s="19"/>
      <c r="I252" s="137">
        <f t="shared" si="149"/>
        <v>0</v>
      </c>
      <c r="J252" s="143">
        <f t="shared" si="150"/>
        <v>0</v>
      </c>
      <c r="K252" s="144">
        <f t="shared" si="139"/>
        <v>0</v>
      </c>
      <c r="L252" s="145">
        <f t="shared" si="151"/>
        <v>0</v>
      </c>
      <c r="M252" s="146">
        <f t="shared" si="140"/>
        <v>0</v>
      </c>
      <c r="N252" s="147">
        <f>SUMIF(日報!B4:B691,$A252,日報!L4:L691)</f>
        <v>0</v>
      </c>
      <c r="O252" s="147">
        <f t="shared" si="141"/>
        <v>0</v>
      </c>
      <c r="P252" s="151"/>
      <c r="Q252" s="42" t="str">
        <f t="shared" si="142"/>
        <v/>
      </c>
      <c r="R252" s="154"/>
      <c r="S252" s="10" t="str">
        <f t="shared" si="143"/>
        <v/>
      </c>
      <c r="T252" s="11"/>
      <c r="U252" s="12"/>
      <c r="V252" s="136"/>
      <c r="W252" s="16"/>
      <c r="X252" s="17"/>
      <c r="Y252" s="18"/>
      <c r="Z252" s="15"/>
      <c r="AA252" s="15"/>
      <c r="AB252" s="155">
        <f t="shared" si="144"/>
        <v>0</v>
      </c>
      <c r="AC252" s="157">
        <f t="shared" si="152"/>
        <v>0</v>
      </c>
      <c r="AD252" s="144">
        <f t="shared" si="145"/>
        <v>0</v>
      </c>
      <c r="AE252" s="145">
        <f t="shared" si="146"/>
        <v>0</v>
      </c>
      <c r="AF252" s="146">
        <f t="shared" si="147"/>
        <v>0</v>
      </c>
      <c r="AH252" s="274">
        <f>SUMIF(日報!$T$4:$T$885,TEXT(YEAR(A252),"0000")&amp;TEXT(MONTH(A252),"00")&amp;TEXT(DAY(A252),"00")&amp;"SCSK",日報!$L$4:$L$885)</f>
        <v>0</v>
      </c>
      <c r="AI252" s="275">
        <f t="shared" si="130"/>
        <v>0</v>
      </c>
    </row>
    <row r="253" spans="1:35" s="2" customFormat="1" outlineLevel="1" x14ac:dyDescent="0.15">
      <c r="A253" s="168">
        <f t="shared" si="153"/>
        <v>44073</v>
      </c>
      <c r="B253" s="167">
        <f t="shared" si="148"/>
        <v>44073</v>
      </c>
      <c r="C253" s="32">
        <v>1</v>
      </c>
      <c r="D253" s="16"/>
      <c r="E253" s="17"/>
      <c r="F253" s="18"/>
      <c r="G253" s="15"/>
      <c r="H253" s="19"/>
      <c r="I253" s="137">
        <f t="shared" si="149"/>
        <v>0</v>
      </c>
      <c r="J253" s="143">
        <f t="shared" si="150"/>
        <v>0</v>
      </c>
      <c r="K253" s="144">
        <f t="shared" si="139"/>
        <v>0</v>
      </c>
      <c r="L253" s="145">
        <f t="shared" si="151"/>
        <v>0</v>
      </c>
      <c r="M253" s="146">
        <f t="shared" si="140"/>
        <v>0</v>
      </c>
      <c r="N253" s="147">
        <f>SUMIF(日報!B4:B691,$A253,日報!L4:L691)</f>
        <v>0</v>
      </c>
      <c r="O253" s="147">
        <f t="shared" si="141"/>
        <v>0</v>
      </c>
      <c r="P253" s="151"/>
      <c r="Q253" s="42" t="str">
        <f t="shared" si="142"/>
        <v/>
      </c>
      <c r="R253" s="154"/>
      <c r="S253" s="10" t="str">
        <f t="shared" si="143"/>
        <v/>
      </c>
      <c r="T253" s="11"/>
      <c r="U253" s="12"/>
      <c r="V253" s="136"/>
      <c r="W253" s="16"/>
      <c r="X253" s="17"/>
      <c r="Y253" s="18"/>
      <c r="Z253" s="15"/>
      <c r="AA253" s="15"/>
      <c r="AB253" s="155">
        <f t="shared" si="144"/>
        <v>0</v>
      </c>
      <c r="AC253" s="157">
        <f t="shared" si="152"/>
        <v>0</v>
      </c>
      <c r="AD253" s="144">
        <f t="shared" si="145"/>
        <v>0</v>
      </c>
      <c r="AE253" s="145">
        <f t="shared" si="146"/>
        <v>0</v>
      </c>
      <c r="AF253" s="146">
        <f t="shared" si="147"/>
        <v>0</v>
      </c>
      <c r="AH253" s="274">
        <f>SUMIF(日報!$T$4:$T$885,TEXT(YEAR(A253),"0000")&amp;TEXT(MONTH(A253),"00")&amp;TEXT(DAY(A253),"00")&amp;"SCSK",日報!$L$4:$L$885)</f>
        <v>0</v>
      </c>
      <c r="AI253" s="275">
        <f t="shared" si="130"/>
        <v>0</v>
      </c>
    </row>
    <row r="254" spans="1:35" s="2" customFormat="1" ht="14.25" outlineLevel="1" thickBot="1" x14ac:dyDescent="0.2">
      <c r="A254" s="168">
        <f>A253+1</f>
        <v>44074</v>
      </c>
      <c r="B254" s="167">
        <f t="shared" si="148"/>
        <v>44074</v>
      </c>
      <c r="C254" s="32"/>
      <c r="D254" s="16">
        <v>0.38541666666666669</v>
      </c>
      <c r="E254" s="17">
        <v>0.76041666666666663</v>
      </c>
      <c r="F254" s="18">
        <v>1</v>
      </c>
      <c r="G254" s="15"/>
      <c r="H254" s="19"/>
      <c r="I254" s="137">
        <f>timediff(D254,E254,15)</f>
        <v>9</v>
      </c>
      <c r="J254" s="143">
        <f>IF(C254=1,0,I254-M254-L254-K254-F254-H254-G254)</f>
        <v>7.75</v>
      </c>
      <c r="K254" s="144">
        <f t="shared" si="139"/>
        <v>0.25</v>
      </c>
      <c r="L254" s="145">
        <f>IF(C254=1,$I254-F254-M254-H254,0)</f>
        <v>0</v>
      </c>
      <c r="M254" s="146">
        <f>IF(深夜終了&lt;E254,timediff(深夜開始,深夜終了,15)-H254,IF(深夜開始&lt;E254,timediff(深夜開始,E254,15)-H254,0))</f>
        <v>0</v>
      </c>
      <c r="N254" s="147">
        <f>SUMIF(日報!B4:B691,$A254,日報!L4:L691)</f>
        <v>8</v>
      </c>
      <c r="O254" s="147">
        <f t="shared" si="141"/>
        <v>0</v>
      </c>
      <c r="P254" s="151"/>
      <c r="Q254" s="42" t="str">
        <f>IF(P254="不調","ここに症状を入力！","")</f>
        <v/>
      </c>
      <c r="R254" s="154"/>
      <c r="S254" s="10" t="str">
        <f>IF(R254&lt;&gt;"","ここに理由を入力！","")</f>
        <v/>
      </c>
      <c r="T254" s="11"/>
      <c r="U254" s="12"/>
      <c r="V254" s="136"/>
      <c r="W254" s="16"/>
      <c r="X254" s="17"/>
      <c r="Y254" s="18"/>
      <c r="Z254" s="15"/>
      <c r="AA254" s="15"/>
      <c r="AB254" s="155">
        <f>timediff(W254,X254,15)</f>
        <v>0</v>
      </c>
      <c r="AC254" s="157">
        <f>AB254-AF254-AE254-AD254-Y254-Z254-AA254</f>
        <v>0</v>
      </c>
      <c r="AD254" s="144">
        <f t="shared" si="145"/>
        <v>0</v>
      </c>
      <c r="AE254" s="145">
        <f t="shared" si="146"/>
        <v>0</v>
      </c>
      <c r="AF254" s="146">
        <f>IF(深夜終了&lt;X254,timediff(深夜開始,深夜終了,15)-AA254,IF(深夜開始&lt;X254,timediff(深夜開始,X254,15)-AA254,0))</f>
        <v>0</v>
      </c>
      <c r="AH254" s="274">
        <f>SUMIF(日報!$T$4:$T$885,TEXT(YEAR(A254),"0000")&amp;TEXT(MONTH(A254),"00")&amp;TEXT(DAY(A254),"00")&amp;"SCSK",日報!$L$4:$L$885)</f>
        <v>0</v>
      </c>
      <c r="AI254" s="275">
        <f t="shared" si="130"/>
        <v>8</v>
      </c>
    </row>
    <row r="255" spans="1:35" ht="15" thickTop="1" thickBot="1" x14ac:dyDescent="0.2">
      <c r="A255" s="107">
        <f>A254</f>
        <v>44074</v>
      </c>
      <c r="B255" s="108">
        <f>COUNT(B224:B254)</f>
        <v>31</v>
      </c>
      <c r="C255" s="108"/>
      <c r="D255" s="109"/>
      <c r="E255" s="109"/>
      <c r="F255" s="110">
        <f t="shared" ref="F255:M255" si="154">SUM(F224:F254)</f>
        <v>19</v>
      </c>
      <c r="G255" s="110">
        <f t="shared" si="154"/>
        <v>2</v>
      </c>
      <c r="H255" s="110">
        <f t="shared" si="154"/>
        <v>0</v>
      </c>
      <c r="I255" s="111">
        <f t="shared" si="154"/>
        <v>172</v>
      </c>
      <c r="J255" s="112">
        <f t="shared" si="154"/>
        <v>147.25</v>
      </c>
      <c r="K255" s="113">
        <f t="shared" si="154"/>
        <v>3.75</v>
      </c>
      <c r="L255" s="114">
        <f t="shared" si="154"/>
        <v>0</v>
      </c>
      <c r="M255" s="113">
        <f t="shared" si="154"/>
        <v>0</v>
      </c>
      <c r="N255" s="115"/>
      <c r="O255" s="116">
        <f>SUM(O224:O254)</f>
        <v>0</v>
      </c>
      <c r="P255" s="105"/>
      <c r="Q255" s="118"/>
      <c r="R255" s="106"/>
      <c r="S255" s="120"/>
      <c r="T255" s="118"/>
      <c r="U255" s="121"/>
      <c r="W255" s="122"/>
      <c r="X255" s="109"/>
      <c r="Y255" s="110">
        <f t="shared" ref="Y255:AF255" si="155">SUM(Y224:Y254)</f>
        <v>0</v>
      </c>
      <c r="Z255" s="110">
        <f t="shared" si="155"/>
        <v>0</v>
      </c>
      <c r="AA255" s="110">
        <f t="shared" si="155"/>
        <v>0</v>
      </c>
      <c r="AB255" s="111">
        <f t="shared" si="155"/>
        <v>0</v>
      </c>
      <c r="AC255" s="112">
        <f t="shared" si="155"/>
        <v>0</v>
      </c>
      <c r="AD255" s="112">
        <f t="shared" si="155"/>
        <v>0</v>
      </c>
      <c r="AE255" s="112">
        <f t="shared" si="155"/>
        <v>0</v>
      </c>
      <c r="AF255" s="113">
        <f t="shared" si="155"/>
        <v>0</v>
      </c>
      <c r="AH255" s="276"/>
      <c r="AI255" s="277"/>
    </row>
    <row r="256" spans="1:35" s="2" customFormat="1" outlineLevel="1" x14ac:dyDescent="0.15">
      <c r="A256" s="168">
        <f>A254+1</f>
        <v>44075</v>
      </c>
      <c r="B256" s="167">
        <f>A256</f>
        <v>44075</v>
      </c>
      <c r="C256" s="32"/>
      <c r="D256" s="16">
        <v>0.38541666666666669</v>
      </c>
      <c r="E256" s="17">
        <v>0.76041666666666663</v>
      </c>
      <c r="F256" s="18">
        <v>1</v>
      </c>
      <c r="G256" s="15"/>
      <c r="H256" s="19"/>
      <c r="I256" s="137">
        <f>timediff(D256,E256,15)</f>
        <v>9</v>
      </c>
      <c r="J256" s="143">
        <f>IF(C256=1,0,I256-M256-L256-K256-F256-H256-G256)</f>
        <v>7.75</v>
      </c>
      <c r="K256" s="144">
        <f t="shared" ref="K256:K285" si="156">IF(C256=0,IF(時間外開始&lt;E256,timediff(時間外開始,E256,15)-M256-G256-H256,0),0)</f>
        <v>0.25</v>
      </c>
      <c r="L256" s="145">
        <f>IF(C256=1,$I256-F256-M256-H256,0)</f>
        <v>0</v>
      </c>
      <c r="M256" s="146">
        <f t="shared" ref="M256:M285" si="157">IF(深夜終了&lt;E256,timediff(深夜開始,深夜終了,15)-H256,IF(深夜開始&lt;E256,timediff(深夜開始,E256,15)-H256,0))</f>
        <v>0</v>
      </c>
      <c r="N256" s="147">
        <f>SUMIF(日報!B4:B691,$A256,日報!L4:L691)</f>
        <v>8</v>
      </c>
      <c r="O256" s="147">
        <f t="shared" ref="O256:O285" si="158">SUM(J256:M256)-N256</f>
        <v>0</v>
      </c>
      <c r="P256" s="151"/>
      <c r="Q256" s="42" t="str">
        <f t="shared" ref="Q256:Q285" si="159">IF(P256="不調","ここに症状を入力！","")</f>
        <v/>
      </c>
      <c r="R256" s="154"/>
      <c r="S256" s="10" t="str">
        <f t="shared" ref="S256:S285" si="160">IF(R256&lt;&gt;"","ここに理由を入力！","")</f>
        <v/>
      </c>
      <c r="T256" s="11"/>
      <c r="U256" s="12"/>
      <c r="V256" s="136"/>
      <c r="W256" s="16"/>
      <c r="X256" s="17"/>
      <c r="Y256" s="18"/>
      <c r="Z256" s="15"/>
      <c r="AA256" s="15"/>
      <c r="AB256" s="155">
        <f t="shared" ref="AB256:AB285" si="161">timediff(W256,X256,15)</f>
        <v>0</v>
      </c>
      <c r="AC256" s="157">
        <f>AB256-AF256-AE256-AD256-Y256-Z256-AA256</f>
        <v>0</v>
      </c>
      <c r="AD256" s="144">
        <f t="shared" ref="AD256:AD285" si="162">IF(C256=0,IF(時間外開始&lt;X256,timediff(時間外開始,X256,15)-AF256-Z256-AA256,0),0)</f>
        <v>0</v>
      </c>
      <c r="AE256" s="145">
        <f t="shared" ref="AE256:AE285" si="163">IF(C256=1,AB256-Y256-Z256-AA256,0)</f>
        <v>0</v>
      </c>
      <c r="AF256" s="146">
        <f t="shared" ref="AF256:AF285" si="164">IF(深夜終了&lt;X256,timediff(深夜開始,深夜終了,15)-AA256,IF(深夜開始&lt;X256,timediff(深夜開始,X256,15)-AA256,0))</f>
        <v>0</v>
      </c>
      <c r="AH256" s="274">
        <f>SUMIF(日報!$T$4:$T$885,TEXT(YEAR(A256),"0000")&amp;TEXT(MONTH(A256),"00")&amp;TEXT(DAY(A256),"00")&amp;"SCSK",日報!$L$4:$L$885)</f>
        <v>0</v>
      </c>
      <c r="AI256" s="275">
        <f t="shared" ref="AI256:AI317" si="165">N256-AH256</f>
        <v>8</v>
      </c>
    </row>
    <row r="257" spans="1:35" s="2" customFormat="1" outlineLevel="1" x14ac:dyDescent="0.15">
      <c r="A257" s="168">
        <f>A256+1</f>
        <v>44076</v>
      </c>
      <c r="B257" s="167">
        <f t="shared" ref="B257:B285" si="166">A257</f>
        <v>44076</v>
      </c>
      <c r="C257" s="32"/>
      <c r="D257" s="16">
        <v>0.38541666666666669</v>
      </c>
      <c r="E257" s="17">
        <v>0.76041666666666663</v>
      </c>
      <c r="F257" s="18">
        <v>1</v>
      </c>
      <c r="G257" s="15"/>
      <c r="H257" s="19"/>
      <c r="I257" s="137">
        <f t="shared" ref="I257:I285" si="167">timediff(D257,E257,15)</f>
        <v>9</v>
      </c>
      <c r="J257" s="143">
        <f t="shared" ref="J257:J285" si="168">IF(C257=1,0,I257-M257-L257-K257-F257-H257-G257)</f>
        <v>7.75</v>
      </c>
      <c r="K257" s="144">
        <f t="shared" si="156"/>
        <v>0.25</v>
      </c>
      <c r="L257" s="145">
        <f t="shared" ref="L257:L285" si="169">IF(C257=1,$I257-F257-M257-H257,0)</f>
        <v>0</v>
      </c>
      <c r="M257" s="146">
        <f t="shared" si="157"/>
        <v>0</v>
      </c>
      <c r="N257" s="147">
        <f>SUMIF(日報!B4:B691,$A257,日報!L4:L691)</f>
        <v>8</v>
      </c>
      <c r="O257" s="147">
        <f t="shared" si="158"/>
        <v>0</v>
      </c>
      <c r="P257" s="151"/>
      <c r="Q257" s="42" t="str">
        <f t="shared" si="159"/>
        <v/>
      </c>
      <c r="R257" s="154"/>
      <c r="S257" s="10" t="str">
        <f t="shared" si="160"/>
        <v/>
      </c>
      <c r="T257" s="11"/>
      <c r="U257" s="12"/>
      <c r="V257" s="136"/>
      <c r="W257" s="16"/>
      <c r="X257" s="17"/>
      <c r="Y257" s="18"/>
      <c r="Z257" s="15"/>
      <c r="AA257" s="15"/>
      <c r="AB257" s="155">
        <f t="shared" si="161"/>
        <v>0</v>
      </c>
      <c r="AC257" s="157">
        <f t="shared" ref="AC257:AC285" si="170">AB257-AF257-AE257-AD257-Y257-Z257-AA257</f>
        <v>0</v>
      </c>
      <c r="AD257" s="144">
        <f t="shared" si="162"/>
        <v>0</v>
      </c>
      <c r="AE257" s="145">
        <f t="shared" si="163"/>
        <v>0</v>
      </c>
      <c r="AF257" s="146">
        <f t="shared" si="164"/>
        <v>0</v>
      </c>
      <c r="AH257" s="274">
        <f>SUMIF(日報!$T$4:$T$885,TEXT(YEAR(A257),"0000")&amp;TEXT(MONTH(A257),"00")&amp;TEXT(DAY(A257),"00")&amp;"SCSK",日報!$L$4:$L$885)</f>
        <v>0</v>
      </c>
      <c r="AI257" s="275">
        <f t="shared" si="165"/>
        <v>8</v>
      </c>
    </row>
    <row r="258" spans="1:35" s="2" customFormat="1" outlineLevel="1" x14ac:dyDescent="0.15">
      <c r="A258" s="168">
        <f t="shared" ref="A258:A285" si="171">A257+1</f>
        <v>44077</v>
      </c>
      <c r="B258" s="167">
        <f t="shared" si="166"/>
        <v>44077</v>
      </c>
      <c r="C258" s="32"/>
      <c r="D258" s="16">
        <v>0.38541666666666669</v>
      </c>
      <c r="E258" s="17">
        <v>0.80208333333333337</v>
      </c>
      <c r="F258" s="18">
        <v>1</v>
      </c>
      <c r="G258" s="15"/>
      <c r="H258" s="19"/>
      <c r="I258" s="137">
        <f t="shared" si="167"/>
        <v>10</v>
      </c>
      <c r="J258" s="143">
        <f t="shared" si="168"/>
        <v>7.75</v>
      </c>
      <c r="K258" s="144">
        <f t="shared" si="156"/>
        <v>1.25</v>
      </c>
      <c r="L258" s="145">
        <f t="shared" si="169"/>
        <v>0</v>
      </c>
      <c r="M258" s="146">
        <f t="shared" si="157"/>
        <v>0</v>
      </c>
      <c r="N258" s="147">
        <f>SUMIF(日報!B4:B691,$A258,日報!L4:L691)</f>
        <v>9</v>
      </c>
      <c r="O258" s="147">
        <f t="shared" si="158"/>
        <v>0</v>
      </c>
      <c r="P258" s="151"/>
      <c r="Q258" s="42" t="str">
        <f t="shared" si="159"/>
        <v/>
      </c>
      <c r="R258" s="154"/>
      <c r="S258" s="10" t="str">
        <f t="shared" si="160"/>
        <v/>
      </c>
      <c r="T258" s="11"/>
      <c r="U258" s="12"/>
      <c r="V258" s="136"/>
      <c r="W258" s="16"/>
      <c r="X258" s="17"/>
      <c r="Y258" s="18"/>
      <c r="Z258" s="15"/>
      <c r="AA258" s="15"/>
      <c r="AB258" s="155">
        <f t="shared" si="161"/>
        <v>0</v>
      </c>
      <c r="AC258" s="157">
        <f t="shared" si="170"/>
        <v>0</v>
      </c>
      <c r="AD258" s="144">
        <f t="shared" si="162"/>
        <v>0</v>
      </c>
      <c r="AE258" s="145">
        <f t="shared" si="163"/>
        <v>0</v>
      </c>
      <c r="AF258" s="146">
        <f t="shared" si="164"/>
        <v>0</v>
      </c>
      <c r="AH258" s="274">
        <f>SUMIF(日報!$T$4:$T$885,TEXT(YEAR(A258),"0000")&amp;TEXT(MONTH(A258),"00")&amp;TEXT(DAY(A258),"00")&amp;"SCSK",日報!$L$4:$L$885)</f>
        <v>0</v>
      </c>
      <c r="AI258" s="275">
        <f t="shared" si="165"/>
        <v>9</v>
      </c>
    </row>
    <row r="259" spans="1:35" s="2" customFormat="1" outlineLevel="1" x14ac:dyDescent="0.15">
      <c r="A259" s="168">
        <f t="shared" si="171"/>
        <v>44078</v>
      </c>
      <c r="B259" s="167">
        <f t="shared" si="166"/>
        <v>44078</v>
      </c>
      <c r="C259" s="32">
        <v>1</v>
      </c>
      <c r="D259" s="16"/>
      <c r="E259" s="17"/>
      <c r="F259" s="18"/>
      <c r="G259" s="15"/>
      <c r="H259" s="19"/>
      <c r="I259" s="137">
        <f t="shared" si="167"/>
        <v>0</v>
      </c>
      <c r="J259" s="143">
        <f t="shared" si="168"/>
        <v>0</v>
      </c>
      <c r="K259" s="144">
        <f t="shared" si="156"/>
        <v>0</v>
      </c>
      <c r="L259" s="145">
        <f t="shared" si="169"/>
        <v>0</v>
      </c>
      <c r="M259" s="146">
        <f t="shared" si="157"/>
        <v>0</v>
      </c>
      <c r="N259" s="147">
        <f>SUMIF(日報!B4:B691,$A259,日報!L4:L691)</f>
        <v>0</v>
      </c>
      <c r="O259" s="147">
        <f t="shared" si="158"/>
        <v>0</v>
      </c>
      <c r="P259" s="151"/>
      <c r="Q259" s="42" t="str">
        <f t="shared" si="159"/>
        <v/>
      </c>
      <c r="R259" s="154"/>
      <c r="S259" s="10" t="str">
        <f t="shared" si="160"/>
        <v/>
      </c>
      <c r="T259" s="11"/>
      <c r="U259" s="12"/>
      <c r="V259" s="136"/>
      <c r="W259" s="16"/>
      <c r="X259" s="17"/>
      <c r="Y259" s="18"/>
      <c r="Z259" s="15"/>
      <c r="AA259" s="15"/>
      <c r="AB259" s="155">
        <f t="shared" si="161"/>
        <v>0</v>
      </c>
      <c r="AC259" s="157">
        <f t="shared" si="170"/>
        <v>0</v>
      </c>
      <c r="AD259" s="144">
        <f t="shared" si="162"/>
        <v>0</v>
      </c>
      <c r="AE259" s="145">
        <f t="shared" si="163"/>
        <v>0</v>
      </c>
      <c r="AF259" s="146">
        <f t="shared" si="164"/>
        <v>0</v>
      </c>
      <c r="AH259" s="274">
        <f>SUMIF(日報!$T$4:$T$885,TEXT(YEAR(A259),"0000")&amp;TEXT(MONTH(A259),"00")&amp;TEXT(DAY(A259),"00")&amp;"SCSK",日報!$L$4:$L$885)</f>
        <v>0</v>
      </c>
      <c r="AI259" s="275">
        <f t="shared" si="165"/>
        <v>0</v>
      </c>
    </row>
    <row r="260" spans="1:35" s="2" customFormat="1" outlineLevel="1" x14ac:dyDescent="0.15">
      <c r="A260" s="168">
        <f t="shared" si="171"/>
        <v>44079</v>
      </c>
      <c r="B260" s="167">
        <f t="shared" si="166"/>
        <v>44079</v>
      </c>
      <c r="C260" s="32">
        <v>1</v>
      </c>
      <c r="D260" s="16"/>
      <c r="E260" s="17"/>
      <c r="F260" s="18"/>
      <c r="G260" s="15"/>
      <c r="H260" s="19"/>
      <c r="I260" s="137">
        <f t="shared" si="167"/>
        <v>0</v>
      </c>
      <c r="J260" s="143">
        <f t="shared" si="168"/>
        <v>0</v>
      </c>
      <c r="K260" s="144">
        <f t="shared" si="156"/>
        <v>0</v>
      </c>
      <c r="L260" s="145">
        <f t="shared" si="169"/>
        <v>0</v>
      </c>
      <c r="M260" s="146">
        <f t="shared" si="157"/>
        <v>0</v>
      </c>
      <c r="N260" s="147">
        <f>SUMIF(日報!B4:B691,$A260,日報!L4:L691)</f>
        <v>0</v>
      </c>
      <c r="O260" s="147">
        <f t="shared" si="158"/>
        <v>0</v>
      </c>
      <c r="P260" s="151"/>
      <c r="Q260" s="42" t="str">
        <f t="shared" si="159"/>
        <v/>
      </c>
      <c r="R260" s="154"/>
      <c r="S260" s="10" t="str">
        <f t="shared" si="160"/>
        <v/>
      </c>
      <c r="T260" s="11"/>
      <c r="U260" s="12"/>
      <c r="V260" s="136"/>
      <c r="W260" s="16"/>
      <c r="X260" s="17"/>
      <c r="Y260" s="18"/>
      <c r="Z260" s="15"/>
      <c r="AA260" s="15"/>
      <c r="AB260" s="155">
        <f t="shared" si="161"/>
        <v>0</v>
      </c>
      <c r="AC260" s="157">
        <f t="shared" si="170"/>
        <v>0</v>
      </c>
      <c r="AD260" s="144">
        <f t="shared" si="162"/>
        <v>0</v>
      </c>
      <c r="AE260" s="145">
        <f t="shared" si="163"/>
        <v>0</v>
      </c>
      <c r="AF260" s="146">
        <f t="shared" si="164"/>
        <v>0</v>
      </c>
      <c r="AH260" s="274">
        <f>SUMIF(日報!$T$4:$T$885,TEXT(YEAR(A260),"0000")&amp;TEXT(MONTH(A260),"00")&amp;TEXT(DAY(A260),"00")&amp;"SCSK",日報!$L$4:$L$885)</f>
        <v>0</v>
      </c>
      <c r="AI260" s="275">
        <f t="shared" si="165"/>
        <v>0</v>
      </c>
    </row>
    <row r="261" spans="1:35" s="2" customFormat="1" outlineLevel="1" x14ac:dyDescent="0.15">
      <c r="A261" s="168">
        <f t="shared" si="171"/>
        <v>44080</v>
      </c>
      <c r="B261" s="167">
        <f t="shared" si="166"/>
        <v>44080</v>
      </c>
      <c r="C261" s="32">
        <v>1</v>
      </c>
      <c r="D261" s="16"/>
      <c r="E261" s="17"/>
      <c r="F261" s="18"/>
      <c r="G261" s="15"/>
      <c r="H261" s="19"/>
      <c r="I261" s="137">
        <f t="shared" si="167"/>
        <v>0</v>
      </c>
      <c r="J261" s="143">
        <f t="shared" si="168"/>
        <v>0</v>
      </c>
      <c r="K261" s="144">
        <f t="shared" si="156"/>
        <v>0</v>
      </c>
      <c r="L261" s="145">
        <f t="shared" si="169"/>
        <v>0</v>
      </c>
      <c r="M261" s="146">
        <f t="shared" si="157"/>
        <v>0</v>
      </c>
      <c r="N261" s="147">
        <f>SUMIF(日報!B4:B691,$A261,日報!L4:L691)</f>
        <v>0</v>
      </c>
      <c r="O261" s="147">
        <f t="shared" si="158"/>
        <v>0</v>
      </c>
      <c r="P261" s="151"/>
      <c r="Q261" s="42" t="str">
        <f t="shared" si="159"/>
        <v/>
      </c>
      <c r="R261" s="154"/>
      <c r="S261" s="10" t="str">
        <f t="shared" si="160"/>
        <v/>
      </c>
      <c r="T261" s="11"/>
      <c r="U261" s="12"/>
      <c r="V261" s="136"/>
      <c r="W261" s="16"/>
      <c r="X261" s="17"/>
      <c r="Y261" s="18"/>
      <c r="Z261" s="15"/>
      <c r="AA261" s="15"/>
      <c r="AB261" s="155">
        <f t="shared" si="161"/>
        <v>0</v>
      </c>
      <c r="AC261" s="157">
        <f t="shared" si="170"/>
        <v>0</v>
      </c>
      <c r="AD261" s="144">
        <f t="shared" si="162"/>
        <v>0</v>
      </c>
      <c r="AE261" s="145">
        <f t="shared" si="163"/>
        <v>0</v>
      </c>
      <c r="AF261" s="146">
        <f t="shared" si="164"/>
        <v>0</v>
      </c>
      <c r="AH261" s="274">
        <f>SUMIF(日報!$T$4:$T$885,TEXT(YEAR(A261),"0000")&amp;TEXT(MONTH(A261),"00")&amp;TEXT(DAY(A261),"00")&amp;"SCSK",日報!$L$4:$L$885)</f>
        <v>0</v>
      </c>
      <c r="AI261" s="275">
        <f t="shared" si="165"/>
        <v>0</v>
      </c>
    </row>
    <row r="262" spans="1:35" s="2" customFormat="1" outlineLevel="1" x14ac:dyDescent="0.15">
      <c r="A262" s="168">
        <f t="shared" si="171"/>
        <v>44081</v>
      </c>
      <c r="B262" s="167">
        <f t="shared" si="166"/>
        <v>44081</v>
      </c>
      <c r="C262" s="32">
        <v>1</v>
      </c>
      <c r="D262" s="16"/>
      <c r="E262" s="17"/>
      <c r="F262" s="18"/>
      <c r="G262" s="15"/>
      <c r="H262" s="19"/>
      <c r="I262" s="137">
        <f t="shared" si="167"/>
        <v>0</v>
      </c>
      <c r="J262" s="143">
        <f t="shared" si="168"/>
        <v>0</v>
      </c>
      <c r="K262" s="144">
        <f t="shared" si="156"/>
        <v>0</v>
      </c>
      <c r="L262" s="145">
        <f t="shared" si="169"/>
        <v>0</v>
      </c>
      <c r="M262" s="146">
        <f t="shared" si="157"/>
        <v>0</v>
      </c>
      <c r="N262" s="147">
        <f>SUMIF(日報!B4:B691,$A262,日報!L4:L691)</f>
        <v>0</v>
      </c>
      <c r="O262" s="147">
        <f t="shared" si="158"/>
        <v>0</v>
      </c>
      <c r="P262" s="151"/>
      <c r="Q262" s="42" t="str">
        <f t="shared" si="159"/>
        <v/>
      </c>
      <c r="R262" s="154"/>
      <c r="S262" s="10" t="str">
        <f t="shared" si="160"/>
        <v/>
      </c>
      <c r="T262" s="11"/>
      <c r="U262" s="12"/>
      <c r="V262" s="136"/>
      <c r="W262" s="16"/>
      <c r="X262" s="17"/>
      <c r="Y262" s="18"/>
      <c r="Z262" s="15"/>
      <c r="AA262" s="15"/>
      <c r="AB262" s="155">
        <f t="shared" si="161"/>
        <v>0</v>
      </c>
      <c r="AC262" s="157">
        <f t="shared" si="170"/>
        <v>0</v>
      </c>
      <c r="AD262" s="144">
        <f t="shared" si="162"/>
        <v>0</v>
      </c>
      <c r="AE262" s="145">
        <f t="shared" si="163"/>
        <v>0</v>
      </c>
      <c r="AF262" s="146">
        <f t="shared" si="164"/>
        <v>0</v>
      </c>
      <c r="AH262" s="274">
        <f>SUMIF(日報!$T$4:$T$885,TEXT(YEAR(A262),"0000")&amp;TEXT(MONTH(A262),"00")&amp;TEXT(DAY(A262),"00")&amp;"SCSK",日報!$L$4:$L$885)</f>
        <v>0</v>
      </c>
      <c r="AI262" s="275">
        <f t="shared" si="165"/>
        <v>0</v>
      </c>
    </row>
    <row r="263" spans="1:35" s="2" customFormat="1" outlineLevel="1" x14ac:dyDescent="0.15">
      <c r="A263" s="168">
        <f t="shared" si="171"/>
        <v>44082</v>
      </c>
      <c r="B263" s="167">
        <f t="shared" si="166"/>
        <v>44082</v>
      </c>
      <c r="C263" s="32"/>
      <c r="D263" s="16">
        <v>0.38541666666666669</v>
      </c>
      <c r="E263" s="17">
        <v>0.76041666666666663</v>
      </c>
      <c r="F263" s="18">
        <v>1</v>
      </c>
      <c r="G263" s="15"/>
      <c r="H263" s="19"/>
      <c r="I263" s="137">
        <f t="shared" si="167"/>
        <v>9</v>
      </c>
      <c r="J263" s="143">
        <f t="shared" si="168"/>
        <v>7.75</v>
      </c>
      <c r="K263" s="144">
        <f t="shared" si="156"/>
        <v>0.25</v>
      </c>
      <c r="L263" s="145">
        <f t="shared" si="169"/>
        <v>0</v>
      </c>
      <c r="M263" s="146">
        <f t="shared" si="157"/>
        <v>0</v>
      </c>
      <c r="N263" s="147">
        <f>SUMIF(日報!B4:B691,$A263,日報!L4:L691)</f>
        <v>8</v>
      </c>
      <c r="O263" s="147">
        <f t="shared" si="158"/>
        <v>0</v>
      </c>
      <c r="P263" s="151"/>
      <c r="Q263" s="42" t="str">
        <f t="shared" si="159"/>
        <v/>
      </c>
      <c r="R263" s="154"/>
      <c r="S263" s="10" t="str">
        <f t="shared" si="160"/>
        <v/>
      </c>
      <c r="T263" s="11"/>
      <c r="U263" s="12"/>
      <c r="V263" s="136"/>
      <c r="W263" s="16"/>
      <c r="X263" s="17"/>
      <c r="Y263" s="18"/>
      <c r="Z263" s="15"/>
      <c r="AA263" s="15"/>
      <c r="AB263" s="155">
        <f t="shared" si="161"/>
        <v>0</v>
      </c>
      <c r="AC263" s="157">
        <f t="shared" si="170"/>
        <v>0</v>
      </c>
      <c r="AD263" s="144">
        <f t="shared" si="162"/>
        <v>0</v>
      </c>
      <c r="AE263" s="145">
        <f t="shared" si="163"/>
        <v>0</v>
      </c>
      <c r="AF263" s="146">
        <f t="shared" si="164"/>
        <v>0</v>
      </c>
      <c r="AH263" s="274">
        <f>SUMIF(日報!$T$4:$T$885,TEXT(YEAR(A263),"0000")&amp;TEXT(MONTH(A263),"00")&amp;TEXT(DAY(A263),"00")&amp;"SCSK",日報!$L$4:$L$885)</f>
        <v>0</v>
      </c>
      <c r="AI263" s="275">
        <f t="shared" si="165"/>
        <v>8</v>
      </c>
    </row>
    <row r="264" spans="1:35" s="2" customFormat="1" outlineLevel="1" x14ac:dyDescent="0.15">
      <c r="A264" s="168">
        <f t="shared" si="171"/>
        <v>44083</v>
      </c>
      <c r="B264" s="167">
        <f t="shared" si="166"/>
        <v>44083</v>
      </c>
      <c r="C264" s="32"/>
      <c r="D264" s="16">
        <v>0.38541666666666669</v>
      </c>
      <c r="E264" s="17">
        <v>0.76041666666666663</v>
      </c>
      <c r="F264" s="18">
        <v>1</v>
      </c>
      <c r="G264" s="15"/>
      <c r="H264" s="19"/>
      <c r="I264" s="137">
        <f t="shared" si="167"/>
        <v>9</v>
      </c>
      <c r="J264" s="143">
        <f t="shared" si="168"/>
        <v>7.75</v>
      </c>
      <c r="K264" s="144">
        <f t="shared" si="156"/>
        <v>0.25</v>
      </c>
      <c r="L264" s="145">
        <f t="shared" si="169"/>
        <v>0</v>
      </c>
      <c r="M264" s="146">
        <f t="shared" si="157"/>
        <v>0</v>
      </c>
      <c r="N264" s="147">
        <f>SUMIF(日報!B4:B691,$A264,日報!L4:L691)</f>
        <v>8</v>
      </c>
      <c r="O264" s="147">
        <f t="shared" si="158"/>
        <v>0</v>
      </c>
      <c r="P264" s="151"/>
      <c r="Q264" s="42" t="str">
        <f t="shared" si="159"/>
        <v/>
      </c>
      <c r="R264" s="154"/>
      <c r="S264" s="10" t="str">
        <f t="shared" si="160"/>
        <v/>
      </c>
      <c r="T264" s="11"/>
      <c r="U264" s="12"/>
      <c r="V264" s="136"/>
      <c r="W264" s="16"/>
      <c r="X264" s="17"/>
      <c r="Y264" s="18"/>
      <c r="Z264" s="15"/>
      <c r="AA264" s="15"/>
      <c r="AB264" s="155">
        <f t="shared" si="161"/>
        <v>0</v>
      </c>
      <c r="AC264" s="157">
        <f t="shared" si="170"/>
        <v>0</v>
      </c>
      <c r="AD264" s="144">
        <f t="shared" si="162"/>
        <v>0</v>
      </c>
      <c r="AE264" s="145">
        <f t="shared" si="163"/>
        <v>0</v>
      </c>
      <c r="AF264" s="146">
        <f t="shared" si="164"/>
        <v>0</v>
      </c>
      <c r="AH264" s="274">
        <f>SUMIF(日報!$T$4:$T$885,TEXT(YEAR(A264),"0000")&amp;TEXT(MONTH(A264),"00")&amp;TEXT(DAY(A264),"00")&amp;"SCSK",日報!$L$4:$L$885)</f>
        <v>0</v>
      </c>
      <c r="AI264" s="275">
        <f t="shared" si="165"/>
        <v>8</v>
      </c>
    </row>
    <row r="265" spans="1:35" s="2" customFormat="1" outlineLevel="1" x14ac:dyDescent="0.15">
      <c r="A265" s="168">
        <f t="shared" si="171"/>
        <v>44084</v>
      </c>
      <c r="B265" s="167">
        <f t="shared" si="166"/>
        <v>44084</v>
      </c>
      <c r="C265" s="32"/>
      <c r="D265" s="16">
        <v>0.38541666666666669</v>
      </c>
      <c r="E265" s="17">
        <v>0.76041666666666663</v>
      </c>
      <c r="F265" s="18">
        <v>1</v>
      </c>
      <c r="G265" s="15"/>
      <c r="H265" s="19"/>
      <c r="I265" s="137">
        <f t="shared" si="167"/>
        <v>9</v>
      </c>
      <c r="J265" s="143">
        <f t="shared" si="168"/>
        <v>7.75</v>
      </c>
      <c r="K265" s="144">
        <f t="shared" si="156"/>
        <v>0.25</v>
      </c>
      <c r="L265" s="145">
        <f t="shared" si="169"/>
        <v>0</v>
      </c>
      <c r="M265" s="146">
        <f t="shared" si="157"/>
        <v>0</v>
      </c>
      <c r="N265" s="147">
        <f>SUMIF(日報!B4:B691,$A265,日報!L4:L691)</f>
        <v>8</v>
      </c>
      <c r="O265" s="147">
        <f t="shared" si="158"/>
        <v>0</v>
      </c>
      <c r="P265" s="151"/>
      <c r="Q265" s="42" t="str">
        <f t="shared" si="159"/>
        <v/>
      </c>
      <c r="R265" s="154"/>
      <c r="S265" s="10" t="str">
        <f t="shared" si="160"/>
        <v/>
      </c>
      <c r="T265" s="11"/>
      <c r="U265" s="12"/>
      <c r="V265" s="136"/>
      <c r="W265" s="16"/>
      <c r="X265" s="17"/>
      <c r="Y265" s="18"/>
      <c r="Z265" s="15"/>
      <c r="AA265" s="15"/>
      <c r="AB265" s="155">
        <f t="shared" si="161"/>
        <v>0</v>
      </c>
      <c r="AC265" s="157">
        <f t="shared" si="170"/>
        <v>0</v>
      </c>
      <c r="AD265" s="144">
        <f t="shared" si="162"/>
        <v>0</v>
      </c>
      <c r="AE265" s="145">
        <f t="shared" si="163"/>
        <v>0</v>
      </c>
      <c r="AF265" s="146">
        <f t="shared" si="164"/>
        <v>0</v>
      </c>
      <c r="AH265" s="274">
        <f>SUMIF(日報!$T$4:$T$885,TEXT(YEAR(A265),"0000")&amp;TEXT(MONTH(A265),"00")&amp;TEXT(DAY(A265),"00")&amp;"SCSK",日報!$L$4:$L$885)</f>
        <v>0</v>
      </c>
      <c r="AI265" s="275">
        <f t="shared" si="165"/>
        <v>8</v>
      </c>
    </row>
    <row r="266" spans="1:35" s="2" customFormat="1" outlineLevel="1" x14ac:dyDescent="0.15">
      <c r="A266" s="168">
        <f t="shared" si="171"/>
        <v>44085</v>
      </c>
      <c r="B266" s="167">
        <f t="shared" si="166"/>
        <v>44085</v>
      </c>
      <c r="C266" s="32"/>
      <c r="D266" s="16">
        <v>0.38541666666666669</v>
      </c>
      <c r="E266" s="17">
        <v>0.76041666666666663</v>
      </c>
      <c r="F266" s="18">
        <v>1</v>
      </c>
      <c r="G266" s="15"/>
      <c r="H266" s="19"/>
      <c r="I266" s="137">
        <f t="shared" si="167"/>
        <v>9</v>
      </c>
      <c r="J266" s="143">
        <f t="shared" si="168"/>
        <v>7.75</v>
      </c>
      <c r="K266" s="144">
        <f t="shared" si="156"/>
        <v>0.25</v>
      </c>
      <c r="L266" s="145">
        <f t="shared" si="169"/>
        <v>0</v>
      </c>
      <c r="M266" s="146">
        <f t="shared" si="157"/>
        <v>0</v>
      </c>
      <c r="N266" s="147">
        <f>SUMIF(日報!B4:B691,$A266,日報!L4:L691)</f>
        <v>8</v>
      </c>
      <c r="O266" s="147">
        <f t="shared" si="158"/>
        <v>0</v>
      </c>
      <c r="P266" s="151"/>
      <c r="Q266" s="42" t="str">
        <f t="shared" si="159"/>
        <v/>
      </c>
      <c r="R266" s="154"/>
      <c r="S266" s="10" t="str">
        <f t="shared" si="160"/>
        <v/>
      </c>
      <c r="T266" s="11"/>
      <c r="U266" s="12"/>
      <c r="V266" s="136"/>
      <c r="W266" s="16"/>
      <c r="X266" s="17"/>
      <c r="Y266" s="18"/>
      <c r="Z266" s="15"/>
      <c r="AA266" s="15"/>
      <c r="AB266" s="155">
        <f t="shared" si="161"/>
        <v>0</v>
      </c>
      <c r="AC266" s="157">
        <f t="shared" si="170"/>
        <v>0</v>
      </c>
      <c r="AD266" s="144">
        <f t="shared" si="162"/>
        <v>0</v>
      </c>
      <c r="AE266" s="145">
        <f t="shared" si="163"/>
        <v>0</v>
      </c>
      <c r="AF266" s="146">
        <f t="shared" si="164"/>
        <v>0</v>
      </c>
      <c r="AH266" s="274">
        <f>SUMIF(日報!$T$4:$T$885,TEXT(YEAR(A266),"0000")&amp;TEXT(MONTH(A266),"00")&amp;TEXT(DAY(A266),"00")&amp;"SCSK",日報!$L$4:$L$885)</f>
        <v>0</v>
      </c>
      <c r="AI266" s="275">
        <f t="shared" si="165"/>
        <v>8</v>
      </c>
    </row>
    <row r="267" spans="1:35" s="2" customFormat="1" outlineLevel="1" x14ac:dyDescent="0.15">
      <c r="A267" s="168">
        <f t="shared" si="171"/>
        <v>44086</v>
      </c>
      <c r="B267" s="167">
        <f t="shared" si="166"/>
        <v>44086</v>
      </c>
      <c r="C267" s="32">
        <v>1</v>
      </c>
      <c r="D267" s="16"/>
      <c r="E267" s="17"/>
      <c r="F267" s="18"/>
      <c r="G267" s="15"/>
      <c r="H267" s="19"/>
      <c r="I267" s="137">
        <f t="shared" si="167"/>
        <v>0</v>
      </c>
      <c r="J267" s="143">
        <f t="shared" si="168"/>
        <v>0</v>
      </c>
      <c r="K267" s="144">
        <f t="shared" si="156"/>
        <v>0</v>
      </c>
      <c r="L267" s="145">
        <f t="shared" si="169"/>
        <v>0</v>
      </c>
      <c r="M267" s="146">
        <f t="shared" si="157"/>
        <v>0</v>
      </c>
      <c r="N267" s="147">
        <f>SUMIF(日報!B4:B691,$A267,日報!L4:L691)</f>
        <v>0</v>
      </c>
      <c r="O267" s="147">
        <f t="shared" si="158"/>
        <v>0</v>
      </c>
      <c r="P267" s="151"/>
      <c r="Q267" s="42" t="str">
        <f t="shared" si="159"/>
        <v/>
      </c>
      <c r="R267" s="154"/>
      <c r="S267" s="10" t="str">
        <f t="shared" si="160"/>
        <v/>
      </c>
      <c r="T267" s="11"/>
      <c r="U267" s="12"/>
      <c r="V267" s="136"/>
      <c r="W267" s="16"/>
      <c r="X267" s="17"/>
      <c r="Y267" s="18"/>
      <c r="Z267" s="15"/>
      <c r="AA267" s="15"/>
      <c r="AB267" s="155">
        <f t="shared" si="161"/>
        <v>0</v>
      </c>
      <c r="AC267" s="157">
        <f t="shared" si="170"/>
        <v>0</v>
      </c>
      <c r="AD267" s="144">
        <f t="shared" si="162"/>
        <v>0</v>
      </c>
      <c r="AE267" s="145">
        <f t="shared" si="163"/>
        <v>0</v>
      </c>
      <c r="AF267" s="146">
        <f t="shared" si="164"/>
        <v>0</v>
      </c>
      <c r="AH267" s="274">
        <f>SUMIF(日報!$T$4:$T$885,TEXT(YEAR(A267),"0000")&amp;TEXT(MONTH(A267),"00")&amp;TEXT(DAY(A267),"00")&amp;"SCSK",日報!$L$4:$L$885)</f>
        <v>0</v>
      </c>
      <c r="AI267" s="275">
        <f t="shared" si="165"/>
        <v>0</v>
      </c>
    </row>
    <row r="268" spans="1:35" s="2" customFormat="1" outlineLevel="1" x14ac:dyDescent="0.15">
      <c r="A268" s="168">
        <f t="shared" si="171"/>
        <v>44087</v>
      </c>
      <c r="B268" s="167">
        <f t="shared" si="166"/>
        <v>44087</v>
      </c>
      <c r="C268" s="32">
        <v>1</v>
      </c>
      <c r="D268" s="16"/>
      <c r="E268" s="17"/>
      <c r="F268" s="18"/>
      <c r="G268" s="15"/>
      <c r="H268" s="19"/>
      <c r="I268" s="137">
        <f t="shared" si="167"/>
        <v>0</v>
      </c>
      <c r="J268" s="143">
        <f t="shared" si="168"/>
        <v>0</v>
      </c>
      <c r="K268" s="144">
        <f t="shared" si="156"/>
        <v>0</v>
      </c>
      <c r="L268" s="145">
        <f t="shared" si="169"/>
        <v>0</v>
      </c>
      <c r="M268" s="146">
        <f t="shared" si="157"/>
        <v>0</v>
      </c>
      <c r="N268" s="147">
        <f>SUMIF(日報!B4:B691,$A268,日報!L4:L691)</f>
        <v>0</v>
      </c>
      <c r="O268" s="147">
        <f t="shared" si="158"/>
        <v>0</v>
      </c>
      <c r="P268" s="151"/>
      <c r="Q268" s="42" t="str">
        <f t="shared" si="159"/>
        <v/>
      </c>
      <c r="R268" s="154"/>
      <c r="S268" s="10" t="str">
        <f t="shared" si="160"/>
        <v/>
      </c>
      <c r="T268" s="11"/>
      <c r="U268" s="12"/>
      <c r="V268" s="136"/>
      <c r="W268" s="16"/>
      <c r="X268" s="17"/>
      <c r="Y268" s="18"/>
      <c r="Z268" s="15"/>
      <c r="AA268" s="15"/>
      <c r="AB268" s="155">
        <f t="shared" si="161"/>
        <v>0</v>
      </c>
      <c r="AC268" s="157">
        <f t="shared" si="170"/>
        <v>0</v>
      </c>
      <c r="AD268" s="144">
        <f t="shared" si="162"/>
        <v>0</v>
      </c>
      <c r="AE268" s="145">
        <f t="shared" si="163"/>
        <v>0</v>
      </c>
      <c r="AF268" s="146">
        <f t="shared" si="164"/>
        <v>0</v>
      </c>
      <c r="AH268" s="274">
        <f>SUMIF(日報!$T$4:$T$885,TEXT(YEAR(A268),"0000")&amp;TEXT(MONTH(A268),"00")&amp;TEXT(DAY(A268),"00")&amp;"SCSK",日報!$L$4:$L$885)</f>
        <v>0</v>
      </c>
      <c r="AI268" s="275">
        <f t="shared" si="165"/>
        <v>0</v>
      </c>
    </row>
    <row r="269" spans="1:35" s="2" customFormat="1" outlineLevel="1" x14ac:dyDescent="0.15">
      <c r="A269" s="168">
        <f t="shared" si="171"/>
        <v>44088</v>
      </c>
      <c r="B269" s="167">
        <f t="shared" si="166"/>
        <v>44088</v>
      </c>
      <c r="C269" s="32"/>
      <c r="D269" s="16">
        <v>0.38541666666666669</v>
      </c>
      <c r="E269" s="17">
        <v>0.76041666666666663</v>
      </c>
      <c r="F269" s="18">
        <v>1</v>
      </c>
      <c r="G269" s="15"/>
      <c r="H269" s="19"/>
      <c r="I269" s="137">
        <f t="shared" si="167"/>
        <v>9</v>
      </c>
      <c r="J269" s="143">
        <f t="shared" si="168"/>
        <v>7.75</v>
      </c>
      <c r="K269" s="144">
        <f t="shared" si="156"/>
        <v>0.25</v>
      </c>
      <c r="L269" s="145">
        <f t="shared" si="169"/>
        <v>0</v>
      </c>
      <c r="M269" s="146">
        <f t="shared" si="157"/>
        <v>0</v>
      </c>
      <c r="N269" s="147">
        <f>SUMIF(日報!B4:B691,$A269,日報!L4:L691)</f>
        <v>0</v>
      </c>
      <c r="O269" s="147">
        <f t="shared" si="158"/>
        <v>8</v>
      </c>
      <c r="P269" s="151"/>
      <c r="Q269" s="42" t="str">
        <f t="shared" si="159"/>
        <v/>
      </c>
      <c r="R269" s="154"/>
      <c r="S269" s="10" t="str">
        <f t="shared" si="160"/>
        <v/>
      </c>
      <c r="T269" s="11"/>
      <c r="U269" s="12"/>
      <c r="V269" s="136"/>
      <c r="W269" s="16"/>
      <c r="X269" s="17"/>
      <c r="Y269" s="18"/>
      <c r="Z269" s="15"/>
      <c r="AA269" s="15"/>
      <c r="AB269" s="155">
        <f t="shared" si="161"/>
        <v>0</v>
      </c>
      <c r="AC269" s="157">
        <f t="shared" si="170"/>
        <v>0</v>
      </c>
      <c r="AD269" s="144">
        <f t="shared" si="162"/>
        <v>0</v>
      </c>
      <c r="AE269" s="145">
        <f t="shared" si="163"/>
        <v>0</v>
      </c>
      <c r="AF269" s="146">
        <f t="shared" si="164"/>
        <v>0</v>
      </c>
      <c r="AH269" s="274">
        <f>SUMIF(日報!$T$4:$T$885,TEXT(YEAR(A269),"0000")&amp;TEXT(MONTH(A269),"00")&amp;TEXT(DAY(A269),"00")&amp;"SCSK",日報!$L$4:$L$885)</f>
        <v>0</v>
      </c>
      <c r="AI269" s="275">
        <f t="shared" si="165"/>
        <v>0</v>
      </c>
    </row>
    <row r="270" spans="1:35" s="2" customFormat="1" outlineLevel="1" x14ac:dyDescent="0.15">
      <c r="A270" s="168">
        <f t="shared" si="171"/>
        <v>44089</v>
      </c>
      <c r="B270" s="167">
        <f t="shared" si="166"/>
        <v>44089</v>
      </c>
      <c r="C270" s="32"/>
      <c r="D270" s="16">
        <v>0.38541666666666669</v>
      </c>
      <c r="E270" s="17">
        <v>0.76041666666666663</v>
      </c>
      <c r="F270" s="18">
        <v>1</v>
      </c>
      <c r="G270" s="15"/>
      <c r="H270" s="19"/>
      <c r="I270" s="137">
        <f t="shared" si="167"/>
        <v>9</v>
      </c>
      <c r="J270" s="143">
        <f t="shared" si="168"/>
        <v>7.75</v>
      </c>
      <c r="K270" s="144">
        <f t="shared" si="156"/>
        <v>0.25</v>
      </c>
      <c r="L270" s="145">
        <f t="shared" si="169"/>
        <v>0</v>
      </c>
      <c r="M270" s="146">
        <f t="shared" si="157"/>
        <v>0</v>
      </c>
      <c r="N270" s="147">
        <f>SUMIF(日報!B4:B691,$A270,日報!L4:L691)</f>
        <v>0</v>
      </c>
      <c r="O270" s="147">
        <f t="shared" si="158"/>
        <v>8</v>
      </c>
      <c r="P270" s="151"/>
      <c r="Q270" s="42" t="str">
        <f t="shared" si="159"/>
        <v/>
      </c>
      <c r="R270" s="154"/>
      <c r="S270" s="10" t="str">
        <f t="shared" si="160"/>
        <v/>
      </c>
      <c r="T270" s="11"/>
      <c r="U270" s="12"/>
      <c r="V270" s="136"/>
      <c r="W270" s="16"/>
      <c r="X270" s="17"/>
      <c r="Y270" s="18"/>
      <c r="Z270" s="15"/>
      <c r="AA270" s="15"/>
      <c r="AB270" s="155">
        <f t="shared" si="161"/>
        <v>0</v>
      </c>
      <c r="AC270" s="157">
        <f t="shared" si="170"/>
        <v>0</v>
      </c>
      <c r="AD270" s="144">
        <f t="shared" si="162"/>
        <v>0</v>
      </c>
      <c r="AE270" s="145">
        <f t="shared" si="163"/>
        <v>0</v>
      </c>
      <c r="AF270" s="146">
        <f t="shared" si="164"/>
        <v>0</v>
      </c>
      <c r="AH270" s="274">
        <f>SUMIF(日報!$T$4:$T$885,TEXT(YEAR(A270),"0000")&amp;TEXT(MONTH(A270),"00")&amp;TEXT(DAY(A270),"00")&amp;"SCSK",日報!$L$4:$L$885)</f>
        <v>0</v>
      </c>
      <c r="AI270" s="275">
        <f t="shared" si="165"/>
        <v>0</v>
      </c>
    </row>
    <row r="271" spans="1:35" s="2" customFormat="1" outlineLevel="1" x14ac:dyDescent="0.15">
      <c r="A271" s="168">
        <f t="shared" si="171"/>
        <v>44090</v>
      </c>
      <c r="B271" s="167">
        <f t="shared" si="166"/>
        <v>44090</v>
      </c>
      <c r="C271" s="32"/>
      <c r="D271" s="16">
        <v>0.38541666666666669</v>
      </c>
      <c r="E271" s="17">
        <v>0.76041666666666663</v>
      </c>
      <c r="F271" s="18">
        <v>1</v>
      </c>
      <c r="G271" s="15"/>
      <c r="H271" s="19"/>
      <c r="I271" s="137">
        <f t="shared" si="167"/>
        <v>9</v>
      </c>
      <c r="J271" s="143">
        <f t="shared" si="168"/>
        <v>7.75</v>
      </c>
      <c r="K271" s="144">
        <f t="shared" si="156"/>
        <v>0.25</v>
      </c>
      <c r="L271" s="145">
        <f t="shared" si="169"/>
        <v>0</v>
      </c>
      <c r="M271" s="146">
        <f t="shared" si="157"/>
        <v>0</v>
      </c>
      <c r="N271" s="147">
        <f>SUMIF(日報!B4:B691,$A271,日報!L4:L691)</f>
        <v>0</v>
      </c>
      <c r="O271" s="147">
        <f t="shared" si="158"/>
        <v>8</v>
      </c>
      <c r="P271" s="151"/>
      <c r="Q271" s="42" t="str">
        <f t="shared" si="159"/>
        <v/>
      </c>
      <c r="R271" s="154"/>
      <c r="S271" s="10" t="str">
        <f t="shared" si="160"/>
        <v/>
      </c>
      <c r="T271" s="11"/>
      <c r="U271" s="12"/>
      <c r="V271" s="136"/>
      <c r="W271" s="16"/>
      <c r="X271" s="17"/>
      <c r="Y271" s="18"/>
      <c r="Z271" s="15"/>
      <c r="AA271" s="15"/>
      <c r="AB271" s="155">
        <f t="shared" si="161"/>
        <v>0</v>
      </c>
      <c r="AC271" s="157">
        <f t="shared" si="170"/>
        <v>0</v>
      </c>
      <c r="AD271" s="144">
        <f t="shared" si="162"/>
        <v>0</v>
      </c>
      <c r="AE271" s="145">
        <f t="shared" si="163"/>
        <v>0</v>
      </c>
      <c r="AF271" s="146">
        <f t="shared" si="164"/>
        <v>0</v>
      </c>
      <c r="AH271" s="274">
        <f>SUMIF(日報!$T$4:$T$885,TEXT(YEAR(A271),"0000")&amp;TEXT(MONTH(A271),"00")&amp;TEXT(DAY(A271),"00")&amp;"SCSK",日報!$L$4:$L$885)</f>
        <v>0</v>
      </c>
      <c r="AI271" s="275">
        <f t="shared" si="165"/>
        <v>0</v>
      </c>
    </row>
    <row r="272" spans="1:35" s="2" customFormat="1" outlineLevel="1" x14ac:dyDescent="0.15">
      <c r="A272" s="168">
        <f t="shared" si="171"/>
        <v>44091</v>
      </c>
      <c r="B272" s="167">
        <f t="shared" si="166"/>
        <v>44091</v>
      </c>
      <c r="C272" s="32"/>
      <c r="D272" s="16">
        <v>0.38541666666666669</v>
      </c>
      <c r="E272" s="17">
        <v>0.76041666666666663</v>
      </c>
      <c r="F272" s="18">
        <v>1</v>
      </c>
      <c r="G272" s="15"/>
      <c r="H272" s="19"/>
      <c r="I272" s="137">
        <f t="shared" si="167"/>
        <v>9</v>
      </c>
      <c r="J272" s="143">
        <f t="shared" si="168"/>
        <v>7.75</v>
      </c>
      <c r="K272" s="144">
        <f t="shared" si="156"/>
        <v>0.25</v>
      </c>
      <c r="L272" s="145">
        <f t="shared" si="169"/>
        <v>0</v>
      </c>
      <c r="M272" s="146">
        <f t="shared" si="157"/>
        <v>0</v>
      </c>
      <c r="N272" s="147">
        <f>SUMIF(日報!B4:B691,$A272,日報!L4:L691)</f>
        <v>0</v>
      </c>
      <c r="O272" s="147">
        <f t="shared" si="158"/>
        <v>8</v>
      </c>
      <c r="P272" s="151"/>
      <c r="Q272" s="42" t="str">
        <f t="shared" si="159"/>
        <v/>
      </c>
      <c r="R272" s="154"/>
      <c r="S272" s="10" t="str">
        <f t="shared" si="160"/>
        <v/>
      </c>
      <c r="T272" s="11"/>
      <c r="U272" s="12"/>
      <c r="V272" s="136"/>
      <c r="W272" s="16"/>
      <c r="X272" s="17"/>
      <c r="Y272" s="18"/>
      <c r="Z272" s="15"/>
      <c r="AA272" s="15"/>
      <c r="AB272" s="155">
        <f t="shared" si="161"/>
        <v>0</v>
      </c>
      <c r="AC272" s="157">
        <f t="shared" si="170"/>
        <v>0</v>
      </c>
      <c r="AD272" s="144">
        <f t="shared" si="162"/>
        <v>0</v>
      </c>
      <c r="AE272" s="145">
        <f t="shared" si="163"/>
        <v>0</v>
      </c>
      <c r="AF272" s="146">
        <f t="shared" si="164"/>
        <v>0</v>
      </c>
      <c r="AH272" s="274">
        <f>SUMIF(日報!$T$4:$T$885,TEXT(YEAR(A272),"0000")&amp;TEXT(MONTH(A272),"00")&amp;TEXT(DAY(A272),"00")&amp;"SCSK",日報!$L$4:$L$885)</f>
        <v>0</v>
      </c>
      <c r="AI272" s="275">
        <f t="shared" si="165"/>
        <v>0</v>
      </c>
    </row>
    <row r="273" spans="1:35" s="2" customFormat="1" outlineLevel="1" x14ac:dyDescent="0.15">
      <c r="A273" s="168">
        <f t="shared" si="171"/>
        <v>44092</v>
      </c>
      <c r="B273" s="167">
        <f t="shared" si="166"/>
        <v>44092</v>
      </c>
      <c r="C273" s="32"/>
      <c r="D273" s="16">
        <v>0.38541666666666669</v>
      </c>
      <c r="E273" s="17">
        <v>0.76041666666666663</v>
      </c>
      <c r="F273" s="18">
        <v>1</v>
      </c>
      <c r="G273" s="15"/>
      <c r="H273" s="19"/>
      <c r="I273" s="137">
        <f t="shared" si="167"/>
        <v>9</v>
      </c>
      <c r="J273" s="143">
        <f t="shared" si="168"/>
        <v>7.75</v>
      </c>
      <c r="K273" s="144">
        <f t="shared" si="156"/>
        <v>0.25</v>
      </c>
      <c r="L273" s="145">
        <f t="shared" si="169"/>
        <v>0</v>
      </c>
      <c r="M273" s="146">
        <f t="shared" si="157"/>
        <v>0</v>
      </c>
      <c r="N273" s="147">
        <f>SUMIF(日報!B4:B691,$A273,日報!L4:L691)</f>
        <v>0</v>
      </c>
      <c r="O273" s="147">
        <f t="shared" si="158"/>
        <v>8</v>
      </c>
      <c r="P273" s="151"/>
      <c r="Q273" s="42" t="str">
        <f t="shared" si="159"/>
        <v/>
      </c>
      <c r="R273" s="154"/>
      <c r="S273" s="10" t="str">
        <f t="shared" si="160"/>
        <v/>
      </c>
      <c r="T273" s="11"/>
      <c r="U273" s="12"/>
      <c r="V273" s="136"/>
      <c r="W273" s="16"/>
      <c r="X273" s="17"/>
      <c r="Y273" s="18"/>
      <c r="Z273" s="15"/>
      <c r="AA273" s="15"/>
      <c r="AB273" s="155">
        <f t="shared" si="161"/>
        <v>0</v>
      </c>
      <c r="AC273" s="157">
        <f t="shared" si="170"/>
        <v>0</v>
      </c>
      <c r="AD273" s="144">
        <f t="shared" si="162"/>
        <v>0</v>
      </c>
      <c r="AE273" s="145">
        <f t="shared" si="163"/>
        <v>0</v>
      </c>
      <c r="AF273" s="146">
        <f t="shared" si="164"/>
        <v>0</v>
      </c>
      <c r="AH273" s="274">
        <f>SUMIF(日報!$T$4:$T$885,TEXT(YEAR(A273),"0000")&amp;TEXT(MONTH(A273),"00")&amp;TEXT(DAY(A273),"00")&amp;"SCSK",日報!$L$4:$L$885)</f>
        <v>0</v>
      </c>
      <c r="AI273" s="275">
        <f t="shared" si="165"/>
        <v>0</v>
      </c>
    </row>
    <row r="274" spans="1:35" s="2" customFormat="1" outlineLevel="1" x14ac:dyDescent="0.15">
      <c r="A274" s="168">
        <f t="shared" si="171"/>
        <v>44093</v>
      </c>
      <c r="B274" s="167">
        <f t="shared" si="166"/>
        <v>44093</v>
      </c>
      <c r="C274" s="32">
        <v>1</v>
      </c>
      <c r="D274" s="16"/>
      <c r="E274" s="17"/>
      <c r="F274" s="18"/>
      <c r="G274" s="15"/>
      <c r="H274" s="19"/>
      <c r="I274" s="137">
        <f t="shared" si="167"/>
        <v>0</v>
      </c>
      <c r="J274" s="143">
        <f t="shared" si="168"/>
        <v>0</v>
      </c>
      <c r="K274" s="144">
        <f t="shared" si="156"/>
        <v>0</v>
      </c>
      <c r="L274" s="145">
        <f t="shared" si="169"/>
        <v>0</v>
      </c>
      <c r="M274" s="146">
        <f t="shared" si="157"/>
        <v>0</v>
      </c>
      <c r="N274" s="147">
        <f>SUMIF(日報!B4:B691,$A274,日報!L4:L691)</f>
        <v>0</v>
      </c>
      <c r="O274" s="147">
        <f t="shared" si="158"/>
        <v>0</v>
      </c>
      <c r="P274" s="151"/>
      <c r="Q274" s="42" t="str">
        <f t="shared" si="159"/>
        <v/>
      </c>
      <c r="R274" s="154"/>
      <c r="S274" s="10" t="str">
        <f t="shared" si="160"/>
        <v/>
      </c>
      <c r="T274" s="11"/>
      <c r="U274" s="12"/>
      <c r="V274" s="136"/>
      <c r="W274" s="16"/>
      <c r="X274" s="17"/>
      <c r="Y274" s="18"/>
      <c r="Z274" s="15"/>
      <c r="AA274" s="15"/>
      <c r="AB274" s="155">
        <f t="shared" si="161"/>
        <v>0</v>
      </c>
      <c r="AC274" s="157">
        <f t="shared" si="170"/>
        <v>0</v>
      </c>
      <c r="AD274" s="144">
        <f t="shared" si="162"/>
        <v>0</v>
      </c>
      <c r="AE274" s="145">
        <f t="shared" si="163"/>
        <v>0</v>
      </c>
      <c r="AF274" s="146">
        <f t="shared" si="164"/>
        <v>0</v>
      </c>
      <c r="AH274" s="274">
        <f>SUMIF(日報!$T$4:$T$885,TEXT(YEAR(A274),"0000")&amp;TEXT(MONTH(A274),"00")&amp;TEXT(DAY(A274),"00")&amp;"SCSK",日報!$L$4:$L$885)</f>
        <v>0</v>
      </c>
      <c r="AI274" s="275">
        <f t="shared" si="165"/>
        <v>0</v>
      </c>
    </row>
    <row r="275" spans="1:35" s="2" customFormat="1" outlineLevel="1" x14ac:dyDescent="0.15">
      <c r="A275" s="168">
        <f t="shared" si="171"/>
        <v>44094</v>
      </c>
      <c r="B275" s="167">
        <f t="shared" si="166"/>
        <v>44094</v>
      </c>
      <c r="C275" s="32">
        <v>1</v>
      </c>
      <c r="D275" s="16"/>
      <c r="E275" s="17"/>
      <c r="F275" s="18"/>
      <c r="G275" s="15"/>
      <c r="H275" s="19"/>
      <c r="I275" s="137">
        <f t="shared" si="167"/>
        <v>0</v>
      </c>
      <c r="J275" s="143">
        <f t="shared" si="168"/>
        <v>0</v>
      </c>
      <c r="K275" s="144">
        <f t="shared" si="156"/>
        <v>0</v>
      </c>
      <c r="L275" s="145">
        <f t="shared" si="169"/>
        <v>0</v>
      </c>
      <c r="M275" s="146">
        <f t="shared" si="157"/>
        <v>0</v>
      </c>
      <c r="N275" s="147">
        <f>SUMIF(日報!B4:B691,$A275,日報!L4:L691)</f>
        <v>0</v>
      </c>
      <c r="O275" s="147">
        <f t="shared" si="158"/>
        <v>0</v>
      </c>
      <c r="P275" s="151"/>
      <c r="Q275" s="42" t="str">
        <f t="shared" si="159"/>
        <v/>
      </c>
      <c r="R275" s="154"/>
      <c r="S275" s="10" t="str">
        <f t="shared" si="160"/>
        <v/>
      </c>
      <c r="T275" s="11"/>
      <c r="U275" s="12"/>
      <c r="V275" s="136"/>
      <c r="W275" s="16"/>
      <c r="X275" s="17"/>
      <c r="Y275" s="18"/>
      <c r="Z275" s="15"/>
      <c r="AA275" s="15"/>
      <c r="AB275" s="155">
        <f t="shared" si="161"/>
        <v>0</v>
      </c>
      <c r="AC275" s="157">
        <f t="shared" si="170"/>
        <v>0</v>
      </c>
      <c r="AD275" s="144">
        <f t="shared" si="162"/>
        <v>0</v>
      </c>
      <c r="AE275" s="145">
        <f t="shared" si="163"/>
        <v>0</v>
      </c>
      <c r="AF275" s="146">
        <f t="shared" si="164"/>
        <v>0</v>
      </c>
      <c r="AH275" s="274">
        <f>SUMIF(日報!$T$4:$T$885,TEXT(YEAR(A275),"0000")&amp;TEXT(MONTH(A275),"00")&amp;TEXT(DAY(A275),"00")&amp;"SCSK",日報!$L$4:$L$885)</f>
        <v>0</v>
      </c>
      <c r="AI275" s="275">
        <f t="shared" si="165"/>
        <v>0</v>
      </c>
    </row>
    <row r="276" spans="1:35" s="2" customFormat="1" outlineLevel="1" x14ac:dyDescent="0.15">
      <c r="A276" s="168">
        <f t="shared" si="171"/>
        <v>44095</v>
      </c>
      <c r="B276" s="167">
        <f t="shared" si="166"/>
        <v>44095</v>
      </c>
      <c r="C276" s="32">
        <v>1</v>
      </c>
      <c r="D276" s="16"/>
      <c r="E276" s="17"/>
      <c r="F276" s="18"/>
      <c r="G276" s="15"/>
      <c r="H276" s="19"/>
      <c r="I276" s="137">
        <f t="shared" si="167"/>
        <v>0</v>
      </c>
      <c r="J276" s="143">
        <f t="shared" si="168"/>
        <v>0</v>
      </c>
      <c r="K276" s="144">
        <f t="shared" si="156"/>
        <v>0</v>
      </c>
      <c r="L276" s="145">
        <f t="shared" si="169"/>
        <v>0</v>
      </c>
      <c r="M276" s="146">
        <f t="shared" si="157"/>
        <v>0</v>
      </c>
      <c r="N276" s="147">
        <f>SUMIF(日報!B4:B691,$A276,日報!L4:L691)</f>
        <v>0</v>
      </c>
      <c r="O276" s="147">
        <f t="shared" si="158"/>
        <v>0</v>
      </c>
      <c r="P276" s="151"/>
      <c r="Q276" s="42" t="str">
        <f t="shared" si="159"/>
        <v/>
      </c>
      <c r="R276" s="154"/>
      <c r="S276" s="10" t="str">
        <f t="shared" si="160"/>
        <v/>
      </c>
      <c r="T276" s="11"/>
      <c r="U276" s="12"/>
      <c r="V276" s="136"/>
      <c r="W276" s="16"/>
      <c r="X276" s="17"/>
      <c r="Y276" s="18"/>
      <c r="Z276" s="15"/>
      <c r="AA276" s="15"/>
      <c r="AB276" s="155">
        <f t="shared" si="161"/>
        <v>0</v>
      </c>
      <c r="AC276" s="157">
        <f t="shared" si="170"/>
        <v>0</v>
      </c>
      <c r="AD276" s="144">
        <f t="shared" si="162"/>
        <v>0</v>
      </c>
      <c r="AE276" s="145">
        <f t="shared" si="163"/>
        <v>0</v>
      </c>
      <c r="AF276" s="146">
        <f t="shared" si="164"/>
        <v>0</v>
      </c>
      <c r="AH276" s="274">
        <f>SUMIF(日報!$T$4:$T$885,TEXT(YEAR(A276),"0000")&amp;TEXT(MONTH(A276),"00")&amp;TEXT(DAY(A276),"00")&amp;"SCSK",日報!$L$4:$L$885)</f>
        <v>0</v>
      </c>
      <c r="AI276" s="275">
        <f t="shared" si="165"/>
        <v>0</v>
      </c>
    </row>
    <row r="277" spans="1:35" s="2" customFormat="1" outlineLevel="1" x14ac:dyDescent="0.15">
      <c r="A277" s="168">
        <f t="shared" si="171"/>
        <v>44096</v>
      </c>
      <c r="B277" s="167">
        <f t="shared" si="166"/>
        <v>44096</v>
      </c>
      <c r="C277" s="32">
        <v>1</v>
      </c>
      <c r="D277" s="16"/>
      <c r="E277" s="17"/>
      <c r="F277" s="18"/>
      <c r="G277" s="15"/>
      <c r="H277" s="19"/>
      <c r="I277" s="137">
        <f t="shared" si="167"/>
        <v>0</v>
      </c>
      <c r="J277" s="143">
        <f t="shared" si="168"/>
        <v>0</v>
      </c>
      <c r="K277" s="144">
        <f t="shared" si="156"/>
        <v>0</v>
      </c>
      <c r="L277" s="145">
        <f t="shared" si="169"/>
        <v>0</v>
      </c>
      <c r="M277" s="146">
        <f t="shared" si="157"/>
        <v>0</v>
      </c>
      <c r="N277" s="147">
        <f>SUMIF(日報!B4:B691,$A277,日報!L4:L691)</f>
        <v>0</v>
      </c>
      <c r="O277" s="147">
        <f t="shared" si="158"/>
        <v>0</v>
      </c>
      <c r="P277" s="151"/>
      <c r="Q277" s="42" t="str">
        <f t="shared" si="159"/>
        <v/>
      </c>
      <c r="R277" s="154"/>
      <c r="S277" s="10" t="str">
        <f t="shared" si="160"/>
        <v/>
      </c>
      <c r="T277" s="11"/>
      <c r="U277" s="12"/>
      <c r="V277" s="136"/>
      <c r="W277" s="16"/>
      <c r="X277" s="17"/>
      <c r="Y277" s="18"/>
      <c r="Z277" s="15"/>
      <c r="AA277" s="15"/>
      <c r="AB277" s="155">
        <f t="shared" si="161"/>
        <v>0</v>
      </c>
      <c r="AC277" s="157">
        <f t="shared" si="170"/>
        <v>0</v>
      </c>
      <c r="AD277" s="144">
        <f t="shared" si="162"/>
        <v>0</v>
      </c>
      <c r="AE277" s="145">
        <f t="shared" si="163"/>
        <v>0</v>
      </c>
      <c r="AF277" s="146">
        <f t="shared" si="164"/>
        <v>0</v>
      </c>
      <c r="AH277" s="274">
        <f>SUMIF(日報!$T$4:$T$885,TEXT(YEAR(A277),"0000")&amp;TEXT(MONTH(A277),"00")&amp;TEXT(DAY(A277),"00")&amp;"SCSK",日報!$L$4:$L$885)</f>
        <v>0</v>
      </c>
      <c r="AI277" s="275">
        <f t="shared" si="165"/>
        <v>0</v>
      </c>
    </row>
    <row r="278" spans="1:35" s="2" customFormat="1" outlineLevel="1" x14ac:dyDescent="0.15">
      <c r="A278" s="168">
        <f t="shared" si="171"/>
        <v>44097</v>
      </c>
      <c r="B278" s="167">
        <f t="shared" si="166"/>
        <v>44097</v>
      </c>
      <c r="C278" s="32"/>
      <c r="D278" s="16">
        <v>0.38541666666666669</v>
      </c>
      <c r="E278" s="17">
        <v>0.76041666666666663</v>
      </c>
      <c r="F278" s="18">
        <v>1</v>
      </c>
      <c r="G278" s="15"/>
      <c r="H278" s="19"/>
      <c r="I278" s="137">
        <f t="shared" si="167"/>
        <v>9</v>
      </c>
      <c r="J278" s="143">
        <f t="shared" si="168"/>
        <v>7.75</v>
      </c>
      <c r="K278" s="144">
        <f t="shared" si="156"/>
        <v>0.25</v>
      </c>
      <c r="L278" s="145">
        <f t="shared" si="169"/>
        <v>0</v>
      </c>
      <c r="M278" s="146">
        <f t="shared" si="157"/>
        <v>0</v>
      </c>
      <c r="N278" s="147">
        <f>SUMIF(日報!B4:B691,$A278,日報!L4:L691)</f>
        <v>0</v>
      </c>
      <c r="O278" s="147">
        <f t="shared" si="158"/>
        <v>8</v>
      </c>
      <c r="P278" s="151"/>
      <c r="Q278" s="42" t="str">
        <f t="shared" si="159"/>
        <v/>
      </c>
      <c r="R278" s="154"/>
      <c r="S278" s="10" t="str">
        <f t="shared" si="160"/>
        <v/>
      </c>
      <c r="T278" s="11"/>
      <c r="U278" s="12"/>
      <c r="V278" s="136"/>
      <c r="W278" s="16"/>
      <c r="X278" s="17"/>
      <c r="Y278" s="18"/>
      <c r="Z278" s="15"/>
      <c r="AA278" s="15"/>
      <c r="AB278" s="155">
        <f t="shared" si="161"/>
        <v>0</v>
      </c>
      <c r="AC278" s="157">
        <f t="shared" si="170"/>
        <v>0</v>
      </c>
      <c r="AD278" s="144">
        <f t="shared" si="162"/>
        <v>0</v>
      </c>
      <c r="AE278" s="145">
        <f t="shared" si="163"/>
        <v>0</v>
      </c>
      <c r="AF278" s="146">
        <f t="shared" si="164"/>
        <v>0</v>
      </c>
      <c r="AH278" s="274">
        <f>SUMIF(日報!$T$4:$T$885,TEXT(YEAR(A278),"0000")&amp;TEXT(MONTH(A278),"00")&amp;TEXT(DAY(A278),"00")&amp;"SCSK",日報!$L$4:$L$885)</f>
        <v>0</v>
      </c>
      <c r="AI278" s="275">
        <f t="shared" si="165"/>
        <v>0</v>
      </c>
    </row>
    <row r="279" spans="1:35" s="2" customFormat="1" outlineLevel="1" x14ac:dyDescent="0.15">
      <c r="A279" s="168">
        <f t="shared" si="171"/>
        <v>44098</v>
      </c>
      <c r="B279" s="167">
        <f t="shared" si="166"/>
        <v>44098</v>
      </c>
      <c r="C279" s="32"/>
      <c r="D279" s="16">
        <v>0.38541666666666669</v>
      </c>
      <c r="E279" s="17">
        <v>0.80208333333333337</v>
      </c>
      <c r="F279" s="18">
        <v>1</v>
      </c>
      <c r="G279" s="15"/>
      <c r="H279" s="19"/>
      <c r="I279" s="137">
        <f t="shared" si="167"/>
        <v>10</v>
      </c>
      <c r="J279" s="143">
        <f t="shared" si="168"/>
        <v>7.75</v>
      </c>
      <c r="K279" s="144">
        <f t="shared" si="156"/>
        <v>1.25</v>
      </c>
      <c r="L279" s="145">
        <f t="shared" si="169"/>
        <v>0</v>
      </c>
      <c r="M279" s="146">
        <f t="shared" si="157"/>
        <v>0</v>
      </c>
      <c r="N279" s="147">
        <f>SUMIF(日報!B4:B691,$A279,日報!L4:L691)</f>
        <v>0</v>
      </c>
      <c r="O279" s="147">
        <f t="shared" si="158"/>
        <v>9</v>
      </c>
      <c r="P279" s="151"/>
      <c r="Q279" s="42" t="str">
        <f t="shared" si="159"/>
        <v/>
      </c>
      <c r="R279" s="154"/>
      <c r="S279" s="10" t="str">
        <f t="shared" si="160"/>
        <v/>
      </c>
      <c r="T279" s="11"/>
      <c r="U279" s="12"/>
      <c r="V279" s="136"/>
      <c r="W279" s="16"/>
      <c r="X279" s="17"/>
      <c r="Y279" s="18"/>
      <c r="Z279" s="15"/>
      <c r="AA279" s="15"/>
      <c r="AB279" s="155">
        <f t="shared" si="161"/>
        <v>0</v>
      </c>
      <c r="AC279" s="157">
        <f t="shared" si="170"/>
        <v>0</v>
      </c>
      <c r="AD279" s="144">
        <f t="shared" si="162"/>
        <v>0</v>
      </c>
      <c r="AE279" s="145">
        <f t="shared" si="163"/>
        <v>0</v>
      </c>
      <c r="AF279" s="146">
        <f t="shared" si="164"/>
        <v>0</v>
      </c>
      <c r="AH279" s="274">
        <f>SUMIF(日報!$T$4:$T$885,TEXT(YEAR(A279),"0000")&amp;TEXT(MONTH(A279),"00")&amp;TEXT(DAY(A279),"00")&amp;"SCSK",日報!$L$4:$L$885)</f>
        <v>0</v>
      </c>
      <c r="AI279" s="275">
        <f t="shared" si="165"/>
        <v>0</v>
      </c>
    </row>
    <row r="280" spans="1:35" s="2" customFormat="1" outlineLevel="1" x14ac:dyDescent="0.15">
      <c r="A280" s="168">
        <f t="shared" si="171"/>
        <v>44099</v>
      </c>
      <c r="B280" s="167">
        <f t="shared" si="166"/>
        <v>44099</v>
      </c>
      <c r="C280" s="32"/>
      <c r="D280" s="16">
        <v>0.38541666666666669</v>
      </c>
      <c r="E280" s="17">
        <v>0.76041666666666663</v>
      </c>
      <c r="F280" s="18">
        <v>1</v>
      </c>
      <c r="G280" s="15"/>
      <c r="H280" s="19"/>
      <c r="I280" s="137">
        <f t="shared" si="167"/>
        <v>9</v>
      </c>
      <c r="J280" s="143">
        <f t="shared" si="168"/>
        <v>7.75</v>
      </c>
      <c r="K280" s="144">
        <f t="shared" si="156"/>
        <v>0.25</v>
      </c>
      <c r="L280" s="145">
        <f t="shared" si="169"/>
        <v>0</v>
      </c>
      <c r="M280" s="146">
        <f t="shared" si="157"/>
        <v>0</v>
      </c>
      <c r="N280" s="147">
        <f>SUMIF(日報!B4:B691,$A280,日報!L4:L691)</f>
        <v>0</v>
      </c>
      <c r="O280" s="147">
        <f t="shared" si="158"/>
        <v>8</v>
      </c>
      <c r="P280" s="151"/>
      <c r="Q280" s="42" t="str">
        <f t="shared" si="159"/>
        <v/>
      </c>
      <c r="R280" s="154"/>
      <c r="S280" s="10" t="str">
        <f t="shared" si="160"/>
        <v/>
      </c>
      <c r="T280" s="11"/>
      <c r="U280" s="12"/>
      <c r="V280" s="136"/>
      <c r="W280" s="16"/>
      <c r="X280" s="17"/>
      <c r="Y280" s="18"/>
      <c r="Z280" s="15"/>
      <c r="AA280" s="15"/>
      <c r="AB280" s="155">
        <f t="shared" si="161"/>
        <v>0</v>
      </c>
      <c r="AC280" s="157">
        <f t="shared" si="170"/>
        <v>0</v>
      </c>
      <c r="AD280" s="144">
        <f t="shared" si="162"/>
        <v>0</v>
      </c>
      <c r="AE280" s="145">
        <f t="shared" si="163"/>
        <v>0</v>
      </c>
      <c r="AF280" s="146">
        <f t="shared" si="164"/>
        <v>0</v>
      </c>
      <c r="AH280" s="274">
        <f>SUMIF(日報!$T$4:$T$885,TEXT(YEAR(A280),"0000")&amp;TEXT(MONTH(A280),"00")&amp;TEXT(DAY(A280),"00")&amp;"SCSK",日報!$L$4:$L$885)</f>
        <v>0</v>
      </c>
      <c r="AI280" s="275">
        <f t="shared" si="165"/>
        <v>0</v>
      </c>
    </row>
    <row r="281" spans="1:35" s="2" customFormat="1" outlineLevel="1" x14ac:dyDescent="0.15">
      <c r="A281" s="168">
        <f t="shared" si="171"/>
        <v>44100</v>
      </c>
      <c r="B281" s="167">
        <f t="shared" si="166"/>
        <v>44100</v>
      </c>
      <c r="C281" s="32">
        <v>1</v>
      </c>
      <c r="D281" s="16"/>
      <c r="E281" s="17"/>
      <c r="F281" s="18"/>
      <c r="G281" s="15"/>
      <c r="H281" s="19"/>
      <c r="I281" s="137">
        <f t="shared" si="167"/>
        <v>0</v>
      </c>
      <c r="J281" s="143">
        <f t="shared" si="168"/>
        <v>0</v>
      </c>
      <c r="K281" s="144">
        <f t="shared" si="156"/>
        <v>0</v>
      </c>
      <c r="L281" s="145">
        <f t="shared" si="169"/>
        <v>0</v>
      </c>
      <c r="M281" s="146">
        <f t="shared" si="157"/>
        <v>0</v>
      </c>
      <c r="N281" s="147">
        <f>SUMIF(日報!B4:B691,$A281,日報!L4:L691)</f>
        <v>0</v>
      </c>
      <c r="O281" s="147">
        <f t="shared" si="158"/>
        <v>0</v>
      </c>
      <c r="P281" s="151"/>
      <c r="Q281" s="42" t="str">
        <f t="shared" si="159"/>
        <v/>
      </c>
      <c r="R281" s="154"/>
      <c r="S281" s="10" t="str">
        <f t="shared" si="160"/>
        <v/>
      </c>
      <c r="T281" s="11"/>
      <c r="U281" s="12"/>
      <c r="V281" s="136"/>
      <c r="W281" s="16"/>
      <c r="X281" s="17"/>
      <c r="Y281" s="18"/>
      <c r="Z281" s="15"/>
      <c r="AA281" s="15"/>
      <c r="AB281" s="155">
        <f t="shared" si="161"/>
        <v>0</v>
      </c>
      <c r="AC281" s="157">
        <f t="shared" si="170"/>
        <v>0</v>
      </c>
      <c r="AD281" s="144">
        <f t="shared" si="162"/>
        <v>0</v>
      </c>
      <c r="AE281" s="145">
        <f t="shared" si="163"/>
        <v>0</v>
      </c>
      <c r="AF281" s="146">
        <f t="shared" si="164"/>
        <v>0</v>
      </c>
      <c r="AH281" s="274">
        <f>SUMIF(日報!$T$4:$T$885,TEXT(YEAR(A281),"0000")&amp;TEXT(MONTH(A281),"00")&amp;TEXT(DAY(A281),"00")&amp;"SCSK",日報!$L$4:$L$885)</f>
        <v>0</v>
      </c>
      <c r="AI281" s="275">
        <f t="shared" si="165"/>
        <v>0</v>
      </c>
    </row>
    <row r="282" spans="1:35" s="2" customFormat="1" outlineLevel="1" x14ac:dyDescent="0.15">
      <c r="A282" s="168">
        <f t="shared" si="171"/>
        <v>44101</v>
      </c>
      <c r="B282" s="167">
        <f t="shared" si="166"/>
        <v>44101</v>
      </c>
      <c r="C282" s="32">
        <v>1</v>
      </c>
      <c r="D282" s="16"/>
      <c r="E282" s="17"/>
      <c r="F282" s="18"/>
      <c r="G282" s="15"/>
      <c r="H282" s="19"/>
      <c r="I282" s="137">
        <f t="shared" si="167"/>
        <v>0</v>
      </c>
      <c r="J282" s="143">
        <f t="shared" si="168"/>
        <v>0</v>
      </c>
      <c r="K282" s="144">
        <f t="shared" si="156"/>
        <v>0</v>
      </c>
      <c r="L282" s="145">
        <f t="shared" si="169"/>
        <v>0</v>
      </c>
      <c r="M282" s="146">
        <f t="shared" si="157"/>
        <v>0</v>
      </c>
      <c r="N282" s="147">
        <f>SUMIF(日報!B4:B691,$A282,日報!L4:L691)</f>
        <v>0</v>
      </c>
      <c r="O282" s="147">
        <f t="shared" si="158"/>
        <v>0</v>
      </c>
      <c r="P282" s="151"/>
      <c r="Q282" s="42" t="str">
        <f t="shared" si="159"/>
        <v/>
      </c>
      <c r="R282" s="154"/>
      <c r="S282" s="10" t="str">
        <f t="shared" si="160"/>
        <v/>
      </c>
      <c r="T282" s="11"/>
      <c r="U282" s="12"/>
      <c r="V282" s="136"/>
      <c r="W282" s="16"/>
      <c r="X282" s="17"/>
      <c r="Y282" s="18"/>
      <c r="Z282" s="15"/>
      <c r="AA282" s="15"/>
      <c r="AB282" s="155">
        <f t="shared" si="161"/>
        <v>0</v>
      </c>
      <c r="AC282" s="157">
        <f t="shared" si="170"/>
        <v>0</v>
      </c>
      <c r="AD282" s="144">
        <f t="shared" si="162"/>
        <v>0</v>
      </c>
      <c r="AE282" s="145">
        <f t="shared" si="163"/>
        <v>0</v>
      </c>
      <c r="AF282" s="146">
        <f t="shared" si="164"/>
        <v>0</v>
      </c>
      <c r="AH282" s="274">
        <f>SUMIF(日報!$T$4:$T$885,TEXT(YEAR(A282),"0000")&amp;TEXT(MONTH(A282),"00")&amp;TEXT(DAY(A282),"00")&amp;"SCSK",日報!$L$4:$L$885)</f>
        <v>0</v>
      </c>
      <c r="AI282" s="275">
        <f t="shared" si="165"/>
        <v>0</v>
      </c>
    </row>
    <row r="283" spans="1:35" s="2" customFormat="1" outlineLevel="1" x14ac:dyDescent="0.15">
      <c r="A283" s="168">
        <f t="shared" si="171"/>
        <v>44102</v>
      </c>
      <c r="B283" s="167">
        <f t="shared" si="166"/>
        <v>44102</v>
      </c>
      <c r="C283" s="32"/>
      <c r="D283" s="16">
        <v>0.38541666666666669</v>
      </c>
      <c r="E283" s="17">
        <v>0.76041666666666663</v>
      </c>
      <c r="F283" s="18">
        <v>1</v>
      </c>
      <c r="G283" s="15"/>
      <c r="H283" s="19"/>
      <c r="I283" s="137">
        <f t="shared" si="167"/>
        <v>9</v>
      </c>
      <c r="J283" s="143">
        <f t="shared" si="168"/>
        <v>7.75</v>
      </c>
      <c r="K283" s="144">
        <f t="shared" si="156"/>
        <v>0.25</v>
      </c>
      <c r="L283" s="145">
        <f t="shared" si="169"/>
        <v>0</v>
      </c>
      <c r="M283" s="146">
        <f t="shared" si="157"/>
        <v>0</v>
      </c>
      <c r="N283" s="147">
        <f>SUMIF(日報!B4:B691,$A283,日報!L4:L691)</f>
        <v>0</v>
      </c>
      <c r="O283" s="147">
        <f t="shared" si="158"/>
        <v>8</v>
      </c>
      <c r="P283" s="151"/>
      <c r="Q283" s="42" t="str">
        <f t="shared" si="159"/>
        <v/>
      </c>
      <c r="R283" s="154"/>
      <c r="S283" s="10" t="str">
        <f t="shared" si="160"/>
        <v/>
      </c>
      <c r="T283" s="11"/>
      <c r="U283" s="12"/>
      <c r="V283" s="136"/>
      <c r="W283" s="16"/>
      <c r="X283" s="17"/>
      <c r="Y283" s="18"/>
      <c r="Z283" s="15"/>
      <c r="AA283" s="15"/>
      <c r="AB283" s="155">
        <f t="shared" si="161"/>
        <v>0</v>
      </c>
      <c r="AC283" s="157">
        <f t="shared" si="170"/>
        <v>0</v>
      </c>
      <c r="AD283" s="144">
        <f t="shared" si="162"/>
        <v>0</v>
      </c>
      <c r="AE283" s="145">
        <f t="shared" si="163"/>
        <v>0</v>
      </c>
      <c r="AF283" s="146">
        <f t="shared" si="164"/>
        <v>0</v>
      </c>
      <c r="AH283" s="274">
        <f>SUMIF(日報!$T$4:$T$885,TEXT(YEAR(A283),"0000")&amp;TEXT(MONTH(A283),"00")&amp;TEXT(DAY(A283),"00")&amp;"SCSK",日報!$L$4:$L$885)</f>
        <v>0</v>
      </c>
      <c r="AI283" s="275">
        <f t="shared" si="165"/>
        <v>0</v>
      </c>
    </row>
    <row r="284" spans="1:35" s="2" customFormat="1" outlineLevel="1" x14ac:dyDescent="0.15">
      <c r="A284" s="168">
        <f t="shared" si="171"/>
        <v>44103</v>
      </c>
      <c r="B284" s="167">
        <f t="shared" si="166"/>
        <v>44103</v>
      </c>
      <c r="C284" s="32"/>
      <c r="D284" s="16">
        <v>0.38541666666666669</v>
      </c>
      <c r="E284" s="17">
        <v>0.76041666666666663</v>
      </c>
      <c r="F284" s="18">
        <v>1</v>
      </c>
      <c r="G284" s="15"/>
      <c r="H284" s="19"/>
      <c r="I284" s="137">
        <f t="shared" si="167"/>
        <v>9</v>
      </c>
      <c r="J284" s="143">
        <f t="shared" si="168"/>
        <v>7.75</v>
      </c>
      <c r="K284" s="144">
        <f t="shared" si="156"/>
        <v>0.25</v>
      </c>
      <c r="L284" s="145">
        <f t="shared" si="169"/>
        <v>0</v>
      </c>
      <c r="M284" s="146">
        <f t="shared" si="157"/>
        <v>0</v>
      </c>
      <c r="N284" s="147">
        <f>SUMIF(日報!B4:B691,$A284,日報!L4:L691)</f>
        <v>0</v>
      </c>
      <c r="O284" s="147">
        <f t="shared" si="158"/>
        <v>8</v>
      </c>
      <c r="P284" s="151"/>
      <c r="Q284" s="42" t="str">
        <f t="shared" si="159"/>
        <v/>
      </c>
      <c r="R284" s="154"/>
      <c r="S284" s="10" t="str">
        <f t="shared" si="160"/>
        <v/>
      </c>
      <c r="T284" s="11"/>
      <c r="U284" s="12"/>
      <c r="V284" s="136"/>
      <c r="W284" s="16"/>
      <c r="X284" s="17"/>
      <c r="Y284" s="18"/>
      <c r="Z284" s="15"/>
      <c r="AA284" s="15"/>
      <c r="AB284" s="155">
        <f t="shared" si="161"/>
        <v>0</v>
      </c>
      <c r="AC284" s="157">
        <f t="shared" si="170"/>
        <v>0</v>
      </c>
      <c r="AD284" s="144">
        <f t="shared" si="162"/>
        <v>0</v>
      </c>
      <c r="AE284" s="145">
        <f t="shared" si="163"/>
        <v>0</v>
      </c>
      <c r="AF284" s="146">
        <f t="shared" si="164"/>
        <v>0</v>
      </c>
      <c r="AH284" s="274">
        <f>SUMIF(日報!$T$4:$T$885,TEXT(YEAR(A284),"0000")&amp;TEXT(MONTH(A284),"00")&amp;TEXT(DAY(A284),"00")&amp;"SCSK",日報!$L$4:$L$885)</f>
        <v>0</v>
      </c>
      <c r="AI284" s="275">
        <f t="shared" si="165"/>
        <v>0</v>
      </c>
    </row>
    <row r="285" spans="1:35" s="2" customFormat="1" ht="14.25" outlineLevel="1" thickBot="1" x14ac:dyDescent="0.2">
      <c r="A285" s="168">
        <f t="shared" si="171"/>
        <v>44104</v>
      </c>
      <c r="B285" s="167">
        <f t="shared" si="166"/>
        <v>44104</v>
      </c>
      <c r="C285" s="32"/>
      <c r="D285" s="16">
        <v>0.38541666666666669</v>
      </c>
      <c r="E285" s="17">
        <v>0.76041666666666663</v>
      </c>
      <c r="F285" s="18">
        <v>1</v>
      </c>
      <c r="G285" s="15"/>
      <c r="H285" s="19"/>
      <c r="I285" s="137">
        <f t="shared" si="167"/>
        <v>9</v>
      </c>
      <c r="J285" s="143">
        <f t="shared" si="168"/>
        <v>7.75</v>
      </c>
      <c r="K285" s="144">
        <f t="shared" si="156"/>
        <v>0.25</v>
      </c>
      <c r="L285" s="145">
        <f t="shared" si="169"/>
        <v>0</v>
      </c>
      <c r="M285" s="146">
        <f t="shared" si="157"/>
        <v>0</v>
      </c>
      <c r="N285" s="147">
        <f>SUMIF(日報!B4:B691,$A285,日報!L4:L691)</f>
        <v>0</v>
      </c>
      <c r="O285" s="147">
        <f t="shared" si="158"/>
        <v>8</v>
      </c>
      <c r="P285" s="151"/>
      <c r="Q285" s="42" t="str">
        <f t="shared" si="159"/>
        <v/>
      </c>
      <c r="R285" s="154"/>
      <c r="S285" s="10" t="str">
        <f t="shared" si="160"/>
        <v/>
      </c>
      <c r="T285" s="11"/>
      <c r="U285" s="12"/>
      <c r="V285" s="136"/>
      <c r="W285" s="16"/>
      <c r="X285" s="17"/>
      <c r="Y285" s="18"/>
      <c r="Z285" s="15"/>
      <c r="AA285" s="15"/>
      <c r="AB285" s="155">
        <f t="shared" si="161"/>
        <v>0</v>
      </c>
      <c r="AC285" s="157">
        <f t="shared" si="170"/>
        <v>0</v>
      </c>
      <c r="AD285" s="144">
        <f t="shared" si="162"/>
        <v>0</v>
      </c>
      <c r="AE285" s="145">
        <f t="shared" si="163"/>
        <v>0</v>
      </c>
      <c r="AF285" s="146">
        <f t="shared" si="164"/>
        <v>0</v>
      </c>
      <c r="AH285" s="274">
        <f>SUMIF(日報!$T$4:$T$885,TEXT(YEAR(A285),"0000")&amp;TEXT(MONTH(A285),"00")&amp;TEXT(DAY(A285),"00")&amp;"SCSK",日報!$L$4:$L$885)</f>
        <v>0</v>
      </c>
      <c r="AI285" s="275">
        <f t="shared" si="165"/>
        <v>0</v>
      </c>
    </row>
    <row r="286" spans="1:35" ht="15" thickTop="1" thickBot="1" x14ac:dyDescent="0.2">
      <c r="A286" s="107">
        <f>A285</f>
        <v>44104</v>
      </c>
      <c r="B286" s="108">
        <f>COUNT(B256:B285)</f>
        <v>30</v>
      </c>
      <c r="C286" s="108"/>
      <c r="D286" s="109"/>
      <c r="E286" s="109"/>
      <c r="F286" s="110">
        <f t="shared" ref="F286:M286" si="172">SUM(F256:F285)</f>
        <v>18</v>
      </c>
      <c r="G286" s="110">
        <f t="shared" si="172"/>
        <v>0</v>
      </c>
      <c r="H286" s="110">
        <f t="shared" si="172"/>
        <v>0</v>
      </c>
      <c r="I286" s="110">
        <f t="shared" si="172"/>
        <v>164</v>
      </c>
      <c r="J286" s="110">
        <f t="shared" si="172"/>
        <v>139.5</v>
      </c>
      <c r="K286" s="110">
        <f t="shared" si="172"/>
        <v>6.5</v>
      </c>
      <c r="L286" s="110">
        <f t="shared" si="172"/>
        <v>0</v>
      </c>
      <c r="M286" s="123">
        <f t="shared" si="172"/>
        <v>0</v>
      </c>
      <c r="N286" s="115"/>
      <c r="O286" s="116">
        <f>SUM(O256:O285)</f>
        <v>89</v>
      </c>
      <c r="P286" s="105"/>
      <c r="Q286" s="118"/>
      <c r="R286" s="106"/>
      <c r="S286" s="120"/>
      <c r="T286" s="118"/>
      <c r="U286" s="121"/>
      <c r="W286" s="122"/>
      <c r="X286" s="109"/>
      <c r="Y286" s="110">
        <f t="shared" ref="Y286:AF286" si="173">SUM(Y256:Y285)</f>
        <v>0</v>
      </c>
      <c r="Z286" s="110">
        <f t="shared" si="173"/>
        <v>0</v>
      </c>
      <c r="AA286" s="110">
        <f t="shared" si="173"/>
        <v>0</v>
      </c>
      <c r="AB286" s="111">
        <f t="shared" si="173"/>
        <v>0</v>
      </c>
      <c r="AC286" s="112">
        <f t="shared" si="173"/>
        <v>0</v>
      </c>
      <c r="AD286" s="112">
        <f t="shared" si="173"/>
        <v>0</v>
      </c>
      <c r="AE286" s="112">
        <f t="shared" si="173"/>
        <v>0</v>
      </c>
      <c r="AF286" s="113">
        <f t="shared" si="173"/>
        <v>0</v>
      </c>
      <c r="AH286" s="276"/>
      <c r="AI286" s="277"/>
    </row>
    <row r="287" spans="1:35" s="2" customFormat="1" outlineLevel="1" x14ac:dyDescent="0.15">
      <c r="A287" s="168">
        <f>A285+1</f>
        <v>44105</v>
      </c>
      <c r="B287" s="167">
        <f>A287</f>
        <v>44105</v>
      </c>
      <c r="C287" s="32"/>
      <c r="D287" s="16"/>
      <c r="E287" s="17"/>
      <c r="F287" s="18"/>
      <c r="G287" s="15"/>
      <c r="H287" s="19"/>
      <c r="I287" s="137">
        <f>timediff(D287,E287,15)</f>
        <v>0</v>
      </c>
      <c r="J287" s="143">
        <f>IF(C287=1,0,I287-M287-L287-K287-F287-H287-G287)</f>
        <v>0</v>
      </c>
      <c r="K287" s="144">
        <f t="shared" ref="K287:K317" si="174">IF(C287=0,IF(時間外開始&lt;E287,timediff(時間外開始,E287,15)-M287-G287-H287,0),0)</f>
        <v>0</v>
      </c>
      <c r="L287" s="145">
        <f>IF(C287=1,$I287-F287-M287-H287,0)</f>
        <v>0</v>
      </c>
      <c r="M287" s="146">
        <f t="shared" ref="M287:M317" si="175">IF(深夜終了&lt;E287,timediff(深夜開始,深夜終了,15)-H287,IF(深夜開始&lt;E287,timediff(深夜開始,E287,15)-H287,0))</f>
        <v>0</v>
      </c>
      <c r="N287" s="147">
        <f>SUMIF(日報!B4:B691,$A287,日報!L4:L691)</f>
        <v>0</v>
      </c>
      <c r="O287" s="147">
        <f t="shared" ref="O287:O317" si="176">SUM(J287:M287)-N287</f>
        <v>0</v>
      </c>
      <c r="P287" s="151"/>
      <c r="Q287" s="42" t="str">
        <f t="shared" ref="Q287:Q317" si="177">IF(P287="不調","ここに症状を入力！","")</f>
        <v/>
      </c>
      <c r="R287" s="154"/>
      <c r="S287" s="10" t="str">
        <f t="shared" ref="S287:S317" si="178">IF(R287&lt;&gt;"","ここに理由を入力！","")</f>
        <v/>
      </c>
      <c r="T287" s="11"/>
      <c r="U287" s="12"/>
      <c r="V287" s="136"/>
      <c r="W287" s="16"/>
      <c r="X287" s="17"/>
      <c r="Y287" s="18"/>
      <c r="Z287" s="15"/>
      <c r="AA287" s="15"/>
      <c r="AB287" s="155">
        <f t="shared" ref="AB287:AB317" si="179">timediff(W287,X287,15)</f>
        <v>0</v>
      </c>
      <c r="AC287" s="157">
        <f>AB287-AF287-AE287-AD287-Y287-Z287-AA287</f>
        <v>0</v>
      </c>
      <c r="AD287" s="144">
        <f t="shared" ref="AD287:AD317" si="180">IF(C287=0,IF(時間外開始&lt;X287,timediff(時間外開始,X287,15)-AF287-Z287-AA287,0),0)</f>
        <v>0</v>
      </c>
      <c r="AE287" s="145">
        <f t="shared" ref="AE287:AE317" si="181">IF(C287=1,AB287-Y287-Z287-AA287,0)</f>
        <v>0</v>
      </c>
      <c r="AF287" s="146">
        <f t="shared" ref="AF287:AF317" si="182">IF(深夜終了&lt;X287,timediff(深夜開始,深夜終了,15)-AA287,IF(深夜開始&lt;X287,timediff(深夜開始,X287,15)-AA287,0))</f>
        <v>0</v>
      </c>
      <c r="AH287" s="274">
        <f>SUMIF(日報!$T$4:$T$885,TEXT(YEAR(A287),"0000")&amp;TEXT(MONTH(A287),"00")&amp;TEXT(DAY(A287),"00")&amp;"SCSK",日報!$L$4:$L$885)</f>
        <v>0</v>
      </c>
      <c r="AI287" s="275">
        <f t="shared" si="165"/>
        <v>0</v>
      </c>
    </row>
    <row r="288" spans="1:35" s="2" customFormat="1" outlineLevel="1" x14ac:dyDescent="0.15">
      <c r="A288" s="168">
        <f>A287+1</f>
        <v>44106</v>
      </c>
      <c r="B288" s="167">
        <f t="shared" ref="B288:B317" si="183">A288</f>
        <v>44106</v>
      </c>
      <c r="C288" s="32"/>
      <c r="D288" s="16"/>
      <c r="E288" s="17"/>
      <c r="F288" s="18"/>
      <c r="G288" s="15"/>
      <c r="H288" s="19"/>
      <c r="I288" s="137">
        <f t="shared" ref="I288:I351" si="184">timediff(D288,E288,15)</f>
        <v>0</v>
      </c>
      <c r="J288" s="143">
        <f t="shared" ref="J288:J317" si="185">IF(C288=1,0,I288-M288-L288-K288-F288-H288-G288)</f>
        <v>0</v>
      </c>
      <c r="K288" s="144">
        <f t="shared" si="174"/>
        <v>0</v>
      </c>
      <c r="L288" s="145">
        <f t="shared" ref="L288:L317" si="186">IF(C288=1,$I288-F288-M288-H288,0)</f>
        <v>0</v>
      </c>
      <c r="M288" s="146">
        <f t="shared" si="175"/>
        <v>0</v>
      </c>
      <c r="N288" s="147">
        <f>SUMIF(日報!B4:B691,$A288,日報!L4:L691)</f>
        <v>0</v>
      </c>
      <c r="O288" s="147">
        <f t="shared" si="176"/>
        <v>0</v>
      </c>
      <c r="P288" s="151"/>
      <c r="Q288" s="42" t="str">
        <f t="shared" si="177"/>
        <v/>
      </c>
      <c r="R288" s="154"/>
      <c r="S288" s="10" t="str">
        <f t="shared" si="178"/>
        <v/>
      </c>
      <c r="T288" s="11"/>
      <c r="U288" s="12"/>
      <c r="V288" s="136"/>
      <c r="W288" s="16"/>
      <c r="X288" s="17"/>
      <c r="Y288" s="18"/>
      <c r="Z288" s="15"/>
      <c r="AA288" s="15"/>
      <c r="AB288" s="155">
        <f t="shared" si="179"/>
        <v>0</v>
      </c>
      <c r="AC288" s="157">
        <f t="shared" ref="AC288:AC317" si="187">AB288-AF288-AE288-AD288-Y288-Z288-AA288</f>
        <v>0</v>
      </c>
      <c r="AD288" s="144">
        <f t="shared" si="180"/>
        <v>0</v>
      </c>
      <c r="AE288" s="145">
        <f t="shared" si="181"/>
        <v>0</v>
      </c>
      <c r="AF288" s="146">
        <f t="shared" si="182"/>
        <v>0</v>
      </c>
      <c r="AH288" s="274">
        <f>SUMIF(日報!$T$4:$T$885,TEXT(YEAR(A288),"0000")&amp;TEXT(MONTH(A288),"00")&amp;TEXT(DAY(A288),"00")&amp;"SCSK",日報!$L$4:$L$885)</f>
        <v>0</v>
      </c>
      <c r="AI288" s="275">
        <f t="shared" si="165"/>
        <v>0</v>
      </c>
    </row>
    <row r="289" spans="1:35" s="2" customFormat="1" outlineLevel="1" x14ac:dyDescent="0.15">
      <c r="A289" s="168">
        <f t="shared" ref="A289:A317" si="188">A288+1</f>
        <v>44107</v>
      </c>
      <c r="B289" s="167">
        <f t="shared" si="183"/>
        <v>44107</v>
      </c>
      <c r="C289" s="32">
        <v>1</v>
      </c>
      <c r="D289" s="16"/>
      <c r="E289" s="17"/>
      <c r="F289" s="18"/>
      <c r="G289" s="15"/>
      <c r="H289" s="19"/>
      <c r="I289" s="137">
        <f t="shared" si="184"/>
        <v>0</v>
      </c>
      <c r="J289" s="143">
        <f t="shared" si="185"/>
        <v>0</v>
      </c>
      <c r="K289" s="144">
        <f t="shared" si="174"/>
        <v>0</v>
      </c>
      <c r="L289" s="145">
        <f t="shared" si="186"/>
        <v>0</v>
      </c>
      <c r="M289" s="146">
        <f t="shared" si="175"/>
        <v>0</v>
      </c>
      <c r="N289" s="147">
        <f>SUMIF(日報!B4:B691,$A289,日報!L4:L691)</f>
        <v>0</v>
      </c>
      <c r="O289" s="147">
        <f t="shared" si="176"/>
        <v>0</v>
      </c>
      <c r="P289" s="151"/>
      <c r="Q289" s="42" t="str">
        <f t="shared" si="177"/>
        <v/>
      </c>
      <c r="R289" s="154"/>
      <c r="S289" s="10" t="str">
        <f t="shared" si="178"/>
        <v/>
      </c>
      <c r="T289" s="11"/>
      <c r="U289" s="12"/>
      <c r="V289" s="136"/>
      <c r="W289" s="16"/>
      <c r="X289" s="17"/>
      <c r="Y289" s="18"/>
      <c r="Z289" s="15"/>
      <c r="AA289" s="15"/>
      <c r="AB289" s="155">
        <f t="shared" si="179"/>
        <v>0</v>
      </c>
      <c r="AC289" s="157">
        <f t="shared" si="187"/>
        <v>0</v>
      </c>
      <c r="AD289" s="144">
        <f t="shared" si="180"/>
        <v>0</v>
      </c>
      <c r="AE289" s="145">
        <f t="shared" si="181"/>
        <v>0</v>
      </c>
      <c r="AF289" s="146">
        <f t="shared" si="182"/>
        <v>0</v>
      </c>
      <c r="AH289" s="274">
        <f>SUMIF(日報!$T$4:$T$885,TEXT(YEAR(A289),"0000")&amp;TEXT(MONTH(A289),"00")&amp;TEXT(DAY(A289),"00")&amp;"SCSK",日報!$L$4:$L$885)</f>
        <v>0</v>
      </c>
      <c r="AI289" s="275">
        <f t="shared" si="165"/>
        <v>0</v>
      </c>
    </row>
    <row r="290" spans="1:35" s="2" customFormat="1" outlineLevel="1" x14ac:dyDescent="0.15">
      <c r="A290" s="168">
        <f t="shared" si="188"/>
        <v>44108</v>
      </c>
      <c r="B290" s="167">
        <f t="shared" si="183"/>
        <v>44108</v>
      </c>
      <c r="C290" s="32">
        <v>1</v>
      </c>
      <c r="D290" s="16"/>
      <c r="E290" s="17"/>
      <c r="F290" s="18"/>
      <c r="G290" s="15"/>
      <c r="H290" s="19"/>
      <c r="I290" s="137">
        <f t="shared" si="184"/>
        <v>0</v>
      </c>
      <c r="J290" s="143">
        <f t="shared" si="185"/>
        <v>0</v>
      </c>
      <c r="K290" s="144">
        <f t="shared" si="174"/>
        <v>0</v>
      </c>
      <c r="L290" s="145">
        <f t="shared" si="186"/>
        <v>0</v>
      </c>
      <c r="M290" s="146">
        <f t="shared" si="175"/>
        <v>0</v>
      </c>
      <c r="N290" s="147">
        <f>SUMIF(日報!B4:B691,$A290,日報!L4:L691)</f>
        <v>0</v>
      </c>
      <c r="O290" s="147">
        <f t="shared" si="176"/>
        <v>0</v>
      </c>
      <c r="P290" s="151"/>
      <c r="Q290" s="42" t="str">
        <f t="shared" si="177"/>
        <v/>
      </c>
      <c r="R290" s="154"/>
      <c r="S290" s="10" t="str">
        <f t="shared" si="178"/>
        <v/>
      </c>
      <c r="T290" s="11"/>
      <c r="U290" s="12"/>
      <c r="V290" s="136"/>
      <c r="W290" s="16"/>
      <c r="X290" s="17"/>
      <c r="Y290" s="18"/>
      <c r="Z290" s="15"/>
      <c r="AA290" s="15"/>
      <c r="AB290" s="155">
        <f t="shared" si="179"/>
        <v>0</v>
      </c>
      <c r="AC290" s="157">
        <f t="shared" si="187"/>
        <v>0</v>
      </c>
      <c r="AD290" s="144">
        <f t="shared" si="180"/>
        <v>0</v>
      </c>
      <c r="AE290" s="145">
        <f t="shared" si="181"/>
        <v>0</v>
      </c>
      <c r="AF290" s="146">
        <f t="shared" si="182"/>
        <v>0</v>
      </c>
      <c r="AH290" s="274">
        <f>SUMIF(日報!$T$4:$T$885,TEXT(YEAR(A290),"0000")&amp;TEXT(MONTH(A290),"00")&amp;TEXT(DAY(A290),"00")&amp;"SCSK",日報!$L$4:$L$885)</f>
        <v>0</v>
      </c>
      <c r="AI290" s="275">
        <f t="shared" si="165"/>
        <v>0</v>
      </c>
    </row>
    <row r="291" spans="1:35" s="2" customFormat="1" outlineLevel="1" x14ac:dyDescent="0.15">
      <c r="A291" s="168">
        <f t="shared" si="188"/>
        <v>44109</v>
      </c>
      <c r="B291" s="167">
        <f t="shared" si="183"/>
        <v>44109</v>
      </c>
      <c r="C291" s="32"/>
      <c r="D291" s="16"/>
      <c r="E291" s="17"/>
      <c r="F291" s="18"/>
      <c r="G291" s="15"/>
      <c r="H291" s="19"/>
      <c r="I291" s="137">
        <f t="shared" si="184"/>
        <v>0</v>
      </c>
      <c r="J291" s="143">
        <f t="shared" si="185"/>
        <v>0</v>
      </c>
      <c r="K291" s="144">
        <f t="shared" si="174"/>
        <v>0</v>
      </c>
      <c r="L291" s="145">
        <f t="shared" si="186"/>
        <v>0</v>
      </c>
      <c r="M291" s="146">
        <f t="shared" si="175"/>
        <v>0</v>
      </c>
      <c r="N291" s="147">
        <f>SUMIF(日報!B4:B691,$A291,日報!L4:L691)</f>
        <v>0</v>
      </c>
      <c r="O291" s="147">
        <f t="shared" si="176"/>
        <v>0</v>
      </c>
      <c r="P291" s="151"/>
      <c r="Q291" s="42" t="str">
        <f t="shared" si="177"/>
        <v/>
      </c>
      <c r="R291" s="154"/>
      <c r="S291" s="10" t="str">
        <f t="shared" si="178"/>
        <v/>
      </c>
      <c r="T291" s="11"/>
      <c r="U291" s="12"/>
      <c r="V291" s="136"/>
      <c r="W291" s="16"/>
      <c r="X291" s="17"/>
      <c r="Y291" s="18"/>
      <c r="Z291" s="15"/>
      <c r="AA291" s="15"/>
      <c r="AB291" s="155">
        <f t="shared" si="179"/>
        <v>0</v>
      </c>
      <c r="AC291" s="157">
        <f t="shared" si="187"/>
        <v>0</v>
      </c>
      <c r="AD291" s="144">
        <f t="shared" si="180"/>
        <v>0</v>
      </c>
      <c r="AE291" s="145">
        <f t="shared" si="181"/>
        <v>0</v>
      </c>
      <c r="AF291" s="146">
        <f t="shared" si="182"/>
        <v>0</v>
      </c>
      <c r="AH291" s="274">
        <f>SUMIF(日報!$T$4:$T$885,TEXT(YEAR(A291),"0000")&amp;TEXT(MONTH(A291),"00")&amp;TEXT(DAY(A291),"00")&amp;"SCSK",日報!$L$4:$L$885)</f>
        <v>0</v>
      </c>
      <c r="AI291" s="275">
        <f t="shared" si="165"/>
        <v>0</v>
      </c>
    </row>
    <row r="292" spans="1:35" s="2" customFormat="1" outlineLevel="1" x14ac:dyDescent="0.15">
      <c r="A292" s="168">
        <f t="shared" si="188"/>
        <v>44110</v>
      </c>
      <c r="B292" s="167">
        <f t="shared" si="183"/>
        <v>44110</v>
      </c>
      <c r="C292" s="32"/>
      <c r="D292" s="16"/>
      <c r="E292" s="17"/>
      <c r="F292" s="18"/>
      <c r="G292" s="15"/>
      <c r="H292" s="19"/>
      <c r="I292" s="137">
        <f t="shared" si="184"/>
        <v>0</v>
      </c>
      <c r="J292" s="143">
        <f t="shared" si="185"/>
        <v>0</v>
      </c>
      <c r="K292" s="144">
        <f t="shared" si="174"/>
        <v>0</v>
      </c>
      <c r="L292" s="145">
        <f t="shared" si="186"/>
        <v>0</v>
      </c>
      <c r="M292" s="146">
        <f t="shared" si="175"/>
        <v>0</v>
      </c>
      <c r="N292" s="147">
        <f>SUMIF(日報!B4:B691,$A292,日報!L4:L691)</f>
        <v>0</v>
      </c>
      <c r="O292" s="147">
        <f t="shared" si="176"/>
        <v>0</v>
      </c>
      <c r="P292" s="151"/>
      <c r="Q292" s="42" t="str">
        <f t="shared" si="177"/>
        <v/>
      </c>
      <c r="R292" s="154"/>
      <c r="S292" s="10" t="str">
        <f t="shared" si="178"/>
        <v/>
      </c>
      <c r="T292" s="11"/>
      <c r="U292" s="12"/>
      <c r="V292" s="136"/>
      <c r="W292" s="16"/>
      <c r="X292" s="17"/>
      <c r="Y292" s="18"/>
      <c r="Z292" s="15"/>
      <c r="AA292" s="15"/>
      <c r="AB292" s="155">
        <f t="shared" si="179"/>
        <v>0</v>
      </c>
      <c r="AC292" s="157">
        <f t="shared" si="187"/>
        <v>0</v>
      </c>
      <c r="AD292" s="144">
        <f t="shared" si="180"/>
        <v>0</v>
      </c>
      <c r="AE292" s="145">
        <f t="shared" si="181"/>
        <v>0</v>
      </c>
      <c r="AF292" s="146">
        <f t="shared" si="182"/>
        <v>0</v>
      </c>
      <c r="AH292" s="274">
        <f>SUMIF(日報!$T$4:$T$885,TEXT(YEAR(A292),"0000")&amp;TEXT(MONTH(A292),"00")&amp;TEXT(DAY(A292),"00")&amp;"SCSK",日報!$L$4:$L$885)</f>
        <v>0</v>
      </c>
      <c r="AI292" s="275">
        <f t="shared" si="165"/>
        <v>0</v>
      </c>
    </row>
    <row r="293" spans="1:35" s="2" customFormat="1" outlineLevel="1" x14ac:dyDescent="0.15">
      <c r="A293" s="168">
        <f t="shared" si="188"/>
        <v>44111</v>
      </c>
      <c r="B293" s="167">
        <f t="shared" si="183"/>
        <v>44111</v>
      </c>
      <c r="C293" s="32"/>
      <c r="D293" s="16"/>
      <c r="E293" s="17"/>
      <c r="F293" s="18"/>
      <c r="G293" s="15"/>
      <c r="H293" s="19"/>
      <c r="I293" s="137">
        <f t="shared" si="184"/>
        <v>0</v>
      </c>
      <c r="J293" s="143">
        <f t="shared" si="185"/>
        <v>0</v>
      </c>
      <c r="K293" s="144">
        <f t="shared" si="174"/>
        <v>0</v>
      </c>
      <c r="L293" s="145">
        <f t="shared" si="186"/>
        <v>0</v>
      </c>
      <c r="M293" s="146">
        <f t="shared" si="175"/>
        <v>0</v>
      </c>
      <c r="N293" s="147">
        <f>SUMIF(日報!B4:B691,$A293,日報!L4:L691)</f>
        <v>0</v>
      </c>
      <c r="O293" s="147">
        <f t="shared" si="176"/>
        <v>0</v>
      </c>
      <c r="P293" s="151"/>
      <c r="Q293" s="42" t="str">
        <f t="shared" si="177"/>
        <v/>
      </c>
      <c r="R293" s="154"/>
      <c r="S293" s="10" t="str">
        <f t="shared" si="178"/>
        <v/>
      </c>
      <c r="T293" s="11"/>
      <c r="U293" s="12"/>
      <c r="V293" s="136"/>
      <c r="W293" s="16"/>
      <c r="X293" s="17"/>
      <c r="Y293" s="18"/>
      <c r="Z293" s="15"/>
      <c r="AA293" s="15"/>
      <c r="AB293" s="155">
        <f t="shared" si="179"/>
        <v>0</v>
      </c>
      <c r="AC293" s="157">
        <f t="shared" si="187"/>
        <v>0</v>
      </c>
      <c r="AD293" s="144">
        <f t="shared" si="180"/>
        <v>0</v>
      </c>
      <c r="AE293" s="145">
        <f t="shared" si="181"/>
        <v>0</v>
      </c>
      <c r="AF293" s="146">
        <f t="shared" si="182"/>
        <v>0</v>
      </c>
      <c r="AH293" s="274">
        <f>SUMIF(日報!$T$4:$T$885,TEXT(YEAR(A293),"0000")&amp;TEXT(MONTH(A293),"00")&amp;TEXT(DAY(A293),"00")&amp;"SCSK",日報!$L$4:$L$885)</f>
        <v>0</v>
      </c>
      <c r="AI293" s="275">
        <f t="shared" si="165"/>
        <v>0</v>
      </c>
    </row>
    <row r="294" spans="1:35" s="2" customFormat="1" outlineLevel="1" x14ac:dyDescent="0.15">
      <c r="A294" s="168">
        <f t="shared" si="188"/>
        <v>44112</v>
      </c>
      <c r="B294" s="167">
        <f t="shared" si="183"/>
        <v>44112</v>
      </c>
      <c r="C294" s="32"/>
      <c r="D294" s="16"/>
      <c r="E294" s="17"/>
      <c r="F294" s="18"/>
      <c r="G294" s="15"/>
      <c r="H294" s="19"/>
      <c r="I294" s="137">
        <f t="shared" si="184"/>
        <v>0</v>
      </c>
      <c r="J294" s="143">
        <f t="shared" si="185"/>
        <v>0</v>
      </c>
      <c r="K294" s="144">
        <f t="shared" si="174"/>
        <v>0</v>
      </c>
      <c r="L294" s="145">
        <f t="shared" si="186"/>
        <v>0</v>
      </c>
      <c r="M294" s="146">
        <f t="shared" si="175"/>
        <v>0</v>
      </c>
      <c r="N294" s="147">
        <f>SUMIF(日報!B4:B691,$A294,日報!L4:L691)</f>
        <v>0</v>
      </c>
      <c r="O294" s="147">
        <f t="shared" si="176"/>
        <v>0</v>
      </c>
      <c r="P294" s="151"/>
      <c r="Q294" s="42" t="str">
        <f t="shared" si="177"/>
        <v/>
      </c>
      <c r="R294" s="154"/>
      <c r="S294" s="10" t="str">
        <f t="shared" si="178"/>
        <v/>
      </c>
      <c r="T294" s="11"/>
      <c r="U294" s="12"/>
      <c r="V294" s="136"/>
      <c r="W294" s="16"/>
      <c r="X294" s="17"/>
      <c r="Y294" s="18"/>
      <c r="Z294" s="15"/>
      <c r="AA294" s="15"/>
      <c r="AB294" s="155">
        <f t="shared" si="179"/>
        <v>0</v>
      </c>
      <c r="AC294" s="157">
        <f t="shared" si="187"/>
        <v>0</v>
      </c>
      <c r="AD294" s="144">
        <f t="shared" si="180"/>
        <v>0</v>
      </c>
      <c r="AE294" s="145">
        <f t="shared" si="181"/>
        <v>0</v>
      </c>
      <c r="AF294" s="146">
        <f t="shared" si="182"/>
        <v>0</v>
      </c>
      <c r="AH294" s="274">
        <f>SUMIF(日報!$T$4:$T$885,TEXT(YEAR(A294),"0000")&amp;TEXT(MONTH(A294),"00")&amp;TEXT(DAY(A294),"00")&amp;"SCSK",日報!$L$4:$L$885)</f>
        <v>0</v>
      </c>
      <c r="AI294" s="275">
        <f t="shared" si="165"/>
        <v>0</v>
      </c>
    </row>
    <row r="295" spans="1:35" s="2" customFormat="1" outlineLevel="1" x14ac:dyDescent="0.15">
      <c r="A295" s="168">
        <f t="shared" si="188"/>
        <v>44113</v>
      </c>
      <c r="B295" s="167">
        <f t="shared" si="183"/>
        <v>44113</v>
      </c>
      <c r="C295" s="32"/>
      <c r="D295" s="16"/>
      <c r="E295" s="17"/>
      <c r="F295" s="18"/>
      <c r="G295" s="15"/>
      <c r="H295" s="19"/>
      <c r="I295" s="137">
        <f t="shared" si="184"/>
        <v>0</v>
      </c>
      <c r="J295" s="143">
        <f t="shared" si="185"/>
        <v>0</v>
      </c>
      <c r="K295" s="144">
        <f t="shared" si="174"/>
        <v>0</v>
      </c>
      <c r="L295" s="145">
        <f t="shared" si="186"/>
        <v>0</v>
      </c>
      <c r="M295" s="146">
        <f t="shared" si="175"/>
        <v>0</v>
      </c>
      <c r="N295" s="147">
        <f>SUMIF(日報!B4:B691,$A295,日報!L4:L691)</f>
        <v>0</v>
      </c>
      <c r="O295" s="147">
        <f t="shared" si="176"/>
        <v>0</v>
      </c>
      <c r="P295" s="151"/>
      <c r="Q295" s="42" t="str">
        <f t="shared" si="177"/>
        <v/>
      </c>
      <c r="R295" s="154"/>
      <c r="S295" s="10" t="str">
        <f t="shared" si="178"/>
        <v/>
      </c>
      <c r="T295" s="11"/>
      <c r="U295" s="12"/>
      <c r="V295" s="136"/>
      <c r="W295" s="16"/>
      <c r="X295" s="17"/>
      <c r="Y295" s="18"/>
      <c r="Z295" s="15"/>
      <c r="AA295" s="15"/>
      <c r="AB295" s="155">
        <f t="shared" si="179"/>
        <v>0</v>
      </c>
      <c r="AC295" s="157">
        <f t="shared" si="187"/>
        <v>0</v>
      </c>
      <c r="AD295" s="144">
        <f t="shared" si="180"/>
        <v>0</v>
      </c>
      <c r="AE295" s="145">
        <f t="shared" si="181"/>
        <v>0</v>
      </c>
      <c r="AF295" s="146">
        <f t="shared" si="182"/>
        <v>0</v>
      </c>
      <c r="AH295" s="274">
        <f>SUMIF(日報!$T$4:$T$885,TEXT(YEAR(A295),"0000")&amp;TEXT(MONTH(A295),"00")&amp;TEXT(DAY(A295),"00")&amp;"SCSK",日報!$L$4:$L$885)</f>
        <v>0</v>
      </c>
      <c r="AI295" s="275">
        <f t="shared" si="165"/>
        <v>0</v>
      </c>
    </row>
    <row r="296" spans="1:35" s="2" customFormat="1" outlineLevel="1" x14ac:dyDescent="0.15">
      <c r="A296" s="168">
        <f t="shared" si="188"/>
        <v>44114</v>
      </c>
      <c r="B296" s="167">
        <f t="shared" si="183"/>
        <v>44114</v>
      </c>
      <c r="C296" s="32">
        <v>1</v>
      </c>
      <c r="D296" s="16"/>
      <c r="E296" s="17"/>
      <c r="F296" s="18"/>
      <c r="G296" s="15"/>
      <c r="H296" s="19"/>
      <c r="I296" s="137">
        <f t="shared" si="184"/>
        <v>0</v>
      </c>
      <c r="J296" s="143">
        <f t="shared" si="185"/>
        <v>0</v>
      </c>
      <c r="K296" s="144">
        <f t="shared" si="174"/>
        <v>0</v>
      </c>
      <c r="L296" s="145">
        <f t="shared" si="186"/>
        <v>0</v>
      </c>
      <c r="M296" s="146">
        <f t="shared" si="175"/>
        <v>0</v>
      </c>
      <c r="N296" s="147">
        <f>SUMIF(日報!B4:B691,$A296,日報!L4:L691)</f>
        <v>0</v>
      </c>
      <c r="O296" s="147">
        <f t="shared" si="176"/>
        <v>0</v>
      </c>
      <c r="P296" s="151"/>
      <c r="Q296" s="42" t="str">
        <f t="shared" si="177"/>
        <v/>
      </c>
      <c r="R296" s="154"/>
      <c r="S296" s="10" t="str">
        <f t="shared" si="178"/>
        <v/>
      </c>
      <c r="T296" s="11"/>
      <c r="U296" s="12"/>
      <c r="V296" s="136"/>
      <c r="W296" s="16"/>
      <c r="X296" s="17"/>
      <c r="Y296" s="18"/>
      <c r="Z296" s="15"/>
      <c r="AA296" s="15"/>
      <c r="AB296" s="155">
        <f t="shared" si="179"/>
        <v>0</v>
      </c>
      <c r="AC296" s="157">
        <f t="shared" si="187"/>
        <v>0</v>
      </c>
      <c r="AD296" s="144">
        <f t="shared" si="180"/>
        <v>0</v>
      </c>
      <c r="AE296" s="145">
        <f t="shared" si="181"/>
        <v>0</v>
      </c>
      <c r="AF296" s="146">
        <f t="shared" si="182"/>
        <v>0</v>
      </c>
      <c r="AH296" s="274">
        <f>SUMIF(日報!$T$4:$T$885,TEXT(YEAR(A296),"0000")&amp;TEXT(MONTH(A296),"00")&amp;TEXT(DAY(A296),"00")&amp;"SCSK",日報!$L$4:$L$885)</f>
        <v>0</v>
      </c>
      <c r="AI296" s="275">
        <f t="shared" si="165"/>
        <v>0</v>
      </c>
    </row>
    <row r="297" spans="1:35" s="2" customFormat="1" outlineLevel="1" x14ac:dyDescent="0.15">
      <c r="A297" s="168">
        <f t="shared" si="188"/>
        <v>44115</v>
      </c>
      <c r="B297" s="167">
        <f t="shared" si="183"/>
        <v>44115</v>
      </c>
      <c r="C297" s="32">
        <v>1</v>
      </c>
      <c r="D297" s="16"/>
      <c r="E297" s="17"/>
      <c r="F297" s="18"/>
      <c r="G297" s="15"/>
      <c r="H297" s="19"/>
      <c r="I297" s="137">
        <f t="shared" si="184"/>
        <v>0</v>
      </c>
      <c r="J297" s="143">
        <f t="shared" si="185"/>
        <v>0</v>
      </c>
      <c r="K297" s="144">
        <f t="shared" si="174"/>
        <v>0</v>
      </c>
      <c r="L297" s="145">
        <f t="shared" si="186"/>
        <v>0</v>
      </c>
      <c r="M297" s="146">
        <f t="shared" si="175"/>
        <v>0</v>
      </c>
      <c r="N297" s="147">
        <f>SUMIF(日報!B4:B691,$A297,日報!L4:L691)</f>
        <v>0</v>
      </c>
      <c r="O297" s="147">
        <f t="shared" si="176"/>
        <v>0</v>
      </c>
      <c r="P297" s="151"/>
      <c r="Q297" s="42" t="str">
        <f t="shared" si="177"/>
        <v/>
      </c>
      <c r="R297" s="154"/>
      <c r="S297" s="10" t="str">
        <f t="shared" si="178"/>
        <v/>
      </c>
      <c r="T297" s="11"/>
      <c r="U297" s="12"/>
      <c r="V297" s="136"/>
      <c r="W297" s="16"/>
      <c r="X297" s="17"/>
      <c r="Y297" s="18"/>
      <c r="Z297" s="15"/>
      <c r="AA297" s="15"/>
      <c r="AB297" s="155">
        <f t="shared" si="179"/>
        <v>0</v>
      </c>
      <c r="AC297" s="157">
        <f t="shared" si="187"/>
        <v>0</v>
      </c>
      <c r="AD297" s="144">
        <f t="shared" si="180"/>
        <v>0</v>
      </c>
      <c r="AE297" s="145">
        <f t="shared" si="181"/>
        <v>0</v>
      </c>
      <c r="AF297" s="146">
        <f t="shared" si="182"/>
        <v>0</v>
      </c>
      <c r="AH297" s="274">
        <f>SUMIF(日報!$T$4:$T$885,TEXT(YEAR(A297),"0000")&amp;TEXT(MONTH(A297),"00")&amp;TEXT(DAY(A297),"00")&amp;"SCSK",日報!$L$4:$L$885)</f>
        <v>0</v>
      </c>
      <c r="AI297" s="275">
        <f t="shared" si="165"/>
        <v>0</v>
      </c>
    </row>
    <row r="298" spans="1:35" s="2" customFormat="1" outlineLevel="1" x14ac:dyDescent="0.15">
      <c r="A298" s="168">
        <f t="shared" si="188"/>
        <v>44116</v>
      </c>
      <c r="B298" s="167">
        <f t="shared" si="183"/>
        <v>44116</v>
      </c>
      <c r="C298" s="32"/>
      <c r="D298" s="16"/>
      <c r="E298" s="17"/>
      <c r="F298" s="18"/>
      <c r="G298" s="15"/>
      <c r="H298" s="19"/>
      <c r="I298" s="137">
        <f t="shared" si="184"/>
        <v>0</v>
      </c>
      <c r="J298" s="143">
        <f t="shared" si="185"/>
        <v>0</v>
      </c>
      <c r="K298" s="144">
        <f t="shared" si="174"/>
        <v>0</v>
      </c>
      <c r="L298" s="145">
        <f t="shared" si="186"/>
        <v>0</v>
      </c>
      <c r="M298" s="146">
        <f t="shared" si="175"/>
        <v>0</v>
      </c>
      <c r="N298" s="147">
        <f>SUMIF(日報!B4:B691,$A298,日報!L4:L691)</f>
        <v>0</v>
      </c>
      <c r="O298" s="147">
        <f t="shared" si="176"/>
        <v>0</v>
      </c>
      <c r="P298" s="151"/>
      <c r="Q298" s="42" t="str">
        <f t="shared" si="177"/>
        <v/>
      </c>
      <c r="R298" s="154"/>
      <c r="S298" s="10" t="str">
        <f t="shared" si="178"/>
        <v/>
      </c>
      <c r="T298" s="11"/>
      <c r="U298" s="12"/>
      <c r="V298" s="136"/>
      <c r="W298" s="16"/>
      <c r="X298" s="17"/>
      <c r="Y298" s="18"/>
      <c r="Z298" s="15"/>
      <c r="AA298" s="15"/>
      <c r="AB298" s="155">
        <f t="shared" si="179"/>
        <v>0</v>
      </c>
      <c r="AC298" s="157">
        <f t="shared" si="187"/>
        <v>0</v>
      </c>
      <c r="AD298" s="144">
        <f t="shared" si="180"/>
        <v>0</v>
      </c>
      <c r="AE298" s="145">
        <f t="shared" si="181"/>
        <v>0</v>
      </c>
      <c r="AF298" s="146">
        <f t="shared" si="182"/>
        <v>0</v>
      </c>
      <c r="AH298" s="274">
        <f>SUMIF(日報!$T$4:$T$885,TEXT(YEAR(A298),"0000")&amp;TEXT(MONTH(A298),"00")&amp;TEXT(DAY(A298),"00")&amp;"SCSK",日報!$L$4:$L$885)</f>
        <v>0</v>
      </c>
      <c r="AI298" s="275">
        <f t="shared" si="165"/>
        <v>0</v>
      </c>
    </row>
    <row r="299" spans="1:35" s="2" customFormat="1" outlineLevel="1" x14ac:dyDescent="0.15">
      <c r="A299" s="168">
        <f t="shared" si="188"/>
        <v>44117</v>
      </c>
      <c r="B299" s="167">
        <f t="shared" si="183"/>
        <v>44117</v>
      </c>
      <c r="C299" s="32"/>
      <c r="D299" s="16"/>
      <c r="E299" s="17"/>
      <c r="F299" s="18"/>
      <c r="G299" s="15"/>
      <c r="H299" s="19"/>
      <c r="I299" s="137">
        <f t="shared" si="184"/>
        <v>0</v>
      </c>
      <c r="J299" s="143">
        <f t="shared" si="185"/>
        <v>0</v>
      </c>
      <c r="K299" s="144">
        <f t="shared" si="174"/>
        <v>0</v>
      </c>
      <c r="L299" s="145">
        <f t="shared" si="186"/>
        <v>0</v>
      </c>
      <c r="M299" s="146">
        <f t="shared" si="175"/>
        <v>0</v>
      </c>
      <c r="N299" s="147">
        <f>SUMIF(日報!B4:B691,$A299,日報!L4:L691)</f>
        <v>0</v>
      </c>
      <c r="O299" s="147">
        <f t="shared" si="176"/>
        <v>0</v>
      </c>
      <c r="P299" s="151"/>
      <c r="Q299" s="42" t="str">
        <f t="shared" si="177"/>
        <v/>
      </c>
      <c r="R299" s="154"/>
      <c r="S299" s="10" t="str">
        <f t="shared" si="178"/>
        <v/>
      </c>
      <c r="T299" s="11"/>
      <c r="U299" s="12"/>
      <c r="V299" s="136"/>
      <c r="W299" s="16"/>
      <c r="X299" s="17"/>
      <c r="Y299" s="18"/>
      <c r="Z299" s="15"/>
      <c r="AA299" s="15"/>
      <c r="AB299" s="155">
        <f t="shared" si="179"/>
        <v>0</v>
      </c>
      <c r="AC299" s="157">
        <f t="shared" si="187"/>
        <v>0</v>
      </c>
      <c r="AD299" s="144">
        <f t="shared" si="180"/>
        <v>0</v>
      </c>
      <c r="AE299" s="145">
        <f t="shared" si="181"/>
        <v>0</v>
      </c>
      <c r="AF299" s="146">
        <f t="shared" si="182"/>
        <v>0</v>
      </c>
      <c r="AH299" s="274">
        <f>SUMIF(日報!$T$4:$T$885,TEXT(YEAR(A299),"0000")&amp;TEXT(MONTH(A299),"00")&amp;TEXT(DAY(A299),"00")&amp;"SCSK",日報!$L$4:$L$885)</f>
        <v>0</v>
      </c>
      <c r="AI299" s="275">
        <f t="shared" si="165"/>
        <v>0</v>
      </c>
    </row>
    <row r="300" spans="1:35" s="2" customFormat="1" outlineLevel="1" x14ac:dyDescent="0.15">
      <c r="A300" s="168">
        <f t="shared" si="188"/>
        <v>44118</v>
      </c>
      <c r="B300" s="167">
        <f t="shared" si="183"/>
        <v>44118</v>
      </c>
      <c r="C300" s="32"/>
      <c r="D300" s="16"/>
      <c r="E300" s="17"/>
      <c r="F300" s="18"/>
      <c r="G300" s="15"/>
      <c r="H300" s="19"/>
      <c r="I300" s="137">
        <f t="shared" si="184"/>
        <v>0</v>
      </c>
      <c r="J300" s="143">
        <f t="shared" si="185"/>
        <v>0</v>
      </c>
      <c r="K300" s="144">
        <f t="shared" si="174"/>
        <v>0</v>
      </c>
      <c r="L300" s="145">
        <f t="shared" si="186"/>
        <v>0</v>
      </c>
      <c r="M300" s="146">
        <f t="shared" si="175"/>
        <v>0</v>
      </c>
      <c r="N300" s="147">
        <f>SUMIF(日報!B4:B691,$A300,日報!L4:L691)</f>
        <v>0</v>
      </c>
      <c r="O300" s="147">
        <f t="shared" si="176"/>
        <v>0</v>
      </c>
      <c r="P300" s="151"/>
      <c r="Q300" s="42" t="str">
        <f t="shared" si="177"/>
        <v/>
      </c>
      <c r="R300" s="154"/>
      <c r="S300" s="10" t="str">
        <f t="shared" si="178"/>
        <v/>
      </c>
      <c r="T300" s="11"/>
      <c r="U300" s="12"/>
      <c r="V300" s="136"/>
      <c r="W300" s="16"/>
      <c r="X300" s="17"/>
      <c r="Y300" s="18"/>
      <c r="Z300" s="15"/>
      <c r="AA300" s="15"/>
      <c r="AB300" s="155">
        <f t="shared" si="179"/>
        <v>0</v>
      </c>
      <c r="AC300" s="157">
        <f t="shared" si="187"/>
        <v>0</v>
      </c>
      <c r="AD300" s="144">
        <f t="shared" si="180"/>
        <v>0</v>
      </c>
      <c r="AE300" s="145">
        <f t="shared" si="181"/>
        <v>0</v>
      </c>
      <c r="AF300" s="146">
        <f t="shared" si="182"/>
        <v>0</v>
      </c>
      <c r="AH300" s="274">
        <f>SUMIF(日報!$T$4:$T$885,TEXT(YEAR(A300),"0000")&amp;TEXT(MONTH(A300),"00")&amp;TEXT(DAY(A300),"00")&amp;"SCSK",日報!$L$4:$L$885)</f>
        <v>0</v>
      </c>
      <c r="AI300" s="275">
        <f t="shared" si="165"/>
        <v>0</v>
      </c>
    </row>
    <row r="301" spans="1:35" s="2" customFormat="1" outlineLevel="1" x14ac:dyDescent="0.15">
      <c r="A301" s="168">
        <f t="shared" si="188"/>
        <v>44119</v>
      </c>
      <c r="B301" s="167">
        <f t="shared" si="183"/>
        <v>44119</v>
      </c>
      <c r="C301" s="32"/>
      <c r="D301" s="16"/>
      <c r="E301" s="17"/>
      <c r="F301" s="18"/>
      <c r="G301" s="15"/>
      <c r="H301" s="19"/>
      <c r="I301" s="137">
        <f t="shared" si="184"/>
        <v>0</v>
      </c>
      <c r="J301" s="143">
        <f t="shared" si="185"/>
        <v>0</v>
      </c>
      <c r="K301" s="144">
        <f t="shared" si="174"/>
        <v>0</v>
      </c>
      <c r="L301" s="145">
        <f t="shared" si="186"/>
        <v>0</v>
      </c>
      <c r="M301" s="146">
        <f t="shared" si="175"/>
        <v>0</v>
      </c>
      <c r="N301" s="147">
        <f>SUMIF(日報!B4:B691,$A301,日報!L4:L691)</f>
        <v>0</v>
      </c>
      <c r="O301" s="147">
        <f t="shared" si="176"/>
        <v>0</v>
      </c>
      <c r="P301" s="151"/>
      <c r="Q301" s="42" t="str">
        <f t="shared" si="177"/>
        <v/>
      </c>
      <c r="R301" s="154"/>
      <c r="S301" s="10" t="str">
        <f t="shared" si="178"/>
        <v/>
      </c>
      <c r="T301" s="11"/>
      <c r="U301" s="12"/>
      <c r="V301" s="136"/>
      <c r="W301" s="16"/>
      <c r="X301" s="17"/>
      <c r="Y301" s="18"/>
      <c r="Z301" s="15"/>
      <c r="AA301" s="15"/>
      <c r="AB301" s="155">
        <f t="shared" si="179"/>
        <v>0</v>
      </c>
      <c r="AC301" s="157">
        <f t="shared" si="187"/>
        <v>0</v>
      </c>
      <c r="AD301" s="144">
        <f t="shared" si="180"/>
        <v>0</v>
      </c>
      <c r="AE301" s="145">
        <f t="shared" si="181"/>
        <v>0</v>
      </c>
      <c r="AF301" s="146">
        <f t="shared" si="182"/>
        <v>0</v>
      </c>
      <c r="AH301" s="274">
        <f>SUMIF(日報!$T$4:$T$885,TEXT(YEAR(A301),"0000")&amp;TEXT(MONTH(A301),"00")&amp;TEXT(DAY(A301),"00")&amp;"SCSK",日報!$L$4:$L$885)</f>
        <v>0</v>
      </c>
      <c r="AI301" s="275">
        <f t="shared" si="165"/>
        <v>0</v>
      </c>
    </row>
    <row r="302" spans="1:35" s="2" customFormat="1" outlineLevel="1" x14ac:dyDescent="0.15">
      <c r="A302" s="168">
        <f t="shared" si="188"/>
        <v>44120</v>
      </c>
      <c r="B302" s="167">
        <f t="shared" si="183"/>
        <v>44120</v>
      </c>
      <c r="C302" s="32"/>
      <c r="D302" s="16"/>
      <c r="E302" s="17"/>
      <c r="F302" s="18"/>
      <c r="G302" s="15"/>
      <c r="H302" s="19"/>
      <c r="I302" s="137">
        <f t="shared" si="184"/>
        <v>0</v>
      </c>
      <c r="J302" s="143">
        <f t="shared" si="185"/>
        <v>0</v>
      </c>
      <c r="K302" s="144">
        <f t="shared" si="174"/>
        <v>0</v>
      </c>
      <c r="L302" s="145">
        <f t="shared" si="186"/>
        <v>0</v>
      </c>
      <c r="M302" s="146">
        <f t="shared" si="175"/>
        <v>0</v>
      </c>
      <c r="N302" s="147">
        <f>SUMIF(日報!B4:B691,$A302,日報!L4:L691)</f>
        <v>0</v>
      </c>
      <c r="O302" s="147">
        <f t="shared" si="176"/>
        <v>0</v>
      </c>
      <c r="P302" s="151"/>
      <c r="Q302" s="42" t="str">
        <f t="shared" si="177"/>
        <v/>
      </c>
      <c r="R302" s="154"/>
      <c r="S302" s="10" t="str">
        <f t="shared" si="178"/>
        <v/>
      </c>
      <c r="T302" s="11"/>
      <c r="U302" s="12"/>
      <c r="V302" s="136"/>
      <c r="W302" s="16"/>
      <c r="X302" s="17"/>
      <c r="Y302" s="18"/>
      <c r="Z302" s="15"/>
      <c r="AA302" s="15"/>
      <c r="AB302" s="155">
        <f t="shared" si="179"/>
        <v>0</v>
      </c>
      <c r="AC302" s="157">
        <f t="shared" si="187"/>
        <v>0</v>
      </c>
      <c r="AD302" s="144">
        <f t="shared" si="180"/>
        <v>0</v>
      </c>
      <c r="AE302" s="145">
        <f t="shared" si="181"/>
        <v>0</v>
      </c>
      <c r="AF302" s="146">
        <f t="shared" si="182"/>
        <v>0</v>
      </c>
      <c r="AH302" s="274">
        <f>SUMIF(日報!$T$4:$T$885,TEXT(YEAR(A302),"0000")&amp;TEXT(MONTH(A302),"00")&amp;TEXT(DAY(A302),"00")&amp;"SCSK",日報!$L$4:$L$885)</f>
        <v>0</v>
      </c>
      <c r="AI302" s="275">
        <f t="shared" si="165"/>
        <v>0</v>
      </c>
    </row>
    <row r="303" spans="1:35" s="2" customFormat="1" outlineLevel="1" x14ac:dyDescent="0.15">
      <c r="A303" s="168">
        <f t="shared" si="188"/>
        <v>44121</v>
      </c>
      <c r="B303" s="167">
        <f t="shared" si="183"/>
        <v>44121</v>
      </c>
      <c r="C303" s="32">
        <v>1</v>
      </c>
      <c r="D303" s="16"/>
      <c r="E303" s="17"/>
      <c r="F303" s="18"/>
      <c r="G303" s="15"/>
      <c r="H303" s="19"/>
      <c r="I303" s="137">
        <f t="shared" si="184"/>
        <v>0</v>
      </c>
      <c r="J303" s="143">
        <f t="shared" si="185"/>
        <v>0</v>
      </c>
      <c r="K303" s="144">
        <f t="shared" si="174"/>
        <v>0</v>
      </c>
      <c r="L303" s="145">
        <f t="shared" si="186"/>
        <v>0</v>
      </c>
      <c r="M303" s="146">
        <f t="shared" si="175"/>
        <v>0</v>
      </c>
      <c r="N303" s="147">
        <f>SUMIF(日報!B4:B691,$A303,日報!L4:L691)</f>
        <v>0</v>
      </c>
      <c r="O303" s="147">
        <f t="shared" si="176"/>
        <v>0</v>
      </c>
      <c r="P303" s="151"/>
      <c r="Q303" s="42" t="str">
        <f t="shared" si="177"/>
        <v/>
      </c>
      <c r="R303" s="154"/>
      <c r="S303" s="10" t="str">
        <f t="shared" si="178"/>
        <v/>
      </c>
      <c r="T303" s="11"/>
      <c r="U303" s="12"/>
      <c r="V303" s="136"/>
      <c r="W303" s="16"/>
      <c r="X303" s="17"/>
      <c r="Y303" s="18"/>
      <c r="Z303" s="15"/>
      <c r="AA303" s="15"/>
      <c r="AB303" s="155">
        <f t="shared" si="179"/>
        <v>0</v>
      </c>
      <c r="AC303" s="157">
        <f t="shared" si="187"/>
        <v>0</v>
      </c>
      <c r="AD303" s="144">
        <f t="shared" si="180"/>
        <v>0</v>
      </c>
      <c r="AE303" s="145">
        <f t="shared" si="181"/>
        <v>0</v>
      </c>
      <c r="AF303" s="146">
        <f t="shared" si="182"/>
        <v>0</v>
      </c>
      <c r="AH303" s="274">
        <f>SUMIF(日報!$T$4:$T$885,TEXT(YEAR(A303),"0000")&amp;TEXT(MONTH(A303),"00")&amp;TEXT(DAY(A303),"00")&amp;"SCSK",日報!$L$4:$L$885)</f>
        <v>0</v>
      </c>
      <c r="AI303" s="275">
        <f t="shared" si="165"/>
        <v>0</v>
      </c>
    </row>
    <row r="304" spans="1:35" s="2" customFormat="1" outlineLevel="1" x14ac:dyDescent="0.15">
      <c r="A304" s="168">
        <f t="shared" si="188"/>
        <v>44122</v>
      </c>
      <c r="B304" s="167">
        <f t="shared" si="183"/>
        <v>44122</v>
      </c>
      <c r="C304" s="32">
        <v>1</v>
      </c>
      <c r="D304" s="16"/>
      <c r="E304" s="17"/>
      <c r="F304" s="18"/>
      <c r="G304" s="15"/>
      <c r="H304" s="19"/>
      <c r="I304" s="137">
        <f t="shared" si="184"/>
        <v>0</v>
      </c>
      <c r="J304" s="143">
        <f t="shared" si="185"/>
        <v>0</v>
      </c>
      <c r="K304" s="144">
        <f t="shared" si="174"/>
        <v>0</v>
      </c>
      <c r="L304" s="145">
        <f t="shared" si="186"/>
        <v>0</v>
      </c>
      <c r="M304" s="146">
        <f t="shared" si="175"/>
        <v>0</v>
      </c>
      <c r="N304" s="147">
        <f>SUMIF(日報!B4:B691,$A304,日報!L4:L691)</f>
        <v>0</v>
      </c>
      <c r="O304" s="147">
        <f t="shared" si="176"/>
        <v>0</v>
      </c>
      <c r="P304" s="151"/>
      <c r="Q304" s="42" t="str">
        <f t="shared" si="177"/>
        <v/>
      </c>
      <c r="R304" s="154"/>
      <c r="S304" s="10" t="str">
        <f t="shared" si="178"/>
        <v/>
      </c>
      <c r="T304" s="11"/>
      <c r="U304" s="12"/>
      <c r="V304" s="136"/>
      <c r="W304" s="16"/>
      <c r="X304" s="17"/>
      <c r="Y304" s="18"/>
      <c r="Z304" s="15"/>
      <c r="AA304" s="15"/>
      <c r="AB304" s="155">
        <f t="shared" si="179"/>
        <v>0</v>
      </c>
      <c r="AC304" s="157">
        <f t="shared" si="187"/>
        <v>0</v>
      </c>
      <c r="AD304" s="144">
        <f t="shared" si="180"/>
        <v>0</v>
      </c>
      <c r="AE304" s="145">
        <f t="shared" si="181"/>
        <v>0</v>
      </c>
      <c r="AF304" s="146">
        <f t="shared" si="182"/>
        <v>0</v>
      </c>
      <c r="AH304" s="274">
        <f>SUMIF(日報!$T$4:$T$885,TEXT(YEAR(A304),"0000")&amp;TEXT(MONTH(A304),"00")&amp;TEXT(DAY(A304),"00")&amp;"SCSK",日報!$L$4:$L$885)</f>
        <v>0</v>
      </c>
      <c r="AI304" s="275">
        <f t="shared" si="165"/>
        <v>0</v>
      </c>
    </row>
    <row r="305" spans="1:35" s="2" customFormat="1" outlineLevel="1" x14ac:dyDescent="0.15">
      <c r="A305" s="168">
        <f t="shared" si="188"/>
        <v>44123</v>
      </c>
      <c r="B305" s="167">
        <f t="shared" si="183"/>
        <v>44123</v>
      </c>
      <c r="C305" s="32"/>
      <c r="D305" s="16"/>
      <c r="E305" s="17"/>
      <c r="F305" s="18"/>
      <c r="G305" s="15"/>
      <c r="H305" s="19"/>
      <c r="I305" s="137">
        <f t="shared" si="184"/>
        <v>0</v>
      </c>
      <c r="J305" s="143">
        <f t="shared" si="185"/>
        <v>0</v>
      </c>
      <c r="K305" s="144">
        <f t="shared" si="174"/>
        <v>0</v>
      </c>
      <c r="L305" s="145">
        <f t="shared" si="186"/>
        <v>0</v>
      </c>
      <c r="M305" s="146">
        <f t="shared" si="175"/>
        <v>0</v>
      </c>
      <c r="N305" s="147">
        <f>SUMIF(日報!B4:B691,$A305,日報!L4:L691)</f>
        <v>0</v>
      </c>
      <c r="O305" s="147">
        <f t="shared" si="176"/>
        <v>0</v>
      </c>
      <c r="P305" s="151"/>
      <c r="Q305" s="42" t="str">
        <f t="shared" si="177"/>
        <v/>
      </c>
      <c r="R305" s="154"/>
      <c r="S305" s="10" t="str">
        <f t="shared" si="178"/>
        <v/>
      </c>
      <c r="T305" s="11"/>
      <c r="U305" s="12"/>
      <c r="V305" s="136"/>
      <c r="W305" s="16"/>
      <c r="X305" s="17"/>
      <c r="Y305" s="18"/>
      <c r="Z305" s="15"/>
      <c r="AA305" s="15"/>
      <c r="AB305" s="155">
        <f t="shared" si="179"/>
        <v>0</v>
      </c>
      <c r="AC305" s="157">
        <f t="shared" si="187"/>
        <v>0</v>
      </c>
      <c r="AD305" s="144">
        <f t="shared" si="180"/>
        <v>0</v>
      </c>
      <c r="AE305" s="145">
        <f t="shared" si="181"/>
        <v>0</v>
      </c>
      <c r="AF305" s="146">
        <f t="shared" si="182"/>
        <v>0</v>
      </c>
      <c r="AH305" s="274">
        <f>SUMIF(日報!$T$4:$T$885,TEXT(YEAR(A305),"0000")&amp;TEXT(MONTH(A305),"00")&amp;TEXT(DAY(A305),"00")&amp;"SCSK",日報!$L$4:$L$885)</f>
        <v>0</v>
      </c>
      <c r="AI305" s="275">
        <f t="shared" si="165"/>
        <v>0</v>
      </c>
    </row>
    <row r="306" spans="1:35" s="2" customFormat="1" outlineLevel="1" x14ac:dyDescent="0.15">
      <c r="A306" s="168">
        <f t="shared" si="188"/>
        <v>44124</v>
      </c>
      <c r="B306" s="167">
        <f t="shared" si="183"/>
        <v>44124</v>
      </c>
      <c r="C306" s="32"/>
      <c r="D306" s="16"/>
      <c r="E306" s="17"/>
      <c r="F306" s="18"/>
      <c r="G306" s="15"/>
      <c r="H306" s="19"/>
      <c r="I306" s="137">
        <f t="shared" si="184"/>
        <v>0</v>
      </c>
      <c r="J306" s="143">
        <f t="shared" si="185"/>
        <v>0</v>
      </c>
      <c r="K306" s="144">
        <f t="shared" si="174"/>
        <v>0</v>
      </c>
      <c r="L306" s="145">
        <f t="shared" si="186"/>
        <v>0</v>
      </c>
      <c r="M306" s="146">
        <f t="shared" si="175"/>
        <v>0</v>
      </c>
      <c r="N306" s="147">
        <f>SUMIF(日報!B4:B691,$A306,日報!L4:L691)</f>
        <v>0</v>
      </c>
      <c r="O306" s="147">
        <f t="shared" si="176"/>
        <v>0</v>
      </c>
      <c r="P306" s="151"/>
      <c r="Q306" s="42" t="str">
        <f t="shared" si="177"/>
        <v/>
      </c>
      <c r="R306" s="154"/>
      <c r="S306" s="10" t="str">
        <f t="shared" si="178"/>
        <v/>
      </c>
      <c r="T306" s="11"/>
      <c r="U306" s="12"/>
      <c r="V306" s="136"/>
      <c r="W306" s="16"/>
      <c r="X306" s="17"/>
      <c r="Y306" s="18"/>
      <c r="Z306" s="15"/>
      <c r="AA306" s="15"/>
      <c r="AB306" s="155">
        <f t="shared" si="179"/>
        <v>0</v>
      </c>
      <c r="AC306" s="157">
        <f t="shared" si="187"/>
        <v>0</v>
      </c>
      <c r="AD306" s="144">
        <f t="shared" si="180"/>
        <v>0</v>
      </c>
      <c r="AE306" s="145">
        <f t="shared" si="181"/>
        <v>0</v>
      </c>
      <c r="AF306" s="146">
        <f t="shared" si="182"/>
        <v>0</v>
      </c>
      <c r="AH306" s="274">
        <f>SUMIF(日報!$T$4:$T$885,TEXT(YEAR(A306),"0000")&amp;TEXT(MONTH(A306),"00")&amp;TEXT(DAY(A306),"00")&amp;"SCSK",日報!$L$4:$L$885)</f>
        <v>0</v>
      </c>
      <c r="AI306" s="275">
        <f t="shared" si="165"/>
        <v>0</v>
      </c>
    </row>
    <row r="307" spans="1:35" s="2" customFormat="1" outlineLevel="1" x14ac:dyDescent="0.15">
      <c r="A307" s="168">
        <f t="shared" si="188"/>
        <v>44125</v>
      </c>
      <c r="B307" s="167">
        <f t="shared" si="183"/>
        <v>44125</v>
      </c>
      <c r="C307" s="32"/>
      <c r="D307" s="16"/>
      <c r="E307" s="17"/>
      <c r="F307" s="18"/>
      <c r="G307" s="15"/>
      <c r="H307" s="19"/>
      <c r="I307" s="137">
        <f t="shared" si="184"/>
        <v>0</v>
      </c>
      <c r="J307" s="143">
        <f t="shared" si="185"/>
        <v>0</v>
      </c>
      <c r="K307" s="144">
        <f t="shared" si="174"/>
        <v>0</v>
      </c>
      <c r="L307" s="145">
        <f t="shared" si="186"/>
        <v>0</v>
      </c>
      <c r="M307" s="146">
        <f t="shared" si="175"/>
        <v>0</v>
      </c>
      <c r="N307" s="147">
        <f>SUMIF(日報!B4:B691,$A307,日報!L4:L691)</f>
        <v>0</v>
      </c>
      <c r="O307" s="147">
        <f t="shared" si="176"/>
        <v>0</v>
      </c>
      <c r="P307" s="151"/>
      <c r="Q307" s="42" t="str">
        <f t="shared" si="177"/>
        <v/>
      </c>
      <c r="R307" s="154"/>
      <c r="S307" s="10" t="str">
        <f t="shared" si="178"/>
        <v/>
      </c>
      <c r="T307" s="11"/>
      <c r="U307" s="12"/>
      <c r="V307" s="136"/>
      <c r="W307" s="16"/>
      <c r="X307" s="17"/>
      <c r="Y307" s="18"/>
      <c r="Z307" s="15"/>
      <c r="AA307" s="15"/>
      <c r="AB307" s="155">
        <f t="shared" si="179"/>
        <v>0</v>
      </c>
      <c r="AC307" s="157">
        <f t="shared" si="187"/>
        <v>0</v>
      </c>
      <c r="AD307" s="144">
        <f t="shared" si="180"/>
        <v>0</v>
      </c>
      <c r="AE307" s="145">
        <f t="shared" si="181"/>
        <v>0</v>
      </c>
      <c r="AF307" s="146">
        <f t="shared" si="182"/>
        <v>0</v>
      </c>
      <c r="AH307" s="274">
        <f>SUMIF(日報!$T$4:$T$885,TEXT(YEAR(A307),"0000")&amp;TEXT(MONTH(A307),"00")&amp;TEXT(DAY(A307),"00")&amp;"SCSK",日報!$L$4:$L$885)</f>
        <v>0</v>
      </c>
      <c r="AI307" s="275">
        <f t="shared" si="165"/>
        <v>0</v>
      </c>
    </row>
    <row r="308" spans="1:35" s="2" customFormat="1" outlineLevel="1" x14ac:dyDescent="0.15">
      <c r="A308" s="168">
        <f t="shared" si="188"/>
        <v>44126</v>
      </c>
      <c r="B308" s="167">
        <f t="shared" si="183"/>
        <v>44126</v>
      </c>
      <c r="C308" s="32"/>
      <c r="D308" s="16"/>
      <c r="E308" s="17"/>
      <c r="F308" s="18"/>
      <c r="G308" s="15"/>
      <c r="H308" s="19"/>
      <c r="I308" s="137">
        <f t="shared" si="184"/>
        <v>0</v>
      </c>
      <c r="J308" s="143">
        <f t="shared" si="185"/>
        <v>0</v>
      </c>
      <c r="K308" s="144">
        <f t="shared" si="174"/>
        <v>0</v>
      </c>
      <c r="L308" s="145">
        <f t="shared" si="186"/>
        <v>0</v>
      </c>
      <c r="M308" s="146">
        <f t="shared" si="175"/>
        <v>0</v>
      </c>
      <c r="N308" s="147">
        <f>SUMIF(日報!B4:B691,$A308,日報!L4:L691)</f>
        <v>0</v>
      </c>
      <c r="O308" s="147">
        <f t="shared" si="176"/>
        <v>0</v>
      </c>
      <c r="P308" s="151"/>
      <c r="Q308" s="42" t="str">
        <f t="shared" si="177"/>
        <v/>
      </c>
      <c r="R308" s="154"/>
      <c r="S308" s="10" t="str">
        <f t="shared" si="178"/>
        <v/>
      </c>
      <c r="T308" s="11"/>
      <c r="U308" s="12"/>
      <c r="V308" s="136"/>
      <c r="W308" s="16"/>
      <c r="X308" s="17"/>
      <c r="Y308" s="18"/>
      <c r="Z308" s="15"/>
      <c r="AA308" s="15"/>
      <c r="AB308" s="155">
        <f t="shared" si="179"/>
        <v>0</v>
      </c>
      <c r="AC308" s="157">
        <f t="shared" si="187"/>
        <v>0</v>
      </c>
      <c r="AD308" s="144">
        <f t="shared" si="180"/>
        <v>0</v>
      </c>
      <c r="AE308" s="145">
        <f t="shared" si="181"/>
        <v>0</v>
      </c>
      <c r="AF308" s="146">
        <f t="shared" si="182"/>
        <v>0</v>
      </c>
      <c r="AH308" s="274">
        <f>SUMIF(日報!$T$4:$T$885,TEXT(YEAR(A308),"0000")&amp;TEXT(MONTH(A308),"00")&amp;TEXT(DAY(A308),"00")&amp;"SCSK",日報!$L$4:$L$885)</f>
        <v>0</v>
      </c>
      <c r="AI308" s="275">
        <f t="shared" si="165"/>
        <v>0</v>
      </c>
    </row>
    <row r="309" spans="1:35" s="2" customFormat="1" outlineLevel="1" x14ac:dyDescent="0.15">
      <c r="A309" s="168">
        <f t="shared" si="188"/>
        <v>44127</v>
      </c>
      <c r="B309" s="167">
        <f t="shared" si="183"/>
        <v>44127</v>
      </c>
      <c r="C309" s="32"/>
      <c r="D309" s="16"/>
      <c r="E309" s="17"/>
      <c r="F309" s="18"/>
      <c r="G309" s="15"/>
      <c r="H309" s="19"/>
      <c r="I309" s="137">
        <f t="shared" si="184"/>
        <v>0</v>
      </c>
      <c r="J309" s="143">
        <f t="shared" si="185"/>
        <v>0</v>
      </c>
      <c r="K309" s="144">
        <f t="shared" si="174"/>
        <v>0</v>
      </c>
      <c r="L309" s="145">
        <f t="shared" si="186"/>
        <v>0</v>
      </c>
      <c r="M309" s="146">
        <f t="shared" si="175"/>
        <v>0</v>
      </c>
      <c r="N309" s="147">
        <f>SUMIF(日報!B4:B691,$A309,日報!L4:L691)</f>
        <v>0</v>
      </c>
      <c r="O309" s="147">
        <f t="shared" si="176"/>
        <v>0</v>
      </c>
      <c r="P309" s="151"/>
      <c r="Q309" s="42" t="str">
        <f t="shared" si="177"/>
        <v/>
      </c>
      <c r="R309" s="154"/>
      <c r="S309" s="10" t="str">
        <f t="shared" si="178"/>
        <v/>
      </c>
      <c r="T309" s="11"/>
      <c r="U309" s="12"/>
      <c r="V309" s="136"/>
      <c r="W309" s="16"/>
      <c r="X309" s="17"/>
      <c r="Y309" s="18"/>
      <c r="Z309" s="15"/>
      <c r="AA309" s="15"/>
      <c r="AB309" s="155">
        <f t="shared" si="179"/>
        <v>0</v>
      </c>
      <c r="AC309" s="157">
        <f t="shared" si="187"/>
        <v>0</v>
      </c>
      <c r="AD309" s="144">
        <f t="shared" si="180"/>
        <v>0</v>
      </c>
      <c r="AE309" s="145">
        <f t="shared" si="181"/>
        <v>0</v>
      </c>
      <c r="AF309" s="146">
        <f t="shared" si="182"/>
        <v>0</v>
      </c>
      <c r="AH309" s="274">
        <f>SUMIF(日報!$T$4:$T$885,TEXT(YEAR(A309),"0000")&amp;TEXT(MONTH(A309),"00")&amp;TEXT(DAY(A309),"00")&amp;"SCSK",日報!$L$4:$L$885)</f>
        <v>0</v>
      </c>
      <c r="AI309" s="275">
        <f t="shared" si="165"/>
        <v>0</v>
      </c>
    </row>
    <row r="310" spans="1:35" s="2" customFormat="1" outlineLevel="1" x14ac:dyDescent="0.15">
      <c r="A310" s="168">
        <f t="shared" si="188"/>
        <v>44128</v>
      </c>
      <c r="B310" s="167">
        <f t="shared" si="183"/>
        <v>44128</v>
      </c>
      <c r="C310" s="32">
        <v>1</v>
      </c>
      <c r="D310" s="16"/>
      <c r="E310" s="17"/>
      <c r="F310" s="18"/>
      <c r="G310" s="15"/>
      <c r="H310" s="19"/>
      <c r="I310" s="137">
        <f t="shared" si="184"/>
        <v>0</v>
      </c>
      <c r="J310" s="143">
        <f t="shared" si="185"/>
        <v>0</v>
      </c>
      <c r="K310" s="144">
        <f t="shared" si="174"/>
        <v>0</v>
      </c>
      <c r="L310" s="145">
        <f t="shared" si="186"/>
        <v>0</v>
      </c>
      <c r="M310" s="146">
        <f t="shared" si="175"/>
        <v>0</v>
      </c>
      <c r="N310" s="147">
        <f>SUMIF(日報!B4:B691,$A310,日報!L4:L691)</f>
        <v>0</v>
      </c>
      <c r="O310" s="147">
        <f t="shared" si="176"/>
        <v>0</v>
      </c>
      <c r="P310" s="151"/>
      <c r="Q310" s="42" t="str">
        <f t="shared" si="177"/>
        <v/>
      </c>
      <c r="R310" s="154"/>
      <c r="S310" s="10" t="str">
        <f t="shared" si="178"/>
        <v/>
      </c>
      <c r="T310" s="11"/>
      <c r="U310" s="12"/>
      <c r="V310" s="136"/>
      <c r="W310" s="16"/>
      <c r="X310" s="17"/>
      <c r="Y310" s="18"/>
      <c r="Z310" s="15"/>
      <c r="AA310" s="15"/>
      <c r="AB310" s="155">
        <f t="shared" si="179"/>
        <v>0</v>
      </c>
      <c r="AC310" s="157">
        <f t="shared" si="187"/>
        <v>0</v>
      </c>
      <c r="AD310" s="144">
        <f t="shared" si="180"/>
        <v>0</v>
      </c>
      <c r="AE310" s="145">
        <f t="shared" si="181"/>
        <v>0</v>
      </c>
      <c r="AF310" s="146">
        <f t="shared" si="182"/>
        <v>0</v>
      </c>
      <c r="AH310" s="274">
        <f>SUMIF(日報!$T$4:$T$885,TEXT(YEAR(A310),"0000")&amp;TEXT(MONTH(A310),"00")&amp;TEXT(DAY(A310),"00")&amp;"SCSK",日報!$L$4:$L$885)</f>
        <v>0</v>
      </c>
      <c r="AI310" s="275">
        <f t="shared" si="165"/>
        <v>0</v>
      </c>
    </row>
    <row r="311" spans="1:35" s="2" customFormat="1" outlineLevel="1" x14ac:dyDescent="0.15">
      <c r="A311" s="168">
        <f t="shared" si="188"/>
        <v>44129</v>
      </c>
      <c r="B311" s="167">
        <f t="shared" si="183"/>
        <v>44129</v>
      </c>
      <c r="C311" s="32">
        <v>1</v>
      </c>
      <c r="D311" s="16"/>
      <c r="E311" s="17"/>
      <c r="F311" s="18"/>
      <c r="G311" s="15"/>
      <c r="H311" s="19"/>
      <c r="I311" s="137">
        <f t="shared" si="184"/>
        <v>0</v>
      </c>
      <c r="J311" s="143">
        <f t="shared" si="185"/>
        <v>0</v>
      </c>
      <c r="K311" s="144">
        <f t="shared" si="174"/>
        <v>0</v>
      </c>
      <c r="L311" s="145">
        <f t="shared" si="186"/>
        <v>0</v>
      </c>
      <c r="M311" s="146">
        <f t="shared" si="175"/>
        <v>0</v>
      </c>
      <c r="N311" s="147">
        <f>SUMIF(日報!B4:B691,$A311,日報!L4:L691)</f>
        <v>0</v>
      </c>
      <c r="O311" s="147">
        <f t="shared" si="176"/>
        <v>0</v>
      </c>
      <c r="P311" s="151"/>
      <c r="Q311" s="42" t="str">
        <f t="shared" si="177"/>
        <v/>
      </c>
      <c r="R311" s="154"/>
      <c r="S311" s="10" t="str">
        <f t="shared" si="178"/>
        <v/>
      </c>
      <c r="T311" s="11"/>
      <c r="U311" s="12"/>
      <c r="V311" s="136"/>
      <c r="W311" s="16"/>
      <c r="X311" s="17"/>
      <c r="Y311" s="18"/>
      <c r="Z311" s="15"/>
      <c r="AA311" s="15"/>
      <c r="AB311" s="155">
        <f t="shared" si="179"/>
        <v>0</v>
      </c>
      <c r="AC311" s="157">
        <f t="shared" si="187"/>
        <v>0</v>
      </c>
      <c r="AD311" s="144">
        <f t="shared" si="180"/>
        <v>0</v>
      </c>
      <c r="AE311" s="145">
        <f t="shared" si="181"/>
        <v>0</v>
      </c>
      <c r="AF311" s="146">
        <f t="shared" si="182"/>
        <v>0</v>
      </c>
      <c r="AH311" s="274">
        <f>SUMIF(日報!$T$4:$T$885,TEXT(YEAR(A311),"0000")&amp;TEXT(MONTH(A311),"00")&amp;TEXT(DAY(A311),"00")&amp;"SCSK",日報!$L$4:$L$885)</f>
        <v>0</v>
      </c>
      <c r="AI311" s="275">
        <f t="shared" si="165"/>
        <v>0</v>
      </c>
    </row>
    <row r="312" spans="1:35" s="2" customFormat="1" outlineLevel="1" x14ac:dyDescent="0.15">
      <c r="A312" s="168">
        <f t="shared" si="188"/>
        <v>44130</v>
      </c>
      <c r="B312" s="167">
        <f t="shared" si="183"/>
        <v>44130</v>
      </c>
      <c r="C312" s="32"/>
      <c r="D312" s="16"/>
      <c r="E312" s="17"/>
      <c r="F312" s="18"/>
      <c r="G312" s="15"/>
      <c r="H312" s="19"/>
      <c r="I312" s="137">
        <f t="shared" si="184"/>
        <v>0</v>
      </c>
      <c r="J312" s="143">
        <f t="shared" si="185"/>
        <v>0</v>
      </c>
      <c r="K312" s="144">
        <f t="shared" si="174"/>
        <v>0</v>
      </c>
      <c r="L312" s="145">
        <f t="shared" si="186"/>
        <v>0</v>
      </c>
      <c r="M312" s="146">
        <f t="shared" si="175"/>
        <v>0</v>
      </c>
      <c r="N312" s="147">
        <f>SUMIF(日報!B4:B691,$A312,日報!L4:L691)</f>
        <v>0</v>
      </c>
      <c r="O312" s="147">
        <f t="shared" si="176"/>
        <v>0</v>
      </c>
      <c r="P312" s="151"/>
      <c r="Q312" s="42" t="str">
        <f t="shared" si="177"/>
        <v/>
      </c>
      <c r="R312" s="154"/>
      <c r="S312" s="10" t="str">
        <f t="shared" si="178"/>
        <v/>
      </c>
      <c r="T312" s="11"/>
      <c r="U312" s="12"/>
      <c r="V312" s="136"/>
      <c r="W312" s="16"/>
      <c r="X312" s="17"/>
      <c r="Y312" s="18"/>
      <c r="Z312" s="15"/>
      <c r="AA312" s="15"/>
      <c r="AB312" s="155">
        <f t="shared" si="179"/>
        <v>0</v>
      </c>
      <c r="AC312" s="157">
        <f t="shared" si="187"/>
        <v>0</v>
      </c>
      <c r="AD312" s="144">
        <f t="shared" si="180"/>
        <v>0</v>
      </c>
      <c r="AE312" s="145">
        <f t="shared" si="181"/>
        <v>0</v>
      </c>
      <c r="AF312" s="146">
        <f t="shared" si="182"/>
        <v>0</v>
      </c>
      <c r="AH312" s="274">
        <f>SUMIF(日報!$T$4:$T$885,TEXT(YEAR(A312),"0000")&amp;TEXT(MONTH(A312),"00")&amp;TEXT(DAY(A312),"00")&amp;"SCSK",日報!$L$4:$L$885)</f>
        <v>0</v>
      </c>
      <c r="AI312" s="275">
        <f t="shared" si="165"/>
        <v>0</v>
      </c>
    </row>
    <row r="313" spans="1:35" s="2" customFormat="1" outlineLevel="1" x14ac:dyDescent="0.15">
      <c r="A313" s="168">
        <f t="shared" si="188"/>
        <v>44131</v>
      </c>
      <c r="B313" s="167">
        <f t="shared" si="183"/>
        <v>44131</v>
      </c>
      <c r="C313" s="32"/>
      <c r="D313" s="16"/>
      <c r="E313" s="17"/>
      <c r="F313" s="18"/>
      <c r="G313" s="15"/>
      <c r="H313" s="19"/>
      <c r="I313" s="137">
        <f t="shared" si="184"/>
        <v>0</v>
      </c>
      <c r="J313" s="143">
        <f t="shared" si="185"/>
        <v>0</v>
      </c>
      <c r="K313" s="144">
        <f t="shared" si="174"/>
        <v>0</v>
      </c>
      <c r="L313" s="145">
        <f t="shared" si="186"/>
        <v>0</v>
      </c>
      <c r="M313" s="146">
        <f t="shared" si="175"/>
        <v>0</v>
      </c>
      <c r="N313" s="147">
        <f>SUMIF(日報!B4:B691,$A313,日報!L4:L691)</f>
        <v>0</v>
      </c>
      <c r="O313" s="147">
        <f t="shared" si="176"/>
        <v>0</v>
      </c>
      <c r="P313" s="151"/>
      <c r="Q313" s="42" t="str">
        <f t="shared" si="177"/>
        <v/>
      </c>
      <c r="R313" s="154"/>
      <c r="S313" s="10" t="str">
        <f t="shared" si="178"/>
        <v/>
      </c>
      <c r="T313" s="11"/>
      <c r="U313" s="12"/>
      <c r="V313" s="136"/>
      <c r="W313" s="16"/>
      <c r="X313" s="17"/>
      <c r="Y313" s="18"/>
      <c r="Z313" s="15"/>
      <c r="AA313" s="15"/>
      <c r="AB313" s="155">
        <f t="shared" si="179"/>
        <v>0</v>
      </c>
      <c r="AC313" s="157">
        <f t="shared" si="187"/>
        <v>0</v>
      </c>
      <c r="AD313" s="144">
        <f t="shared" si="180"/>
        <v>0</v>
      </c>
      <c r="AE313" s="145">
        <f t="shared" si="181"/>
        <v>0</v>
      </c>
      <c r="AF313" s="146">
        <f t="shared" si="182"/>
        <v>0</v>
      </c>
      <c r="AH313" s="274">
        <f>SUMIF(日報!$T$4:$T$885,TEXT(YEAR(A313),"0000")&amp;TEXT(MONTH(A313),"00")&amp;TEXT(DAY(A313),"00")&amp;"SCSK",日報!$L$4:$L$885)</f>
        <v>0</v>
      </c>
      <c r="AI313" s="275">
        <f t="shared" si="165"/>
        <v>0</v>
      </c>
    </row>
    <row r="314" spans="1:35" s="2" customFormat="1" outlineLevel="1" x14ac:dyDescent="0.15">
      <c r="A314" s="168">
        <f t="shared" si="188"/>
        <v>44132</v>
      </c>
      <c r="B314" s="167">
        <f t="shared" si="183"/>
        <v>44132</v>
      </c>
      <c r="C314" s="32"/>
      <c r="D314" s="16"/>
      <c r="E314" s="17"/>
      <c r="F314" s="18"/>
      <c r="G314" s="15"/>
      <c r="H314" s="19"/>
      <c r="I314" s="137">
        <f t="shared" si="184"/>
        <v>0</v>
      </c>
      <c r="J314" s="143">
        <f t="shared" si="185"/>
        <v>0</v>
      </c>
      <c r="K314" s="144">
        <f t="shared" si="174"/>
        <v>0</v>
      </c>
      <c r="L314" s="145">
        <f t="shared" si="186"/>
        <v>0</v>
      </c>
      <c r="M314" s="146">
        <f t="shared" si="175"/>
        <v>0</v>
      </c>
      <c r="N314" s="147">
        <f>SUMIF(日報!B4:B691,$A314,日報!L4:L691)</f>
        <v>0</v>
      </c>
      <c r="O314" s="147">
        <f t="shared" si="176"/>
        <v>0</v>
      </c>
      <c r="P314" s="151"/>
      <c r="Q314" s="42" t="str">
        <f t="shared" si="177"/>
        <v/>
      </c>
      <c r="R314" s="154"/>
      <c r="S314" s="10" t="str">
        <f t="shared" si="178"/>
        <v/>
      </c>
      <c r="T314" s="11"/>
      <c r="U314" s="12"/>
      <c r="V314" s="136"/>
      <c r="W314" s="16"/>
      <c r="X314" s="17"/>
      <c r="Y314" s="18"/>
      <c r="Z314" s="15"/>
      <c r="AA314" s="15"/>
      <c r="AB314" s="155">
        <f t="shared" si="179"/>
        <v>0</v>
      </c>
      <c r="AC314" s="157">
        <f t="shared" si="187"/>
        <v>0</v>
      </c>
      <c r="AD314" s="144">
        <f t="shared" si="180"/>
        <v>0</v>
      </c>
      <c r="AE314" s="145">
        <f t="shared" si="181"/>
        <v>0</v>
      </c>
      <c r="AF314" s="146">
        <f t="shared" si="182"/>
        <v>0</v>
      </c>
      <c r="AH314" s="274">
        <f>SUMIF(日報!$T$4:$T$885,TEXT(YEAR(A314),"0000")&amp;TEXT(MONTH(A314),"00")&amp;TEXT(DAY(A314),"00")&amp;"SCSK",日報!$L$4:$L$885)</f>
        <v>0</v>
      </c>
      <c r="AI314" s="275">
        <f t="shared" si="165"/>
        <v>0</v>
      </c>
    </row>
    <row r="315" spans="1:35" s="2" customFormat="1" outlineLevel="1" x14ac:dyDescent="0.15">
      <c r="A315" s="168">
        <f t="shared" si="188"/>
        <v>44133</v>
      </c>
      <c r="B315" s="167">
        <f t="shared" si="183"/>
        <v>44133</v>
      </c>
      <c r="C315" s="32"/>
      <c r="D315" s="16"/>
      <c r="E315" s="17"/>
      <c r="F315" s="18"/>
      <c r="G315" s="15"/>
      <c r="H315" s="19"/>
      <c r="I315" s="137">
        <f t="shared" si="184"/>
        <v>0</v>
      </c>
      <c r="J315" s="143">
        <f t="shared" si="185"/>
        <v>0</v>
      </c>
      <c r="K315" s="144">
        <f t="shared" si="174"/>
        <v>0</v>
      </c>
      <c r="L315" s="145">
        <f t="shared" si="186"/>
        <v>0</v>
      </c>
      <c r="M315" s="146">
        <f t="shared" si="175"/>
        <v>0</v>
      </c>
      <c r="N315" s="147">
        <f>SUMIF(日報!B4:B691,$A315,日報!L4:L691)</f>
        <v>0</v>
      </c>
      <c r="O315" s="147">
        <f t="shared" si="176"/>
        <v>0</v>
      </c>
      <c r="P315" s="151"/>
      <c r="Q315" s="42" t="str">
        <f t="shared" si="177"/>
        <v/>
      </c>
      <c r="R315" s="154"/>
      <c r="S315" s="10" t="str">
        <f t="shared" si="178"/>
        <v/>
      </c>
      <c r="T315" s="11"/>
      <c r="U315" s="12"/>
      <c r="V315" s="136"/>
      <c r="W315" s="16"/>
      <c r="X315" s="17"/>
      <c r="Y315" s="18"/>
      <c r="Z315" s="15"/>
      <c r="AA315" s="15"/>
      <c r="AB315" s="155">
        <f t="shared" si="179"/>
        <v>0</v>
      </c>
      <c r="AC315" s="157">
        <f t="shared" si="187"/>
        <v>0</v>
      </c>
      <c r="AD315" s="144">
        <f t="shared" si="180"/>
        <v>0</v>
      </c>
      <c r="AE315" s="145">
        <f t="shared" si="181"/>
        <v>0</v>
      </c>
      <c r="AF315" s="146">
        <f t="shared" si="182"/>
        <v>0</v>
      </c>
      <c r="AH315" s="274">
        <f>SUMIF(日報!$T$4:$T$885,TEXT(YEAR(A315),"0000")&amp;TEXT(MONTH(A315),"00")&amp;TEXT(DAY(A315),"00")&amp;"SCSK",日報!$L$4:$L$885)</f>
        <v>0</v>
      </c>
      <c r="AI315" s="275">
        <f t="shared" si="165"/>
        <v>0</v>
      </c>
    </row>
    <row r="316" spans="1:35" s="2" customFormat="1" outlineLevel="1" x14ac:dyDescent="0.15">
      <c r="A316" s="168">
        <f t="shared" si="188"/>
        <v>44134</v>
      </c>
      <c r="B316" s="167">
        <f t="shared" si="183"/>
        <v>44134</v>
      </c>
      <c r="C316" s="32"/>
      <c r="D316" s="16"/>
      <c r="E316" s="17"/>
      <c r="F316" s="18"/>
      <c r="G316" s="15"/>
      <c r="H316" s="19"/>
      <c r="I316" s="137">
        <f t="shared" si="184"/>
        <v>0</v>
      </c>
      <c r="J316" s="143">
        <f t="shared" si="185"/>
        <v>0</v>
      </c>
      <c r="K316" s="144">
        <f t="shared" si="174"/>
        <v>0</v>
      </c>
      <c r="L316" s="145">
        <f t="shared" si="186"/>
        <v>0</v>
      </c>
      <c r="M316" s="146">
        <f t="shared" si="175"/>
        <v>0</v>
      </c>
      <c r="N316" s="147">
        <f>SUMIF(日報!B4:B691,$A316,日報!L4:L691)</f>
        <v>0</v>
      </c>
      <c r="O316" s="147">
        <f t="shared" si="176"/>
        <v>0</v>
      </c>
      <c r="P316" s="151"/>
      <c r="Q316" s="42" t="str">
        <f t="shared" si="177"/>
        <v/>
      </c>
      <c r="R316" s="154"/>
      <c r="S316" s="10" t="str">
        <f t="shared" si="178"/>
        <v/>
      </c>
      <c r="T316" s="11"/>
      <c r="U316" s="12"/>
      <c r="V316" s="136"/>
      <c r="W316" s="16"/>
      <c r="X316" s="17"/>
      <c r="Y316" s="18"/>
      <c r="Z316" s="15"/>
      <c r="AA316" s="15"/>
      <c r="AB316" s="155">
        <f t="shared" si="179"/>
        <v>0</v>
      </c>
      <c r="AC316" s="157">
        <f t="shared" si="187"/>
        <v>0</v>
      </c>
      <c r="AD316" s="144">
        <f t="shared" si="180"/>
        <v>0</v>
      </c>
      <c r="AE316" s="145">
        <f t="shared" si="181"/>
        <v>0</v>
      </c>
      <c r="AF316" s="146">
        <f t="shared" si="182"/>
        <v>0</v>
      </c>
      <c r="AH316" s="274">
        <f>SUMIF(日報!$T$4:$T$885,TEXT(YEAR(A316),"0000")&amp;TEXT(MONTH(A316),"00")&amp;TEXT(DAY(A316),"00")&amp;"SCSK",日報!$L$4:$L$885)</f>
        <v>0</v>
      </c>
      <c r="AI316" s="275">
        <f t="shared" si="165"/>
        <v>0</v>
      </c>
    </row>
    <row r="317" spans="1:35" s="2" customFormat="1" ht="14.25" outlineLevel="1" thickBot="1" x14ac:dyDescent="0.2">
      <c r="A317" s="168">
        <f t="shared" si="188"/>
        <v>44135</v>
      </c>
      <c r="B317" s="167">
        <f t="shared" si="183"/>
        <v>44135</v>
      </c>
      <c r="C317" s="32">
        <v>1</v>
      </c>
      <c r="D317" s="16"/>
      <c r="E317" s="17"/>
      <c r="F317" s="18"/>
      <c r="G317" s="15"/>
      <c r="H317" s="19"/>
      <c r="I317" s="137">
        <f t="shared" si="184"/>
        <v>0</v>
      </c>
      <c r="J317" s="143">
        <f t="shared" si="185"/>
        <v>0</v>
      </c>
      <c r="K317" s="144">
        <f t="shared" si="174"/>
        <v>0</v>
      </c>
      <c r="L317" s="145">
        <f t="shared" si="186"/>
        <v>0</v>
      </c>
      <c r="M317" s="146">
        <f t="shared" si="175"/>
        <v>0</v>
      </c>
      <c r="N317" s="147">
        <f>SUMIF(日報!B4:B691,$A317,日報!L4:L691)</f>
        <v>0</v>
      </c>
      <c r="O317" s="147">
        <f t="shared" si="176"/>
        <v>0</v>
      </c>
      <c r="P317" s="151"/>
      <c r="Q317" s="42" t="str">
        <f t="shared" si="177"/>
        <v/>
      </c>
      <c r="R317" s="154"/>
      <c r="S317" s="10" t="str">
        <f t="shared" si="178"/>
        <v/>
      </c>
      <c r="T317" s="11"/>
      <c r="U317" s="12"/>
      <c r="V317" s="136"/>
      <c r="W317" s="16"/>
      <c r="X317" s="17"/>
      <c r="Y317" s="18"/>
      <c r="Z317" s="15"/>
      <c r="AA317" s="15"/>
      <c r="AB317" s="155">
        <f t="shared" si="179"/>
        <v>0</v>
      </c>
      <c r="AC317" s="157">
        <f t="shared" si="187"/>
        <v>0</v>
      </c>
      <c r="AD317" s="144">
        <f t="shared" si="180"/>
        <v>0</v>
      </c>
      <c r="AE317" s="145">
        <f t="shared" si="181"/>
        <v>0</v>
      </c>
      <c r="AF317" s="146">
        <f t="shared" si="182"/>
        <v>0</v>
      </c>
      <c r="AH317" s="274">
        <f>SUMIF(日報!$T$4:$T$885,TEXT(YEAR(A317),"0000")&amp;TEXT(MONTH(A317),"00")&amp;TEXT(DAY(A317),"00")&amp;"SCSK",日報!$L$4:$L$885)</f>
        <v>0</v>
      </c>
      <c r="AI317" s="275">
        <f t="shared" si="165"/>
        <v>0</v>
      </c>
    </row>
    <row r="318" spans="1:35" ht="15" thickTop="1" thickBot="1" x14ac:dyDescent="0.2">
      <c r="A318" s="107">
        <f>A317</f>
        <v>44135</v>
      </c>
      <c r="B318" s="108">
        <f>COUNT(B287:B317)</f>
        <v>31</v>
      </c>
      <c r="C318" s="108"/>
      <c r="D318" s="109"/>
      <c r="E318" s="109"/>
      <c r="F318" s="110">
        <f t="shared" ref="F318:M318" si="189">SUM(F287:F317)</f>
        <v>0</v>
      </c>
      <c r="G318" s="110">
        <f t="shared" si="189"/>
        <v>0</v>
      </c>
      <c r="H318" s="110">
        <f t="shared" si="189"/>
        <v>0</v>
      </c>
      <c r="I318" s="111">
        <f t="shared" si="189"/>
        <v>0</v>
      </c>
      <c r="J318" s="112">
        <f t="shared" si="189"/>
        <v>0</v>
      </c>
      <c r="K318" s="113">
        <f t="shared" si="189"/>
        <v>0</v>
      </c>
      <c r="L318" s="114">
        <f t="shared" si="189"/>
        <v>0</v>
      </c>
      <c r="M318" s="113">
        <f t="shared" si="189"/>
        <v>0</v>
      </c>
      <c r="N318" s="115"/>
      <c r="O318" s="116">
        <f>SUM(O287:O317)</f>
        <v>0</v>
      </c>
      <c r="P318" s="105"/>
      <c r="Q318" s="118"/>
      <c r="R318" s="106"/>
      <c r="S318" s="120"/>
      <c r="T318" s="118"/>
      <c r="U318" s="121"/>
      <c r="W318" s="122"/>
      <c r="X318" s="109"/>
      <c r="Y318" s="110">
        <f t="shared" ref="Y318:AF318" si="190">SUM(Y287:Y317)</f>
        <v>0</v>
      </c>
      <c r="Z318" s="110">
        <f t="shared" si="190"/>
        <v>0</v>
      </c>
      <c r="AA318" s="110">
        <f t="shared" si="190"/>
        <v>0</v>
      </c>
      <c r="AB318" s="111">
        <f t="shared" si="190"/>
        <v>0</v>
      </c>
      <c r="AC318" s="112">
        <f t="shared" si="190"/>
        <v>0</v>
      </c>
      <c r="AD318" s="112">
        <f t="shared" si="190"/>
        <v>0</v>
      </c>
      <c r="AE318" s="112">
        <f t="shared" si="190"/>
        <v>0</v>
      </c>
      <c r="AF318" s="113">
        <f t="shared" si="190"/>
        <v>0</v>
      </c>
      <c r="AH318" s="276"/>
      <c r="AI318" s="277"/>
    </row>
    <row r="319" spans="1:35" s="2" customFormat="1" outlineLevel="1" x14ac:dyDescent="0.15">
      <c r="A319" s="168">
        <f>A317+1</f>
        <v>44136</v>
      </c>
      <c r="B319" s="167">
        <f>A319</f>
        <v>44136</v>
      </c>
      <c r="C319" s="32">
        <v>1</v>
      </c>
      <c r="D319" s="16"/>
      <c r="E319" s="17"/>
      <c r="F319" s="18"/>
      <c r="G319" s="15"/>
      <c r="H319" s="19"/>
      <c r="I319" s="137">
        <f t="shared" si="184"/>
        <v>0</v>
      </c>
      <c r="J319" s="143">
        <f>IF(C319=1,0,I319-M319-L319-K319-F319-H319-G319)</f>
        <v>0</v>
      </c>
      <c r="K319" s="144">
        <f t="shared" ref="K319:K348" si="191">IF(C319=0,IF(時間外開始&lt;E319,timediff(時間外開始,E319,15)-M319-G319-H319,0),0)</f>
        <v>0</v>
      </c>
      <c r="L319" s="145">
        <f>IF(C319=1,$I319-F319-M319-H319,0)</f>
        <v>0</v>
      </c>
      <c r="M319" s="146">
        <f t="shared" ref="M319:M348" si="192">IF(深夜終了&lt;E319,timediff(深夜開始,深夜終了,15)-H319,IF(深夜開始&lt;E319,timediff(深夜開始,E319,15)-H319,0))</f>
        <v>0</v>
      </c>
      <c r="N319" s="147">
        <f>SUMIF(日報!B4:B691,$A319,日報!L4:L691)</f>
        <v>0</v>
      </c>
      <c r="O319" s="147">
        <f t="shared" ref="O319:O348" si="193">SUM(J319:M319)-N319</f>
        <v>0</v>
      </c>
      <c r="P319" s="151"/>
      <c r="Q319" s="42" t="str">
        <f t="shared" ref="Q319:Q348" si="194">IF(P319="不調","ここに症状を入力！","")</f>
        <v/>
      </c>
      <c r="R319" s="154"/>
      <c r="S319" s="10" t="str">
        <f t="shared" ref="S319:S348" si="195">IF(R319&lt;&gt;"","ここに理由を入力！","")</f>
        <v/>
      </c>
      <c r="T319" s="11"/>
      <c r="U319" s="12"/>
      <c r="V319" s="136"/>
      <c r="W319" s="16"/>
      <c r="X319" s="17"/>
      <c r="Y319" s="18"/>
      <c r="Z319" s="15"/>
      <c r="AA319" s="15"/>
      <c r="AB319" s="155">
        <f t="shared" ref="AB319:AB348" si="196">timediff(W319,X319,15)</f>
        <v>0</v>
      </c>
      <c r="AC319" s="157">
        <f>AB319-AF319-AE319-AD319-Y319-Z319-AA319</f>
        <v>0</v>
      </c>
      <c r="AD319" s="144">
        <f t="shared" ref="AD319:AD348" si="197">IF(C319=0,IF(時間外開始&lt;X319,timediff(時間外開始,X319,15)-AF319-Z319-AA319,0),0)</f>
        <v>0</v>
      </c>
      <c r="AE319" s="145">
        <f t="shared" ref="AE319:AE348" si="198">IF(C319=1,AB319-Y319-Z319-AA319,0)</f>
        <v>0</v>
      </c>
      <c r="AF319" s="146">
        <f t="shared" ref="AF319:AF348" si="199">IF(深夜終了&lt;X319,timediff(深夜開始,深夜終了,15)-AA319,IF(深夜開始&lt;X319,timediff(深夜開始,X319,15)-AA319,0))</f>
        <v>0</v>
      </c>
      <c r="AH319" s="274">
        <f>SUMIF(日報!$T$4:$T$885,TEXT(YEAR(A319),"0000")&amp;TEXT(MONTH(A319),"00")&amp;TEXT(DAY(A319),"00")&amp;"SCSK",日報!$L$4:$L$885)</f>
        <v>0</v>
      </c>
      <c r="AI319" s="275">
        <f t="shared" ref="AI319:AI380" si="200">N319-AH319</f>
        <v>0</v>
      </c>
    </row>
    <row r="320" spans="1:35" s="2" customFormat="1" outlineLevel="1" x14ac:dyDescent="0.15">
      <c r="A320" s="168">
        <f>A319+1</f>
        <v>44137</v>
      </c>
      <c r="B320" s="167">
        <f t="shared" ref="B320:B348" si="201">A320</f>
        <v>44137</v>
      </c>
      <c r="C320" s="32"/>
      <c r="D320" s="16"/>
      <c r="E320" s="17"/>
      <c r="F320" s="18"/>
      <c r="G320" s="15"/>
      <c r="H320" s="19"/>
      <c r="I320" s="137">
        <f t="shared" si="184"/>
        <v>0</v>
      </c>
      <c r="J320" s="143">
        <f t="shared" ref="J320:J348" si="202">IF(C320=1,0,I320-M320-L320-K320-F320-H320-G320)</f>
        <v>0</v>
      </c>
      <c r="K320" s="144">
        <f t="shared" si="191"/>
        <v>0</v>
      </c>
      <c r="L320" s="145">
        <f t="shared" ref="L320:L348" si="203">IF(C320=1,$I320-F320-M320-H320,0)</f>
        <v>0</v>
      </c>
      <c r="M320" s="146">
        <f t="shared" si="192"/>
        <v>0</v>
      </c>
      <c r="N320" s="147">
        <f>SUMIF(日報!B4:B691,$A320,日報!L4:L691)</f>
        <v>0</v>
      </c>
      <c r="O320" s="147">
        <f t="shared" si="193"/>
        <v>0</v>
      </c>
      <c r="P320" s="151"/>
      <c r="Q320" s="42" t="str">
        <f t="shared" si="194"/>
        <v/>
      </c>
      <c r="R320" s="154"/>
      <c r="S320" s="10" t="str">
        <f t="shared" si="195"/>
        <v/>
      </c>
      <c r="T320" s="11"/>
      <c r="U320" s="12"/>
      <c r="V320" s="136"/>
      <c r="W320" s="16"/>
      <c r="X320" s="17"/>
      <c r="Y320" s="18"/>
      <c r="Z320" s="15"/>
      <c r="AA320" s="15"/>
      <c r="AB320" s="155">
        <f t="shared" si="196"/>
        <v>0</v>
      </c>
      <c r="AC320" s="157">
        <f t="shared" ref="AC320:AC348" si="204">AB320-AF320-AE320-AD320-Y320-Z320-AA320</f>
        <v>0</v>
      </c>
      <c r="AD320" s="144">
        <f t="shared" si="197"/>
        <v>0</v>
      </c>
      <c r="AE320" s="145">
        <f t="shared" si="198"/>
        <v>0</v>
      </c>
      <c r="AF320" s="146">
        <f t="shared" si="199"/>
        <v>0</v>
      </c>
      <c r="AH320" s="274">
        <f>SUMIF(日報!$T$4:$T$885,TEXT(YEAR(A320),"0000")&amp;TEXT(MONTH(A320),"00")&amp;TEXT(DAY(A320),"00")&amp;"SCSK",日報!$L$4:$L$885)</f>
        <v>0</v>
      </c>
      <c r="AI320" s="275">
        <f t="shared" si="200"/>
        <v>0</v>
      </c>
    </row>
    <row r="321" spans="1:35" s="2" customFormat="1" outlineLevel="1" x14ac:dyDescent="0.15">
      <c r="A321" s="168">
        <f t="shared" ref="A321:A348" si="205">A320+1</f>
        <v>44138</v>
      </c>
      <c r="B321" s="167">
        <f t="shared" si="201"/>
        <v>44138</v>
      </c>
      <c r="C321" s="32">
        <v>1</v>
      </c>
      <c r="D321" s="16"/>
      <c r="E321" s="17"/>
      <c r="F321" s="18"/>
      <c r="G321" s="15"/>
      <c r="H321" s="19"/>
      <c r="I321" s="137">
        <f t="shared" si="184"/>
        <v>0</v>
      </c>
      <c r="J321" s="143">
        <f t="shared" si="202"/>
        <v>0</v>
      </c>
      <c r="K321" s="144">
        <f t="shared" si="191"/>
        <v>0</v>
      </c>
      <c r="L321" s="145">
        <f t="shared" si="203"/>
        <v>0</v>
      </c>
      <c r="M321" s="146">
        <f t="shared" si="192"/>
        <v>0</v>
      </c>
      <c r="N321" s="147">
        <f>SUMIF(日報!B4:B691,$A321,日報!L4:L691)</f>
        <v>0</v>
      </c>
      <c r="O321" s="147">
        <f t="shared" si="193"/>
        <v>0</v>
      </c>
      <c r="P321" s="151"/>
      <c r="Q321" s="42" t="str">
        <f t="shared" si="194"/>
        <v/>
      </c>
      <c r="R321" s="154"/>
      <c r="S321" s="10" t="str">
        <f t="shared" si="195"/>
        <v/>
      </c>
      <c r="T321" s="11"/>
      <c r="U321" s="12"/>
      <c r="V321" s="136"/>
      <c r="W321" s="16"/>
      <c r="X321" s="17"/>
      <c r="Y321" s="18"/>
      <c r="Z321" s="15"/>
      <c r="AA321" s="15"/>
      <c r="AB321" s="155">
        <f t="shared" si="196"/>
        <v>0</v>
      </c>
      <c r="AC321" s="157">
        <f t="shared" si="204"/>
        <v>0</v>
      </c>
      <c r="AD321" s="144">
        <f t="shared" si="197"/>
        <v>0</v>
      </c>
      <c r="AE321" s="145">
        <f t="shared" si="198"/>
        <v>0</v>
      </c>
      <c r="AF321" s="146">
        <f t="shared" si="199"/>
        <v>0</v>
      </c>
      <c r="AH321" s="274">
        <f>SUMIF(日報!$T$4:$T$885,TEXT(YEAR(A321),"0000")&amp;TEXT(MONTH(A321),"00")&amp;TEXT(DAY(A321),"00")&amp;"SCSK",日報!$L$4:$L$885)</f>
        <v>0</v>
      </c>
      <c r="AI321" s="275">
        <f t="shared" si="200"/>
        <v>0</v>
      </c>
    </row>
    <row r="322" spans="1:35" s="2" customFormat="1" outlineLevel="1" x14ac:dyDescent="0.15">
      <c r="A322" s="168">
        <f t="shared" si="205"/>
        <v>44139</v>
      </c>
      <c r="B322" s="167">
        <f t="shared" si="201"/>
        <v>44139</v>
      </c>
      <c r="C322" s="32"/>
      <c r="D322" s="16"/>
      <c r="E322" s="17"/>
      <c r="F322" s="18"/>
      <c r="G322" s="15"/>
      <c r="H322" s="19"/>
      <c r="I322" s="137">
        <f t="shared" si="184"/>
        <v>0</v>
      </c>
      <c r="J322" s="143">
        <f t="shared" si="202"/>
        <v>0</v>
      </c>
      <c r="K322" s="144">
        <f t="shared" si="191"/>
        <v>0</v>
      </c>
      <c r="L322" s="145">
        <f t="shared" si="203"/>
        <v>0</v>
      </c>
      <c r="M322" s="146">
        <f t="shared" si="192"/>
        <v>0</v>
      </c>
      <c r="N322" s="147">
        <f>SUMIF(日報!B4:B691,$A322,日報!L4:L691)</f>
        <v>0</v>
      </c>
      <c r="O322" s="147">
        <f t="shared" si="193"/>
        <v>0</v>
      </c>
      <c r="P322" s="151"/>
      <c r="Q322" s="42" t="str">
        <f t="shared" si="194"/>
        <v/>
      </c>
      <c r="R322" s="154"/>
      <c r="S322" s="10" t="str">
        <f t="shared" si="195"/>
        <v/>
      </c>
      <c r="T322" s="11"/>
      <c r="U322" s="12"/>
      <c r="V322" s="136"/>
      <c r="W322" s="16"/>
      <c r="X322" s="17"/>
      <c r="Y322" s="18"/>
      <c r="Z322" s="15"/>
      <c r="AA322" s="15"/>
      <c r="AB322" s="155">
        <f t="shared" si="196"/>
        <v>0</v>
      </c>
      <c r="AC322" s="157">
        <f t="shared" si="204"/>
        <v>0</v>
      </c>
      <c r="AD322" s="144">
        <f t="shared" si="197"/>
        <v>0</v>
      </c>
      <c r="AE322" s="145">
        <f t="shared" si="198"/>
        <v>0</v>
      </c>
      <c r="AF322" s="146">
        <f t="shared" si="199"/>
        <v>0</v>
      </c>
      <c r="AH322" s="274">
        <f>SUMIF(日報!$T$4:$T$885,TEXT(YEAR(A322),"0000")&amp;TEXT(MONTH(A322),"00")&amp;TEXT(DAY(A322),"00")&amp;"SCSK",日報!$L$4:$L$885)</f>
        <v>0</v>
      </c>
      <c r="AI322" s="275">
        <f t="shared" si="200"/>
        <v>0</v>
      </c>
    </row>
    <row r="323" spans="1:35" s="2" customFormat="1" outlineLevel="1" x14ac:dyDescent="0.15">
      <c r="A323" s="168">
        <f t="shared" si="205"/>
        <v>44140</v>
      </c>
      <c r="B323" s="167">
        <f t="shared" si="201"/>
        <v>44140</v>
      </c>
      <c r="C323" s="32"/>
      <c r="D323" s="16"/>
      <c r="E323" s="17"/>
      <c r="F323" s="18"/>
      <c r="G323" s="15"/>
      <c r="H323" s="19"/>
      <c r="I323" s="137">
        <f t="shared" si="184"/>
        <v>0</v>
      </c>
      <c r="J323" s="143">
        <f t="shared" si="202"/>
        <v>0</v>
      </c>
      <c r="K323" s="144">
        <f t="shared" si="191"/>
        <v>0</v>
      </c>
      <c r="L323" s="145">
        <f t="shared" si="203"/>
        <v>0</v>
      </c>
      <c r="M323" s="146">
        <f t="shared" si="192"/>
        <v>0</v>
      </c>
      <c r="N323" s="147">
        <f>SUMIF(日報!B4:B691,$A323,日報!L4:L691)</f>
        <v>0</v>
      </c>
      <c r="O323" s="147">
        <f t="shared" si="193"/>
        <v>0</v>
      </c>
      <c r="P323" s="151"/>
      <c r="Q323" s="42" t="str">
        <f t="shared" si="194"/>
        <v/>
      </c>
      <c r="R323" s="154"/>
      <c r="S323" s="10" t="str">
        <f t="shared" si="195"/>
        <v/>
      </c>
      <c r="T323" s="11"/>
      <c r="U323" s="12"/>
      <c r="V323" s="136"/>
      <c r="W323" s="16"/>
      <c r="X323" s="17"/>
      <c r="Y323" s="18"/>
      <c r="Z323" s="15"/>
      <c r="AA323" s="15"/>
      <c r="AB323" s="155">
        <f t="shared" si="196"/>
        <v>0</v>
      </c>
      <c r="AC323" s="157">
        <f t="shared" si="204"/>
        <v>0</v>
      </c>
      <c r="AD323" s="144">
        <f t="shared" si="197"/>
        <v>0</v>
      </c>
      <c r="AE323" s="145">
        <f t="shared" si="198"/>
        <v>0</v>
      </c>
      <c r="AF323" s="146">
        <f t="shared" si="199"/>
        <v>0</v>
      </c>
      <c r="AH323" s="274">
        <f>SUMIF(日報!$T$4:$T$885,TEXT(YEAR(A323),"0000")&amp;TEXT(MONTH(A323),"00")&amp;TEXT(DAY(A323),"00")&amp;"SCSK",日報!$L$4:$L$885)</f>
        <v>0</v>
      </c>
      <c r="AI323" s="275">
        <f t="shared" si="200"/>
        <v>0</v>
      </c>
    </row>
    <row r="324" spans="1:35" s="2" customFormat="1" outlineLevel="1" x14ac:dyDescent="0.15">
      <c r="A324" s="168">
        <f t="shared" si="205"/>
        <v>44141</v>
      </c>
      <c r="B324" s="167">
        <f t="shared" si="201"/>
        <v>44141</v>
      </c>
      <c r="C324" s="32"/>
      <c r="D324" s="16"/>
      <c r="E324" s="17"/>
      <c r="F324" s="18"/>
      <c r="G324" s="15"/>
      <c r="H324" s="19"/>
      <c r="I324" s="137">
        <f t="shared" si="184"/>
        <v>0</v>
      </c>
      <c r="J324" s="143">
        <f t="shared" si="202"/>
        <v>0</v>
      </c>
      <c r="K324" s="144">
        <f t="shared" si="191"/>
        <v>0</v>
      </c>
      <c r="L324" s="145">
        <f t="shared" si="203"/>
        <v>0</v>
      </c>
      <c r="M324" s="146">
        <f t="shared" si="192"/>
        <v>0</v>
      </c>
      <c r="N324" s="147">
        <f>SUMIF(日報!B4:B691,$A324,日報!L4:L691)</f>
        <v>0</v>
      </c>
      <c r="O324" s="147">
        <f t="shared" si="193"/>
        <v>0</v>
      </c>
      <c r="P324" s="151"/>
      <c r="Q324" s="42" t="str">
        <f t="shared" si="194"/>
        <v/>
      </c>
      <c r="R324" s="154"/>
      <c r="S324" s="10" t="str">
        <f t="shared" si="195"/>
        <v/>
      </c>
      <c r="T324" s="11"/>
      <c r="U324" s="12"/>
      <c r="V324" s="136"/>
      <c r="W324" s="16"/>
      <c r="X324" s="17"/>
      <c r="Y324" s="18"/>
      <c r="Z324" s="15"/>
      <c r="AA324" s="15"/>
      <c r="AB324" s="155">
        <f t="shared" si="196"/>
        <v>0</v>
      </c>
      <c r="AC324" s="157">
        <f t="shared" si="204"/>
        <v>0</v>
      </c>
      <c r="AD324" s="144">
        <f t="shared" si="197"/>
        <v>0</v>
      </c>
      <c r="AE324" s="145">
        <f t="shared" si="198"/>
        <v>0</v>
      </c>
      <c r="AF324" s="146">
        <f t="shared" si="199"/>
        <v>0</v>
      </c>
      <c r="AH324" s="274">
        <f>SUMIF(日報!$T$4:$T$885,TEXT(YEAR(A324),"0000")&amp;TEXT(MONTH(A324),"00")&amp;TEXT(DAY(A324),"00")&amp;"SCSK",日報!$L$4:$L$885)</f>
        <v>0</v>
      </c>
      <c r="AI324" s="275">
        <f t="shared" si="200"/>
        <v>0</v>
      </c>
    </row>
    <row r="325" spans="1:35" s="2" customFormat="1" outlineLevel="1" x14ac:dyDescent="0.15">
      <c r="A325" s="168">
        <f t="shared" si="205"/>
        <v>44142</v>
      </c>
      <c r="B325" s="167">
        <f t="shared" si="201"/>
        <v>44142</v>
      </c>
      <c r="C325" s="32">
        <v>1</v>
      </c>
      <c r="D325" s="16"/>
      <c r="E325" s="17"/>
      <c r="F325" s="18"/>
      <c r="G325" s="15"/>
      <c r="H325" s="19"/>
      <c r="I325" s="137">
        <f t="shared" si="184"/>
        <v>0</v>
      </c>
      <c r="J325" s="143">
        <f t="shared" si="202"/>
        <v>0</v>
      </c>
      <c r="K325" s="144">
        <f t="shared" si="191"/>
        <v>0</v>
      </c>
      <c r="L325" s="145">
        <f t="shared" si="203"/>
        <v>0</v>
      </c>
      <c r="M325" s="146">
        <f t="shared" si="192"/>
        <v>0</v>
      </c>
      <c r="N325" s="147">
        <f>SUMIF(日報!B4:B691,$A325,日報!L4:L691)</f>
        <v>0</v>
      </c>
      <c r="O325" s="147">
        <f t="shared" si="193"/>
        <v>0</v>
      </c>
      <c r="P325" s="151"/>
      <c r="Q325" s="42" t="str">
        <f t="shared" si="194"/>
        <v/>
      </c>
      <c r="R325" s="154"/>
      <c r="S325" s="10" t="str">
        <f t="shared" si="195"/>
        <v/>
      </c>
      <c r="T325" s="11"/>
      <c r="U325" s="12"/>
      <c r="V325" s="136"/>
      <c r="W325" s="16"/>
      <c r="X325" s="17"/>
      <c r="Y325" s="18"/>
      <c r="Z325" s="15"/>
      <c r="AA325" s="15"/>
      <c r="AB325" s="155">
        <f t="shared" si="196"/>
        <v>0</v>
      </c>
      <c r="AC325" s="157">
        <f t="shared" si="204"/>
        <v>0</v>
      </c>
      <c r="AD325" s="144">
        <f t="shared" si="197"/>
        <v>0</v>
      </c>
      <c r="AE325" s="145">
        <f t="shared" si="198"/>
        <v>0</v>
      </c>
      <c r="AF325" s="146">
        <f t="shared" si="199"/>
        <v>0</v>
      </c>
      <c r="AH325" s="274">
        <f>SUMIF(日報!$T$4:$T$885,TEXT(YEAR(A325),"0000")&amp;TEXT(MONTH(A325),"00")&amp;TEXT(DAY(A325),"00")&amp;"SCSK",日報!$L$4:$L$885)</f>
        <v>0</v>
      </c>
      <c r="AI325" s="275">
        <f t="shared" si="200"/>
        <v>0</v>
      </c>
    </row>
    <row r="326" spans="1:35" s="2" customFormat="1" outlineLevel="1" x14ac:dyDescent="0.15">
      <c r="A326" s="168">
        <f t="shared" si="205"/>
        <v>44143</v>
      </c>
      <c r="B326" s="167">
        <f t="shared" si="201"/>
        <v>44143</v>
      </c>
      <c r="C326" s="32">
        <v>1</v>
      </c>
      <c r="D326" s="16"/>
      <c r="E326" s="17"/>
      <c r="F326" s="18"/>
      <c r="G326" s="15"/>
      <c r="H326" s="19"/>
      <c r="I326" s="137">
        <f t="shared" si="184"/>
        <v>0</v>
      </c>
      <c r="J326" s="143">
        <f t="shared" si="202"/>
        <v>0</v>
      </c>
      <c r="K326" s="144">
        <f t="shared" si="191"/>
        <v>0</v>
      </c>
      <c r="L326" s="145">
        <f t="shared" si="203"/>
        <v>0</v>
      </c>
      <c r="M326" s="146">
        <f t="shared" si="192"/>
        <v>0</v>
      </c>
      <c r="N326" s="147">
        <f>SUMIF(日報!B4:B691,$A326,日報!L4:L691)</f>
        <v>0</v>
      </c>
      <c r="O326" s="147">
        <f t="shared" si="193"/>
        <v>0</v>
      </c>
      <c r="P326" s="151"/>
      <c r="Q326" s="42" t="str">
        <f t="shared" si="194"/>
        <v/>
      </c>
      <c r="R326" s="154"/>
      <c r="S326" s="10" t="str">
        <f t="shared" si="195"/>
        <v/>
      </c>
      <c r="T326" s="11"/>
      <c r="U326" s="12"/>
      <c r="V326" s="136"/>
      <c r="W326" s="16"/>
      <c r="X326" s="17"/>
      <c r="Y326" s="18"/>
      <c r="Z326" s="15"/>
      <c r="AA326" s="15"/>
      <c r="AB326" s="155">
        <f t="shared" si="196"/>
        <v>0</v>
      </c>
      <c r="AC326" s="157">
        <f t="shared" si="204"/>
        <v>0</v>
      </c>
      <c r="AD326" s="144">
        <f t="shared" si="197"/>
        <v>0</v>
      </c>
      <c r="AE326" s="145">
        <f t="shared" si="198"/>
        <v>0</v>
      </c>
      <c r="AF326" s="146">
        <f t="shared" si="199"/>
        <v>0</v>
      </c>
      <c r="AH326" s="274">
        <f>SUMIF(日報!$T$4:$T$885,TEXT(YEAR(A326),"0000")&amp;TEXT(MONTH(A326),"00")&amp;TEXT(DAY(A326),"00")&amp;"SCSK",日報!$L$4:$L$885)</f>
        <v>0</v>
      </c>
      <c r="AI326" s="275">
        <f t="shared" si="200"/>
        <v>0</v>
      </c>
    </row>
    <row r="327" spans="1:35" s="2" customFormat="1" outlineLevel="1" x14ac:dyDescent="0.15">
      <c r="A327" s="168">
        <f t="shared" si="205"/>
        <v>44144</v>
      </c>
      <c r="B327" s="167">
        <f t="shared" si="201"/>
        <v>44144</v>
      </c>
      <c r="C327" s="32"/>
      <c r="D327" s="16"/>
      <c r="E327" s="17"/>
      <c r="F327" s="18"/>
      <c r="G327" s="15"/>
      <c r="H327" s="19"/>
      <c r="I327" s="137">
        <f t="shared" si="184"/>
        <v>0</v>
      </c>
      <c r="J327" s="143">
        <f t="shared" si="202"/>
        <v>0</v>
      </c>
      <c r="K327" s="144">
        <f t="shared" si="191"/>
        <v>0</v>
      </c>
      <c r="L327" s="145">
        <f t="shared" si="203"/>
        <v>0</v>
      </c>
      <c r="M327" s="146">
        <f t="shared" si="192"/>
        <v>0</v>
      </c>
      <c r="N327" s="147">
        <f>SUMIF(日報!B4:B691,$A327,日報!L4:L691)</f>
        <v>0</v>
      </c>
      <c r="O327" s="147">
        <f t="shared" si="193"/>
        <v>0</v>
      </c>
      <c r="P327" s="151"/>
      <c r="Q327" s="42" t="str">
        <f t="shared" si="194"/>
        <v/>
      </c>
      <c r="R327" s="154"/>
      <c r="S327" s="10" t="str">
        <f t="shared" si="195"/>
        <v/>
      </c>
      <c r="T327" s="11"/>
      <c r="U327" s="12"/>
      <c r="V327" s="136"/>
      <c r="W327" s="16"/>
      <c r="X327" s="17"/>
      <c r="Y327" s="18"/>
      <c r="Z327" s="15"/>
      <c r="AA327" s="15"/>
      <c r="AB327" s="155">
        <f t="shared" si="196"/>
        <v>0</v>
      </c>
      <c r="AC327" s="157">
        <f t="shared" si="204"/>
        <v>0</v>
      </c>
      <c r="AD327" s="144">
        <f t="shared" si="197"/>
        <v>0</v>
      </c>
      <c r="AE327" s="145">
        <f t="shared" si="198"/>
        <v>0</v>
      </c>
      <c r="AF327" s="146">
        <f t="shared" si="199"/>
        <v>0</v>
      </c>
      <c r="AH327" s="274">
        <f>SUMIF(日報!$T$4:$T$885,TEXT(YEAR(A327),"0000")&amp;TEXT(MONTH(A327),"00")&amp;TEXT(DAY(A327),"00")&amp;"SCSK",日報!$L$4:$L$885)</f>
        <v>0</v>
      </c>
      <c r="AI327" s="275">
        <f t="shared" si="200"/>
        <v>0</v>
      </c>
    </row>
    <row r="328" spans="1:35" s="2" customFormat="1" outlineLevel="1" x14ac:dyDescent="0.15">
      <c r="A328" s="168">
        <f t="shared" si="205"/>
        <v>44145</v>
      </c>
      <c r="B328" s="167">
        <f t="shared" si="201"/>
        <v>44145</v>
      </c>
      <c r="C328" s="32"/>
      <c r="D328" s="16"/>
      <c r="E328" s="17"/>
      <c r="F328" s="18"/>
      <c r="G328" s="15"/>
      <c r="H328" s="19"/>
      <c r="I328" s="137">
        <f t="shared" si="184"/>
        <v>0</v>
      </c>
      <c r="J328" s="143">
        <f t="shared" si="202"/>
        <v>0</v>
      </c>
      <c r="K328" s="144">
        <f t="shared" si="191"/>
        <v>0</v>
      </c>
      <c r="L328" s="145">
        <f t="shared" si="203"/>
        <v>0</v>
      </c>
      <c r="M328" s="146">
        <f t="shared" si="192"/>
        <v>0</v>
      </c>
      <c r="N328" s="147">
        <f>SUMIF(日報!B4:B691,$A328,日報!L4:L691)</f>
        <v>0</v>
      </c>
      <c r="O328" s="147">
        <f t="shared" si="193"/>
        <v>0</v>
      </c>
      <c r="P328" s="151"/>
      <c r="Q328" s="42" t="str">
        <f t="shared" si="194"/>
        <v/>
      </c>
      <c r="R328" s="154"/>
      <c r="S328" s="10" t="str">
        <f t="shared" si="195"/>
        <v/>
      </c>
      <c r="T328" s="11"/>
      <c r="U328" s="12"/>
      <c r="V328" s="136"/>
      <c r="W328" s="16"/>
      <c r="X328" s="17"/>
      <c r="Y328" s="18"/>
      <c r="Z328" s="15"/>
      <c r="AA328" s="15"/>
      <c r="AB328" s="155">
        <f t="shared" si="196"/>
        <v>0</v>
      </c>
      <c r="AC328" s="157">
        <f t="shared" si="204"/>
        <v>0</v>
      </c>
      <c r="AD328" s="144">
        <f t="shared" si="197"/>
        <v>0</v>
      </c>
      <c r="AE328" s="145">
        <f t="shared" si="198"/>
        <v>0</v>
      </c>
      <c r="AF328" s="146">
        <f t="shared" si="199"/>
        <v>0</v>
      </c>
      <c r="AH328" s="274">
        <f>SUMIF(日報!$T$4:$T$885,TEXT(YEAR(A328),"0000")&amp;TEXT(MONTH(A328),"00")&amp;TEXT(DAY(A328),"00")&amp;"SCSK",日報!$L$4:$L$885)</f>
        <v>0</v>
      </c>
      <c r="AI328" s="275">
        <f t="shared" si="200"/>
        <v>0</v>
      </c>
    </row>
    <row r="329" spans="1:35" s="2" customFormat="1" outlineLevel="1" x14ac:dyDescent="0.15">
      <c r="A329" s="168">
        <f t="shared" si="205"/>
        <v>44146</v>
      </c>
      <c r="B329" s="167">
        <f t="shared" si="201"/>
        <v>44146</v>
      </c>
      <c r="C329" s="32"/>
      <c r="D329" s="16"/>
      <c r="E329" s="17"/>
      <c r="F329" s="18"/>
      <c r="G329" s="15"/>
      <c r="H329" s="19"/>
      <c r="I329" s="137">
        <f t="shared" si="184"/>
        <v>0</v>
      </c>
      <c r="J329" s="143">
        <f t="shared" si="202"/>
        <v>0</v>
      </c>
      <c r="K329" s="144">
        <f t="shared" si="191"/>
        <v>0</v>
      </c>
      <c r="L329" s="145">
        <f t="shared" si="203"/>
        <v>0</v>
      </c>
      <c r="M329" s="146">
        <f t="shared" si="192"/>
        <v>0</v>
      </c>
      <c r="N329" s="147">
        <f>SUMIF(日報!B4:B691,$A329,日報!L4:L691)</f>
        <v>0</v>
      </c>
      <c r="O329" s="147">
        <f t="shared" si="193"/>
        <v>0</v>
      </c>
      <c r="P329" s="151"/>
      <c r="Q329" s="42" t="str">
        <f t="shared" si="194"/>
        <v/>
      </c>
      <c r="R329" s="154"/>
      <c r="S329" s="10" t="str">
        <f t="shared" si="195"/>
        <v/>
      </c>
      <c r="T329" s="11"/>
      <c r="U329" s="12"/>
      <c r="V329" s="136"/>
      <c r="W329" s="16"/>
      <c r="X329" s="17"/>
      <c r="Y329" s="18"/>
      <c r="Z329" s="15"/>
      <c r="AA329" s="15"/>
      <c r="AB329" s="155">
        <f t="shared" si="196"/>
        <v>0</v>
      </c>
      <c r="AC329" s="157">
        <f t="shared" si="204"/>
        <v>0</v>
      </c>
      <c r="AD329" s="144">
        <f t="shared" si="197"/>
        <v>0</v>
      </c>
      <c r="AE329" s="145">
        <f t="shared" si="198"/>
        <v>0</v>
      </c>
      <c r="AF329" s="146">
        <f t="shared" si="199"/>
        <v>0</v>
      </c>
      <c r="AH329" s="274">
        <f>SUMIF(日報!$T$4:$T$885,TEXT(YEAR(A329),"0000")&amp;TEXT(MONTH(A329),"00")&amp;TEXT(DAY(A329),"00")&amp;"SCSK",日報!$L$4:$L$885)</f>
        <v>0</v>
      </c>
      <c r="AI329" s="275">
        <f t="shared" si="200"/>
        <v>0</v>
      </c>
    </row>
    <row r="330" spans="1:35" s="2" customFormat="1" outlineLevel="1" x14ac:dyDescent="0.15">
      <c r="A330" s="168">
        <f t="shared" si="205"/>
        <v>44147</v>
      </c>
      <c r="B330" s="167">
        <f t="shared" si="201"/>
        <v>44147</v>
      </c>
      <c r="C330" s="32"/>
      <c r="D330" s="16"/>
      <c r="E330" s="17"/>
      <c r="F330" s="18"/>
      <c r="G330" s="15"/>
      <c r="H330" s="19"/>
      <c r="I330" s="137">
        <f t="shared" si="184"/>
        <v>0</v>
      </c>
      <c r="J330" s="143">
        <f t="shared" si="202"/>
        <v>0</v>
      </c>
      <c r="K330" s="144">
        <f t="shared" si="191"/>
        <v>0</v>
      </c>
      <c r="L330" s="145">
        <f t="shared" si="203"/>
        <v>0</v>
      </c>
      <c r="M330" s="146">
        <f t="shared" si="192"/>
        <v>0</v>
      </c>
      <c r="N330" s="147">
        <f>SUMIF(日報!B4:B691,$A330,日報!L4:L691)</f>
        <v>0</v>
      </c>
      <c r="O330" s="147">
        <f t="shared" si="193"/>
        <v>0</v>
      </c>
      <c r="P330" s="151"/>
      <c r="Q330" s="42" t="str">
        <f t="shared" si="194"/>
        <v/>
      </c>
      <c r="R330" s="154"/>
      <c r="S330" s="10" t="str">
        <f t="shared" si="195"/>
        <v/>
      </c>
      <c r="T330" s="11"/>
      <c r="U330" s="12"/>
      <c r="V330" s="136"/>
      <c r="W330" s="16"/>
      <c r="X330" s="17"/>
      <c r="Y330" s="18"/>
      <c r="Z330" s="15"/>
      <c r="AA330" s="15"/>
      <c r="AB330" s="155">
        <f t="shared" si="196"/>
        <v>0</v>
      </c>
      <c r="AC330" s="157">
        <f t="shared" si="204"/>
        <v>0</v>
      </c>
      <c r="AD330" s="144">
        <f t="shared" si="197"/>
        <v>0</v>
      </c>
      <c r="AE330" s="145">
        <f t="shared" si="198"/>
        <v>0</v>
      </c>
      <c r="AF330" s="146">
        <f t="shared" si="199"/>
        <v>0</v>
      </c>
      <c r="AH330" s="274">
        <f>SUMIF(日報!$T$4:$T$885,TEXT(YEAR(A330),"0000")&amp;TEXT(MONTH(A330),"00")&amp;TEXT(DAY(A330),"00")&amp;"SCSK",日報!$L$4:$L$885)</f>
        <v>0</v>
      </c>
      <c r="AI330" s="275">
        <f t="shared" si="200"/>
        <v>0</v>
      </c>
    </row>
    <row r="331" spans="1:35" s="2" customFormat="1" outlineLevel="1" x14ac:dyDescent="0.15">
      <c r="A331" s="168">
        <f t="shared" si="205"/>
        <v>44148</v>
      </c>
      <c r="B331" s="167">
        <f t="shared" si="201"/>
        <v>44148</v>
      </c>
      <c r="C331" s="32"/>
      <c r="D331" s="16"/>
      <c r="E331" s="17"/>
      <c r="F331" s="18"/>
      <c r="G331" s="15"/>
      <c r="H331" s="19"/>
      <c r="I331" s="137">
        <f t="shared" si="184"/>
        <v>0</v>
      </c>
      <c r="J331" s="143">
        <f t="shared" si="202"/>
        <v>0</v>
      </c>
      <c r="K331" s="144">
        <f t="shared" si="191"/>
        <v>0</v>
      </c>
      <c r="L331" s="145">
        <f t="shared" si="203"/>
        <v>0</v>
      </c>
      <c r="M331" s="146">
        <f t="shared" si="192"/>
        <v>0</v>
      </c>
      <c r="N331" s="147">
        <f>SUMIF(日報!B4:B691,$A331,日報!L4:L691)</f>
        <v>0</v>
      </c>
      <c r="O331" s="147">
        <f t="shared" si="193"/>
        <v>0</v>
      </c>
      <c r="P331" s="151"/>
      <c r="Q331" s="42" t="str">
        <f t="shared" si="194"/>
        <v/>
      </c>
      <c r="R331" s="154"/>
      <c r="S331" s="10" t="str">
        <f t="shared" si="195"/>
        <v/>
      </c>
      <c r="T331" s="11"/>
      <c r="U331" s="12"/>
      <c r="V331" s="136"/>
      <c r="W331" s="16"/>
      <c r="X331" s="17"/>
      <c r="Y331" s="18"/>
      <c r="Z331" s="15"/>
      <c r="AA331" s="15"/>
      <c r="AB331" s="155">
        <f t="shared" si="196"/>
        <v>0</v>
      </c>
      <c r="AC331" s="157">
        <f t="shared" si="204"/>
        <v>0</v>
      </c>
      <c r="AD331" s="144">
        <f t="shared" si="197"/>
        <v>0</v>
      </c>
      <c r="AE331" s="145">
        <f t="shared" si="198"/>
        <v>0</v>
      </c>
      <c r="AF331" s="146">
        <f t="shared" si="199"/>
        <v>0</v>
      </c>
      <c r="AH331" s="274">
        <f>SUMIF(日報!$T$4:$T$885,TEXT(YEAR(A331),"0000")&amp;TEXT(MONTH(A331),"00")&amp;TEXT(DAY(A331),"00")&amp;"SCSK",日報!$L$4:$L$885)</f>
        <v>0</v>
      </c>
      <c r="AI331" s="275">
        <f t="shared" si="200"/>
        <v>0</v>
      </c>
    </row>
    <row r="332" spans="1:35" s="2" customFormat="1" outlineLevel="1" x14ac:dyDescent="0.15">
      <c r="A332" s="168">
        <f t="shared" si="205"/>
        <v>44149</v>
      </c>
      <c r="B332" s="167">
        <f t="shared" si="201"/>
        <v>44149</v>
      </c>
      <c r="C332" s="32">
        <v>1</v>
      </c>
      <c r="D332" s="16"/>
      <c r="E332" s="17"/>
      <c r="F332" s="18"/>
      <c r="G332" s="15"/>
      <c r="H332" s="19"/>
      <c r="I332" s="137">
        <f t="shared" si="184"/>
        <v>0</v>
      </c>
      <c r="J332" s="143">
        <f t="shared" si="202"/>
        <v>0</v>
      </c>
      <c r="K332" s="144">
        <f t="shared" si="191"/>
        <v>0</v>
      </c>
      <c r="L332" s="145">
        <f t="shared" si="203"/>
        <v>0</v>
      </c>
      <c r="M332" s="146">
        <f t="shared" si="192"/>
        <v>0</v>
      </c>
      <c r="N332" s="147">
        <f>SUMIF(日報!B4:B691,$A332,日報!L4:L691)</f>
        <v>0</v>
      </c>
      <c r="O332" s="147">
        <f t="shared" si="193"/>
        <v>0</v>
      </c>
      <c r="P332" s="151"/>
      <c r="Q332" s="42" t="str">
        <f t="shared" si="194"/>
        <v/>
      </c>
      <c r="R332" s="154"/>
      <c r="S332" s="10" t="str">
        <f t="shared" si="195"/>
        <v/>
      </c>
      <c r="T332" s="11"/>
      <c r="U332" s="12"/>
      <c r="V332" s="136"/>
      <c r="W332" s="16"/>
      <c r="X332" s="17"/>
      <c r="Y332" s="18"/>
      <c r="Z332" s="15"/>
      <c r="AA332" s="15"/>
      <c r="AB332" s="155">
        <f t="shared" si="196"/>
        <v>0</v>
      </c>
      <c r="AC332" s="157">
        <f t="shared" si="204"/>
        <v>0</v>
      </c>
      <c r="AD332" s="144">
        <f t="shared" si="197"/>
        <v>0</v>
      </c>
      <c r="AE332" s="145">
        <f t="shared" si="198"/>
        <v>0</v>
      </c>
      <c r="AF332" s="146">
        <f t="shared" si="199"/>
        <v>0</v>
      </c>
      <c r="AH332" s="274">
        <f>SUMIF(日報!$T$4:$T$885,TEXT(YEAR(A332),"0000")&amp;TEXT(MONTH(A332),"00")&amp;TEXT(DAY(A332),"00")&amp;"SCSK",日報!$L$4:$L$885)</f>
        <v>0</v>
      </c>
      <c r="AI332" s="275">
        <f t="shared" si="200"/>
        <v>0</v>
      </c>
    </row>
    <row r="333" spans="1:35" s="2" customFormat="1" outlineLevel="1" x14ac:dyDescent="0.15">
      <c r="A333" s="168">
        <f t="shared" si="205"/>
        <v>44150</v>
      </c>
      <c r="B333" s="167">
        <f t="shared" si="201"/>
        <v>44150</v>
      </c>
      <c r="C333" s="32">
        <v>1</v>
      </c>
      <c r="D333" s="16"/>
      <c r="E333" s="17"/>
      <c r="F333" s="18"/>
      <c r="G333" s="15"/>
      <c r="H333" s="19"/>
      <c r="I333" s="137">
        <f t="shared" si="184"/>
        <v>0</v>
      </c>
      <c r="J333" s="143">
        <f t="shared" si="202"/>
        <v>0</v>
      </c>
      <c r="K333" s="144">
        <f t="shared" si="191"/>
        <v>0</v>
      </c>
      <c r="L333" s="145">
        <f t="shared" si="203"/>
        <v>0</v>
      </c>
      <c r="M333" s="146">
        <f t="shared" si="192"/>
        <v>0</v>
      </c>
      <c r="N333" s="147">
        <f>SUMIF(日報!B4:B691,$A333,日報!L4:L691)</f>
        <v>0</v>
      </c>
      <c r="O333" s="147">
        <f t="shared" si="193"/>
        <v>0</v>
      </c>
      <c r="P333" s="151"/>
      <c r="Q333" s="42" t="str">
        <f t="shared" si="194"/>
        <v/>
      </c>
      <c r="R333" s="154"/>
      <c r="S333" s="10" t="str">
        <f t="shared" si="195"/>
        <v/>
      </c>
      <c r="T333" s="11"/>
      <c r="U333" s="12"/>
      <c r="V333" s="136"/>
      <c r="W333" s="16"/>
      <c r="X333" s="17"/>
      <c r="Y333" s="18"/>
      <c r="Z333" s="15"/>
      <c r="AA333" s="15"/>
      <c r="AB333" s="155">
        <f t="shared" si="196"/>
        <v>0</v>
      </c>
      <c r="AC333" s="157">
        <f t="shared" si="204"/>
        <v>0</v>
      </c>
      <c r="AD333" s="144">
        <f t="shared" si="197"/>
        <v>0</v>
      </c>
      <c r="AE333" s="145">
        <f t="shared" si="198"/>
        <v>0</v>
      </c>
      <c r="AF333" s="146">
        <f t="shared" si="199"/>
        <v>0</v>
      </c>
      <c r="AH333" s="274">
        <f>SUMIF(日報!$T$4:$T$885,TEXT(YEAR(A333),"0000")&amp;TEXT(MONTH(A333),"00")&amp;TEXT(DAY(A333),"00")&amp;"SCSK",日報!$L$4:$L$885)</f>
        <v>0</v>
      </c>
      <c r="AI333" s="275">
        <f t="shared" si="200"/>
        <v>0</v>
      </c>
    </row>
    <row r="334" spans="1:35" s="2" customFormat="1" outlineLevel="1" x14ac:dyDescent="0.15">
      <c r="A334" s="168">
        <f t="shared" si="205"/>
        <v>44151</v>
      </c>
      <c r="B334" s="167">
        <f t="shared" si="201"/>
        <v>44151</v>
      </c>
      <c r="C334" s="32"/>
      <c r="D334" s="16"/>
      <c r="E334" s="17"/>
      <c r="F334" s="18"/>
      <c r="G334" s="15"/>
      <c r="H334" s="19"/>
      <c r="I334" s="137">
        <f t="shared" si="184"/>
        <v>0</v>
      </c>
      <c r="J334" s="143">
        <f t="shared" si="202"/>
        <v>0</v>
      </c>
      <c r="K334" s="144">
        <f t="shared" si="191"/>
        <v>0</v>
      </c>
      <c r="L334" s="145">
        <f t="shared" si="203"/>
        <v>0</v>
      </c>
      <c r="M334" s="146">
        <f t="shared" si="192"/>
        <v>0</v>
      </c>
      <c r="N334" s="147">
        <f>SUMIF(日報!B4:B691,$A334,日報!L4:L691)</f>
        <v>0</v>
      </c>
      <c r="O334" s="147">
        <f t="shared" si="193"/>
        <v>0</v>
      </c>
      <c r="P334" s="151"/>
      <c r="Q334" s="42" t="str">
        <f t="shared" si="194"/>
        <v/>
      </c>
      <c r="R334" s="154"/>
      <c r="S334" s="10" t="str">
        <f t="shared" si="195"/>
        <v/>
      </c>
      <c r="T334" s="11"/>
      <c r="U334" s="12"/>
      <c r="V334" s="136"/>
      <c r="W334" s="16"/>
      <c r="X334" s="17"/>
      <c r="Y334" s="18"/>
      <c r="Z334" s="15"/>
      <c r="AA334" s="15"/>
      <c r="AB334" s="155">
        <f t="shared" si="196"/>
        <v>0</v>
      </c>
      <c r="AC334" s="157">
        <f t="shared" si="204"/>
        <v>0</v>
      </c>
      <c r="AD334" s="144">
        <f t="shared" si="197"/>
        <v>0</v>
      </c>
      <c r="AE334" s="145">
        <f t="shared" si="198"/>
        <v>0</v>
      </c>
      <c r="AF334" s="146">
        <f t="shared" si="199"/>
        <v>0</v>
      </c>
      <c r="AH334" s="274">
        <f>SUMIF(日報!$T$4:$T$885,TEXT(YEAR(A334),"0000")&amp;TEXT(MONTH(A334),"00")&amp;TEXT(DAY(A334),"00")&amp;"SCSK",日報!$L$4:$L$885)</f>
        <v>0</v>
      </c>
      <c r="AI334" s="275">
        <f t="shared" si="200"/>
        <v>0</v>
      </c>
    </row>
    <row r="335" spans="1:35" s="2" customFormat="1" outlineLevel="1" x14ac:dyDescent="0.15">
      <c r="A335" s="168">
        <f t="shared" si="205"/>
        <v>44152</v>
      </c>
      <c r="B335" s="167">
        <f t="shared" si="201"/>
        <v>44152</v>
      </c>
      <c r="C335" s="32"/>
      <c r="D335" s="16"/>
      <c r="E335" s="17"/>
      <c r="F335" s="18"/>
      <c r="G335" s="15"/>
      <c r="H335" s="19"/>
      <c r="I335" s="137">
        <f t="shared" si="184"/>
        <v>0</v>
      </c>
      <c r="J335" s="143">
        <f t="shared" si="202"/>
        <v>0</v>
      </c>
      <c r="K335" s="144">
        <f t="shared" si="191"/>
        <v>0</v>
      </c>
      <c r="L335" s="145">
        <f t="shared" si="203"/>
        <v>0</v>
      </c>
      <c r="M335" s="146">
        <f t="shared" si="192"/>
        <v>0</v>
      </c>
      <c r="N335" s="147">
        <f>SUMIF(日報!B4:B691,$A335,日報!L4:L691)</f>
        <v>0</v>
      </c>
      <c r="O335" s="147">
        <f t="shared" si="193"/>
        <v>0</v>
      </c>
      <c r="P335" s="151"/>
      <c r="Q335" s="42" t="str">
        <f t="shared" si="194"/>
        <v/>
      </c>
      <c r="R335" s="154"/>
      <c r="S335" s="10" t="str">
        <f t="shared" si="195"/>
        <v/>
      </c>
      <c r="T335" s="11"/>
      <c r="U335" s="12"/>
      <c r="V335" s="136"/>
      <c r="W335" s="16"/>
      <c r="X335" s="17"/>
      <c r="Y335" s="18"/>
      <c r="Z335" s="15"/>
      <c r="AA335" s="15"/>
      <c r="AB335" s="155">
        <f t="shared" si="196"/>
        <v>0</v>
      </c>
      <c r="AC335" s="157">
        <f t="shared" si="204"/>
        <v>0</v>
      </c>
      <c r="AD335" s="144">
        <f t="shared" si="197"/>
        <v>0</v>
      </c>
      <c r="AE335" s="145">
        <f t="shared" si="198"/>
        <v>0</v>
      </c>
      <c r="AF335" s="146">
        <f t="shared" si="199"/>
        <v>0</v>
      </c>
      <c r="AH335" s="274">
        <f>SUMIF(日報!$T$4:$T$885,TEXT(YEAR(A335),"0000")&amp;TEXT(MONTH(A335),"00")&amp;TEXT(DAY(A335),"00")&amp;"SCSK",日報!$L$4:$L$885)</f>
        <v>0</v>
      </c>
      <c r="AI335" s="275">
        <f t="shared" si="200"/>
        <v>0</v>
      </c>
    </row>
    <row r="336" spans="1:35" s="2" customFormat="1" outlineLevel="1" x14ac:dyDescent="0.15">
      <c r="A336" s="168">
        <f t="shared" si="205"/>
        <v>44153</v>
      </c>
      <c r="B336" s="167">
        <f t="shared" si="201"/>
        <v>44153</v>
      </c>
      <c r="C336" s="32"/>
      <c r="D336" s="16"/>
      <c r="E336" s="17"/>
      <c r="F336" s="18"/>
      <c r="G336" s="15"/>
      <c r="H336" s="19"/>
      <c r="I336" s="137">
        <f t="shared" si="184"/>
        <v>0</v>
      </c>
      <c r="J336" s="143">
        <f t="shared" si="202"/>
        <v>0</v>
      </c>
      <c r="K336" s="144">
        <f t="shared" si="191"/>
        <v>0</v>
      </c>
      <c r="L336" s="145">
        <f t="shared" si="203"/>
        <v>0</v>
      </c>
      <c r="M336" s="146">
        <f t="shared" si="192"/>
        <v>0</v>
      </c>
      <c r="N336" s="147">
        <f>SUMIF(日報!B4:B691,$A336,日報!L4:L691)</f>
        <v>0</v>
      </c>
      <c r="O336" s="147">
        <f t="shared" si="193"/>
        <v>0</v>
      </c>
      <c r="P336" s="151"/>
      <c r="Q336" s="42" t="str">
        <f t="shared" si="194"/>
        <v/>
      </c>
      <c r="R336" s="154"/>
      <c r="S336" s="10" t="str">
        <f t="shared" si="195"/>
        <v/>
      </c>
      <c r="T336" s="11"/>
      <c r="U336" s="12"/>
      <c r="V336" s="136"/>
      <c r="W336" s="16"/>
      <c r="X336" s="17"/>
      <c r="Y336" s="18"/>
      <c r="Z336" s="15"/>
      <c r="AA336" s="15"/>
      <c r="AB336" s="155">
        <f t="shared" si="196"/>
        <v>0</v>
      </c>
      <c r="AC336" s="157">
        <f t="shared" si="204"/>
        <v>0</v>
      </c>
      <c r="AD336" s="144">
        <f t="shared" si="197"/>
        <v>0</v>
      </c>
      <c r="AE336" s="145">
        <f t="shared" si="198"/>
        <v>0</v>
      </c>
      <c r="AF336" s="146">
        <f t="shared" si="199"/>
        <v>0</v>
      </c>
      <c r="AH336" s="274">
        <f>SUMIF(日報!$T$4:$T$885,TEXT(YEAR(A336),"0000")&amp;TEXT(MONTH(A336),"00")&amp;TEXT(DAY(A336),"00")&amp;"SCSK",日報!$L$4:$L$885)</f>
        <v>0</v>
      </c>
      <c r="AI336" s="275">
        <f t="shared" si="200"/>
        <v>0</v>
      </c>
    </row>
    <row r="337" spans="1:35" s="2" customFormat="1" outlineLevel="1" x14ac:dyDescent="0.15">
      <c r="A337" s="168">
        <f t="shared" si="205"/>
        <v>44154</v>
      </c>
      <c r="B337" s="167">
        <f t="shared" si="201"/>
        <v>44154</v>
      </c>
      <c r="C337" s="32"/>
      <c r="D337" s="16"/>
      <c r="E337" s="17"/>
      <c r="F337" s="18"/>
      <c r="G337" s="15"/>
      <c r="H337" s="19"/>
      <c r="I337" s="137">
        <f t="shared" si="184"/>
        <v>0</v>
      </c>
      <c r="J337" s="143">
        <f t="shared" si="202"/>
        <v>0</v>
      </c>
      <c r="K337" s="144">
        <f t="shared" si="191"/>
        <v>0</v>
      </c>
      <c r="L337" s="145">
        <f t="shared" si="203"/>
        <v>0</v>
      </c>
      <c r="M337" s="146">
        <f t="shared" si="192"/>
        <v>0</v>
      </c>
      <c r="N337" s="147">
        <f>SUMIF(日報!B4:B691,$A337,日報!L4:L691)</f>
        <v>0</v>
      </c>
      <c r="O337" s="147">
        <f t="shared" si="193"/>
        <v>0</v>
      </c>
      <c r="P337" s="151"/>
      <c r="Q337" s="42" t="str">
        <f t="shared" si="194"/>
        <v/>
      </c>
      <c r="R337" s="154"/>
      <c r="S337" s="10" t="str">
        <f t="shared" si="195"/>
        <v/>
      </c>
      <c r="T337" s="11"/>
      <c r="U337" s="12"/>
      <c r="V337" s="136"/>
      <c r="W337" s="16"/>
      <c r="X337" s="17"/>
      <c r="Y337" s="18"/>
      <c r="Z337" s="15"/>
      <c r="AA337" s="15"/>
      <c r="AB337" s="155">
        <f t="shared" si="196"/>
        <v>0</v>
      </c>
      <c r="AC337" s="157">
        <f t="shared" si="204"/>
        <v>0</v>
      </c>
      <c r="AD337" s="144">
        <f t="shared" si="197"/>
        <v>0</v>
      </c>
      <c r="AE337" s="145">
        <f t="shared" si="198"/>
        <v>0</v>
      </c>
      <c r="AF337" s="146">
        <f t="shared" si="199"/>
        <v>0</v>
      </c>
      <c r="AH337" s="274">
        <f>SUMIF(日報!$T$4:$T$885,TEXT(YEAR(A337),"0000")&amp;TEXT(MONTH(A337),"00")&amp;TEXT(DAY(A337),"00")&amp;"SCSK",日報!$L$4:$L$885)</f>
        <v>0</v>
      </c>
      <c r="AI337" s="275">
        <f t="shared" si="200"/>
        <v>0</v>
      </c>
    </row>
    <row r="338" spans="1:35" s="2" customFormat="1" outlineLevel="1" x14ac:dyDescent="0.15">
      <c r="A338" s="168">
        <f t="shared" si="205"/>
        <v>44155</v>
      </c>
      <c r="B338" s="167">
        <f t="shared" si="201"/>
        <v>44155</v>
      </c>
      <c r="C338" s="32"/>
      <c r="D338" s="16"/>
      <c r="E338" s="17"/>
      <c r="F338" s="18"/>
      <c r="G338" s="15"/>
      <c r="H338" s="19"/>
      <c r="I338" s="137">
        <f t="shared" si="184"/>
        <v>0</v>
      </c>
      <c r="J338" s="143">
        <f t="shared" si="202"/>
        <v>0</v>
      </c>
      <c r="K338" s="144">
        <f t="shared" si="191"/>
        <v>0</v>
      </c>
      <c r="L338" s="145">
        <f t="shared" si="203"/>
        <v>0</v>
      </c>
      <c r="M338" s="146">
        <f t="shared" si="192"/>
        <v>0</v>
      </c>
      <c r="N338" s="147">
        <f>SUMIF(日報!B4:B691,$A338,日報!L4:L691)</f>
        <v>0</v>
      </c>
      <c r="O338" s="147">
        <f t="shared" si="193"/>
        <v>0</v>
      </c>
      <c r="P338" s="151"/>
      <c r="Q338" s="42" t="str">
        <f t="shared" si="194"/>
        <v/>
      </c>
      <c r="R338" s="154"/>
      <c r="S338" s="10" t="str">
        <f t="shared" si="195"/>
        <v/>
      </c>
      <c r="T338" s="11"/>
      <c r="U338" s="12"/>
      <c r="V338" s="136"/>
      <c r="W338" s="16"/>
      <c r="X338" s="17"/>
      <c r="Y338" s="18"/>
      <c r="Z338" s="15"/>
      <c r="AA338" s="15"/>
      <c r="AB338" s="155">
        <f t="shared" si="196"/>
        <v>0</v>
      </c>
      <c r="AC338" s="157">
        <f t="shared" si="204"/>
        <v>0</v>
      </c>
      <c r="AD338" s="144">
        <f t="shared" si="197"/>
        <v>0</v>
      </c>
      <c r="AE338" s="145">
        <f t="shared" si="198"/>
        <v>0</v>
      </c>
      <c r="AF338" s="146">
        <f t="shared" si="199"/>
        <v>0</v>
      </c>
      <c r="AH338" s="274">
        <f>SUMIF(日報!$T$4:$T$885,TEXT(YEAR(A338),"0000")&amp;TEXT(MONTH(A338),"00")&amp;TEXT(DAY(A338),"00")&amp;"SCSK",日報!$L$4:$L$885)</f>
        <v>0</v>
      </c>
      <c r="AI338" s="275">
        <f t="shared" si="200"/>
        <v>0</v>
      </c>
    </row>
    <row r="339" spans="1:35" s="2" customFormat="1" outlineLevel="1" x14ac:dyDescent="0.15">
      <c r="A339" s="168">
        <f t="shared" si="205"/>
        <v>44156</v>
      </c>
      <c r="B339" s="167">
        <f t="shared" si="201"/>
        <v>44156</v>
      </c>
      <c r="C339" s="32">
        <v>1</v>
      </c>
      <c r="D339" s="16"/>
      <c r="E339" s="17"/>
      <c r="F339" s="18"/>
      <c r="G339" s="15"/>
      <c r="H339" s="19"/>
      <c r="I339" s="137">
        <f t="shared" si="184"/>
        <v>0</v>
      </c>
      <c r="J339" s="143">
        <f t="shared" si="202"/>
        <v>0</v>
      </c>
      <c r="K339" s="144">
        <f t="shared" si="191"/>
        <v>0</v>
      </c>
      <c r="L339" s="145">
        <f t="shared" si="203"/>
        <v>0</v>
      </c>
      <c r="M339" s="146">
        <f t="shared" si="192"/>
        <v>0</v>
      </c>
      <c r="N339" s="147">
        <f>SUMIF(日報!B4:B691,$A339,日報!L4:L691)</f>
        <v>0</v>
      </c>
      <c r="O339" s="147">
        <f t="shared" si="193"/>
        <v>0</v>
      </c>
      <c r="P339" s="151"/>
      <c r="Q339" s="42" t="str">
        <f t="shared" si="194"/>
        <v/>
      </c>
      <c r="R339" s="154"/>
      <c r="S339" s="10" t="str">
        <f t="shared" si="195"/>
        <v/>
      </c>
      <c r="T339" s="11"/>
      <c r="U339" s="12"/>
      <c r="V339" s="136"/>
      <c r="W339" s="16"/>
      <c r="X339" s="17"/>
      <c r="Y339" s="18"/>
      <c r="Z339" s="15"/>
      <c r="AA339" s="15"/>
      <c r="AB339" s="155">
        <f t="shared" si="196"/>
        <v>0</v>
      </c>
      <c r="AC339" s="157">
        <f t="shared" si="204"/>
        <v>0</v>
      </c>
      <c r="AD339" s="144">
        <f t="shared" si="197"/>
        <v>0</v>
      </c>
      <c r="AE339" s="145">
        <f t="shared" si="198"/>
        <v>0</v>
      </c>
      <c r="AF339" s="146">
        <f t="shared" si="199"/>
        <v>0</v>
      </c>
      <c r="AH339" s="274">
        <f>SUMIF(日報!$T$4:$T$885,TEXT(YEAR(A339),"0000")&amp;TEXT(MONTH(A339),"00")&amp;TEXT(DAY(A339),"00")&amp;"SCSK",日報!$L$4:$L$885)</f>
        <v>0</v>
      </c>
      <c r="AI339" s="275">
        <f t="shared" si="200"/>
        <v>0</v>
      </c>
    </row>
    <row r="340" spans="1:35" s="2" customFormat="1" outlineLevel="1" x14ac:dyDescent="0.15">
      <c r="A340" s="168">
        <f t="shared" si="205"/>
        <v>44157</v>
      </c>
      <c r="B340" s="167">
        <f t="shared" si="201"/>
        <v>44157</v>
      </c>
      <c r="C340" s="32">
        <v>1</v>
      </c>
      <c r="D340" s="16"/>
      <c r="E340" s="17"/>
      <c r="F340" s="18"/>
      <c r="G340" s="15"/>
      <c r="H340" s="19"/>
      <c r="I340" s="137">
        <f t="shared" si="184"/>
        <v>0</v>
      </c>
      <c r="J340" s="143">
        <f t="shared" si="202"/>
        <v>0</v>
      </c>
      <c r="K340" s="144">
        <f t="shared" si="191"/>
        <v>0</v>
      </c>
      <c r="L340" s="145">
        <f t="shared" si="203"/>
        <v>0</v>
      </c>
      <c r="M340" s="146">
        <f t="shared" si="192"/>
        <v>0</v>
      </c>
      <c r="N340" s="147">
        <f>SUMIF(日報!B4:B691,$A340,日報!L4:L691)</f>
        <v>0</v>
      </c>
      <c r="O340" s="147">
        <f t="shared" si="193"/>
        <v>0</v>
      </c>
      <c r="P340" s="151"/>
      <c r="Q340" s="42" t="str">
        <f t="shared" si="194"/>
        <v/>
      </c>
      <c r="R340" s="154"/>
      <c r="S340" s="10" t="str">
        <f t="shared" si="195"/>
        <v/>
      </c>
      <c r="T340" s="11"/>
      <c r="U340" s="12"/>
      <c r="V340" s="136"/>
      <c r="W340" s="16"/>
      <c r="X340" s="17"/>
      <c r="Y340" s="18"/>
      <c r="Z340" s="15"/>
      <c r="AA340" s="15"/>
      <c r="AB340" s="155">
        <f t="shared" si="196"/>
        <v>0</v>
      </c>
      <c r="AC340" s="157">
        <f t="shared" si="204"/>
        <v>0</v>
      </c>
      <c r="AD340" s="144">
        <f t="shared" si="197"/>
        <v>0</v>
      </c>
      <c r="AE340" s="145">
        <f t="shared" si="198"/>
        <v>0</v>
      </c>
      <c r="AF340" s="146">
        <f t="shared" si="199"/>
        <v>0</v>
      </c>
      <c r="AH340" s="274">
        <f>SUMIF(日報!$T$4:$T$885,TEXT(YEAR(A340),"0000")&amp;TEXT(MONTH(A340),"00")&amp;TEXT(DAY(A340),"00")&amp;"SCSK",日報!$L$4:$L$885)</f>
        <v>0</v>
      </c>
      <c r="AI340" s="275">
        <f t="shared" si="200"/>
        <v>0</v>
      </c>
    </row>
    <row r="341" spans="1:35" s="2" customFormat="1" outlineLevel="1" x14ac:dyDescent="0.15">
      <c r="A341" s="168">
        <f t="shared" si="205"/>
        <v>44158</v>
      </c>
      <c r="B341" s="167">
        <f t="shared" si="201"/>
        <v>44158</v>
      </c>
      <c r="C341" s="32">
        <v>1</v>
      </c>
      <c r="D341" s="16"/>
      <c r="E341" s="17"/>
      <c r="F341" s="18"/>
      <c r="G341" s="15"/>
      <c r="H341" s="19"/>
      <c r="I341" s="137">
        <f t="shared" si="184"/>
        <v>0</v>
      </c>
      <c r="J341" s="143">
        <f t="shared" si="202"/>
        <v>0</v>
      </c>
      <c r="K341" s="144">
        <f t="shared" si="191"/>
        <v>0</v>
      </c>
      <c r="L341" s="145">
        <f t="shared" si="203"/>
        <v>0</v>
      </c>
      <c r="M341" s="146">
        <f t="shared" si="192"/>
        <v>0</v>
      </c>
      <c r="N341" s="147">
        <f>SUMIF(日報!B4:B691,$A341,日報!L4:L691)</f>
        <v>0</v>
      </c>
      <c r="O341" s="147">
        <f t="shared" si="193"/>
        <v>0</v>
      </c>
      <c r="P341" s="151"/>
      <c r="Q341" s="42" t="str">
        <f t="shared" si="194"/>
        <v/>
      </c>
      <c r="R341" s="154"/>
      <c r="S341" s="10" t="str">
        <f t="shared" si="195"/>
        <v/>
      </c>
      <c r="T341" s="11"/>
      <c r="U341" s="12"/>
      <c r="V341" s="136"/>
      <c r="W341" s="16"/>
      <c r="X341" s="17"/>
      <c r="Y341" s="18"/>
      <c r="Z341" s="15"/>
      <c r="AA341" s="15"/>
      <c r="AB341" s="155">
        <f t="shared" si="196"/>
        <v>0</v>
      </c>
      <c r="AC341" s="157">
        <f t="shared" si="204"/>
        <v>0</v>
      </c>
      <c r="AD341" s="144">
        <f t="shared" si="197"/>
        <v>0</v>
      </c>
      <c r="AE341" s="145">
        <f t="shared" si="198"/>
        <v>0</v>
      </c>
      <c r="AF341" s="146">
        <f t="shared" si="199"/>
        <v>0</v>
      </c>
      <c r="AH341" s="274">
        <f>SUMIF(日報!$T$4:$T$885,TEXT(YEAR(A341),"0000")&amp;TEXT(MONTH(A341),"00")&amp;TEXT(DAY(A341),"00")&amp;"SCSK",日報!$L$4:$L$885)</f>
        <v>0</v>
      </c>
      <c r="AI341" s="275">
        <f t="shared" si="200"/>
        <v>0</v>
      </c>
    </row>
    <row r="342" spans="1:35" s="2" customFormat="1" outlineLevel="1" x14ac:dyDescent="0.15">
      <c r="A342" s="168">
        <f t="shared" si="205"/>
        <v>44159</v>
      </c>
      <c r="B342" s="167">
        <f t="shared" si="201"/>
        <v>44159</v>
      </c>
      <c r="C342" s="32"/>
      <c r="D342" s="16"/>
      <c r="E342" s="17"/>
      <c r="F342" s="18"/>
      <c r="G342" s="15"/>
      <c r="H342" s="19"/>
      <c r="I342" s="137">
        <f t="shared" si="184"/>
        <v>0</v>
      </c>
      <c r="J342" s="143">
        <f t="shared" si="202"/>
        <v>0</v>
      </c>
      <c r="K342" s="144">
        <f t="shared" si="191"/>
        <v>0</v>
      </c>
      <c r="L342" s="145">
        <f t="shared" si="203"/>
        <v>0</v>
      </c>
      <c r="M342" s="146">
        <f t="shared" si="192"/>
        <v>0</v>
      </c>
      <c r="N342" s="147">
        <f>SUMIF(日報!B4:B691,$A342,日報!L4:L691)</f>
        <v>0</v>
      </c>
      <c r="O342" s="147">
        <f t="shared" si="193"/>
        <v>0</v>
      </c>
      <c r="P342" s="151"/>
      <c r="Q342" s="42" t="str">
        <f t="shared" si="194"/>
        <v/>
      </c>
      <c r="R342" s="154"/>
      <c r="S342" s="10" t="str">
        <f t="shared" si="195"/>
        <v/>
      </c>
      <c r="T342" s="11"/>
      <c r="U342" s="12"/>
      <c r="V342" s="136"/>
      <c r="W342" s="16"/>
      <c r="X342" s="17"/>
      <c r="Y342" s="18"/>
      <c r="Z342" s="15"/>
      <c r="AA342" s="15"/>
      <c r="AB342" s="155">
        <f t="shared" si="196"/>
        <v>0</v>
      </c>
      <c r="AC342" s="157">
        <f t="shared" si="204"/>
        <v>0</v>
      </c>
      <c r="AD342" s="144">
        <f t="shared" si="197"/>
        <v>0</v>
      </c>
      <c r="AE342" s="145">
        <f t="shared" si="198"/>
        <v>0</v>
      </c>
      <c r="AF342" s="146">
        <f t="shared" si="199"/>
        <v>0</v>
      </c>
      <c r="AH342" s="274">
        <f>SUMIF(日報!$T$4:$T$885,TEXT(YEAR(A342),"0000")&amp;TEXT(MONTH(A342),"00")&amp;TEXT(DAY(A342),"00")&amp;"SCSK",日報!$L$4:$L$885)</f>
        <v>0</v>
      </c>
      <c r="AI342" s="275">
        <f t="shared" si="200"/>
        <v>0</v>
      </c>
    </row>
    <row r="343" spans="1:35" s="2" customFormat="1" outlineLevel="1" x14ac:dyDescent="0.15">
      <c r="A343" s="168">
        <f t="shared" si="205"/>
        <v>44160</v>
      </c>
      <c r="B343" s="167">
        <f t="shared" si="201"/>
        <v>44160</v>
      </c>
      <c r="C343" s="32"/>
      <c r="D343" s="16"/>
      <c r="E343" s="17"/>
      <c r="F343" s="18"/>
      <c r="G343" s="15"/>
      <c r="H343" s="19"/>
      <c r="I343" s="137">
        <f t="shared" si="184"/>
        <v>0</v>
      </c>
      <c r="J343" s="143">
        <f t="shared" si="202"/>
        <v>0</v>
      </c>
      <c r="K343" s="144">
        <f t="shared" si="191"/>
        <v>0</v>
      </c>
      <c r="L343" s="145">
        <f t="shared" si="203"/>
        <v>0</v>
      </c>
      <c r="M343" s="146">
        <f t="shared" si="192"/>
        <v>0</v>
      </c>
      <c r="N343" s="147">
        <f>SUMIF(日報!B4:B691,$A343,日報!L4:L691)</f>
        <v>0</v>
      </c>
      <c r="O343" s="147">
        <f t="shared" si="193"/>
        <v>0</v>
      </c>
      <c r="P343" s="151"/>
      <c r="Q343" s="42" t="str">
        <f t="shared" si="194"/>
        <v/>
      </c>
      <c r="R343" s="154"/>
      <c r="S343" s="10" t="str">
        <f t="shared" si="195"/>
        <v/>
      </c>
      <c r="T343" s="11"/>
      <c r="U343" s="12"/>
      <c r="V343" s="136"/>
      <c r="W343" s="16"/>
      <c r="X343" s="17"/>
      <c r="Y343" s="18"/>
      <c r="Z343" s="15"/>
      <c r="AA343" s="15"/>
      <c r="AB343" s="155">
        <f t="shared" si="196"/>
        <v>0</v>
      </c>
      <c r="AC343" s="157">
        <f t="shared" si="204"/>
        <v>0</v>
      </c>
      <c r="AD343" s="144">
        <f t="shared" si="197"/>
        <v>0</v>
      </c>
      <c r="AE343" s="145">
        <f t="shared" si="198"/>
        <v>0</v>
      </c>
      <c r="AF343" s="146">
        <f t="shared" si="199"/>
        <v>0</v>
      </c>
      <c r="AH343" s="274">
        <f>SUMIF(日報!$T$4:$T$885,TEXT(YEAR(A343),"0000")&amp;TEXT(MONTH(A343),"00")&amp;TEXT(DAY(A343),"00")&amp;"SCSK",日報!$L$4:$L$885)</f>
        <v>0</v>
      </c>
      <c r="AI343" s="275">
        <f t="shared" si="200"/>
        <v>0</v>
      </c>
    </row>
    <row r="344" spans="1:35" s="2" customFormat="1" outlineLevel="1" x14ac:dyDescent="0.15">
      <c r="A344" s="168">
        <f t="shared" si="205"/>
        <v>44161</v>
      </c>
      <c r="B344" s="167">
        <f t="shared" si="201"/>
        <v>44161</v>
      </c>
      <c r="C344" s="32"/>
      <c r="D344" s="16"/>
      <c r="E344" s="17"/>
      <c r="F344" s="18"/>
      <c r="G344" s="15"/>
      <c r="H344" s="19"/>
      <c r="I344" s="137">
        <f t="shared" si="184"/>
        <v>0</v>
      </c>
      <c r="J344" s="143">
        <f t="shared" si="202"/>
        <v>0</v>
      </c>
      <c r="K344" s="144">
        <f t="shared" si="191"/>
        <v>0</v>
      </c>
      <c r="L344" s="145">
        <f t="shared" si="203"/>
        <v>0</v>
      </c>
      <c r="M344" s="146">
        <f t="shared" si="192"/>
        <v>0</v>
      </c>
      <c r="N344" s="147">
        <f>SUMIF(日報!B4:B691,$A344,日報!L4:L691)</f>
        <v>0</v>
      </c>
      <c r="O344" s="147">
        <f t="shared" si="193"/>
        <v>0</v>
      </c>
      <c r="P344" s="151"/>
      <c r="Q344" s="42" t="str">
        <f t="shared" si="194"/>
        <v/>
      </c>
      <c r="R344" s="154"/>
      <c r="S344" s="10" t="str">
        <f t="shared" si="195"/>
        <v/>
      </c>
      <c r="T344" s="11"/>
      <c r="U344" s="12"/>
      <c r="V344" s="136"/>
      <c r="W344" s="16"/>
      <c r="X344" s="17"/>
      <c r="Y344" s="18"/>
      <c r="Z344" s="15"/>
      <c r="AA344" s="15"/>
      <c r="AB344" s="155">
        <f t="shared" si="196"/>
        <v>0</v>
      </c>
      <c r="AC344" s="157">
        <f t="shared" si="204"/>
        <v>0</v>
      </c>
      <c r="AD344" s="144">
        <f t="shared" si="197"/>
        <v>0</v>
      </c>
      <c r="AE344" s="145">
        <f t="shared" si="198"/>
        <v>0</v>
      </c>
      <c r="AF344" s="146">
        <f t="shared" si="199"/>
        <v>0</v>
      </c>
      <c r="AH344" s="274">
        <f>SUMIF(日報!$T$4:$T$885,TEXT(YEAR(A344),"0000")&amp;TEXT(MONTH(A344),"00")&amp;TEXT(DAY(A344),"00")&amp;"SCSK",日報!$L$4:$L$885)</f>
        <v>0</v>
      </c>
      <c r="AI344" s="275">
        <f t="shared" si="200"/>
        <v>0</v>
      </c>
    </row>
    <row r="345" spans="1:35" s="2" customFormat="1" outlineLevel="1" x14ac:dyDescent="0.15">
      <c r="A345" s="168">
        <f t="shared" si="205"/>
        <v>44162</v>
      </c>
      <c r="B345" s="167">
        <f t="shared" si="201"/>
        <v>44162</v>
      </c>
      <c r="C345" s="32"/>
      <c r="D345" s="16"/>
      <c r="E345" s="17"/>
      <c r="F345" s="18"/>
      <c r="G345" s="15"/>
      <c r="H345" s="19"/>
      <c r="I345" s="137">
        <f t="shared" si="184"/>
        <v>0</v>
      </c>
      <c r="J345" s="143">
        <f t="shared" si="202"/>
        <v>0</v>
      </c>
      <c r="K345" s="144">
        <f t="shared" si="191"/>
        <v>0</v>
      </c>
      <c r="L345" s="145">
        <f t="shared" si="203"/>
        <v>0</v>
      </c>
      <c r="M345" s="146">
        <f t="shared" si="192"/>
        <v>0</v>
      </c>
      <c r="N345" s="147">
        <f>SUMIF(日報!B4:B691,$A345,日報!L4:L691)</f>
        <v>0</v>
      </c>
      <c r="O345" s="147">
        <f t="shared" si="193"/>
        <v>0</v>
      </c>
      <c r="P345" s="151"/>
      <c r="Q345" s="42" t="str">
        <f t="shared" si="194"/>
        <v/>
      </c>
      <c r="R345" s="154"/>
      <c r="S345" s="10" t="str">
        <f t="shared" si="195"/>
        <v/>
      </c>
      <c r="T345" s="11"/>
      <c r="U345" s="12"/>
      <c r="V345" s="136"/>
      <c r="W345" s="16"/>
      <c r="X345" s="17"/>
      <c r="Y345" s="18"/>
      <c r="Z345" s="15"/>
      <c r="AA345" s="15"/>
      <c r="AB345" s="155">
        <f t="shared" si="196"/>
        <v>0</v>
      </c>
      <c r="AC345" s="157">
        <f t="shared" si="204"/>
        <v>0</v>
      </c>
      <c r="AD345" s="144">
        <f t="shared" si="197"/>
        <v>0</v>
      </c>
      <c r="AE345" s="145">
        <f t="shared" si="198"/>
        <v>0</v>
      </c>
      <c r="AF345" s="146">
        <f t="shared" si="199"/>
        <v>0</v>
      </c>
      <c r="AH345" s="274">
        <f>SUMIF(日報!$T$4:$T$885,TEXT(YEAR(A345),"0000")&amp;TEXT(MONTH(A345),"00")&amp;TEXT(DAY(A345),"00")&amp;"SCSK",日報!$L$4:$L$885)</f>
        <v>0</v>
      </c>
      <c r="AI345" s="275">
        <f t="shared" si="200"/>
        <v>0</v>
      </c>
    </row>
    <row r="346" spans="1:35" s="2" customFormat="1" outlineLevel="1" x14ac:dyDescent="0.15">
      <c r="A346" s="168">
        <f t="shared" si="205"/>
        <v>44163</v>
      </c>
      <c r="B346" s="167">
        <f t="shared" si="201"/>
        <v>44163</v>
      </c>
      <c r="C346" s="32">
        <v>1</v>
      </c>
      <c r="D346" s="16"/>
      <c r="E346" s="17"/>
      <c r="F346" s="18"/>
      <c r="G346" s="15"/>
      <c r="H346" s="19"/>
      <c r="I346" s="137">
        <f t="shared" si="184"/>
        <v>0</v>
      </c>
      <c r="J346" s="143">
        <f t="shared" si="202"/>
        <v>0</v>
      </c>
      <c r="K346" s="144">
        <f t="shared" si="191"/>
        <v>0</v>
      </c>
      <c r="L346" s="145">
        <f t="shared" si="203"/>
        <v>0</v>
      </c>
      <c r="M346" s="146">
        <f t="shared" si="192"/>
        <v>0</v>
      </c>
      <c r="N346" s="147">
        <f>SUMIF(日報!B4:B691,$A346,日報!L4:L691)</f>
        <v>0</v>
      </c>
      <c r="O346" s="147">
        <f t="shared" si="193"/>
        <v>0</v>
      </c>
      <c r="P346" s="151"/>
      <c r="Q346" s="42" t="str">
        <f t="shared" si="194"/>
        <v/>
      </c>
      <c r="R346" s="154"/>
      <c r="S346" s="10" t="str">
        <f t="shared" si="195"/>
        <v/>
      </c>
      <c r="T346" s="11"/>
      <c r="U346" s="12"/>
      <c r="V346" s="136"/>
      <c r="W346" s="16"/>
      <c r="X346" s="17"/>
      <c r="Y346" s="18"/>
      <c r="Z346" s="15"/>
      <c r="AA346" s="15"/>
      <c r="AB346" s="155">
        <f t="shared" si="196"/>
        <v>0</v>
      </c>
      <c r="AC346" s="157">
        <f t="shared" si="204"/>
        <v>0</v>
      </c>
      <c r="AD346" s="144">
        <f t="shared" si="197"/>
        <v>0</v>
      </c>
      <c r="AE346" s="145">
        <f t="shared" si="198"/>
        <v>0</v>
      </c>
      <c r="AF346" s="146">
        <f t="shared" si="199"/>
        <v>0</v>
      </c>
      <c r="AH346" s="274">
        <f>SUMIF(日報!$T$4:$T$885,TEXT(YEAR(A346),"0000")&amp;TEXT(MONTH(A346),"00")&amp;TEXT(DAY(A346),"00")&amp;"SCSK",日報!$L$4:$L$885)</f>
        <v>0</v>
      </c>
      <c r="AI346" s="275">
        <f t="shared" si="200"/>
        <v>0</v>
      </c>
    </row>
    <row r="347" spans="1:35" s="2" customFormat="1" outlineLevel="1" x14ac:dyDescent="0.15">
      <c r="A347" s="168">
        <f t="shared" si="205"/>
        <v>44164</v>
      </c>
      <c r="B347" s="167">
        <f t="shared" si="201"/>
        <v>44164</v>
      </c>
      <c r="C347" s="32">
        <v>1</v>
      </c>
      <c r="D347" s="16"/>
      <c r="E347" s="17"/>
      <c r="F347" s="18"/>
      <c r="G347" s="15"/>
      <c r="H347" s="19"/>
      <c r="I347" s="137">
        <f t="shared" si="184"/>
        <v>0</v>
      </c>
      <c r="J347" s="143">
        <f t="shared" si="202"/>
        <v>0</v>
      </c>
      <c r="K347" s="144">
        <f t="shared" si="191"/>
        <v>0</v>
      </c>
      <c r="L347" s="145">
        <f t="shared" si="203"/>
        <v>0</v>
      </c>
      <c r="M347" s="146">
        <f t="shared" si="192"/>
        <v>0</v>
      </c>
      <c r="N347" s="147">
        <f>SUMIF(日報!B4:B691,$A347,日報!L4:L691)</f>
        <v>0</v>
      </c>
      <c r="O347" s="147">
        <f t="shared" si="193"/>
        <v>0</v>
      </c>
      <c r="P347" s="151"/>
      <c r="Q347" s="42" t="str">
        <f t="shared" si="194"/>
        <v/>
      </c>
      <c r="R347" s="154"/>
      <c r="S347" s="10" t="str">
        <f t="shared" si="195"/>
        <v/>
      </c>
      <c r="T347" s="11"/>
      <c r="U347" s="12"/>
      <c r="V347" s="136"/>
      <c r="W347" s="16"/>
      <c r="X347" s="17"/>
      <c r="Y347" s="18"/>
      <c r="Z347" s="15"/>
      <c r="AA347" s="15"/>
      <c r="AB347" s="155">
        <f t="shared" si="196"/>
        <v>0</v>
      </c>
      <c r="AC347" s="157">
        <f t="shared" si="204"/>
        <v>0</v>
      </c>
      <c r="AD347" s="144">
        <f t="shared" si="197"/>
        <v>0</v>
      </c>
      <c r="AE347" s="145">
        <f t="shared" si="198"/>
        <v>0</v>
      </c>
      <c r="AF347" s="146">
        <f t="shared" si="199"/>
        <v>0</v>
      </c>
      <c r="AH347" s="274">
        <f>SUMIF(日報!$T$4:$T$885,TEXT(YEAR(A347),"0000")&amp;TEXT(MONTH(A347),"00")&amp;TEXT(DAY(A347),"00")&amp;"SCSK",日報!$L$4:$L$885)</f>
        <v>0</v>
      </c>
      <c r="AI347" s="275">
        <f t="shared" si="200"/>
        <v>0</v>
      </c>
    </row>
    <row r="348" spans="1:35" s="2" customFormat="1" ht="14.25" outlineLevel="1" thickBot="1" x14ac:dyDescent="0.2">
      <c r="A348" s="168">
        <f t="shared" si="205"/>
        <v>44165</v>
      </c>
      <c r="B348" s="167">
        <f t="shared" si="201"/>
        <v>44165</v>
      </c>
      <c r="C348" s="32"/>
      <c r="D348" s="16"/>
      <c r="E348" s="17"/>
      <c r="F348" s="18"/>
      <c r="G348" s="15"/>
      <c r="H348" s="19"/>
      <c r="I348" s="137">
        <f t="shared" si="184"/>
        <v>0</v>
      </c>
      <c r="J348" s="143">
        <f t="shared" si="202"/>
        <v>0</v>
      </c>
      <c r="K348" s="144">
        <f t="shared" si="191"/>
        <v>0</v>
      </c>
      <c r="L348" s="145">
        <f t="shared" si="203"/>
        <v>0</v>
      </c>
      <c r="M348" s="146">
        <f t="shared" si="192"/>
        <v>0</v>
      </c>
      <c r="N348" s="147">
        <f>SUMIF(日報!B4:B691,$A348,日報!L4:L691)</f>
        <v>0</v>
      </c>
      <c r="O348" s="147">
        <f t="shared" si="193"/>
        <v>0</v>
      </c>
      <c r="P348" s="151"/>
      <c r="Q348" s="42" t="str">
        <f t="shared" si="194"/>
        <v/>
      </c>
      <c r="R348" s="154"/>
      <c r="S348" s="10" t="str">
        <f t="shared" si="195"/>
        <v/>
      </c>
      <c r="T348" s="11"/>
      <c r="U348" s="12"/>
      <c r="V348" s="136"/>
      <c r="W348" s="16"/>
      <c r="X348" s="17"/>
      <c r="Y348" s="18"/>
      <c r="Z348" s="15"/>
      <c r="AA348" s="15"/>
      <c r="AB348" s="155">
        <f t="shared" si="196"/>
        <v>0</v>
      </c>
      <c r="AC348" s="157">
        <f t="shared" si="204"/>
        <v>0</v>
      </c>
      <c r="AD348" s="144">
        <f t="shared" si="197"/>
        <v>0</v>
      </c>
      <c r="AE348" s="145">
        <f t="shared" si="198"/>
        <v>0</v>
      </c>
      <c r="AF348" s="146">
        <f t="shared" si="199"/>
        <v>0</v>
      </c>
      <c r="AH348" s="274">
        <f>SUMIF(日報!$T$4:$T$885,TEXT(YEAR(A348),"0000")&amp;TEXT(MONTH(A348),"00")&amp;TEXT(DAY(A348),"00")&amp;"SCSK",日報!$L$4:$L$885)</f>
        <v>0</v>
      </c>
      <c r="AI348" s="275">
        <f t="shared" si="200"/>
        <v>0</v>
      </c>
    </row>
    <row r="349" spans="1:35" ht="15" thickTop="1" thickBot="1" x14ac:dyDescent="0.2">
      <c r="A349" s="107">
        <f>A348</f>
        <v>44165</v>
      </c>
      <c r="B349" s="108">
        <f>COUNT(B319:B348)</f>
        <v>30</v>
      </c>
      <c r="C349" s="108"/>
      <c r="D349" s="109"/>
      <c r="E349" s="109"/>
      <c r="F349" s="110">
        <f t="shared" ref="F349:M349" si="206">SUM(F319:F348)</f>
        <v>0</v>
      </c>
      <c r="G349" s="110">
        <f t="shared" si="206"/>
        <v>0</v>
      </c>
      <c r="H349" s="110">
        <f t="shared" si="206"/>
        <v>0</v>
      </c>
      <c r="I349" s="110">
        <f t="shared" si="206"/>
        <v>0</v>
      </c>
      <c r="J349" s="110">
        <f t="shared" si="206"/>
        <v>0</v>
      </c>
      <c r="K349" s="110">
        <f t="shared" si="206"/>
        <v>0</v>
      </c>
      <c r="L349" s="110">
        <f t="shared" si="206"/>
        <v>0</v>
      </c>
      <c r="M349" s="123">
        <f t="shared" si="206"/>
        <v>0</v>
      </c>
      <c r="N349" s="115"/>
      <c r="O349" s="116">
        <f>SUM(O319:O348)</f>
        <v>0</v>
      </c>
      <c r="P349" s="105"/>
      <c r="Q349" s="118"/>
      <c r="R349" s="106"/>
      <c r="S349" s="120"/>
      <c r="T349" s="118"/>
      <c r="U349" s="121"/>
      <c r="W349" s="122"/>
      <c r="X349" s="109"/>
      <c r="Y349" s="110">
        <f t="shared" ref="Y349:AF349" si="207">SUM(Y319:Y348)</f>
        <v>0</v>
      </c>
      <c r="Z349" s="110">
        <f t="shared" si="207"/>
        <v>0</v>
      </c>
      <c r="AA349" s="110">
        <f t="shared" si="207"/>
        <v>0</v>
      </c>
      <c r="AB349" s="111">
        <f t="shared" si="207"/>
        <v>0</v>
      </c>
      <c r="AC349" s="112">
        <f t="shared" si="207"/>
        <v>0</v>
      </c>
      <c r="AD349" s="112">
        <f t="shared" si="207"/>
        <v>0</v>
      </c>
      <c r="AE349" s="112">
        <f t="shared" si="207"/>
        <v>0</v>
      </c>
      <c r="AF349" s="113">
        <f t="shared" si="207"/>
        <v>0</v>
      </c>
      <c r="AH349" s="276"/>
      <c r="AI349" s="277"/>
    </row>
    <row r="350" spans="1:35" s="2" customFormat="1" outlineLevel="1" x14ac:dyDescent="0.15">
      <c r="A350" s="168">
        <f>A348+1</f>
        <v>44166</v>
      </c>
      <c r="B350" s="167">
        <f>A350</f>
        <v>44166</v>
      </c>
      <c r="C350" s="32"/>
      <c r="D350" s="16"/>
      <c r="E350" s="17"/>
      <c r="F350" s="18"/>
      <c r="G350" s="15"/>
      <c r="H350" s="19"/>
      <c r="I350" s="137">
        <f t="shared" si="184"/>
        <v>0</v>
      </c>
      <c r="J350" s="143">
        <f>IF(C350=1,0,I350-M350-L350-K350-F350-H350-G350)</f>
        <v>0</v>
      </c>
      <c r="K350" s="144">
        <f t="shared" ref="K350:K380" si="208">IF(C350=0,IF(時間外開始&lt;E350,timediff(時間外開始,E350,15)-M350-G350-H350,0),0)</f>
        <v>0</v>
      </c>
      <c r="L350" s="145">
        <f>IF(C350=1,$I350-F350-M350-H350,0)</f>
        <v>0</v>
      </c>
      <c r="M350" s="146">
        <f t="shared" ref="M350:M380" si="209">IF(深夜終了&lt;E350,timediff(深夜開始,深夜終了,15)-H350,IF(深夜開始&lt;E350,timediff(深夜開始,E350,15)-H350,0))</f>
        <v>0</v>
      </c>
      <c r="N350" s="147">
        <f>SUMIF(日報!B4:B691,$A350,日報!L4:L691)</f>
        <v>0</v>
      </c>
      <c r="O350" s="147">
        <f t="shared" ref="O350:O380" si="210">SUM(J350:M350)-N350</f>
        <v>0</v>
      </c>
      <c r="P350" s="151"/>
      <c r="Q350" s="42" t="str">
        <f t="shared" ref="Q350:Q380" si="211">IF(P350="不調","ここに症状を入力！","")</f>
        <v/>
      </c>
      <c r="R350" s="154"/>
      <c r="S350" s="10" t="str">
        <f t="shared" ref="S350:S380" si="212">IF(R350&lt;&gt;"","ここに理由を入力！","")</f>
        <v/>
      </c>
      <c r="T350" s="11"/>
      <c r="U350" s="12"/>
      <c r="V350" s="136"/>
      <c r="W350" s="16"/>
      <c r="X350" s="17"/>
      <c r="Y350" s="18"/>
      <c r="Z350" s="15"/>
      <c r="AA350" s="15"/>
      <c r="AB350" s="155">
        <f t="shared" ref="AB350:AB380" si="213">timediff(W350,X350,15)</f>
        <v>0</v>
      </c>
      <c r="AC350" s="157">
        <f>AB350-AF350-AE350-AD350-Y350-Z350-AA350</f>
        <v>0</v>
      </c>
      <c r="AD350" s="144">
        <f t="shared" ref="AD350:AD380" si="214">IF(C350=0,IF(時間外開始&lt;X350,timediff(時間外開始,X350,15)-AF350-Z350-AA350,0),0)</f>
        <v>0</v>
      </c>
      <c r="AE350" s="145">
        <f t="shared" ref="AE350:AE380" si="215">IF(C350=1,AB350-Y350-Z350-AA350,0)</f>
        <v>0</v>
      </c>
      <c r="AF350" s="146">
        <f t="shared" ref="AF350:AF380" si="216">IF(深夜終了&lt;X350,timediff(深夜開始,深夜終了,15)-AA350,IF(深夜開始&lt;X350,timediff(深夜開始,X350,15)-AA350,0))</f>
        <v>0</v>
      </c>
      <c r="AH350" s="274">
        <f>SUMIF(日報!$T$4:$T$885,TEXT(YEAR(A350),"0000")&amp;TEXT(MONTH(A350),"00")&amp;TEXT(DAY(A350),"00")&amp;"SCSK",日報!$L$4:$L$885)</f>
        <v>0</v>
      </c>
      <c r="AI350" s="275">
        <f t="shared" si="200"/>
        <v>0</v>
      </c>
    </row>
    <row r="351" spans="1:35" s="2" customFormat="1" outlineLevel="1" x14ac:dyDescent="0.15">
      <c r="A351" s="168">
        <f>A350+1</f>
        <v>44167</v>
      </c>
      <c r="B351" s="167">
        <f t="shared" ref="B351:B380" si="217">A351</f>
        <v>44167</v>
      </c>
      <c r="C351" s="32"/>
      <c r="D351" s="16"/>
      <c r="E351" s="17"/>
      <c r="F351" s="18"/>
      <c r="G351" s="15"/>
      <c r="H351" s="19"/>
      <c r="I351" s="137">
        <f t="shared" si="184"/>
        <v>0</v>
      </c>
      <c r="J351" s="143">
        <f t="shared" ref="J351:J380" si="218">IF(C351=1,0,I351-M351-L351-K351-F351-H351-G351)</f>
        <v>0</v>
      </c>
      <c r="K351" s="144">
        <f t="shared" si="208"/>
        <v>0</v>
      </c>
      <c r="L351" s="145">
        <f t="shared" ref="L351:L380" si="219">IF(C351=1,$I351-F351-M351-H351,0)</f>
        <v>0</v>
      </c>
      <c r="M351" s="146">
        <f t="shared" si="209"/>
        <v>0</v>
      </c>
      <c r="N351" s="147">
        <f>SUMIF(日報!B4:B691,$A351,日報!L4:L691)</f>
        <v>0</v>
      </c>
      <c r="O351" s="147">
        <f t="shared" si="210"/>
        <v>0</v>
      </c>
      <c r="P351" s="151"/>
      <c r="Q351" s="42" t="str">
        <f t="shared" si="211"/>
        <v/>
      </c>
      <c r="R351" s="154"/>
      <c r="S351" s="10" t="str">
        <f t="shared" si="212"/>
        <v/>
      </c>
      <c r="T351" s="11"/>
      <c r="U351" s="12"/>
      <c r="V351" s="136"/>
      <c r="W351" s="16"/>
      <c r="X351" s="17"/>
      <c r="Y351" s="18"/>
      <c r="Z351" s="15"/>
      <c r="AA351" s="15"/>
      <c r="AB351" s="155">
        <f t="shared" si="213"/>
        <v>0</v>
      </c>
      <c r="AC351" s="157">
        <f t="shared" ref="AC351:AC380" si="220">AB351-AF351-AE351-AD351-Y351-Z351-AA351</f>
        <v>0</v>
      </c>
      <c r="AD351" s="144">
        <f t="shared" si="214"/>
        <v>0</v>
      </c>
      <c r="AE351" s="145">
        <f t="shared" si="215"/>
        <v>0</v>
      </c>
      <c r="AF351" s="146">
        <f t="shared" si="216"/>
        <v>0</v>
      </c>
      <c r="AH351" s="274">
        <f>SUMIF(日報!$T$4:$T$885,TEXT(YEAR(A351),"0000")&amp;TEXT(MONTH(A351),"00")&amp;TEXT(DAY(A351),"00")&amp;"SCSK",日報!$L$4:$L$885)</f>
        <v>0</v>
      </c>
      <c r="AI351" s="275">
        <f t="shared" si="200"/>
        <v>0</v>
      </c>
    </row>
    <row r="352" spans="1:35" s="2" customFormat="1" outlineLevel="1" x14ac:dyDescent="0.15">
      <c r="A352" s="168">
        <f t="shared" ref="A352:A380" si="221">A351+1</f>
        <v>44168</v>
      </c>
      <c r="B352" s="167">
        <f t="shared" si="217"/>
        <v>44168</v>
      </c>
      <c r="C352" s="32"/>
      <c r="D352" s="16"/>
      <c r="E352" s="17"/>
      <c r="F352" s="18"/>
      <c r="G352" s="15"/>
      <c r="H352" s="19"/>
      <c r="I352" s="137">
        <f t="shared" ref="I352:I380" si="222">timediff(D352,E352,15)</f>
        <v>0</v>
      </c>
      <c r="J352" s="143">
        <f t="shared" si="218"/>
        <v>0</v>
      </c>
      <c r="K352" s="144">
        <f t="shared" si="208"/>
        <v>0</v>
      </c>
      <c r="L352" s="145">
        <f t="shared" si="219"/>
        <v>0</v>
      </c>
      <c r="M352" s="146">
        <f t="shared" si="209"/>
        <v>0</v>
      </c>
      <c r="N352" s="147">
        <f>SUMIF(日報!B4:B691,$A352,日報!L4:L691)</f>
        <v>0</v>
      </c>
      <c r="O352" s="147">
        <f t="shared" si="210"/>
        <v>0</v>
      </c>
      <c r="P352" s="151"/>
      <c r="Q352" s="42" t="str">
        <f t="shared" si="211"/>
        <v/>
      </c>
      <c r="R352" s="154"/>
      <c r="S352" s="10" t="str">
        <f t="shared" si="212"/>
        <v/>
      </c>
      <c r="T352" s="11"/>
      <c r="U352" s="12"/>
      <c r="V352" s="136"/>
      <c r="W352" s="16"/>
      <c r="X352" s="17"/>
      <c r="Y352" s="18"/>
      <c r="Z352" s="15"/>
      <c r="AA352" s="15"/>
      <c r="AB352" s="155">
        <f t="shared" si="213"/>
        <v>0</v>
      </c>
      <c r="AC352" s="157">
        <f t="shared" si="220"/>
        <v>0</v>
      </c>
      <c r="AD352" s="144">
        <f t="shared" si="214"/>
        <v>0</v>
      </c>
      <c r="AE352" s="145">
        <f t="shared" si="215"/>
        <v>0</v>
      </c>
      <c r="AF352" s="146">
        <f t="shared" si="216"/>
        <v>0</v>
      </c>
      <c r="AH352" s="274">
        <f>SUMIF(日報!$T$4:$T$885,TEXT(YEAR(A352),"0000")&amp;TEXT(MONTH(A352),"00")&amp;TEXT(DAY(A352),"00")&amp;"SCSK",日報!$L$4:$L$885)</f>
        <v>0</v>
      </c>
      <c r="AI352" s="275">
        <f t="shared" si="200"/>
        <v>0</v>
      </c>
    </row>
    <row r="353" spans="1:35" s="2" customFormat="1" outlineLevel="1" x14ac:dyDescent="0.15">
      <c r="A353" s="168">
        <f t="shared" si="221"/>
        <v>44169</v>
      </c>
      <c r="B353" s="167">
        <f t="shared" si="217"/>
        <v>44169</v>
      </c>
      <c r="C353" s="32"/>
      <c r="D353" s="16"/>
      <c r="E353" s="17"/>
      <c r="F353" s="18"/>
      <c r="G353" s="15"/>
      <c r="H353" s="19"/>
      <c r="I353" s="137">
        <f t="shared" si="222"/>
        <v>0</v>
      </c>
      <c r="J353" s="143">
        <f t="shared" si="218"/>
        <v>0</v>
      </c>
      <c r="K353" s="144">
        <f t="shared" si="208"/>
        <v>0</v>
      </c>
      <c r="L353" s="145">
        <f t="shared" si="219"/>
        <v>0</v>
      </c>
      <c r="M353" s="146">
        <f t="shared" si="209"/>
        <v>0</v>
      </c>
      <c r="N353" s="147">
        <f>SUMIF(日報!B4:B691,$A353,日報!L4:L691)</f>
        <v>0</v>
      </c>
      <c r="O353" s="147">
        <f t="shared" si="210"/>
        <v>0</v>
      </c>
      <c r="P353" s="151"/>
      <c r="Q353" s="42" t="str">
        <f t="shared" si="211"/>
        <v/>
      </c>
      <c r="R353" s="154"/>
      <c r="S353" s="10" t="str">
        <f t="shared" si="212"/>
        <v/>
      </c>
      <c r="T353" s="11"/>
      <c r="U353" s="12"/>
      <c r="V353" s="136"/>
      <c r="W353" s="16"/>
      <c r="X353" s="17"/>
      <c r="Y353" s="18"/>
      <c r="Z353" s="15"/>
      <c r="AA353" s="15"/>
      <c r="AB353" s="155">
        <f t="shared" si="213"/>
        <v>0</v>
      </c>
      <c r="AC353" s="157">
        <f t="shared" si="220"/>
        <v>0</v>
      </c>
      <c r="AD353" s="144">
        <f t="shared" si="214"/>
        <v>0</v>
      </c>
      <c r="AE353" s="145">
        <f t="shared" si="215"/>
        <v>0</v>
      </c>
      <c r="AF353" s="146">
        <f t="shared" si="216"/>
        <v>0</v>
      </c>
      <c r="AH353" s="274">
        <f>SUMIF(日報!$T$4:$T$885,TEXT(YEAR(A353),"0000")&amp;TEXT(MONTH(A353),"00")&amp;TEXT(DAY(A353),"00")&amp;"SCSK",日報!$L$4:$L$885)</f>
        <v>0</v>
      </c>
      <c r="AI353" s="275">
        <f t="shared" si="200"/>
        <v>0</v>
      </c>
    </row>
    <row r="354" spans="1:35" s="2" customFormat="1" outlineLevel="1" x14ac:dyDescent="0.15">
      <c r="A354" s="168">
        <f t="shared" si="221"/>
        <v>44170</v>
      </c>
      <c r="B354" s="167">
        <f t="shared" si="217"/>
        <v>44170</v>
      </c>
      <c r="C354" s="32">
        <v>1</v>
      </c>
      <c r="D354" s="16"/>
      <c r="E354" s="17"/>
      <c r="F354" s="18"/>
      <c r="G354" s="15"/>
      <c r="H354" s="19"/>
      <c r="I354" s="137">
        <f t="shared" si="222"/>
        <v>0</v>
      </c>
      <c r="J354" s="143">
        <f t="shared" si="218"/>
        <v>0</v>
      </c>
      <c r="K354" s="144">
        <f t="shared" si="208"/>
        <v>0</v>
      </c>
      <c r="L354" s="145">
        <f t="shared" si="219"/>
        <v>0</v>
      </c>
      <c r="M354" s="146">
        <f t="shared" si="209"/>
        <v>0</v>
      </c>
      <c r="N354" s="147">
        <f>SUMIF(日報!B4:B691,$A354,日報!L4:L691)</f>
        <v>0</v>
      </c>
      <c r="O354" s="147">
        <f t="shared" si="210"/>
        <v>0</v>
      </c>
      <c r="P354" s="151"/>
      <c r="Q354" s="42" t="str">
        <f t="shared" si="211"/>
        <v/>
      </c>
      <c r="R354" s="154"/>
      <c r="S354" s="10" t="str">
        <f t="shared" si="212"/>
        <v/>
      </c>
      <c r="T354" s="11"/>
      <c r="U354" s="12"/>
      <c r="V354" s="136"/>
      <c r="W354" s="16"/>
      <c r="X354" s="17"/>
      <c r="Y354" s="18"/>
      <c r="Z354" s="15"/>
      <c r="AA354" s="15"/>
      <c r="AB354" s="155">
        <f t="shared" si="213"/>
        <v>0</v>
      </c>
      <c r="AC354" s="157">
        <f t="shared" si="220"/>
        <v>0</v>
      </c>
      <c r="AD354" s="144">
        <f t="shared" si="214"/>
        <v>0</v>
      </c>
      <c r="AE354" s="145">
        <f t="shared" si="215"/>
        <v>0</v>
      </c>
      <c r="AF354" s="146">
        <f t="shared" si="216"/>
        <v>0</v>
      </c>
      <c r="AH354" s="274">
        <f>SUMIF(日報!$T$4:$T$885,TEXT(YEAR(A354),"0000")&amp;TEXT(MONTH(A354),"00")&amp;TEXT(DAY(A354),"00")&amp;"SCSK",日報!$L$4:$L$885)</f>
        <v>0</v>
      </c>
      <c r="AI354" s="275">
        <f t="shared" si="200"/>
        <v>0</v>
      </c>
    </row>
    <row r="355" spans="1:35" s="2" customFormat="1" outlineLevel="1" x14ac:dyDescent="0.15">
      <c r="A355" s="168">
        <f t="shared" si="221"/>
        <v>44171</v>
      </c>
      <c r="B355" s="167">
        <f t="shared" si="217"/>
        <v>44171</v>
      </c>
      <c r="C355" s="32">
        <v>1</v>
      </c>
      <c r="D355" s="16"/>
      <c r="E355" s="17"/>
      <c r="F355" s="18"/>
      <c r="G355" s="15"/>
      <c r="H355" s="19"/>
      <c r="I355" s="137">
        <f t="shared" si="222"/>
        <v>0</v>
      </c>
      <c r="J355" s="143">
        <f t="shared" si="218"/>
        <v>0</v>
      </c>
      <c r="K355" s="144">
        <f t="shared" si="208"/>
        <v>0</v>
      </c>
      <c r="L355" s="145">
        <f t="shared" si="219"/>
        <v>0</v>
      </c>
      <c r="M355" s="146">
        <f t="shared" si="209"/>
        <v>0</v>
      </c>
      <c r="N355" s="147">
        <f>SUMIF(日報!B4:B691,$A355,日報!L4:L691)</f>
        <v>0</v>
      </c>
      <c r="O355" s="147">
        <f t="shared" si="210"/>
        <v>0</v>
      </c>
      <c r="P355" s="151"/>
      <c r="Q355" s="42" t="str">
        <f t="shared" si="211"/>
        <v/>
      </c>
      <c r="R355" s="154"/>
      <c r="S355" s="10" t="str">
        <f t="shared" si="212"/>
        <v/>
      </c>
      <c r="T355" s="11"/>
      <c r="U355" s="12"/>
      <c r="V355" s="136"/>
      <c r="W355" s="16"/>
      <c r="X355" s="17"/>
      <c r="Y355" s="18"/>
      <c r="Z355" s="15"/>
      <c r="AA355" s="15"/>
      <c r="AB355" s="155">
        <f t="shared" si="213"/>
        <v>0</v>
      </c>
      <c r="AC355" s="157">
        <f t="shared" si="220"/>
        <v>0</v>
      </c>
      <c r="AD355" s="144">
        <f t="shared" si="214"/>
        <v>0</v>
      </c>
      <c r="AE355" s="145">
        <f t="shared" si="215"/>
        <v>0</v>
      </c>
      <c r="AF355" s="146">
        <f t="shared" si="216"/>
        <v>0</v>
      </c>
      <c r="AH355" s="274">
        <f>SUMIF(日報!$T$4:$T$885,TEXT(YEAR(A355),"0000")&amp;TEXT(MONTH(A355),"00")&amp;TEXT(DAY(A355),"00")&amp;"SCSK",日報!$L$4:$L$885)</f>
        <v>0</v>
      </c>
      <c r="AI355" s="275">
        <f t="shared" si="200"/>
        <v>0</v>
      </c>
    </row>
    <row r="356" spans="1:35" s="2" customFormat="1" outlineLevel="1" x14ac:dyDescent="0.15">
      <c r="A356" s="168">
        <f t="shared" si="221"/>
        <v>44172</v>
      </c>
      <c r="B356" s="167">
        <f t="shared" si="217"/>
        <v>44172</v>
      </c>
      <c r="C356" s="32"/>
      <c r="D356" s="16"/>
      <c r="E356" s="17"/>
      <c r="F356" s="18"/>
      <c r="G356" s="15"/>
      <c r="H356" s="19"/>
      <c r="I356" s="137">
        <f t="shared" si="222"/>
        <v>0</v>
      </c>
      <c r="J356" s="143">
        <f t="shared" si="218"/>
        <v>0</v>
      </c>
      <c r="K356" s="144">
        <f t="shared" si="208"/>
        <v>0</v>
      </c>
      <c r="L356" s="145">
        <f t="shared" si="219"/>
        <v>0</v>
      </c>
      <c r="M356" s="146">
        <f t="shared" si="209"/>
        <v>0</v>
      </c>
      <c r="N356" s="147">
        <f>SUMIF(日報!B4:B691,$A356,日報!L4:L691)</f>
        <v>0</v>
      </c>
      <c r="O356" s="147">
        <f t="shared" si="210"/>
        <v>0</v>
      </c>
      <c r="P356" s="151"/>
      <c r="Q356" s="42" t="str">
        <f t="shared" si="211"/>
        <v/>
      </c>
      <c r="R356" s="154"/>
      <c r="S356" s="10" t="str">
        <f t="shared" si="212"/>
        <v/>
      </c>
      <c r="T356" s="11"/>
      <c r="U356" s="12"/>
      <c r="V356" s="136"/>
      <c r="W356" s="16"/>
      <c r="X356" s="17"/>
      <c r="Y356" s="18"/>
      <c r="Z356" s="15"/>
      <c r="AA356" s="15"/>
      <c r="AB356" s="155">
        <f t="shared" si="213"/>
        <v>0</v>
      </c>
      <c r="AC356" s="157">
        <f t="shared" si="220"/>
        <v>0</v>
      </c>
      <c r="AD356" s="144">
        <f t="shared" si="214"/>
        <v>0</v>
      </c>
      <c r="AE356" s="145">
        <f t="shared" si="215"/>
        <v>0</v>
      </c>
      <c r="AF356" s="146">
        <f t="shared" si="216"/>
        <v>0</v>
      </c>
      <c r="AH356" s="274">
        <f>SUMIF(日報!$T$4:$T$885,TEXT(YEAR(A356),"0000")&amp;TEXT(MONTH(A356),"00")&amp;TEXT(DAY(A356),"00")&amp;"SCSK",日報!$L$4:$L$885)</f>
        <v>0</v>
      </c>
      <c r="AI356" s="275">
        <f t="shared" si="200"/>
        <v>0</v>
      </c>
    </row>
    <row r="357" spans="1:35" s="2" customFormat="1" outlineLevel="1" x14ac:dyDescent="0.15">
      <c r="A357" s="168">
        <f t="shared" si="221"/>
        <v>44173</v>
      </c>
      <c r="B357" s="167">
        <f t="shared" si="217"/>
        <v>44173</v>
      </c>
      <c r="C357" s="32"/>
      <c r="D357" s="16"/>
      <c r="E357" s="17"/>
      <c r="F357" s="18"/>
      <c r="G357" s="15"/>
      <c r="H357" s="19"/>
      <c r="I357" s="137">
        <f t="shared" si="222"/>
        <v>0</v>
      </c>
      <c r="J357" s="143">
        <f t="shared" si="218"/>
        <v>0</v>
      </c>
      <c r="K357" s="144">
        <f t="shared" si="208"/>
        <v>0</v>
      </c>
      <c r="L357" s="145">
        <f t="shared" si="219"/>
        <v>0</v>
      </c>
      <c r="M357" s="146">
        <f t="shared" si="209"/>
        <v>0</v>
      </c>
      <c r="N357" s="147">
        <f>SUMIF(日報!B4:B691,$A357,日報!L4:L691)</f>
        <v>0</v>
      </c>
      <c r="O357" s="147">
        <f t="shared" si="210"/>
        <v>0</v>
      </c>
      <c r="P357" s="151"/>
      <c r="Q357" s="42" t="str">
        <f t="shared" si="211"/>
        <v/>
      </c>
      <c r="R357" s="154"/>
      <c r="S357" s="10" t="str">
        <f t="shared" si="212"/>
        <v/>
      </c>
      <c r="T357" s="11"/>
      <c r="U357" s="12"/>
      <c r="V357" s="136"/>
      <c r="W357" s="16"/>
      <c r="X357" s="17"/>
      <c r="Y357" s="18"/>
      <c r="Z357" s="15"/>
      <c r="AA357" s="15"/>
      <c r="AB357" s="155">
        <f t="shared" si="213"/>
        <v>0</v>
      </c>
      <c r="AC357" s="157">
        <f t="shared" si="220"/>
        <v>0</v>
      </c>
      <c r="AD357" s="144">
        <f t="shared" si="214"/>
        <v>0</v>
      </c>
      <c r="AE357" s="145">
        <f t="shared" si="215"/>
        <v>0</v>
      </c>
      <c r="AF357" s="146">
        <f t="shared" si="216"/>
        <v>0</v>
      </c>
      <c r="AH357" s="274">
        <f>SUMIF(日報!$T$4:$T$885,TEXT(YEAR(A357),"0000")&amp;TEXT(MONTH(A357),"00")&amp;TEXT(DAY(A357),"00")&amp;"SCSK",日報!$L$4:$L$885)</f>
        <v>0</v>
      </c>
      <c r="AI357" s="275">
        <f t="shared" si="200"/>
        <v>0</v>
      </c>
    </row>
    <row r="358" spans="1:35" s="2" customFormat="1" outlineLevel="1" x14ac:dyDescent="0.15">
      <c r="A358" s="168">
        <f t="shared" si="221"/>
        <v>44174</v>
      </c>
      <c r="B358" s="167">
        <f t="shared" si="217"/>
        <v>44174</v>
      </c>
      <c r="C358" s="32"/>
      <c r="D358" s="16"/>
      <c r="E358" s="17"/>
      <c r="F358" s="18"/>
      <c r="G358" s="15"/>
      <c r="H358" s="19"/>
      <c r="I358" s="137">
        <f t="shared" si="222"/>
        <v>0</v>
      </c>
      <c r="J358" s="143">
        <f t="shared" si="218"/>
        <v>0</v>
      </c>
      <c r="K358" s="144">
        <f t="shared" si="208"/>
        <v>0</v>
      </c>
      <c r="L358" s="145">
        <f t="shared" si="219"/>
        <v>0</v>
      </c>
      <c r="M358" s="146">
        <f t="shared" si="209"/>
        <v>0</v>
      </c>
      <c r="N358" s="147">
        <f>SUMIF(日報!B4:B691,$A358,日報!L4:L691)</f>
        <v>0</v>
      </c>
      <c r="O358" s="147">
        <f t="shared" si="210"/>
        <v>0</v>
      </c>
      <c r="P358" s="151"/>
      <c r="Q358" s="42" t="str">
        <f t="shared" si="211"/>
        <v/>
      </c>
      <c r="R358" s="154"/>
      <c r="S358" s="10" t="str">
        <f t="shared" si="212"/>
        <v/>
      </c>
      <c r="T358" s="11"/>
      <c r="U358" s="12"/>
      <c r="V358" s="136"/>
      <c r="W358" s="16"/>
      <c r="X358" s="17"/>
      <c r="Y358" s="18"/>
      <c r="Z358" s="15"/>
      <c r="AA358" s="15"/>
      <c r="AB358" s="155">
        <f t="shared" si="213"/>
        <v>0</v>
      </c>
      <c r="AC358" s="157">
        <f t="shared" si="220"/>
        <v>0</v>
      </c>
      <c r="AD358" s="144">
        <f t="shared" si="214"/>
        <v>0</v>
      </c>
      <c r="AE358" s="145">
        <f t="shared" si="215"/>
        <v>0</v>
      </c>
      <c r="AF358" s="146">
        <f t="shared" si="216"/>
        <v>0</v>
      </c>
      <c r="AH358" s="274">
        <f>SUMIF(日報!$T$4:$T$885,TEXT(YEAR(A358),"0000")&amp;TEXT(MONTH(A358),"00")&amp;TEXT(DAY(A358),"00")&amp;"SCSK",日報!$L$4:$L$885)</f>
        <v>0</v>
      </c>
      <c r="AI358" s="275">
        <f t="shared" si="200"/>
        <v>0</v>
      </c>
    </row>
    <row r="359" spans="1:35" s="2" customFormat="1" outlineLevel="1" x14ac:dyDescent="0.15">
      <c r="A359" s="168">
        <f t="shared" si="221"/>
        <v>44175</v>
      </c>
      <c r="B359" s="167">
        <f t="shared" si="217"/>
        <v>44175</v>
      </c>
      <c r="C359" s="32"/>
      <c r="D359" s="16"/>
      <c r="E359" s="17"/>
      <c r="F359" s="18"/>
      <c r="G359" s="15"/>
      <c r="H359" s="19"/>
      <c r="I359" s="137">
        <f t="shared" si="222"/>
        <v>0</v>
      </c>
      <c r="J359" s="143">
        <f t="shared" si="218"/>
        <v>0</v>
      </c>
      <c r="K359" s="144">
        <f t="shared" si="208"/>
        <v>0</v>
      </c>
      <c r="L359" s="145">
        <f t="shared" si="219"/>
        <v>0</v>
      </c>
      <c r="M359" s="146">
        <f t="shared" si="209"/>
        <v>0</v>
      </c>
      <c r="N359" s="147">
        <f>SUMIF(日報!B4:B691,$A359,日報!L4:L691)</f>
        <v>0</v>
      </c>
      <c r="O359" s="147">
        <f t="shared" si="210"/>
        <v>0</v>
      </c>
      <c r="P359" s="151"/>
      <c r="Q359" s="42" t="str">
        <f t="shared" si="211"/>
        <v/>
      </c>
      <c r="R359" s="154"/>
      <c r="S359" s="10" t="str">
        <f t="shared" si="212"/>
        <v/>
      </c>
      <c r="T359" s="11"/>
      <c r="U359" s="12"/>
      <c r="V359" s="136"/>
      <c r="W359" s="16"/>
      <c r="X359" s="17"/>
      <c r="Y359" s="18"/>
      <c r="Z359" s="15"/>
      <c r="AA359" s="15"/>
      <c r="AB359" s="155">
        <f t="shared" si="213"/>
        <v>0</v>
      </c>
      <c r="AC359" s="157">
        <f t="shared" si="220"/>
        <v>0</v>
      </c>
      <c r="AD359" s="144">
        <f t="shared" si="214"/>
        <v>0</v>
      </c>
      <c r="AE359" s="145">
        <f t="shared" si="215"/>
        <v>0</v>
      </c>
      <c r="AF359" s="146">
        <f t="shared" si="216"/>
        <v>0</v>
      </c>
      <c r="AH359" s="274">
        <f>SUMIF(日報!$T$4:$T$885,TEXT(YEAR(A359),"0000")&amp;TEXT(MONTH(A359),"00")&amp;TEXT(DAY(A359),"00")&amp;"SCSK",日報!$L$4:$L$885)</f>
        <v>0</v>
      </c>
      <c r="AI359" s="275">
        <f t="shared" si="200"/>
        <v>0</v>
      </c>
    </row>
    <row r="360" spans="1:35" s="2" customFormat="1" outlineLevel="1" x14ac:dyDescent="0.15">
      <c r="A360" s="168">
        <f t="shared" si="221"/>
        <v>44176</v>
      </c>
      <c r="B360" s="167">
        <f t="shared" si="217"/>
        <v>44176</v>
      </c>
      <c r="C360" s="32"/>
      <c r="D360" s="16"/>
      <c r="E360" s="17"/>
      <c r="F360" s="18"/>
      <c r="G360" s="15"/>
      <c r="H360" s="19"/>
      <c r="I360" s="137">
        <f t="shared" si="222"/>
        <v>0</v>
      </c>
      <c r="J360" s="143">
        <f t="shared" si="218"/>
        <v>0</v>
      </c>
      <c r="K360" s="144">
        <f t="shared" si="208"/>
        <v>0</v>
      </c>
      <c r="L360" s="145">
        <f t="shared" si="219"/>
        <v>0</v>
      </c>
      <c r="M360" s="146">
        <f t="shared" si="209"/>
        <v>0</v>
      </c>
      <c r="N360" s="147">
        <f>SUMIF(日報!B4:B691,$A360,日報!L4:L691)</f>
        <v>0</v>
      </c>
      <c r="O360" s="147">
        <f t="shared" si="210"/>
        <v>0</v>
      </c>
      <c r="P360" s="151"/>
      <c r="Q360" s="42" t="str">
        <f t="shared" si="211"/>
        <v/>
      </c>
      <c r="R360" s="154"/>
      <c r="S360" s="10" t="str">
        <f t="shared" si="212"/>
        <v/>
      </c>
      <c r="T360" s="11"/>
      <c r="U360" s="12"/>
      <c r="V360" s="136"/>
      <c r="W360" s="16"/>
      <c r="X360" s="17"/>
      <c r="Y360" s="18"/>
      <c r="Z360" s="15"/>
      <c r="AA360" s="15"/>
      <c r="AB360" s="155">
        <f t="shared" si="213"/>
        <v>0</v>
      </c>
      <c r="AC360" s="157">
        <f t="shared" si="220"/>
        <v>0</v>
      </c>
      <c r="AD360" s="144">
        <f t="shared" si="214"/>
        <v>0</v>
      </c>
      <c r="AE360" s="145">
        <f t="shared" si="215"/>
        <v>0</v>
      </c>
      <c r="AF360" s="146">
        <f t="shared" si="216"/>
        <v>0</v>
      </c>
      <c r="AH360" s="274">
        <f>SUMIF(日報!$T$4:$T$885,TEXT(YEAR(A360),"0000")&amp;TEXT(MONTH(A360),"00")&amp;TEXT(DAY(A360),"00")&amp;"SCSK",日報!$L$4:$L$885)</f>
        <v>0</v>
      </c>
      <c r="AI360" s="275">
        <f t="shared" si="200"/>
        <v>0</v>
      </c>
    </row>
    <row r="361" spans="1:35" s="2" customFormat="1" outlineLevel="1" x14ac:dyDescent="0.15">
      <c r="A361" s="168">
        <f t="shared" si="221"/>
        <v>44177</v>
      </c>
      <c r="B361" s="167">
        <f t="shared" si="217"/>
        <v>44177</v>
      </c>
      <c r="C361" s="32">
        <v>1</v>
      </c>
      <c r="D361" s="16"/>
      <c r="E361" s="17"/>
      <c r="F361" s="18"/>
      <c r="G361" s="15"/>
      <c r="H361" s="19"/>
      <c r="I361" s="137">
        <f t="shared" si="222"/>
        <v>0</v>
      </c>
      <c r="J361" s="143">
        <f t="shared" si="218"/>
        <v>0</v>
      </c>
      <c r="K361" s="144">
        <f t="shared" si="208"/>
        <v>0</v>
      </c>
      <c r="L361" s="145">
        <f t="shared" si="219"/>
        <v>0</v>
      </c>
      <c r="M361" s="146">
        <f t="shared" si="209"/>
        <v>0</v>
      </c>
      <c r="N361" s="147">
        <f>SUMIF(日報!B4:B691,$A361,日報!L4:L691)</f>
        <v>0</v>
      </c>
      <c r="O361" s="147">
        <f t="shared" si="210"/>
        <v>0</v>
      </c>
      <c r="P361" s="151"/>
      <c r="Q361" s="42" t="str">
        <f t="shared" si="211"/>
        <v/>
      </c>
      <c r="R361" s="154"/>
      <c r="S361" s="10" t="str">
        <f t="shared" si="212"/>
        <v/>
      </c>
      <c r="T361" s="11"/>
      <c r="U361" s="12"/>
      <c r="V361" s="136"/>
      <c r="W361" s="16"/>
      <c r="X361" s="17"/>
      <c r="Y361" s="18"/>
      <c r="Z361" s="15"/>
      <c r="AA361" s="15"/>
      <c r="AB361" s="155">
        <f t="shared" si="213"/>
        <v>0</v>
      </c>
      <c r="AC361" s="157">
        <f t="shared" si="220"/>
        <v>0</v>
      </c>
      <c r="AD361" s="144">
        <f t="shared" si="214"/>
        <v>0</v>
      </c>
      <c r="AE361" s="145">
        <f t="shared" si="215"/>
        <v>0</v>
      </c>
      <c r="AF361" s="146">
        <f t="shared" si="216"/>
        <v>0</v>
      </c>
      <c r="AH361" s="274">
        <f>SUMIF(日報!$T$4:$T$885,TEXT(YEAR(A361),"0000")&amp;TEXT(MONTH(A361),"00")&amp;TEXT(DAY(A361),"00")&amp;"SCSK",日報!$L$4:$L$885)</f>
        <v>0</v>
      </c>
      <c r="AI361" s="275">
        <f t="shared" si="200"/>
        <v>0</v>
      </c>
    </row>
    <row r="362" spans="1:35" s="2" customFormat="1" outlineLevel="1" x14ac:dyDescent="0.15">
      <c r="A362" s="168">
        <f t="shared" si="221"/>
        <v>44178</v>
      </c>
      <c r="B362" s="167">
        <f t="shared" si="217"/>
        <v>44178</v>
      </c>
      <c r="C362" s="32">
        <v>1</v>
      </c>
      <c r="D362" s="16"/>
      <c r="E362" s="17"/>
      <c r="F362" s="18"/>
      <c r="G362" s="15"/>
      <c r="H362" s="19"/>
      <c r="I362" s="137">
        <f t="shared" si="222"/>
        <v>0</v>
      </c>
      <c r="J362" s="143">
        <f t="shared" si="218"/>
        <v>0</v>
      </c>
      <c r="K362" s="144">
        <f t="shared" si="208"/>
        <v>0</v>
      </c>
      <c r="L362" s="145">
        <f t="shared" si="219"/>
        <v>0</v>
      </c>
      <c r="M362" s="146">
        <f t="shared" si="209"/>
        <v>0</v>
      </c>
      <c r="N362" s="147">
        <f>SUMIF(日報!B4:B691,$A362,日報!L4:L691)</f>
        <v>0</v>
      </c>
      <c r="O362" s="147">
        <f t="shared" si="210"/>
        <v>0</v>
      </c>
      <c r="P362" s="151"/>
      <c r="Q362" s="42" t="str">
        <f t="shared" si="211"/>
        <v/>
      </c>
      <c r="R362" s="154"/>
      <c r="S362" s="10" t="str">
        <f t="shared" si="212"/>
        <v/>
      </c>
      <c r="T362" s="11"/>
      <c r="U362" s="12"/>
      <c r="V362" s="136"/>
      <c r="W362" s="16"/>
      <c r="X362" s="17"/>
      <c r="Y362" s="18"/>
      <c r="Z362" s="15"/>
      <c r="AA362" s="15"/>
      <c r="AB362" s="155">
        <f t="shared" si="213"/>
        <v>0</v>
      </c>
      <c r="AC362" s="157">
        <f t="shared" si="220"/>
        <v>0</v>
      </c>
      <c r="AD362" s="144">
        <f t="shared" si="214"/>
        <v>0</v>
      </c>
      <c r="AE362" s="145">
        <f t="shared" si="215"/>
        <v>0</v>
      </c>
      <c r="AF362" s="146">
        <f t="shared" si="216"/>
        <v>0</v>
      </c>
      <c r="AH362" s="274">
        <f>SUMIF(日報!$T$4:$T$885,TEXT(YEAR(A362),"0000")&amp;TEXT(MONTH(A362),"00")&amp;TEXT(DAY(A362),"00")&amp;"SCSK",日報!$L$4:$L$885)</f>
        <v>0</v>
      </c>
      <c r="AI362" s="275">
        <f t="shared" si="200"/>
        <v>0</v>
      </c>
    </row>
    <row r="363" spans="1:35" s="2" customFormat="1" outlineLevel="1" x14ac:dyDescent="0.15">
      <c r="A363" s="168">
        <f t="shared" si="221"/>
        <v>44179</v>
      </c>
      <c r="B363" s="167">
        <f t="shared" si="217"/>
        <v>44179</v>
      </c>
      <c r="C363" s="32"/>
      <c r="D363" s="16"/>
      <c r="E363" s="17"/>
      <c r="F363" s="18"/>
      <c r="G363" s="15"/>
      <c r="H363" s="19"/>
      <c r="I363" s="137">
        <f t="shared" si="222"/>
        <v>0</v>
      </c>
      <c r="J363" s="143">
        <f t="shared" si="218"/>
        <v>0</v>
      </c>
      <c r="K363" s="144">
        <f t="shared" si="208"/>
        <v>0</v>
      </c>
      <c r="L363" s="145">
        <f t="shared" si="219"/>
        <v>0</v>
      </c>
      <c r="M363" s="146">
        <f t="shared" si="209"/>
        <v>0</v>
      </c>
      <c r="N363" s="147">
        <f>SUMIF(日報!B4:B691,$A363,日報!L4:L691)</f>
        <v>0</v>
      </c>
      <c r="O363" s="147">
        <f t="shared" si="210"/>
        <v>0</v>
      </c>
      <c r="P363" s="151"/>
      <c r="Q363" s="42" t="str">
        <f t="shared" si="211"/>
        <v/>
      </c>
      <c r="R363" s="154"/>
      <c r="S363" s="10" t="str">
        <f t="shared" si="212"/>
        <v/>
      </c>
      <c r="T363" s="11"/>
      <c r="U363" s="12"/>
      <c r="V363" s="136"/>
      <c r="W363" s="16"/>
      <c r="X363" s="17"/>
      <c r="Y363" s="18"/>
      <c r="Z363" s="15"/>
      <c r="AA363" s="15"/>
      <c r="AB363" s="155">
        <f t="shared" si="213"/>
        <v>0</v>
      </c>
      <c r="AC363" s="157">
        <f t="shared" si="220"/>
        <v>0</v>
      </c>
      <c r="AD363" s="144">
        <f t="shared" si="214"/>
        <v>0</v>
      </c>
      <c r="AE363" s="145">
        <f t="shared" si="215"/>
        <v>0</v>
      </c>
      <c r="AF363" s="146">
        <f t="shared" si="216"/>
        <v>0</v>
      </c>
      <c r="AH363" s="274">
        <f>SUMIF(日報!$T$4:$T$885,TEXT(YEAR(A363),"0000")&amp;TEXT(MONTH(A363),"00")&amp;TEXT(DAY(A363),"00")&amp;"SCSK",日報!$L$4:$L$885)</f>
        <v>0</v>
      </c>
      <c r="AI363" s="275">
        <f t="shared" si="200"/>
        <v>0</v>
      </c>
    </row>
    <row r="364" spans="1:35" s="2" customFormat="1" outlineLevel="1" x14ac:dyDescent="0.15">
      <c r="A364" s="168">
        <f t="shared" si="221"/>
        <v>44180</v>
      </c>
      <c r="B364" s="167">
        <f t="shared" si="217"/>
        <v>44180</v>
      </c>
      <c r="C364" s="32"/>
      <c r="D364" s="16"/>
      <c r="E364" s="17"/>
      <c r="F364" s="18"/>
      <c r="G364" s="15"/>
      <c r="H364" s="19"/>
      <c r="I364" s="137">
        <f t="shared" si="222"/>
        <v>0</v>
      </c>
      <c r="J364" s="143">
        <f t="shared" si="218"/>
        <v>0</v>
      </c>
      <c r="K364" s="144">
        <f t="shared" si="208"/>
        <v>0</v>
      </c>
      <c r="L364" s="145">
        <f t="shared" si="219"/>
        <v>0</v>
      </c>
      <c r="M364" s="146">
        <f t="shared" si="209"/>
        <v>0</v>
      </c>
      <c r="N364" s="147">
        <f>SUMIF(日報!B4:B691,$A364,日報!L4:L691)</f>
        <v>0</v>
      </c>
      <c r="O364" s="147">
        <f t="shared" si="210"/>
        <v>0</v>
      </c>
      <c r="P364" s="151"/>
      <c r="Q364" s="42" t="str">
        <f t="shared" si="211"/>
        <v/>
      </c>
      <c r="R364" s="154"/>
      <c r="S364" s="10" t="str">
        <f t="shared" si="212"/>
        <v/>
      </c>
      <c r="T364" s="11"/>
      <c r="U364" s="12"/>
      <c r="V364" s="136"/>
      <c r="W364" s="16"/>
      <c r="X364" s="17"/>
      <c r="Y364" s="18"/>
      <c r="Z364" s="15"/>
      <c r="AA364" s="15"/>
      <c r="AB364" s="155">
        <f t="shared" si="213"/>
        <v>0</v>
      </c>
      <c r="AC364" s="157">
        <f t="shared" si="220"/>
        <v>0</v>
      </c>
      <c r="AD364" s="144">
        <f t="shared" si="214"/>
        <v>0</v>
      </c>
      <c r="AE364" s="145">
        <f t="shared" si="215"/>
        <v>0</v>
      </c>
      <c r="AF364" s="146">
        <f t="shared" si="216"/>
        <v>0</v>
      </c>
      <c r="AH364" s="274">
        <f>SUMIF(日報!$T$4:$T$885,TEXT(YEAR(A364),"0000")&amp;TEXT(MONTH(A364),"00")&amp;TEXT(DAY(A364),"00")&amp;"SCSK",日報!$L$4:$L$885)</f>
        <v>0</v>
      </c>
      <c r="AI364" s="275">
        <f t="shared" si="200"/>
        <v>0</v>
      </c>
    </row>
    <row r="365" spans="1:35" s="2" customFormat="1" outlineLevel="1" x14ac:dyDescent="0.15">
      <c r="A365" s="168">
        <f t="shared" si="221"/>
        <v>44181</v>
      </c>
      <c r="B365" s="167">
        <f t="shared" si="217"/>
        <v>44181</v>
      </c>
      <c r="C365" s="32"/>
      <c r="D365" s="16"/>
      <c r="E365" s="17"/>
      <c r="F365" s="18"/>
      <c r="G365" s="15"/>
      <c r="H365" s="19"/>
      <c r="I365" s="137">
        <f t="shared" si="222"/>
        <v>0</v>
      </c>
      <c r="J365" s="143">
        <f t="shared" si="218"/>
        <v>0</v>
      </c>
      <c r="K365" s="144">
        <f t="shared" si="208"/>
        <v>0</v>
      </c>
      <c r="L365" s="145">
        <f t="shared" si="219"/>
        <v>0</v>
      </c>
      <c r="M365" s="146">
        <f t="shared" si="209"/>
        <v>0</v>
      </c>
      <c r="N365" s="147">
        <f>SUMIF(日報!B4:B691,$A365,日報!L4:L691)</f>
        <v>0</v>
      </c>
      <c r="O365" s="147">
        <f t="shared" si="210"/>
        <v>0</v>
      </c>
      <c r="P365" s="151"/>
      <c r="Q365" s="42" t="str">
        <f t="shared" si="211"/>
        <v/>
      </c>
      <c r="R365" s="154"/>
      <c r="S365" s="10" t="str">
        <f t="shared" si="212"/>
        <v/>
      </c>
      <c r="T365" s="11"/>
      <c r="U365" s="12"/>
      <c r="V365" s="136"/>
      <c r="W365" s="16"/>
      <c r="X365" s="17"/>
      <c r="Y365" s="18"/>
      <c r="Z365" s="15"/>
      <c r="AA365" s="15"/>
      <c r="AB365" s="155">
        <f t="shared" si="213"/>
        <v>0</v>
      </c>
      <c r="AC365" s="157">
        <f t="shared" si="220"/>
        <v>0</v>
      </c>
      <c r="AD365" s="144">
        <f t="shared" si="214"/>
        <v>0</v>
      </c>
      <c r="AE365" s="145">
        <f t="shared" si="215"/>
        <v>0</v>
      </c>
      <c r="AF365" s="146">
        <f t="shared" si="216"/>
        <v>0</v>
      </c>
      <c r="AH365" s="274">
        <f>SUMIF(日報!$T$4:$T$885,TEXT(YEAR(A365),"0000")&amp;TEXT(MONTH(A365),"00")&amp;TEXT(DAY(A365),"00")&amp;"SCSK",日報!$L$4:$L$885)</f>
        <v>0</v>
      </c>
      <c r="AI365" s="275">
        <f t="shared" si="200"/>
        <v>0</v>
      </c>
    </row>
    <row r="366" spans="1:35" s="2" customFormat="1" outlineLevel="1" x14ac:dyDescent="0.15">
      <c r="A366" s="168">
        <f t="shared" si="221"/>
        <v>44182</v>
      </c>
      <c r="B366" s="167">
        <f t="shared" si="217"/>
        <v>44182</v>
      </c>
      <c r="C366" s="32"/>
      <c r="D366" s="16"/>
      <c r="E366" s="17"/>
      <c r="F366" s="18"/>
      <c r="G366" s="15"/>
      <c r="H366" s="19"/>
      <c r="I366" s="137">
        <f t="shared" si="222"/>
        <v>0</v>
      </c>
      <c r="J366" s="143">
        <f t="shared" si="218"/>
        <v>0</v>
      </c>
      <c r="K366" s="144">
        <f t="shared" si="208"/>
        <v>0</v>
      </c>
      <c r="L366" s="145">
        <f t="shared" si="219"/>
        <v>0</v>
      </c>
      <c r="M366" s="146">
        <f t="shared" si="209"/>
        <v>0</v>
      </c>
      <c r="N366" s="147">
        <f>SUMIF(日報!B4:B691,$A366,日報!L4:L691)</f>
        <v>0</v>
      </c>
      <c r="O366" s="147">
        <f t="shared" si="210"/>
        <v>0</v>
      </c>
      <c r="P366" s="151"/>
      <c r="Q366" s="42" t="str">
        <f t="shared" si="211"/>
        <v/>
      </c>
      <c r="R366" s="154"/>
      <c r="S366" s="10" t="str">
        <f t="shared" si="212"/>
        <v/>
      </c>
      <c r="T366" s="11"/>
      <c r="U366" s="12"/>
      <c r="V366" s="136"/>
      <c r="W366" s="16"/>
      <c r="X366" s="17"/>
      <c r="Y366" s="18"/>
      <c r="Z366" s="15"/>
      <c r="AA366" s="15"/>
      <c r="AB366" s="155">
        <f t="shared" si="213"/>
        <v>0</v>
      </c>
      <c r="AC366" s="157">
        <f t="shared" si="220"/>
        <v>0</v>
      </c>
      <c r="AD366" s="144">
        <f t="shared" si="214"/>
        <v>0</v>
      </c>
      <c r="AE366" s="145">
        <f t="shared" si="215"/>
        <v>0</v>
      </c>
      <c r="AF366" s="146">
        <f t="shared" si="216"/>
        <v>0</v>
      </c>
      <c r="AH366" s="274">
        <f>SUMIF(日報!$T$4:$T$885,TEXT(YEAR(A366),"0000")&amp;TEXT(MONTH(A366),"00")&amp;TEXT(DAY(A366),"00")&amp;"SCSK",日報!$L$4:$L$885)</f>
        <v>0</v>
      </c>
      <c r="AI366" s="275">
        <f t="shared" si="200"/>
        <v>0</v>
      </c>
    </row>
    <row r="367" spans="1:35" s="2" customFormat="1" outlineLevel="1" x14ac:dyDescent="0.15">
      <c r="A367" s="168">
        <f t="shared" si="221"/>
        <v>44183</v>
      </c>
      <c r="B367" s="167">
        <f t="shared" si="217"/>
        <v>44183</v>
      </c>
      <c r="C367" s="32"/>
      <c r="D367" s="16"/>
      <c r="E367" s="17"/>
      <c r="F367" s="18"/>
      <c r="G367" s="15"/>
      <c r="H367" s="19"/>
      <c r="I367" s="137">
        <f t="shared" si="222"/>
        <v>0</v>
      </c>
      <c r="J367" s="143">
        <f t="shared" si="218"/>
        <v>0</v>
      </c>
      <c r="K367" s="144">
        <f t="shared" si="208"/>
        <v>0</v>
      </c>
      <c r="L367" s="145">
        <f t="shared" si="219"/>
        <v>0</v>
      </c>
      <c r="M367" s="146">
        <f t="shared" si="209"/>
        <v>0</v>
      </c>
      <c r="N367" s="147">
        <f>SUMIF(日報!B4:B691,$A367,日報!L4:L691)</f>
        <v>0</v>
      </c>
      <c r="O367" s="147">
        <f t="shared" si="210"/>
        <v>0</v>
      </c>
      <c r="P367" s="151"/>
      <c r="Q367" s="42" t="str">
        <f t="shared" si="211"/>
        <v/>
      </c>
      <c r="R367" s="154"/>
      <c r="S367" s="10" t="str">
        <f t="shared" si="212"/>
        <v/>
      </c>
      <c r="T367" s="11"/>
      <c r="U367" s="12"/>
      <c r="V367" s="136"/>
      <c r="W367" s="16"/>
      <c r="X367" s="17"/>
      <c r="Y367" s="18"/>
      <c r="Z367" s="15"/>
      <c r="AA367" s="15"/>
      <c r="AB367" s="155">
        <f t="shared" si="213"/>
        <v>0</v>
      </c>
      <c r="AC367" s="157">
        <f t="shared" si="220"/>
        <v>0</v>
      </c>
      <c r="AD367" s="144">
        <f t="shared" si="214"/>
        <v>0</v>
      </c>
      <c r="AE367" s="145">
        <f t="shared" si="215"/>
        <v>0</v>
      </c>
      <c r="AF367" s="146">
        <f t="shared" si="216"/>
        <v>0</v>
      </c>
      <c r="AH367" s="274">
        <f>SUMIF(日報!$T$4:$T$885,TEXT(YEAR(A367),"0000")&amp;TEXT(MONTH(A367),"00")&amp;TEXT(DAY(A367),"00")&amp;"SCSK",日報!$L$4:$L$885)</f>
        <v>0</v>
      </c>
      <c r="AI367" s="275">
        <f t="shared" si="200"/>
        <v>0</v>
      </c>
    </row>
    <row r="368" spans="1:35" s="2" customFormat="1" outlineLevel="1" x14ac:dyDescent="0.15">
      <c r="A368" s="168">
        <f t="shared" si="221"/>
        <v>44184</v>
      </c>
      <c r="B368" s="167">
        <f t="shared" si="217"/>
        <v>44184</v>
      </c>
      <c r="C368" s="32">
        <v>1</v>
      </c>
      <c r="D368" s="16"/>
      <c r="E368" s="17"/>
      <c r="F368" s="18"/>
      <c r="G368" s="15"/>
      <c r="H368" s="19"/>
      <c r="I368" s="137">
        <f t="shared" si="222"/>
        <v>0</v>
      </c>
      <c r="J368" s="143">
        <f t="shared" si="218"/>
        <v>0</v>
      </c>
      <c r="K368" s="144">
        <f t="shared" si="208"/>
        <v>0</v>
      </c>
      <c r="L368" s="145">
        <f t="shared" si="219"/>
        <v>0</v>
      </c>
      <c r="M368" s="146">
        <f t="shared" si="209"/>
        <v>0</v>
      </c>
      <c r="N368" s="147">
        <f>SUMIF(日報!B4:B691,$A368,日報!L4:L691)</f>
        <v>0</v>
      </c>
      <c r="O368" s="147">
        <f t="shared" si="210"/>
        <v>0</v>
      </c>
      <c r="P368" s="151"/>
      <c r="Q368" s="42" t="str">
        <f t="shared" si="211"/>
        <v/>
      </c>
      <c r="R368" s="154"/>
      <c r="S368" s="10" t="str">
        <f t="shared" si="212"/>
        <v/>
      </c>
      <c r="T368" s="11"/>
      <c r="U368" s="12"/>
      <c r="V368" s="136"/>
      <c r="W368" s="16"/>
      <c r="X368" s="17"/>
      <c r="Y368" s="18"/>
      <c r="Z368" s="15"/>
      <c r="AA368" s="15"/>
      <c r="AB368" s="155">
        <f t="shared" si="213"/>
        <v>0</v>
      </c>
      <c r="AC368" s="157">
        <f t="shared" si="220"/>
        <v>0</v>
      </c>
      <c r="AD368" s="144">
        <f t="shared" si="214"/>
        <v>0</v>
      </c>
      <c r="AE368" s="145">
        <f t="shared" si="215"/>
        <v>0</v>
      </c>
      <c r="AF368" s="146">
        <f t="shared" si="216"/>
        <v>0</v>
      </c>
      <c r="AH368" s="274">
        <f>SUMIF(日報!$T$4:$T$885,TEXT(YEAR(A368),"0000")&amp;TEXT(MONTH(A368),"00")&amp;TEXT(DAY(A368),"00")&amp;"SCSK",日報!$L$4:$L$885)</f>
        <v>0</v>
      </c>
      <c r="AI368" s="275">
        <f t="shared" si="200"/>
        <v>0</v>
      </c>
    </row>
    <row r="369" spans="1:35" s="2" customFormat="1" outlineLevel="1" x14ac:dyDescent="0.15">
      <c r="A369" s="168">
        <f t="shared" si="221"/>
        <v>44185</v>
      </c>
      <c r="B369" s="167">
        <f t="shared" si="217"/>
        <v>44185</v>
      </c>
      <c r="C369" s="32">
        <v>1</v>
      </c>
      <c r="D369" s="16"/>
      <c r="E369" s="17"/>
      <c r="F369" s="18"/>
      <c r="G369" s="15"/>
      <c r="H369" s="19"/>
      <c r="I369" s="137">
        <f t="shared" si="222"/>
        <v>0</v>
      </c>
      <c r="J369" s="143">
        <f t="shared" si="218"/>
        <v>0</v>
      </c>
      <c r="K369" s="144">
        <f t="shared" si="208"/>
        <v>0</v>
      </c>
      <c r="L369" s="145">
        <f t="shared" si="219"/>
        <v>0</v>
      </c>
      <c r="M369" s="146">
        <f t="shared" si="209"/>
        <v>0</v>
      </c>
      <c r="N369" s="147">
        <f>SUMIF(日報!B4:B691,$A369,日報!L4:L691)</f>
        <v>0</v>
      </c>
      <c r="O369" s="147">
        <f t="shared" si="210"/>
        <v>0</v>
      </c>
      <c r="P369" s="151"/>
      <c r="Q369" s="42" t="str">
        <f t="shared" si="211"/>
        <v/>
      </c>
      <c r="R369" s="154"/>
      <c r="S369" s="10" t="str">
        <f t="shared" si="212"/>
        <v/>
      </c>
      <c r="T369" s="11"/>
      <c r="U369" s="12"/>
      <c r="V369" s="136"/>
      <c r="W369" s="16"/>
      <c r="X369" s="17"/>
      <c r="Y369" s="18"/>
      <c r="Z369" s="15"/>
      <c r="AA369" s="15"/>
      <c r="AB369" s="155">
        <f t="shared" si="213"/>
        <v>0</v>
      </c>
      <c r="AC369" s="157">
        <f t="shared" si="220"/>
        <v>0</v>
      </c>
      <c r="AD369" s="144">
        <f t="shared" si="214"/>
        <v>0</v>
      </c>
      <c r="AE369" s="145">
        <f t="shared" si="215"/>
        <v>0</v>
      </c>
      <c r="AF369" s="146">
        <f t="shared" si="216"/>
        <v>0</v>
      </c>
      <c r="AH369" s="274">
        <f>SUMIF(日報!$T$4:$T$885,TEXT(YEAR(A369),"0000")&amp;TEXT(MONTH(A369),"00")&amp;TEXT(DAY(A369),"00")&amp;"SCSK",日報!$L$4:$L$885)</f>
        <v>0</v>
      </c>
      <c r="AI369" s="275">
        <f t="shared" si="200"/>
        <v>0</v>
      </c>
    </row>
    <row r="370" spans="1:35" s="2" customFormat="1" outlineLevel="1" x14ac:dyDescent="0.15">
      <c r="A370" s="168">
        <f t="shared" si="221"/>
        <v>44186</v>
      </c>
      <c r="B370" s="167">
        <f t="shared" si="217"/>
        <v>44186</v>
      </c>
      <c r="C370" s="32"/>
      <c r="D370" s="16"/>
      <c r="E370" s="17"/>
      <c r="F370" s="18"/>
      <c r="G370" s="15"/>
      <c r="H370" s="19"/>
      <c r="I370" s="137">
        <f t="shared" si="222"/>
        <v>0</v>
      </c>
      <c r="J370" s="143">
        <f t="shared" si="218"/>
        <v>0</v>
      </c>
      <c r="K370" s="144">
        <f t="shared" si="208"/>
        <v>0</v>
      </c>
      <c r="L370" s="145">
        <f t="shared" si="219"/>
        <v>0</v>
      </c>
      <c r="M370" s="146">
        <f t="shared" si="209"/>
        <v>0</v>
      </c>
      <c r="N370" s="147">
        <f>SUMIF(日報!B4:B691,$A370,日報!L4:L691)</f>
        <v>0</v>
      </c>
      <c r="O370" s="147">
        <f t="shared" si="210"/>
        <v>0</v>
      </c>
      <c r="P370" s="151"/>
      <c r="Q370" s="42" t="str">
        <f t="shared" si="211"/>
        <v/>
      </c>
      <c r="R370" s="154"/>
      <c r="S370" s="10" t="str">
        <f t="shared" si="212"/>
        <v/>
      </c>
      <c r="T370" s="11"/>
      <c r="U370" s="12"/>
      <c r="V370" s="136"/>
      <c r="W370" s="16"/>
      <c r="X370" s="17"/>
      <c r="Y370" s="18"/>
      <c r="Z370" s="15"/>
      <c r="AA370" s="15"/>
      <c r="AB370" s="155">
        <f t="shared" si="213"/>
        <v>0</v>
      </c>
      <c r="AC370" s="157">
        <f t="shared" si="220"/>
        <v>0</v>
      </c>
      <c r="AD370" s="144">
        <f t="shared" si="214"/>
        <v>0</v>
      </c>
      <c r="AE370" s="145">
        <f t="shared" si="215"/>
        <v>0</v>
      </c>
      <c r="AF370" s="146">
        <f t="shared" si="216"/>
        <v>0</v>
      </c>
      <c r="AH370" s="274">
        <f>SUMIF(日報!$T$4:$T$885,TEXT(YEAR(A370),"0000")&amp;TEXT(MONTH(A370),"00")&amp;TEXT(DAY(A370),"00")&amp;"SCSK",日報!$L$4:$L$885)</f>
        <v>0</v>
      </c>
      <c r="AI370" s="275">
        <f t="shared" si="200"/>
        <v>0</v>
      </c>
    </row>
    <row r="371" spans="1:35" s="2" customFormat="1" outlineLevel="1" x14ac:dyDescent="0.15">
      <c r="A371" s="168">
        <f t="shared" si="221"/>
        <v>44187</v>
      </c>
      <c r="B371" s="167">
        <f t="shared" si="217"/>
        <v>44187</v>
      </c>
      <c r="C371" s="32"/>
      <c r="D371" s="16"/>
      <c r="E371" s="17"/>
      <c r="F371" s="18"/>
      <c r="G371" s="15"/>
      <c r="H371" s="19"/>
      <c r="I371" s="137">
        <f t="shared" si="222"/>
        <v>0</v>
      </c>
      <c r="J371" s="143">
        <f t="shared" si="218"/>
        <v>0</v>
      </c>
      <c r="K371" s="144">
        <f t="shared" si="208"/>
        <v>0</v>
      </c>
      <c r="L371" s="145">
        <f t="shared" si="219"/>
        <v>0</v>
      </c>
      <c r="M371" s="146">
        <f t="shared" si="209"/>
        <v>0</v>
      </c>
      <c r="N371" s="147">
        <f>SUMIF(日報!B4:B691,$A371,日報!L4:L691)</f>
        <v>0</v>
      </c>
      <c r="O371" s="147">
        <f t="shared" si="210"/>
        <v>0</v>
      </c>
      <c r="P371" s="151"/>
      <c r="Q371" s="42" t="str">
        <f t="shared" si="211"/>
        <v/>
      </c>
      <c r="R371" s="154"/>
      <c r="S371" s="10" t="str">
        <f t="shared" si="212"/>
        <v/>
      </c>
      <c r="T371" s="11"/>
      <c r="U371" s="12"/>
      <c r="V371" s="136"/>
      <c r="W371" s="16"/>
      <c r="X371" s="17"/>
      <c r="Y371" s="18"/>
      <c r="Z371" s="15"/>
      <c r="AA371" s="15"/>
      <c r="AB371" s="155">
        <f t="shared" si="213"/>
        <v>0</v>
      </c>
      <c r="AC371" s="157">
        <f t="shared" si="220"/>
        <v>0</v>
      </c>
      <c r="AD371" s="144">
        <f t="shared" si="214"/>
        <v>0</v>
      </c>
      <c r="AE371" s="145">
        <f t="shared" si="215"/>
        <v>0</v>
      </c>
      <c r="AF371" s="146">
        <f t="shared" si="216"/>
        <v>0</v>
      </c>
      <c r="AH371" s="274">
        <f>SUMIF(日報!$T$4:$T$885,TEXT(YEAR(A371),"0000")&amp;TEXT(MONTH(A371),"00")&amp;TEXT(DAY(A371),"00")&amp;"SCSK",日報!$L$4:$L$885)</f>
        <v>0</v>
      </c>
      <c r="AI371" s="275">
        <f t="shared" si="200"/>
        <v>0</v>
      </c>
    </row>
    <row r="372" spans="1:35" s="2" customFormat="1" outlineLevel="1" x14ac:dyDescent="0.15">
      <c r="A372" s="168">
        <f t="shared" si="221"/>
        <v>44188</v>
      </c>
      <c r="B372" s="167">
        <f t="shared" si="217"/>
        <v>44188</v>
      </c>
      <c r="C372" s="32"/>
      <c r="D372" s="16"/>
      <c r="E372" s="17"/>
      <c r="F372" s="18"/>
      <c r="G372" s="15"/>
      <c r="H372" s="19"/>
      <c r="I372" s="137">
        <f t="shared" si="222"/>
        <v>0</v>
      </c>
      <c r="J372" s="143">
        <f t="shared" si="218"/>
        <v>0</v>
      </c>
      <c r="K372" s="144">
        <f t="shared" si="208"/>
        <v>0</v>
      </c>
      <c r="L372" s="145">
        <f t="shared" si="219"/>
        <v>0</v>
      </c>
      <c r="M372" s="146">
        <f t="shared" si="209"/>
        <v>0</v>
      </c>
      <c r="N372" s="147">
        <f>SUMIF(日報!B4:B691,$A372,日報!L4:L691)</f>
        <v>0</v>
      </c>
      <c r="O372" s="147">
        <f t="shared" si="210"/>
        <v>0</v>
      </c>
      <c r="P372" s="151"/>
      <c r="Q372" s="42" t="str">
        <f t="shared" si="211"/>
        <v/>
      </c>
      <c r="R372" s="154"/>
      <c r="S372" s="10" t="str">
        <f t="shared" si="212"/>
        <v/>
      </c>
      <c r="T372" s="11"/>
      <c r="U372" s="12"/>
      <c r="V372" s="136"/>
      <c r="W372" s="16"/>
      <c r="X372" s="17"/>
      <c r="Y372" s="18"/>
      <c r="Z372" s="15"/>
      <c r="AA372" s="15"/>
      <c r="AB372" s="155">
        <f t="shared" si="213"/>
        <v>0</v>
      </c>
      <c r="AC372" s="157">
        <f t="shared" si="220"/>
        <v>0</v>
      </c>
      <c r="AD372" s="144">
        <f t="shared" si="214"/>
        <v>0</v>
      </c>
      <c r="AE372" s="145">
        <f t="shared" si="215"/>
        <v>0</v>
      </c>
      <c r="AF372" s="146">
        <f t="shared" si="216"/>
        <v>0</v>
      </c>
      <c r="AH372" s="274">
        <f>SUMIF(日報!$T$4:$T$885,TEXT(YEAR(A372),"0000")&amp;TEXT(MONTH(A372),"00")&amp;TEXT(DAY(A372),"00")&amp;"SCSK",日報!$L$4:$L$885)</f>
        <v>0</v>
      </c>
      <c r="AI372" s="275">
        <f t="shared" si="200"/>
        <v>0</v>
      </c>
    </row>
    <row r="373" spans="1:35" s="2" customFormat="1" outlineLevel="1" x14ac:dyDescent="0.15">
      <c r="A373" s="168">
        <f t="shared" si="221"/>
        <v>44189</v>
      </c>
      <c r="B373" s="167">
        <f t="shared" si="217"/>
        <v>44189</v>
      </c>
      <c r="C373" s="32"/>
      <c r="D373" s="16"/>
      <c r="E373" s="17"/>
      <c r="F373" s="18"/>
      <c r="G373" s="15"/>
      <c r="H373" s="19"/>
      <c r="I373" s="137">
        <f t="shared" si="222"/>
        <v>0</v>
      </c>
      <c r="J373" s="143">
        <f t="shared" si="218"/>
        <v>0</v>
      </c>
      <c r="K373" s="144">
        <f t="shared" si="208"/>
        <v>0</v>
      </c>
      <c r="L373" s="145">
        <f t="shared" si="219"/>
        <v>0</v>
      </c>
      <c r="M373" s="146">
        <f t="shared" si="209"/>
        <v>0</v>
      </c>
      <c r="N373" s="147">
        <f>SUMIF(日報!B4:B691,$A373,日報!L4:L691)</f>
        <v>0</v>
      </c>
      <c r="O373" s="147">
        <f t="shared" si="210"/>
        <v>0</v>
      </c>
      <c r="P373" s="151"/>
      <c r="Q373" s="42" t="str">
        <f t="shared" si="211"/>
        <v/>
      </c>
      <c r="R373" s="154"/>
      <c r="S373" s="10" t="str">
        <f t="shared" si="212"/>
        <v/>
      </c>
      <c r="T373" s="11"/>
      <c r="U373" s="12"/>
      <c r="V373" s="136"/>
      <c r="W373" s="16"/>
      <c r="X373" s="17"/>
      <c r="Y373" s="18"/>
      <c r="Z373" s="15"/>
      <c r="AA373" s="15"/>
      <c r="AB373" s="155">
        <f t="shared" si="213"/>
        <v>0</v>
      </c>
      <c r="AC373" s="157">
        <f t="shared" si="220"/>
        <v>0</v>
      </c>
      <c r="AD373" s="144">
        <f t="shared" si="214"/>
        <v>0</v>
      </c>
      <c r="AE373" s="145">
        <f t="shared" si="215"/>
        <v>0</v>
      </c>
      <c r="AF373" s="146">
        <f t="shared" si="216"/>
        <v>0</v>
      </c>
      <c r="AH373" s="274">
        <f>SUMIF(日報!$T$4:$T$885,TEXT(YEAR(A373),"0000")&amp;TEXT(MONTH(A373),"00")&amp;TEXT(DAY(A373),"00")&amp;"SCSK",日報!$L$4:$L$885)</f>
        <v>0</v>
      </c>
      <c r="AI373" s="275">
        <f t="shared" si="200"/>
        <v>0</v>
      </c>
    </row>
    <row r="374" spans="1:35" s="2" customFormat="1" outlineLevel="1" x14ac:dyDescent="0.15">
      <c r="A374" s="168">
        <f t="shared" si="221"/>
        <v>44190</v>
      </c>
      <c r="B374" s="167">
        <f t="shared" si="217"/>
        <v>44190</v>
      </c>
      <c r="C374" s="32"/>
      <c r="D374" s="16"/>
      <c r="E374" s="17"/>
      <c r="F374" s="18"/>
      <c r="G374" s="15"/>
      <c r="H374" s="19"/>
      <c r="I374" s="137">
        <f t="shared" si="222"/>
        <v>0</v>
      </c>
      <c r="J374" s="143">
        <f t="shared" si="218"/>
        <v>0</v>
      </c>
      <c r="K374" s="144">
        <f t="shared" si="208"/>
        <v>0</v>
      </c>
      <c r="L374" s="145">
        <f t="shared" si="219"/>
        <v>0</v>
      </c>
      <c r="M374" s="146">
        <f t="shared" si="209"/>
        <v>0</v>
      </c>
      <c r="N374" s="147">
        <f>SUMIF(日報!B4:B691,$A374,日報!L4:L691)</f>
        <v>0</v>
      </c>
      <c r="O374" s="147">
        <f t="shared" si="210"/>
        <v>0</v>
      </c>
      <c r="P374" s="151"/>
      <c r="Q374" s="42" t="str">
        <f t="shared" si="211"/>
        <v/>
      </c>
      <c r="R374" s="154"/>
      <c r="S374" s="10" t="str">
        <f t="shared" si="212"/>
        <v/>
      </c>
      <c r="T374" s="11"/>
      <c r="U374" s="12"/>
      <c r="V374" s="136"/>
      <c r="W374" s="16"/>
      <c r="X374" s="17"/>
      <c r="Y374" s="18"/>
      <c r="Z374" s="15"/>
      <c r="AA374" s="15"/>
      <c r="AB374" s="155">
        <f t="shared" si="213"/>
        <v>0</v>
      </c>
      <c r="AC374" s="157">
        <f t="shared" si="220"/>
        <v>0</v>
      </c>
      <c r="AD374" s="144">
        <f t="shared" si="214"/>
        <v>0</v>
      </c>
      <c r="AE374" s="145">
        <f t="shared" si="215"/>
        <v>0</v>
      </c>
      <c r="AF374" s="146">
        <f t="shared" si="216"/>
        <v>0</v>
      </c>
      <c r="AH374" s="274">
        <f>SUMIF(日報!$T$4:$T$885,TEXT(YEAR(A374),"0000")&amp;TEXT(MONTH(A374),"00")&amp;TEXT(DAY(A374),"00")&amp;"SCSK",日報!$L$4:$L$885)</f>
        <v>0</v>
      </c>
      <c r="AI374" s="275">
        <f t="shared" si="200"/>
        <v>0</v>
      </c>
    </row>
    <row r="375" spans="1:35" s="2" customFormat="1" outlineLevel="1" x14ac:dyDescent="0.15">
      <c r="A375" s="168">
        <f t="shared" si="221"/>
        <v>44191</v>
      </c>
      <c r="B375" s="167">
        <f t="shared" si="217"/>
        <v>44191</v>
      </c>
      <c r="C375" s="32">
        <v>1</v>
      </c>
      <c r="D375" s="16"/>
      <c r="E375" s="17"/>
      <c r="F375" s="18"/>
      <c r="G375" s="15"/>
      <c r="H375" s="19"/>
      <c r="I375" s="137">
        <f t="shared" si="222"/>
        <v>0</v>
      </c>
      <c r="J375" s="143">
        <f t="shared" si="218"/>
        <v>0</v>
      </c>
      <c r="K375" s="144">
        <f t="shared" si="208"/>
        <v>0</v>
      </c>
      <c r="L375" s="145">
        <f t="shared" si="219"/>
        <v>0</v>
      </c>
      <c r="M375" s="146">
        <f t="shared" si="209"/>
        <v>0</v>
      </c>
      <c r="N375" s="147">
        <f>SUMIF(日報!B4:B691,$A375,日報!L4:L691)</f>
        <v>0</v>
      </c>
      <c r="O375" s="147">
        <f t="shared" si="210"/>
        <v>0</v>
      </c>
      <c r="P375" s="151"/>
      <c r="Q375" s="42" t="str">
        <f t="shared" si="211"/>
        <v/>
      </c>
      <c r="R375" s="154"/>
      <c r="S375" s="10" t="str">
        <f t="shared" si="212"/>
        <v/>
      </c>
      <c r="T375" s="11"/>
      <c r="U375" s="12"/>
      <c r="V375" s="136"/>
      <c r="W375" s="16"/>
      <c r="X375" s="17"/>
      <c r="Y375" s="18"/>
      <c r="Z375" s="15"/>
      <c r="AA375" s="15"/>
      <c r="AB375" s="155">
        <f t="shared" si="213"/>
        <v>0</v>
      </c>
      <c r="AC375" s="157">
        <f t="shared" si="220"/>
        <v>0</v>
      </c>
      <c r="AD375" s="144">
        <f t="shared" si="214"/>
        <v>0</v>
      </c>
      <c r="AE375" s="145">
        <f t="shared" si="215"/>
        <v>0</v>
      </c>
      <c r="AF375" s="146">
        <f t="shared" si="216"/>
        <v>0</v>
      </c>
      <c r="AH375" s="274">
        <f>SUMIF(日報!$T$4:$T$885,TEXT(YEAR(A375),"0000")&amp;TEXT(MONTH(A375),"00")&amp;TEXT(DAY(A375),"00")&amp;"SCSK",日報!$L$4:$L$885)</f>
        <v>0</v>
      </c>
      <c r="AI375" s="275">
        <f t="shared" si="200"/>
        <v>0</v>
      </c>
    </row>
    <row r="376" spans="1:35" s="2" customFormat="1" outlineLevel="1" x14ac:dyDescent="0.15">
      <c r="A376" s="168">
        <f t="shared" si="221"/>
        <v>44192</v>
      </c>
      <c r="B376" s="167">
        <f t="shared" si="217"/>
        <v>44192</v>
      </c>
      <c r="C376" s="32">
        <v>1</v>
      </c>
      <c r="D376" s="16"/>
      <c r="E376" s="17"/>
      <c r="F376" s="18"/>
      <c r="G376" s="15"/>
      <c r="H376" s="19"/>
      <c r="I376" s="137">
        <f t="shared" si="222"/>
        <v>0</v>
      </c>
      <c r="J376" s="143">
        <f t="shared" si="218"/>
        <v>0</v>
      </c>
      <c r="K376" s="144">
        <f t="shared" si="208"/>
        <v>0</v>
      </c>
      <c r="L376" s="145">
        <f t="shared" si="219"/>
        <v>0</v>
      </c>
      <c r="M376" s="146">
        <f t="shared" si="209"/>
        <v>0</v>
      </c>
      <c r="N376" s="147">
        <f>SUMIF(日報!B4:B691,$A376,日報!L4:L691)</f>
        <v>0</v>
      </c>
      <c r="O376" s="147">
        <f t="shared" si="210"/>
        <v>0</v>
      </c>
      <c r="P376" s="151"/>
      <c r="Q376" s="42" t="str">
        <f t="shared" si="211"/>
        <v/>
      </c>
      <c r="R376" s="154"/>
      <c r="S376" s="10" t="str">
        <f t="shared" si="212"/>
        <v/>
      </c>
      <c r="T376" s="11"/>
      <c r="U376" s="12"/>
      <c r="V376" s="136"/>
      <c r="W376" s="16"/>
      <c r="X376" s="17"/>
      <c r="Y376" s="18"/>
      <c r="Z376" s="15"/>
      <c r="AA376" s="15"/>
      <c r="AB376" s="155">
        <f t="shared" si="213"/>
        <v>0</v>
      </c>
      <c r="AC376" s="157">
        <f t="shared" si="220"/>
        <v>0</v>
      </c>
      <c r="AD376" s="144">
        <f t="shared" si="214"/>
        <v>0</v>
      </c>
      <c r="AE376" s="145">
        <f t="shared" si="215"/>
        <v>0</v>
      </c>
      <c r="AF376" s="146">
        <f t="shared" si="216"/>
        <v>0</v>
      </c>
      <c r="AH376" s="274">
        <f>SUMIF(日報!$T$4:$T$885,TEXT(YEAR(A376),"0000")&amp;TEXT(MONTH(A376),"00")&amp;TEXT(DAY(A376),"00")&amp;"SCSK",日報!$L$4:$L$885)</f>
        <v>0</v>
      </c>
      <c r="AI376" s="275">
        <f t="shared" si="200"/>
        <v>0</v>
      </c>
    </row>
    <row r="377" spans="1:35" s="2" customFormat="1" outlineLevel="1" x14ac:dyDescent="0.15">
      <c r="A377" s="168">
        <f t="shared" si="221"/>
        <v>44193</v>
      </c>
      <c r="B377" s="167">
        <f t="shared" si="217"/>
        <v>44193</v>
      </c>
      <c r="C377" s="32"/>
      <c r="D377" s="16"/>
      <c r="E377" s="17"/>
      <c r="F377" s="18"/>
      <c r="G377" s="15"/>
      <c r="H377" s="19"/>
      <c r="I377" s="137">
        <f t="shared" si="222"/>
        <v>0</v>
      </c>
      <c r="J377" s="143">
        <f t="shared" si="218"/>
        <v>0</v>
      </c>
      <c r="K377" s="144">
        <f t="shared" si="208"/>
        <v>0</v>
      </c>
      <c r="L377" s="145">
        <f t="shared" si="219"/>
        <v>0</v>
      </c>
      <c r="M377" s="146">
        <f t="shared" si="209"/>
        <v>0</v>
      </c>
      <c r="N377" s="147">
        <f>SUMIF(日報!B4:B691,$A377,日報!L4:L691)</f>
        <v>0</v>
      </c>
      <c r="O377" s="147">
        <f t="shared" si="210"/>
        <v>0</v>
      </c>
      <c r="P377" s="151"/>
      <c r="Q377" s="42" t="str">
        <f t="shared" si="211"/>
        <v/>
      </c>
      <c r="R377" s="154"/>
      <c r="S377" s="10" t="str">
        <f t="shared" si="212"/>
        <v/>
      </c>
      <c r="T377" s="11"/>
      <c r="U377" s="12"/>
      <c r="V377" s="136"/>
      <c r="W377" s="16"/>
      <c r="X377" s="17"/>
      <c r="Y377" s="18"/>
      <c r="Z377" s="15"/>
      <c r="AA377" s="15"/>
      <c r="AB377" s="155">
        <f t="shared" si="213"/>
        <v>0</v>
      </c>
      <c r="AC377" s="157">
        <f t="shared" si="220"/>
        <v>0</v>
      </c>
      <c r="AD377" s="144">
        <f t="shared" si="214"/>
        <v>0</v>
      </c>
      <c r="AE377" s="145">
        <f t="shared" si="215"/>
        <v>0</v>
      </c>
      <c r="AF377" s="146">
        <f t="shared" si="216"/>
        <v>0</v>
      </c>
      <c r="AH377" s="274">
        <f>SUMIF(日報!$T$4:$T$885,TEXT(YEAR(A377),"0000")&amp;TEXT(MONTH(A377),"00")&amp;TEXT(DAY(A377),"00")&amp;"SCSK",日報!$L$4:$L$885)</f>
        <v>0</v>
      </c>
      <c r="AI377" s="275">
        <f t="shared" si="200"/>
        <v>0</v>
      </c>
    </row>
    <row r="378" spans="1:35" s="2" customFormat="1" outlineLevel="1" x14ac:dyDescent="0.15">
      <c r="A378" s="168">
        <f t="shared" si="221"/>
        <v>44194</v>
      </c>
      <c r="B378" s="167">
        <f t="shared" si="217"/>
        <v>44194</v>
      </c>
      <c r="C378" s="32"/>
      <c r="D378" s="16"/>
      <c r="E378" s="17"/>
      <c r="F378" s="18"/>
      <c r="G378" s="15"/>
      <c r="H378" s="19"/>
      <c r="I378" s="137">
        <f t="shared" si="222"/>
        <v>0</v>
      </c>
      <c r="J378" s="143">
        <f t="shared" si="218"/>
        <v>0</v>
      </c>
      <c r="K378" s="144">
        <f t="shared" si="208"/>
        <v>0</v>
      </c>
      <c r="L378" s="145">
        <f t="shared" si="219"/>
        <v>0</v>
      </c>
      <c r="M378" s="146">
        <f t="shared" si="209"/>
        <v>0</v>
      </c>
      <c r="N378" s="147">
        <f>SUMIF(日報!B4:B691,$A378,日報!L4:L691)</f>
        <v>0</v>
      </c>
      <c r="O378" s="147">
        <f t="shared" si="210"/>
        <v>0</v>
      </c>
      <c r="P378" s="151"/>
      <c r="Q378" s="42" t="str">
        <f t="shared" si="211"/>
        <v/>
      </c>
      <c r="R378" s="154"/>
      <c r="S378" s="10" t="str">
        <f t="shared" si="212"/>
        <v/>
      </c>
      <c r="T378" s="11"/>
      <c r="U378" s="12"/>
      <c r="V378" s="136"/>
      <c r="W378" s="16"/>
      <c r="X378" s="17"/>
      <c r="Y378" s="18"/>
      <c r="Z378" s="15"/>
      <c r="AA378" s="15"/>
      <c r="AB378" s="155">
        <f t="shared" si="213"/>
        <v>0</v>
      </c>
      <c r="AC378" s="157">
        <f t="shared" si="220"/>
        <v>0</v>
      </c>
      <c r="AD378" s="144">
        <f t="shared" si="214"/>
        <v>0</v>
      </c>
      <c r="AE378" s="145">
        <f t="shared" si="215"/>
        <v>0</v>
      </c>
      <c r="AF378" s="146">
        <f t="shared" si="216"/>
        <v>0</v>
      </c>
      <c r="AH378" s="274">
        <f>SUMIF(日報!$T$4:$T$885,TEXT(YEAR(A378),"0000")&amp;TEXT(MONTH(A378),"00")&amp;TEXT(DAY(A378),"00")&amp;"SCSK",日報!$L$4:$L$885)</f>
        <v>0</v>
      </c>
      <c r="AI378" s="275">
        <f t="shared" si="200"/>
        <v>0</v>
      </c>
    </row>
    <row r="379" spans="1:35" s="2" customFormat="1" outlineLevel="1" x14ac:dyDescent="0.15">
      <c r="A379" s="168">
        <f t="shared" si="221"/>
        <v>44195</v>
      </c>
      <c r="B379" s="167">
        <f t="shared" si="217"/>
        <v>44195</v>
      </c>
      <c r="C379" s="32"/>
      <c r="D379" s="16"/>
      <c r="E379" s="17"/>
      <c r="F379" s="18"/>
      <c r="G379" s="15"/>
      <c r="H379" s="19"/>
      <c r="I379" s="137">
        <f t="shared" si="222"/>
        <v>0</v>
      </c>
      <c r="J379" s="143">
        <f t="shared" si="218"/>
        <v>0</v>
      </c>
      <c r="K379" s="144">
        <f t="shared" si="208"/>
        <v>0</v>
      </c>
      <c r="L379" s="145">
        <f t="shared" si="219"/>
        <v>0</v>
      </c>
      <c r="M379" s="146">
        <f t="shared" si="209"/>
        <v>0</v>
      </c>
      <c r="N379" s="147">
        <f>SUMIF(日報!B4:B691,$A379,日報!L4:L691)</f>
        <v>0</v>
      </c>
      <c r="O379" s="147">
        <f t="shared" si="210"/>
        <v>0</v>
      </c>
      <c r="P379" s="151"/>
      <c r="Q379" s="42" t="str">
        <f t="shared" si="211"/>
        <v/>
      </c>
      <c r="R379" s="154"/>
      <c r="S379" s="10" t="str">
        <f t="shared" si="212"/>
        <v/>
      </c>
      <c r="T379" s="11"/>
      <c r="U379" s="12"/>
      <c r="V379" s="136"/>
      <c r="W379" s="16"/>
      <c r="X379" s="17"/>
      <c r="Y379" s="18"/>
      <c r="Z379" s="15"/>
      <c r="AA379" s="15"/>
      <c r="AB379" s="155">
        <f t="shared" si="213"/>
        <v>0</v>
      </c>
      <c r="AC379" s="157">
        <f t="shared" si="220"/>
        <v>0</v>
      </c>
      <c r="AD379" s="144">
        <f t="shared" si="214"/>
        <v>0</v>
      </c>
      <c r="AE379" s="145">
        <f t="shared" si="215"/>
        <v>0</v>
      </c>
      <c r="AF379" s="146">
        <f t="shared" si="216"/>
        <v>0</v>
      </c>
      <c r="AH379" s="274">
        <f>SUMIF(日報!$T$4:$T$885,TEXT(YEAR(A379),"0000")&amp;TEXT(MONTH(A379),"00")&amp;TEXT(DAY(A379),"00")&amp;"SCSK",日報!$L$4:$L$885)</f>
        <v>0</v>
      </c>
      <c r="AI379" s="275">
        <f t="shared" si="200"/>
        <v>0</v>
      </c>
    </row>
    <row r="380" spans="1:35" s="2" customFormat="1" ht="14.25" outlineLevel="1" thickBot="1" x14ac:dyDescent="0.2">
      <c r="A380" s="168">
        <f t="shared" si="221"/>
        <v>44196</v>
      </c>
      <c r="B380" s="167">
        <f t="shared" si="217"/>
        <v>44196</v>
      </c>
      <c r="C380" s="32"/>
      <c r="D380" s="16"/>
      <c r="E380" s="17"/>
      <c r="F380" s="18"/>
      <c r="G380" s="15"/>
      <c r="H380" s="19"/>
      <c r="I380" s="137">
        <f t="shared" si="222"/>
        <v>0</v>
      </c>
      <c r="J380" s="143">
        <f t="shared" si="218"/>
        <v>0</v>
      </c>
      <c r="K380" s="144">
        <f t="shared" si="208"/>
        <v>0</v>
      </c>
      <c r="L380" s="145">
        <f t="shared" si="219"/>
        <v>0</v>
      </c>
      <c r="M380" s="146">
        <f t="shared" si="209"/>
        <v>0</v>
      </c>
      <c r="N380" s="147">
        <f>SUMIF(日報!B4:B691,$A380,日報!L4:L691)</f>
        <v>0</v>
      </c>
      <c r="O380" s="147">
        <f t="shared" si="210"/>
        <v>0</v>
      </c>
      <c r="P380" s="151"/>
      <c r="Q380" s="42" t="str">
        <f t="shared" si="211"/>
        <v/>
      </c>
      <c r="R380" s="154"/>
      <c r="S380" s="10" t="str">
        <f t="shared" si="212"/>
        <v/>
      </c>
      <c r="T380" s="11"/>
      <c r="U380" s="12"/>
      <c r="V380" s="136"/>
      <c r="W380" s="16"/>
      <c r="X380" s="17"/>
      <c r="Y380" s="18"/>
      <c r="Z380" s="15"/>
      <c r="AA380" s="15"/>
      <c r="AB380" s="155">
        <f t="shared" si="213"/>
        <v>0</v>
      </c>
      <c r="AC380" s="157">
        <f t="shared" si="220"/>
        <v>0</v>
      </c>
      <c r="AD380" s="144">
        <f t="shared" si="214"/>
        <v>0</v>
      </c>
      <c r="AE380" s="145">
        <f t="shared" si="215"/>
        <v>0</v>
      </c>
      <c r="AF380" s="146">
        <f t="shared" si="216"/>
        <v>0</v>
      </c>
      <c r="AH380" s="274">
        <f>SUMIF(日報!$T$4:$T$885,TEXT(YEAR(A380),"0000")&amp;TEXT(MONTH(A380),"00")&amp;TEXT(DAY(A380),"00")&amp;"SCSK",日報!$L$4:$L$885)</f>
        <v>0</v>
      </c>
      <c r="AI380" s="275">
        <f t="shared" si="200"/>
        <v>0</v>
      </c>
    </row>
    <row r="381" spans="1:35" ht="15" thickTop="1" thickBot="1" x14ac:dyDescent="0.2">
      <c r="A381" s="107">
        <f>A380</f>
        <v>44196</v>
      </c>
      <c r="B381" s="108">
        <f>COUNT(B350:B380)</f>
        <v>31</v>
      </c>
      <c r="C381" s="108"/>
      <c r="D381" s="109"/>
      <c r="E381" s="109"/>
      <c r="F381" s="110">
        <f t="shared" ref="F381:M381" si="223">SUM(F350:F380)</f>
        <v>0</v>
      </c>
      <c r="G381" s="110">
        <f t="shared" si="223"/>
        <v>0</v>
      </c>
      <c r="H381" s="110">
        <f t="shared" si="223"/>
        <v>0</v>
      </c>
      <c r="I381" s="111">
        <f t="shared" si="223"/>
        <v>0</v>
      </c>
      <c r="J381" s="112">
        <f t="shared" si="223"/>
        <v>0</v>
      </c>
      <c r="K381" s="113">
        <f t="shared" si="223"/>
        <v>0</v>
      </c>
      <c r="L381" s="114">
        <f t="shared" si="223"/>
        <v>0</v>
      </c>
      <c r="M381" s="113">
        <f t="shared" si="223"/>
        <v>0</v>
      </c>
      <c r="N381" s="115"/>
      <c r="O381" s="116">
        <f>SUM(O350:O380)</f>
        <v>0</v>
      </c>
      <c r="P381" s="117"/>
      <c r="Q381" s="118"/>
      <c r="R381" s="119"/>
      <c r="S381" s="120"/>
      <c r="T381" s="118"/>
      <c r="U381" s="121"/>
      <c r="W381" s="122"/>
      <c r="X381" s="109"/>
      <c r="Y381" s="110">
        <f t="shared" ref="Y381:AF381" si="224">SUM(Y350:Y380)</f>
        <v>0</v>
      </c>
      <c r="Z381" s="110">
        <f t="shared" si="224"/>
        <v>0</v>
      </c>
      <c r="AA381" s="110">
        <f t="shared" si="224"/>
        <v>0</v>
      </c>
      <c r="AB381" s="111">
        <f t="shared" si="224"/>
        <v>0</v>
      </c>
      <c r="AC381" s="112">
        <f t="shared" si="224"/>
        <v>0</v>
      </c>
      <c r="AD381" s="112">
        <f t="shared" si="224"/>
        <v>0</v>
      </c>
      <c r="AE381" s="112">
        <f t="shared" si="224"/>
        <v>0</v>
      </c>
      <c r="AF381" s="113">
        <f t="shared" si="224"/>
        <v>0</v>
      </c>
      <c r="AH381" s="276"/>
      <c r="AI381" s="277"/>
    </row>
    <row r="382" spans="1:35" ht="14.25" thickBot="1" x14ac:dyDescent="0.2">
      <c r="A382" s="129"/>
      <c r="B382" s="130"/>
      <c r="C382" s="130"/>
      <c r="D382" s="131"/>
      <c r="E382" s="131"/>
      <c r="F382" s="132">
        <f t="shared" ref="F382:O382" si="225">SUM(F381,F349,F318,F286,F255,F223,F191,F160,F128,F97,F65,F35)</f>
        <v>171</v>
      </c>
      <c r="G382" s="132">
        <f t="shared" si="225"/>
        <v>2</v>
      </c>
      <c r="H382" s="132">
        <f t="shared" si="225"/>
        <v>0</v>
      </c>
      <c r="I382" s="132">
        <f t="shared" si="225"/>
        <v>1571.5</v>
      </c>
      <c r="J382" s="132">
        <f t="shared" si="225"/>
        <v>1317.25</v>
      </c>
      <c r="K382" s="132">
        <f t="shared" si="225"/>
        <v>81.25</v>
      </c>
      <c r="L382" s="132">
        <f t="shared" si="225"/>
        <v>0</v>
      </c>
      <c r="M382" s="132">
        <f t="shared" si="225"/>
        <v>0</v>
      </c>
      <c r="N382" s="132">
        <f t="shared" si="225"/>
        <v>51</v>
      </c>
      <c r="O382" s="132">
        <f t="shared" si="225"/>
        <v>826.5</v>
      </c>
      <c r="P382" s="133"/>
      <c r="Q382" s="133"/>
      <c r="R382" s="133"/>
      <c r="S382" s="133"/>
      <c r="T382" s="133"/>
      <c r="U382" s="134"/>
      <c r="W382" s="129"/>
      <c r="X382" s="131"/>
      <c r="Y382" s="132">
        <f t="shared" ref="Y382:AF382" si="226">SUM(Y381,Y349,Y318,Y286,Y255,Y223,Y191,Y160,Y128,Y97,Y65,Y35)</f>
        <v>0</v>
      </c>
      <c r="Z382" s="132">
        <f t="shared" si="226"/>
        <v>0</v>
      </c>
      <c r="AA382" s="132">
        <f t="shared" si="226"/>
        <v>0</v>
      </c>
      <c r="AB382" s="132">
        <f t="shared" si="226"/>
        <v>0</v>
      </c>
      <c r="AC382" s="132">
        <f t="shared" si="226"/>
        <v>0</v>
      </c>
      <c r="AD382" s="132">
        <f t="shared" si="226"/>
        <v>0</v>
      </c>
      <c r="AE382" s="132">
        <f t="shared" si="226"/>
        <v>0</v>
      </c>
      <c r="AF382" s="135">
        <f t="shared" si="226"/>
        <v>0</v>
      </c>
    </row>
  </sheetData>
  <autoFilter ref="A3:AI382" xr:uid="{C3DD5A37-551F-4C44-B487-A16947038B2E}"/>
  <mergeCells count="10">
    <mergeCell ref="W2:X2"/>
    <mergeCell ref="Y2:AA2"/>
    <mergeCell ref="AC2:AC3"/>
    <mergeCell ref="AD2:AF2"/>
    <mergeCell ref="A2:A3"/>
    <mergeCell ref="B2:B3"/>
    <mergeCell ref="D2:E2"/>
    <mergeCell ref="F2:H2"/>
    <mergeCell ref="J2:J3"/>
    <mergeCell ref="K2:M2"/>
  </mergeCells>
  <phoneticPr fontId="8"/>
  <conditionalFormatting sqref="O4:O59 O61:O381">
    <cfRule type="expression" dxfId="106" priority="1670" stopIfTrue="1">
      <formula>IF($O4&lt;&gt;0,TRUE,FALSE)</formula>
    </cfRule>
  </conditionalFormatting>
  <conditionalFormatting sqref="W4:AF381 A4:U381">
    <cfRule type="expression" dxfId="105" priority="1692" stopIfTrue="1">
      <formula>IF($C4=1,TRUE,FALSE)</formula>
    </cfRule>
  </conditionalFormatting>
  <conditionalFormatting sqref="Z4:Z59 Z61:Z381 G4:G381 AC4:AD381 J4:K381">
    <cfRule type="expression" dxfId="104" priority="1689" stopIfTrue="1">
      <formula>IF($C4=1,TRUE,FALSE)</formula>
    </cfRule>
  </conditionalFormatting>
  <conditionalFormatting sqref="AE4:AE59 AE61:AE381 L4:L381">
    <cfRule type="expression" dxfId="103" priority="1691" stopIfTrue="1">
      <formula>IF($C4=0,TRUE,FALSE)</formula>
    </cfRule>
  </conditionalFormatting>
  <conditionalFormatting sqref="P4:P59 P61:P381">
    <cfRule type="expression" dxfId="102" priority="1678" stopIfTrue="1">
      <formula>IF($P4&lt;&gt;0,TRUE,FALSE)</formula>
    </cfRule>
  </conditionalFormatting>
  <conditionalFormatting sqref="D8:F10">
    <cfRule type="expression" dxfId="101" priority="10" stopIfTrue="1">
      <formula>IF($C8=1,TRUE,FALSE)</formula>
    </cfRule>
  </conditionalFormatting>
  <conditionalFormatting sqref="R9:T9">
    <cfRule type="expression" dxfId="100" priority="9" stopIfTrue="1">
      <formula>IF($C9=1,TRUE,FALSE)</formula>
    </cfRule>
  </conditionalFormatting>
  <conditionalFormatting sqref="C4:C59">
    <cfRule type="expression" dxfId="99" priority="8" stopIfTrue="1">
      <formula>IF($C4=1,TRUE,FALSE)</formula>
    </cfRule>
  </conditionalFormatting>
  <conditionalFormatting sqref="O60">
    <cfRule type="expression" dxfId="98" priority="3" stopIfTrue="1">
      <formula>IF($O60&lt;&gt;0,TRUE,FALSE)</formula>
    </cfRule>
  </conditionalFormatting>
  <conditionalFormatting sqref="Z60">
    <cfRule type="expression" dxfId="97" priority="5" stopIfTrue="1">
      <formula>IF($C60=1,TRUE,FALSE)</formula>
    </cfRule>
  </conditionalFormatting>
  <conditionalFormatting sqref="AE60">
    <cfRule type="expression" dxfId="96" priority="6" stopIfTrue="1">
      <formula>IF($C60=0,TRUE,FALSE)</formula>
    </cfRule>
  </conditionalFormatting>
  <conditionalFormatting sqref="P60">
    <cfRule type="expression" dxfId="95" priority="4" stopIfTrue="1">
      <formula>IF($P60&lt;&gt;0,TRUE,FALSE)</formula>
    </cfRule>
  </conditionalFormatting>
  <conditionalFormatting sqref="C60">
    <cfRule type="expression" dxfId="94" priority="2" stopIfTrue="1">
      <formula>IF($C60=1,TRUE,FALSE)</formula>
    </cfRule>
  </conditionalFormatting>
  <conditionalFormatting sqref="C375:C376">
    <cfRule type="expression" dxfId="93" priority="1" stopIfTrue="1">
      <formula>IF($C375=1,TRUE,FALSE)</formula>
    </cfRule>
  </conditionalFormatting>
  <dataValidations disablePrompts="1" count="2">
    <dataValidation type="list" allowBlank="1" showInputMessage="1" showErrorMessage="1" sqref="P287:P317 P256:P285 P319:P348 P224:P254 P4:P34 P192:P222 P161:P190 P129:P159 P98:P127 P66:P96 P350:P380 P36:P64" xr:uid="{00000000-0002-0000-0100-000000000000}">
      <formula1>体調</formula1>
    </dataValidation>
    <dataValidation type="list" allowBlank="1" showInputMessage="1" showErrorMessage="1" sqref="R287:R317 R319:R348 R350:R380 R66:R96 R98:R127 R129:R159 R161:R190 R192:R222 R256:R285 R224:R254 R4:R34 R36:R64" xr:uid="{00000000-0002-0000-0100-000001000000}">
      <formula1>申請内容</formula1>
    </dataValidation>
  </dataValidations>
  <pageMargins left="0.78700000000000003" right="0.78700000000000003" top="0.98399999999999999" bottom="0.98399999999999999" header="0.51200000000000001" footer="0.51200000000000001"/>
  <pageSetup paperSize="9" orientation="portrait" horizontalDpi="4294967292" verticalDpi="300" r:id="rId1"/>
  <headerFooter alignWithMargins="0"/>
  <colBreaks count="3" manualBreakCount="3">
    <brk id="17" max="1048575" man="1"/>
    <brk id="19" max="1048575" man="1"/>
    <brk id="28"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F0"/>
  </sheetPr>
  <dimension ref="A1:U691"/>
  <sheetViews>
    <sheetView showGridLines="0" zoomScale="115" zoomScaleNormal="115" zoomScaleSheetLayoutView="100" workbookViewId="0">
      <pane ySplit="3" topLeftCell="A82" activePane="bottomLeft" state="frozen"/>
      <selection activeCell="T546" sqref="T546"/>
      <selection pane="bottomLeft" activeCell="C91" sqref="C91:E91"/>
    </sheetView>
  </sheetViews>
  <sheetFormatPr defaultColWidth="9" defaultRowHeight="11.25" outlineLevelCol="1" x14ac:dyDescent="0.15"/>
  <cols>
    <col min="1" max="1" width="0.875" style="259" customWidth="1"/>
    <col min="2" max="2" width="8.5" style="271" bestFit="1" customWidth="1"/>
    <col min="3" max="3" width="12.625" style="271" customWidth="1"/>
    <col min="4" max="4" width="10.75" style="230" customWidth="1"/>
    <col min="5" max="5" width="11.75" style="230" bestFit="1" customWidth="1"/>
    <col min="6" max="6" width="9" style="230" bestFit="1" customWidth="1"/>
    <col min="7" max="7" width="3.125" style="230" customWidth="1"/>
    <col min="8" max="8" width="9.125" style="230" bestFit="1" customWidth="1"/>
    <col min="9" max="9" width="6.75" style="230" customWidth="1"/>
    <col min="10" max="10" width="9.25" style="230" customWidth="1"/>
    <col min="11" max="11" width="7.375" style="230" bestFit="1" customWidth="1"/>
    <col min="12" max="12" width="8" style="230" bestFit="1" customWidth="1"/>
    <col min="13" max="14" width="12.25" style="230" bestFit="1" customWidth="1"/>
    <col min="15" max="15" width="8.375" style="230" customWidth="1"/>
    <col min="16" max="16" width="11.125" style="229" hidden="1" customWidth="1" outlineLevel="1"/>
    <col min="17" max="17" width="20.875" style="229" hidden="1" customWidth="1" outlineLevel="1"/>
    <col min="18" max="18" width="12" style="230" hidden="1" customWidth="1" outlineLevel="1"/>
    <col min="19" max="20" width="21.75" style="230" hidden="1" customWidth="1" outlineLevel="1"/>
    <col min="21" max="21" width="34.375" style="230" customWidth="1" collapsed="1"/>
    <col min="22" max="16384" width="9" style="230"/>
  </cols>
  <sheetData>
    <row r="1" spans="1:21" ht="14.25" customHeight="1" thickBot="1" x14ac:dyDescent="0.2">
      <c r="A1" s="223"/>
      <c r="B1" s="224" t="s">
        <v>140</v>
      </c>
      <c r="C1" s="225"/>
      <c r="D1" s="302" t="s">
        <v>155</v>
      </c>
      <c r="E1" s="226"/>
      <c r="F1" s="343" t="s">
        <v>44</v>
      </c>
      <c r="G1" s="344"/>
      <c r="H1" s="345"/>
      <c r="I1" s="214" t="s">
        <v>134</v>
      </c>
      <c r="J1" s="215">
        <f ca="1">TODAY()</f>
        <v>44103</v>
      </c>
      <c r="K1" s="227" t="s">
        <v>30</v>
      </c>
      <c r="L1" s="228"/>
      <c r="M1" s="228"/>
      <c r="N1" s="228"/>
      <c r="O1" s="226"/>
    </row>
    <row r="2" spans="1:21" ht="12" thickBot="1" x14ac:dyDescent="0.2">
      <c r="A2" s="223"/>
      <c r="B2" s="303" t="s">
        <v>88</v>
      </c>
      <c r="C2" s="231"/>
      <c r="D2" s="232" t="s">
        <v>168</v>
      </c>
      <c r="E2" s="233" t="str">
        <f ca="1">IF(ISERROR(VLOOKUP(D2,報告者,2,FALSE)),"←名前選択",VLOOKUP(D2,報告者,2,FALSE))</f>
        <v>←名前選択</v>
      </c>
      <c r="F2" s="234">
        <v>43466</v>
      </c>
      <c r="G2" s="235" t="s">
        <v>31</v>
      </c>
      <c r="H2" s="236">
        <v>43830</v>
      </c>
      <c r="I2" s="216" t="s">
        <v>135</v>
      </c>
      <c r="J2" s="217">
        <f ca="1">SUMIF(B4:L1103,J1,L4:L885)</f>
        <v>0</v>
      </c>
      <c r="K2" s="237" t="s">
        <v>169</v>
      </c>
      <c r="L2" s="238"/>
      <c r="M2" s="238"/>
      <c r="N2" s="238"/>
      <c r="O2" s="239"/>
      <c r="P2" s="240" t="s">
        <v>86</v>
      </c>
    </row>
    <row r="3" spans="1:21" ht="23.25" thickBot="1" x14ac:dyDescent="0.2">
      <c r="A3" s="223"/>
      <c r="B3" s="241" t="s">
        <v>27</v>
      </c>
      <c r="C3" s="242" t="s">
        <v>117</v>
      </c>
      <c r="D3" s="243" t="s">
        <v>48</v>
      </c>
      <c r="E3" s="244" t="s">
        <v>49</v>
      </c>
      <c r="F3" s="346" t="s">
        <v>51</v>
      </c>
      <c r="G3" s="346"/>
      <c r="H3" s="347"/>
      <c r="I3" s="244" t="s">
        <v>50</v>
      </c>
      <c r="J3" s="244" t="s">
        <v>79</v>
      </c>
      <c r="K3" s="245" t="s">
        <v>95</v>
      </c>
      <c r="L3" s="245" t="s">
        <v>96</v>
      </c>
      <c r="M3" s="346" t="s">
        <v>9</v>
      </c>
      <c r="N3" s="346"/>
      <c r="O3" s="347"/>
      <c r="P3" s="246" t="s">
        <v>141</v>
      </c>
      <c r="Q3" s="246" t="s">
        <v>73</v>
      </c>
      <c r="R3" s="246" t="s">
        <v>74</v>
      </c>
      <c r="S3" s="246" t="s">
        <v>75</v>
      </c>
      <c r="T3" s="218" t="s">
        <v>137</v>
      </c>
      <c r="U3" s="247" t="s">
        <v>133</v>
      </c>
    </row>
    <row r="4" spans="1:21" ht="22.5" x14ac:dyDescent="0.15">
      <c r="A4" s="230"/>
      <c r="B4" s="249">
        <v>43838</v>
      </c>
      <c r="C4" s="314" t="s">
        <v>184</v>
      </c>
      <c r="D4" s="250" t="s">
        <v>220</v>
      </c>
      <c r="E4" s="251" t="s">
        <v>195</v>
      </c>
      <c r="F4" s="335" t="s">
        <v>195</v>
      </c>
      <c r="G4" s="336"/>
      <c r="H4" s="337"/>
      <c r="I4" s="252" t="str">
        <f t="shared" ref="I4:I64" ca="1" si="0">IF($F4="","",IF(ISERR(VLOOKUP($C4&amp;$D4&amp;$E4&amp;$F4,SOW,2,FALSE)),"-",VLOOKUP($C4&amp;$D4&amp;$E4&amp;$F4,SOW,2,FALSE)))</f>
        <v>D.B.007</v>
      </c>
      <c r="J4" s="248" t="s">
        <v>275</v>
      </c>
      <c r="K4" s="253">
        <f t="shared" ref="K4:K41" ca="1" si="1">IF(F4="","",IF(ISERROR(VLOOKUP($F4,SOW,3,FALSE)),0,VLOOKUP($F4,SOW,3,FALSE)*24))</f>
        <v>0</v>
      </c>
      <c r="L4" s="254">
        <v>9.25</v>
      </c>
      <c r="M4" s="341" t="str">
        <f t="shared" ref="M4:M51" ca="1" si="2">IF($F4&lt;&gt;"",IF($J4&lt;&gt;"-",IF($J4="要選択","REQ_IDを選択して下さい。",IF($J4="","REQ_IDを選択して下さい。",VLOOKUP($J4,REQUEST,2,FALSE))),$F4),"")</f>
        <v>MyAcuvue DST SIT実施及びスクリプト作成</v>
      </c>
      <c r="N4" s="341"/>
      <c r="O4" s="342"/>
      <c r="P4" s="255" t="str">
        <f t="shared" ref="P4:P5" ca="1" si="3">IF($B4&lt;&gt;"",TEXT(TEXT(YEAR($B4),"0000")&amp;TEXT(MONTH($B4),"00")&amp;$I4,"@"),"")</f>
        <v>202001D.B.007</v>
      </c>
      <c r="Q4" s="256" t="e">
        <f t="shared" ref="Q4:Q5" ca="1" si="4">IF($B4&lt;&gt;"",TEXT(TEXT(YEAR($B4),"0000")&amp;TEXT(MONTH($B4),"00")&amp;$I4&amp;"@"&amp;LEFT($E$2,SEARCH("　",$E$2,1)-1)&amp;"@"&amp;L4,"@"),"")</f>
        <v>#VALUE!</v>
      </c>
      <c r="R4" s="256" t="str">
        <f t="shared" ref="R4:R46" si="5">IF($B4&lt;&gt;"",TEXT(TEXT(YEAR($B4),"0000")&amp;TEXT(MONTH($B4),"00")&amp;$J4,"@"),"")</f>
        <v>202001REQ21568</v>
      </c>
      <c r="S4" s="257" t="e">
        <f t="shared" ref="S4:S46" ca="1" si="6">IF($B4&lt;&gt;"",TEXT(YEAR($B4),"0000")&amp;TEXT(MONTH($B4),"00")&amp;$J4&amp;"@"&amp;LEFT($E$2,SEARCH("　",$E$2,1)-1)&amp;"@"&amp;L4,"")</f>
        <v>#VALUE!</v>
      </c>
      <c r="T4" s="219" t="str">
        <f t="shared" ref="T4:T75" si="7">IF($B4&lt;&gt;"",TEXT(TEXT(YEAR($B4),"0000")&amp;TEXT(MONTH($B4),"00")&amp;TEXT(DAY($B4),"00")&amp;$C4,"@"),"")</f>
        <v>20200108Digital Business Support</v>
      </c>
      <c r="U4" s="258" t="s">
        <v>274</v>
      </c>
    </row>
    <row r="5" spans="1:21" ht="11.25" customHeight="1" x14ac:dyDescent="0.15">
      <c r="B5" s="249">
        <v>43839</v>
      </c>
      <c r="C5" s="314" t="s">
        <v>184</v>
      </c>
      <c r="D5" s="250" t="s">
        <v>220</v>
      </c>
      <c r="E5" s="251" t="s">
        <v>195</v>
      </c>
      <c r="F5" s="335" t="s">
        <v>195</v>
      </c>
      <c r="G5" s="336"/>
      <c r="H5" s="337"/>
      <c r="I5" s="252" t="str">
        <f t="shared" ca="1" si="0"/>
        <v>D.B.007</v>
      </c>
      <c r="J5" s="248" t="s">
        <v>275</v>
      </c>
      <c r="K5" s="253">
        <f t="shared" ref="K5" ca="1" si="8">IF(F5="","",IF(ISERROR(VLOOKUP($F5,SOW,3,FALSE)),0,VLOOKUP($F5,SOW,3,FALSE)*24))</f>
        <v>0</v>
      </c>
      <c r="L5" s="254">
        <v>7</v>
      </c>
      <c r="M5" s="341" t="str">
        <f t="shared" ca="1" si="2"/>
        <v>MyAcuvue DST SIT実施及びスクリプト作成</v>
      </c>
      <c r="N5" s="341"/>
      <c r="O5" s="342"/>
      <c r="P5" s="255" t="str">
        <f t="shared" ca="1" si="3"/>
        <v>202001D.B.007</v>
      </c>
      <c r="Q5" s="256" t="e">
        <f t="shared" ca="1" si="4"/>
        <v>#VALUE!</v>
      </c>
      <c r="R5" s="256" t="str">
        <f t="shared" si="5"/>
        <v>202001REQ21568</v>
      </c>
      <c r="S5" s="257" t="e">
        <f t="shared" ref="S5" ca="1" si="9">IF($B5&lt;&gt;"",TEXT(YEAR($B5),"0000")&amp;TEXT(MONTH($B5),"00")&amp;$J5&amp;"@"&amp;LEFT($E$2,SEARCH("　",$E$2,1)-1)&amp;"@"&amp;L5,"")</f>
        <v>#VALUE!</v>
      </c>
      <c r="T5" s="219" t="str">
        <f t="shared" si="7"/>
        <v>20200109Digital Business Support</v>
      </c>
      <c r="U5" s="258" t="s">
        <v>274</v>
      </c>
    </row>
    <row r="6" spans="1:21" ht="22.5" customHeight="1" x14ac:dyDescent="0.15">
      <c r="B6" s="249">
        <v>43840</v>
      </c>
      <c r="C6" s="314" t="s">
        <v>184</v>
      </c>
      <c r="D6" s="250" t="s">
        <v>151</v>
      </c>
      <c r="E6" s="251" t="s">
        <v>196</v>
      </c>
      <c r="F6" s="335" t="s">
        <v>196</v>
      </c>
      <c r="G6" s="336"/>
      <c r="H6" s="337"/>
      <c r="I6" s="252" t="str">
        <f t="shared" ca="1" si="0"/>
        <v>D.B.003</v>
      </c>
      <c r="J6" s="248" t="s">
        <v>276</v>
      </c>
      <c r="K6" s="253">
        <f t="shared" ca="1" si="1"/>
        <v>0</v>
      </c>
      <c r="L6" s="260">
        <v>4.25</v>
      </c>
      <c r="M6" s="338" t="e">
        <f t="shared" ca="1" si="2"/>
        <v>#N/A</v>
      </c>
      <c r="N6" s="339"/>
      <c r="O6" s="340"/>
      <c r="P6" s="255" t="str">
        <f t="shared" ref="P6:P46" ca="1" si="10">IF($B6&lt;&gt;"",TEXT(TEXT(YEAR($B6),"0000")&amp;TEXT(MONTH($B6),"00")&amp;$I6,"@"),"")</f>
        <v>202001D.B.003</v>
      </c>
      <c r="Q6" s="256" t="e">
        <f t="shared" ref="Q6:Q46" ca="1" si="11">IF($B6&lt;&gt;"",TEXT(TEXT(YEAR($B6),"0000")&amp;TEXT(MONTH($B6),"00")&amp;$I6&amp;"@"&amp;LEFT($E$2,SEARCH("　",$E$2,1)-1)&amp;"@"&amp;L6,"@"),"")</f>
        <v>#VALUE!</v>
      </c>
      <c r="R6" s="256" t="str">
        <f t="shared" si="5"/>
        <v>202001REQ20445</v>
      </c>
      <c r="S6" s="257" t="e">
        <f t="shared" ca="1" si="6"/>
        <v>#VALUE!</v>
      </c>
      <c r="T6" s="219" t="str">
        <f t="shared" si="7"/>
        <v>20200110Digital Business Support</v>
      </c>
      <c r="U6" s="258" t="s">
        <v>273</v>
      </c>
    </row>
    <row r="7" spans="1:21" x14ac:dyDescent="0.15">
      <c r="B7" s="249"/>
      <c r="C7" s="314"/>
      <c r="D7" s="250"/>
      <c r="E7" s="251"/>
      <c r="F7" s="335"/>
      <c r="G7" s="336"/>
      <c r="H7" s="337"/>
      <c r="I7" s="252"/>
      <c r="J7" s="248"/>
      <c r="K7" s="253"/>
      <c r="L7" s="254"/>
      <c r="M7" s="341"/>
      <c r="N7" s="341"/>
      <c r="O7" s="342"/>
      <c r="P7" s="255"/>
      <c r="Q7" s="256"/>
      <c r="R7" s="256"/>
      <c r="S7" s="257"/>
      <c r="T7" s="219"/>
      <c r="U7" s="258"/>
    </row>
    <row r="8" spans="1:21" ht="22.5" x14ac:dyDescent="0.15">
      <c r="A8" s="230"/>
      <c r="B8" s="249">
        <v>43844</v>
      </c>
      <c r="C8" s="314" t="s">
        <v>184</v>
      </c>
      <c r="D8" s="250" t="s">
        <v>220</v>
      </c>
      <c r="E8" s="251" t="s">
        <v>195</v>
      </c>
      <c r="F8" s="335" t="s">
        <v>195</v>
      </c>
      <c r="G8" s="336"/>
      <c r="H8" s="337"/>
      <c r="I8" s="252" t="str">
        <f t="shared" ca="1" si="0"/>
        <v>D.B.007</v>
      </c>
      <c r="J8" s="248" t="s">
        <v>277</v>
      </c>
      <c r="K8" s="253">
        <f t="shared" ca="1" si="1"/>
        <v>0</v>
      </c>
      <c r="L8" s="254">
        <v>3</v>
      </c>
      <c r="M8" s="341" t="str">
        <f t="shared" ca="1" si="2"/>
        <v>MyAcuvue DST SIT実施及びスクリプト作成</v>
      </c>
      <c r="N8" s="341"/>
      <c r="O8" s="342"/>
      <c r="P8" s="255" t="str">
        <f t="shared" ca="1" si="10"/>
        <v>202001D.B.007</v>
      </c>
      <c r="Q8" s="256" t="e">
        <f t="shared" ca="1" si="11"/>
        <v>#VALUE!</v>
      </c>
      <c r="R8" s="256" t="str">
        <f t="shared" si="5"/>
        <v>202001REQ21568</v>
      </c>
      <c r="S8" s="257" t="e">
        <f t="shared" ca="1" si="6"/>
        <v>#VALUE!</v>
      </c>
      <c r="T8" s="219" t="str">
        <f t="shared" si="7"/>
        <v>20200114Digital Business Support</v>
      </c>
      <c r="U8" s="258"/>
    </row>
    <row r="9" spans="1:21" ht="22.5" x14ac:dyDescent="0.15">
      <c r="B9" s="249">
        <v>43845</v>
      </c>
      <c r="C9" s="314" t="s">
        <v>184</v>
      </c>
      <c r="D9" s="250" t="s">
        <v>220</v>
      </c>
      <c r="E9" s="251" t="s">
        <v>195</v>
      </c>
      <c r="F9" s="335" t="s">
        <v>195</v>
      </c>
      <c r="G9" s="336"/>
      <c r="H9" s="337"/>
      <c r="I9" s="252" t="str">
        <f t="shared" ca="1" si="0"/>
        <v>D.B.007</v>
      </c>
      <c r="J9" s="248" t="s">
        <v>277</v>
      </c>
      <c r="K9" s="253">
        <f t="shared" ref="K9:K13" ca="1" si="12">IF(F9="","",IF(ISERROR(VLOOKUP($F9,SOW,3,FALSE)),0,VLOOKUP($F9,SOW,3,FALSE)*24))</f>
        <v>0</v>
      </c>
      <c r="L9" s="254">
        <v>3</v>
      </c>
      <c r="M9" s="341" t="str">
        <f t="shared" ca="1" si="2"/>
        <v>MyAcuvue DST SIT実施及びスクリプト作成</v>
      </c>
      <c r="N9" s="341"/>
      <c r="O9" s="342"/>
      <c r="P9" s="255" t="str">
        <f t="shared" ca="1" si="10"/>
        <v>202001D.B.007</v>
      </c>
      <c r="Q9" s="256" t="e">
        <f t="shared" ca="1" si="11"/>
        <v>#VALUE!</v>
      </c>
      <c r="R9" s="256" t="str">
        <f t="shared" si="5"/>
        <v>202001REQ21568</v>
      </c>
      <c r="S9" s="257" t="e">
        <f t="shared" ca="1" si="6"/>
        <v>#VALUE!</v>
      </c>
      <c r="T9" s="219" t="str">
        <f t="shared" si="7"/>
        <v>20200115Digital Business Support</v>
      </c>
      <c r="U9" s="258"/>
    </row>
    <row r="10" spans="1:21" ht="22.5" x14ac:dyDescent="0.15">
      <c r="B10" s="249">
        <v>43844</v>
      </c>
      <c r="C10" s="314" t="s">
        <v>184</v>
      </c>
      <c r="D10" s="250" t="s">
        <v>220</v>
      </c>
      <c r="E10" s="251" t="s">
        <v>195</v>
      </c>
      <c r="F10" s="335" t="s">
        <v>195</v>
      </c>
      <c r="G10" s="336"/>
      <c r="H10" s="337"/>
      <c r="I10" s="252" t="str">
        <f t="shared" ca="1" si="0"/>
        <v>D.B.007</v>
      </c>
      <c r="J10" s="248" t="s">
        <v>277</v>
      </c>
      <c r="K10" s="253">
        <f t="shared" ca="1" si="12"/>
        <v>0</v>
      </c>
      <c r="L10" s="254">
        <v>3</v>
      </c>
      <c r="M10" s="341" t="str">
        <f t="shared" ca="1" si="2"/>
        <v>MyAcuvue DST SIT実施及びスクリプト作成</v>
      </c>
      <c r="N10" s="341"/>
      <c r="O10" s="342"/>
      <c r="P10" s="255" t="str">
        <f t="shared" ca="1" si="10"/>
        <v>202001D.B.007</v>
      </c>
      <c r="Q10" s="256" t="e">
        <f t="shared" ca="1" si="11"/>
        <v>#VALUE!</v>
      </c>
      <c r="R10" s="256" t="str">
        <f t="shared" si="5"/>
        <v>202001REQ21568</v>
      </c>
      <c r="S10" s="257" t="e">
        <f t="shared" ca="1" si="6"/>
        <v>#VALUE!</v>
      </c>
      <c r="T10" s="219" t="str">
        <f t="shared" si="7"/>
        <v>20200114Digital Business Support</v>
      </c>
      <c r="U10" s="258"/>
    </row>
    <row r="11" spans="1:21" ht="22.5" x14ac:dyDescent="0.15">
      <c r="A11" s="230"/>
      <c r="B11" s="249">
        <v>43857</v>
      </c>
      <c r="C11" s="314" t="s">
        <v>184</v>
      </c>
      <c r="D11" s="250" t="s">
        <v>151</v>
      </c>
      <c r="E11" s="251" t="s">
        <v>196</v>
      </c>
      <c r="F11" s="335" t="s">
        <v>196</v>
      </c>
      <c r="G11" s="336"/>
      <c r="H11" s="337"/>
      <c r="I11" s="252" t="str">
        <f t="shared" ca="1" si="0"/>
        <v>D.B.003</v>
      </c>
      <c r="J11" s="248" t="s">
        <v>276</v>
      </c>
      <c r="K11" s="253">
        <f t="shared" ca="1" si="12"/>
        <v>0</v>
      </c>
      <c r="L11" s="260">
        <v>4.5</v>
      </c>
      <c r="M11" s="338" t="e">
        <f t="shared" ca="1" si="2"/>
        <v>#N/A</v>
      </c>
      <c r="N11" s="339"/>
      <c r="O11" s="340"/>
      <c r="P11" s="255" t="str">
        <f t="shared" ca="1" si="10"/>
        <v>202001D.B.003</v>
      </c>
      <c r="Q11" s="256" t="e">
        <f t="shared" ref="Q11:Q13" ca="1" si="13">IF($B11&lt;&gt;"",TEXT(TEXT(YEAR($B11),"0000")&amp;TEXT(MONTH($B11),"00")&amp;$I11&amp;"@"&amp;LEFT($E$2,SEARCH("　",$E$2,1)-1)&amp;"@"&amp;L11,"@"),"")</f>
        <v>#VALUE!</v>
      </c>
      <c r="R11" s="256" t="str">
        <f t="shared" si="5"/>
        <v>202001REQ20445</v>
      </c>
      <c r="S11" s="257" t="e">
        <f t="shared" ref="S11:S13" ca="1" si="14">IF($B11&lt;&gt;"",TEXT(YEAR($B11),"0000")&amp;TEXT(MONTH($B11),"00")&amp;$J11&amp;"@"&amp;LEFT($E$2,SEARCH("　",$E$2,1)-1)&amp;"@"&amp;L11,"")</f>
        <v>#VALUE!</v>
      </c>
      <c r="T11" s="219" t="str">
        <f t="shared" si="7"/>
        <v>20200127Digital Business Support</v>
      </c>
      <c r="U11" s="258" t="s">
        <v>273</v>
      </c>
    </row>
    <row r="12" spans="1:21" ht="22.5" x14ac:dyDescent="0.15">
      <c r="B12" s="249">
        <v>43858</v>
      </c>
      <c r="C12" s="314" t="s">
        <v>184</v>
      </c>
      <c r="D12" s="250" t="s">
        <v>151</v>
      </c>
      <c r="E12" s="251" t="s">
        <v>196</v>
      </c>
      <c r="F12" s="335" t="s">
        <v>196</v>
      </c>
      <c r="G12" s="336"/>
      <c r="H12" s="337"/>
      <c r="I12" s="252" t="str">
        <f t="shared" ca="1" si="0"/>
        <v>D.B.003</v>
      </c>
      <c r="J12" s="248" t="s">
        <v>276</v>
      </c>
      <c r="K12" s="253">
        <f t="shared" ca="1" si="12"/>
        <v>0</v>
      </c>
      <c r="L12" s="260">
        <v>5</v>
      </c>
      <c r="M12" s="338" t="e">
        <f t="shared" ca="1" si="2"/>
        <v>#N/A</v>
      </c>
      <c r="N12" s="339"/>
      <c r="O12" s="340"/>
      <c r="P12" s="255" t="str">
        <f t="shared" ca="1" si="10"/>
        <v>202001D.B.003</v>
      </c>
      <c r="Q12" s="256" t="e">
        <f t="shared" ca="1" si="13"/>
        <v>#VALUE!</v>
      </c>
      <c r="R12" s="256" t="str">
        <f t="shared" si="5"/>
        <v>202001REQ20445</v>
      </c>
      <c r="S12" s="257" t="e">
        <f t="shared" ca="1" si="14"/>
        <v>#VALUE!</v>
      </c>
      <c r="T12" s="219" t="str">
        <f t="shared" si="7"/>
        <v>20200128Digital Business Support</v>
      </c>
      <c r="U12" s="258" t="s">
        <v>273</v>
      </c>
    </row>
    <row r="13" spans="1:21" ht="22.5" x14ac:dyDescent="0.15">
      <c r="B13" s="249">
        <v>43859</v>
      </c>
      <c r="C13" s="314" t="s">
        <v>184</v>
      </c>
      <c r="D13" s="250" t="s">
        <v>151</v>
      </c>
      <c r="E13" s="251" t="s">
        <v>196</v>
      </c>
      <c r="F13" s="335" t="s">
        <v>196</v>
      </c>
      <c r="G13" s="336"/>
      <c r="H13" s="337"/>
      <c r="I13" s="252" t="str">
        <f t="shared" ca="1" si="0"/>
        <v>D.B.003</v>
      </c>
      <c r="J13" s="248" t="s">
        <v>276</v>
      </c>
      <c r="K13" s="253">
        <f t="shared" ca="1" si="12"/>
        <v>0</v>
      </c>
      <c r="L13" s="260">
        <v>6</v>
      </c>
      <c r="M13" s="338" t="e">
        <f t="shared" ca="1" si="2"/>
        <v>#N/A</v>
      </c>
      <c r="N13" s="339"/>
      <c r="O13" s="340"/>
      <c r="P13" s="255" t="str">
        <f t="shared" ca="1" si="10"/>
        <v>202001D.B.003</v>
      </c>
      <c r="Q13" s="256" t="e">
        <f t="shared" ca="1" si="13"/>
        <v>#VALUE!</v>
      </c>
      <c r="R13" s="256" t="str">
        <f t="shared" si="5"/>
        <v>202001REQ20445</v>
      </c>
      <c r="S13" s="257" t="e">
        <f t="shared" ca="1" si="14"/>
        <v>#VALUE!</v>
      </c>
      <c r="T13" s="219" t="str">
        <f t="shared" si="7"/>
        <v>20200129Digital Business Support</v>
      </c>
      <c r="U13" s="258" t="s">
        <v>273</v>
      </c>
    </row>
    <row r="14" spans="1:21" ht="22.5" x14ac:dyDescent="0.15">
      <c r="B14" s="249">
        <v>43865</v>
      </c>
      <c r="C14" s="314" t="s">
        <v>184</v>
      </c>
      <c r="D14" s="250" t="s">
        <v>151</v>
      </c>
      <c r="E14" s="251" t="s">
        <v>196</v>
      </c>
      <c r="F14" s="335" t="s">
        <v>196</v>
      </c>
      <c r="G14" s="336"/>
      <c r="H14" s="337"/>
      <c r="I14" s="252" t="str">
        <f t="shared" ca="1" si="0"/>
        <v>D.B.003</v>
      </c>
      <c r="J14" s="248" t="s">
        <v>276</v>
      </c>
      <c r="K14" s="253">
        <f t="shared" ref="K14" ca="1" si="15">IF(F14="","",IF(ISERROR(VLOOKUP($F14,SOW,3,FALSE)),0,VLOOKUP($F14,SOW,3,FALSE)*24))</f>
        <v>0</v>
      </c>
      <c r="L14" s="260">
        <v>7</v>
      </c>
      <c r="M14" s="338" t="e">
        <f t="shared" ca="1" si="2"/>
        <v>#N/A</v>
      </c>
      <c r="N14" s="339"/>
      <c r="O14" s="340"/>
      <c r="P14" s="255" t="str">
        <f t="shared" ca="1" si="10"/>
        <v>202002D.B.003</v>
      </c>
      <c r="Q14" s="256" t="e">
        <f t="shared" ref="Q14" ca="1" si="16">IF($B14&lt;&gt;"",TEXT(TEXT(YEAR($B14),"0000")&amp;TEXT(MONTH($B14),"00")&amp;$I14&amp;"@"&amp;LEFT($E$2,SEARCH("　",$E$2,1)-1)&amp;"@"&amp;L14,"@"),"")</f>
        <v>#VALUE!</v>
      </c>
      <c r="R14" s="256" t="str">
        <f t="shared" si="5"/>
        <v>202002REQ20445</v>
      </c>
      <c r="S14" s="257" t="e">
        <f t="shared" ref="S14" ca="1" si="17">IF($B14&lt;&gt;"",TEXT(YEAR($B14),"0000")&amp;TEXT(MONTH($B14),"00")&amp;$J14&amp;"@"&amp;LEFT($E$2,SEARCH("　",$E$2,1)-1)&amp;"@"&amp;L14,"")</f>
        <v>#VALUE!</v>
      </c>
      <c r="T14" s="219" t="str">
        <f t="shared" si="7"/>
        <v>20200204Digital Business Support</v>
      </c>
      <c r="U14" s="258" t="s">
        <v>273</v>
      </c>
    </row>
    <row r="15" spans="1:21" ht="22.5" x14ac:dyDescent="0.15">
      <c r="B15" s="249">
        <v>43866</v>
      </c>
      <c r="C15" s="314" t="s">
        <v>184</v>
      </c>
      <c r="D15" s="250" t="s">
        <v>151</v>
      </c>
      <c r="E15" s="251" t="s">
        <v>196</v>
      </c>
      <c r="F15" s="335" t="s">
        <v>196</v>
      </c>
      <c r="G15" s="336"/>
      <c r="H15" s="337"/>
      <c r="I15" s="252" t="str">
        <f t="shared" ca="1" si="0"/>
        <v>D.B.003</v>
      </c>
      <c r="J15" s="248" t="s">
        <v>276</v>
      </c>
      <c r="K15" s="253">
        <f t="shared" ref="K15:K16" ca="1" si="18">IF(F15="","",IF(ISERROR(VLOOKUP($F15,SOW,3,FALSE)),0,VLOOKUP($F15,SOW,3,FALSE)*24))</f>
        <v>0</v>
      </c>
      <c r="L15" s="260">
        <v>5</v>
      </c>
      <c r="M15" s="338" t="e">
        <f t="shared" ca="1" si="2"/>
        <v>#N/A</v>
      </c>
      <c r="N15" s="339"/>
      <c r="O15" s="340"/>
      <c r="P15" s="255" t="str">
        <f t="shared" ca="1" si="10"/>
        <v>202002D.B.003</v>
      </c>
      <c r="Q15" s="256" t="e">
        <f t="shared" ref="Q15:Q16" ca="1" si="19">IF($B15&lt;&gt;"",TEXT(TEXT(YEAR($B15),"0000")&amp;TEXT(MONTH($B15),"00")&amp;$I15&amp;"@"&amp;LEFT($E$2,SEARCH("　",$E$2,1)-1)&amp;"@"&amp;L15,"@"),"")</f>
        <v>#VALUE!</v>
      </c>
      <c r="R15" s="256" t="str">
        <f t="shared" si="5"/>
        <v>202002REQ20445</v>
      </c>
      <c r="S15" s="257" t="e">
        <f t="shared" ref="S15:S16" ca="1" si="20">IF($B15&lt;&gt;"",TEXT(YEAR($B15),"0000")&amp;TEXT(MONTH($B15),"00")&amp;$J15&amp;"@"&amp;LEFT($E$2,SEARCH("　",$E$2,1)-1)&amp;"@"&amp;L15,"")</f>
        <v>#VALUE!</v>
      </c>
      <c r="T15" s="219" t="str">
        <f t="shared" si="7"/>
        <v>20200205Digital Business Support</v>
      </c>
      <c r="U15" s="258" t="s">
        <v>273</v>
      </c>
    </row>
    <row r="16" spans="1:21" ht="22.5" x14ac:dyDescent="0.15">
      <c r="A16" s="223"/>
      <c r="B16" s="249">
        <v>43867</v>
      </c>
      <c r="C16" s="314" t="s">
        <v>184</v>
      </c>
      <c r="D16" s="250" t="s">
        <v>151</v>
      </c>
      <c r="E16" s="251" t="s">
        <v>196</v>
      </c>
      <c r="F16" s="335" t="s">
        <v>196</v>
      </c>
      <c r="G16" s="336"/>
      <c r="H16" s="337"/>
      <c r="I16" s="252" t="str">
        <f t="shared" ca="1" si="0"/>
        <v>D.B.003</v>
      </c>
      <c r="J16" s="248" t="s">
        <v>276</v>
      </c>
      <c r="K16" s="253">
        <f t="shared" ca="1" si="18"/>
        <v>0</v>
      </c>
      <c r="L16" s="260">
        <v>5</v>
      </c>
      <c r="M16" s="338" t="e">
        <f t="shared" ca="1" si="2"/>
        <v>#N/A</v>
      </c>
      <c r="N16" s="339"/>
      <c r="O16" s="340"/>
      <c r="P16" s="255" t="str">
        <f t="shared" ca="1" si="10"/>
        <v>202002D.B.003</v>
      </c>
      <c r="Q16" s="256" t="e">
        <f t="shared" ca="1" si="19"/>
        <v>#VALUE!</v>
      </c>
      <c r="R16" s="256" t="str">
        <f t="shared" si="5"/>
        <v>202002REQ20445</v>
      </c>
      <c r="S16" s="257" t="e">
        <f t="shared" ca="1" si="20"/>
        <v>#VALUE!</v>
      </c>
      <c r="T16" s="219" t="str">
        <f t="shared" si="7"/>
        <v>20200206Digital Business Support</v>
      </c>
      <c r="U16" s="258" t="s">
        <v>273</v>
      </c>
    </row>
    <row r="17" spans="1:21" ht="22.5" x14ac:dyDescent="0.15">
      <c r="A17" s="223"/>
      <c r="B17" s="249">
        <v>43868</v>
      </c>
      <c r="C17" s="314" t="s">
        <v>184</v>
      </c>
      <c r="D17" s="250" t="s">
        <v>151</v>
      </c>
      <c r="E17" s="251" t="s">
        <v>196</v>
      </c>
      <c r="F17" s="335" t="s">
        <v>196</v>
      </c>
      <c r="G17" s="336"/>
      <c r="H17" s="337"/>
      <c r="I17" s="252" t="str">
        <f t="shared" ca="1" si="0"/>
        <v>D.B.003</v>
      </c>
      <c r="J17" s="248" t="s">
        <v>276</v>
      </c>
      <c r="K17" s="253">
        <f t="shared" ref="K17:K18" ca="1" si="21">IF(F17="","",IF(ISERROR(VLOOKUP($F17,SOW,3,FALSE)),0,VLOOKUP($F17,SOW,3,FALSE)*24))</f>
        <v>0</v>
      </c>
      <c r="L17" s="260">
        <v>4</v>
      </c>
      <c r="M17" s="338" t="e">
        <f t="shared" ca="1" si="2"/>
        <v>#N/A</v>
      </c>
      <c r="N17" s="339"/>
      <c r="O17" s="340"/>
      <c r="P17" s="255" t="str">
        <f t="shared" ca="1" si="10"/>
        <v>202002D.B.003</v>
      </c>
      <c r="Q17" s="256" t="e">
        <f t="shared" ref="Q17:Q18" ca="1" si="22">IF($B17&lt;&gt;"",TEXT(TEXT(YEAR($B17),"0000")&amp;TEXT(MONTH($B17),"00")&amp;$I17&amp;"@"&amp;LEFT($E$2,SEARCH("　",$E$2,1)-1)&amp;"@"&amp;L17,"@"),"")</f>
        <v>#VALUE!</v>
      </c>
      <c r="R17" s="256" t="str">
        <f t="shared" si="5"/>
        <v>202002REQ20445</v>
      </c>
      <c r="S17" s="257" t="e">
        <f t="shared" ref="S17:S18" ca="1" si="23">IF($B17&lt;&gt;"",TEXT(YEAR($B17),"0000")&amp;TEXT(MONTH($B17),"00")&amp;$J17&amp;"@"&amp;LEFT($E$2,SEARCH("　",$E$2,1)-1)&amp;"@"&amp;L17,"")</f>
        <v>#VALUE!</v>
      </c>
      <c r="T17" s="219" t="str">
        <f t="shared" si="7"/>
        <v>20200207Digital Business Support</v>
      </c>
      <c r="U17" s="258" t="s">
        <v>273</v>
      </c>
    </row>
    <row r="18" spans="1:21" ht="22.5" x14ac:dyDescent="0.15">
      <c r="A18" s="223"/>
      <c r="B18" s="249">
        <v>43873</v>
      </c>
      <c r="C18" s="314" t="s">
        <v>184</v>
      </c>
      <c r="D18" s="250" t="s">
        <v>151</v>
      </c>
      <c r="E18" s="251" t="s">
        <v>195</v>
      </c>
      <c r="F18" s="335" t="s">
        <v>195</v>
      </c>
      <c r="G18" s="336"/>
      <c r="H18" s="337"/>
      <c r="I18" s="252" t="str">
        <f t="shared" ca="1" si="0"/>
        <v>D.B.002</v>
      </c>
      <c r="J18" s="248" t="s">
        <v>279</v>
      </c>
      <c r="K18" s="253">
        <f t="shared" ca="1" si="21"/>
        <v>0</v>
      </c>
      <c r="L18" s="254">
        <v>2</v>
      </c>
      <c r="M18" s="341" t="str">
        <f t="shared" ca="1" si="2"/>
        <v>テストデータ作成</v>
      </c>
      <c r="N18" s="341"/>
      <c r="O18" s="342"/>
      <c r="P18" s="255" t="str">
        <f t="shared" ca="1" si="10"/>
        <v>202002D.B.002</v>
      </c>
      <c r="Q18" s="256" t="e">
        <f t="shared" ca="1" si="22"/>
        <v>#VALUE!</v>
      </c>
      <c r="R18" s="256" t="str">
        <f t="shared" si="5"/>
        <v>202002REQ21549</v>
      </c>
      <c r="S18" s="257" t="e">
        <f t="shared" ca="1" si="23"/>
        <v>#VALUE!</v>
      </c>
      <c r="T18" s="219" t="str">
        <f t="shared" si="7"/>
        <v>20200212Digital Business Support</v>
      </c>
      <c r="U18" s="258"/>
    </row>
    <row r="19" spans="1:21" ht="22.5" x14ac:dyDescent="0.15">
      <c r="A19" s="223"/>
      <c r="B19" s="249">
        <v>43874</v>
      </c>
      <c r="C19" s="314" t="s">
        <v>184</v>
      </c>
      <c r="D19" s="250" t="s">
        <v>151</v>
      </c>
      <c r="E19" s="251" t="s">
        <v>195</v>
      </c>
      <c r="F19" s="335" t="s">
        <v>195</v>
      </c>
      <c r="G19" s="336"/>
      <c r="H19" s="337"/>
      <c r="I19" s="252" t="str">
        <f t="shared" ca="1" si="0"/>
        <v>D.B.002</v>
      </c>
      <c r="J19" s="248" t="s">
        <v>279</v>
      </c>
      <c r="K19" s="253">
        <f t="shared" ref="K19" ca="1" si="24">IF(F19="","",IF(ISERROR(VLOOKUP($F19,SOW,3,FALSE)),0,VLOOKUP($F19,SOW,3,FALSE)*24))</f>
        <v>0</v>
      </c>
      <c r="L19" s="254">
        <v>3</v>
      </c>
      <c r="M19" s="341" t="str">
        <f t="shared" ca="1" si="2"/>
        <v>テストデータ作成</v>
      </c>
      <c r="N19" s="341"/>
      <c r="O19" s="342"/>
      <c r="P19" s="255" t="str">
        <f t="shared" ca="1" si="10"/>
        <v>202002D.B.002</v>
      </c>
      <c r="Q19" s="256" t="e">
        <f t="shared" ref="Q19" ca="1" si="25">IF($B19&lt;&gt;"",TEXT(TEXT(YEAR($B19),"0000")&amp;TEXT(MONTH($B19),"00")&amp;$I19&amp;"@"&amp;LEFT($E$2,SEARCH("　",$E$2,1)-1)&amp;"@"&amp;L19,"@"),"")</f>
        <v>#VALUE!</v>
      </c>
      <c r="R19" s="256" t="str">
        <f t="shared" si="5"/>
        <v>202002REQ21549</v>
      </c>
      <c r="S19" s="257" t="e">
        <f t="shared" ref="S19" ca="1" si="26">IF($B19&lt;&gt;"",TEXT(YEAR($B19),"0000")&amp;TEXT(MONTH($B19),"00")&amp;$J19&amp;"@"&amp;LEFT($E$2,SEARCH("　",$E$2,1)-1)&amp;"@"&amp;L19,"")</f>
        <v>#VALUE!</v>
      </c>
      <c r="T19" s="219" t="str">
        <f t="shared" si="7"/>
        <v>20200213Digital Business Support</v>
      </c>
      <c r="U19" s="258"/>
    </row>
    <row r="20" spans="1:21" ht="22.5" x14ac:dyDescent="0.15">
      <c r="A20" s="223"/>
      <c r="B20" s="249">
        <v>43875</v>
      </c>
      <c r="C20" s="314" t="s">
        <v>184</v>
      </c>
      <c r="D20" s="250" t="s">
        <v>151</v>
      </c>
      <c r="E20" s="251" t="s">
        <v>195</v>
      </c>
      <c r="F20" s="335" t="s">
        <v>195</v>
      </c>
      <c r="G20" s="336"/>
      <c r="H20" s="337"/>
      <c r="I20" s="252" t="str">
        <f t="shared" ca="1" si="0"/>
        <v>D.B.002</v>
      </c>
      <c r="J20" s="248" t="s">
        <v>279</v>
      </c>
      <c r="K20" s="253">
        <f t="shared" ref="K20" ca="1" si="27">IF(F20="","",IF(ISERROR(VLOOKUP($F20,SOW,3,FALSE)),0,VLOOKUP($F20,SOW,3,FALSE)*24))</f>
        <v>0</v>
      </c>
      <c r="L20" s="254">
        <v>5</v>
      </c>
      <c r="M20" s="341" t="str">
        <f t="shared" ca="1" si="2"/>
        <v>テストデータ作成</v>
      </c>
      <c r="N20" s="341"/>
      <c r="O20" s="342"/>
      <c r="P20" s="255" t="str">
        <f t="shared" ca="1" si="10"/>
        <v>202002D.B.002</v>
      </c>
      <c r="Q20" s="256" t="e">
        <f t="shared" ref="Q20" ca="1" si="28">IF($B20&lt;&gt;"",TEXT(TEXT(YEAR($B20),"0000")&amp;TEXT(MONTH($B20),"00")&amp;$I20&amp;"@"&amp;LEFT($E$2,SEARCH("　",$E$2,1)-1)&amp;"@"&amp;L20,"@"),"")</f>
        <v>#VALUE!</v>
      </c>
      <c r="R20" s="256" t="str">
        <f t="shared" si="5"/>
        <v>202002REQ21549</v>
      </c>
      <c r="S20" s="257" t="e">
        <f t="shared" ref="S20" ca="1" si="29">IF($B20&lt;&gt;"",TEXT(YEAR($B20),"0000")&amp;TEXT(MONTH($B20),"00")&amp;$J20&amp;"@"&amp;LEFT($E$2,SEARCH("　",$E$2,1)-1)&amp;"@"&amp;L20,"")</f>
        <v>#VALUE!</v>
      </c>
      <c r="T20" s="219" t="str">
        <f t="shared" si="7"/>
        <v>20200214Digital Business Support</v>
      </c>
      <c r="U20" s="258"/>
    </row>
    <row r="21" spans="1:21" ht="22.5" x14ac:dyDescent="0.15">
      <c r="A21" s="223"/>
      <c r="B21" s="249">
        <v>43878</v>
      </c>
      <c r="C21" s="314" t="s">
        <v>184</v>
      </c>
      <c r="D21" s="250" t="s">
        <v>151</v>
      </c>
      <c r="E21" s="251" t="s">
        <v>195</v>
      </c>
      <c r="F21" s="335" t="s">
        <v>195</v>
      </c>
      <c r="G21" s="336"/>
      <c r="H21" s="337"/>
      <c r="I21" s="252" t="str">
        <f t="shared" ca="1" si="0"/>
        <v>D.B.002</v>
      </c>
      <c r="J21" s="248" t="s">
        <v>278</v>
      </c>
      <c r="K21" s="253">
        <f t="shared" ca="1" si="1"/>
        <v>0</v>
      </c>
      <c r="L21" s="254">
        <v>3</v>
      </c>
      <c r="M21" s="341" t="str">
        <f t="shared" ca="1" si="2"/>
        <v>Store Locator DST SIT実施及びスクリプト作成</v>
      </c>
      <c r="N21" s="341"/>
      <c r="O21" s="342"/>
      <c r="P21" s="255" t="str">
        <f t="shared" ca="1" si="10"/>
        <v>202002D.B.002</v>
      </c>
      <c r="Q21" s="256" t="e">
        <f t="shared" ca="1" si="11"/>
        <v>#VALUE!</v>
      </c>
      <c r="R21" s="256" t="str">
        <f t="shared" si="5"/>
        <v>202002REQ21569</v>
      </c>
      <c r="S21" s="257" t="e">
        <f t="shared" ca="1" si="6"/>
        <v>#VALUE!</v>
      </c>
      <c r="T21" s="219" t="str">
        <f t="shared" si="7"/>
        <v>20200217Digital Business Support</v>
      </c>
      <c r="U21" s="258"/>
    </row>
    <row r="22" spans="1:21" ht="22.5" x14ac:dyDescent="0.15">
      <c r="A22" s="223"/>
      <c r="B22" s="249">
        <v>43879</v>
      </c>
      <c r="C22" s="314" t="s">
        <v>184</v>
      </c>
      <c r="D22" s="250" t="s">
        <v>151</v>
      </c>
      <c r="E22" s="251" t="s">
        <v>195</v>
      </c>
      <c r="F22" s="335" t="s">
        <v>195</v>
      </c>
      <c r="G22" s="336"/>
      <c r="H22" s="337"/>
      <c r="I22" s="252" t="str">
        <f t="shared" ca="1" si="0"/>
        <v>D.B.002</v>
      </c>
      <c r="J22" s="248" t="s">
        <v>278</v>
      </c>
      <c r="K22" s="253">
        <f t="shared" ref="K22" ca="1" si="30">IF(F22="","",IF(ISERROR(VLOOKUP($F22,SOW,3,FALSE)),0,VLOOKUP($F22,SOW,3,FALSE)*24))</f>
        <v>0</v>
      </c>
      <c r="L22" s="254">
        <v>3</v>
      </c>
      <c r="M22" s="341" t="str">
        <f t="shared" ca="1" si="2"/>
        <v>Store Locator DST SIT実施及びスクリプト作成</v>
      </c>
      <c r="N22" s="341"/>
      <c r="O22" s="342"/>
      <c r="P22" s="255" t="str">
        <f t="shared" ca="1" si="10"/>
        <v>202002D.B.002</v>
      </c>
      <c r="Q22" s="256" t="e">
        <f t="shared" ca="1" si="11"/>
        <v>#VALUE!</v>
      </c>
      <c r="R22" s="256" t="str">
        <f t="shared" si="5"/>
        <v>202002REQ21569</v>
      </c>
      <c r="S22" s="257" t="e">
        <f t="shared" ca="1" si="6"/>
        <v>#VALUE!</v>
      </c>
      <c r="T22" s="219" t="str">
        <f t="shared" si="7"/>
        <v>20200218Digital Business Support</v>
      </c>
      <c r="U22" s="258"/>
    </row>
    <row r="23" spans="1:21" ht="22.5" x14ac:dyDescent="0.15">
      <c r="A23" s="230"/>
      <c r="B23" s="249">
        <v>43880</v>
      </c>
      <c r="C23" s="314" t="s">
        <v>184</v>
      </c>
      <c r="D23" s="250" t="s">
        <v>151</v>
      </c>
      <c r="E23" s="251" t="s">
        <v>195</v>
      </c>
      <c r="F23" s="335" t="s">
        <v>195</v>
      </c>
      <c r="G23" s="336"/>
      <c r="H23" s="337"/>
      <c r="I23" s="252" t="str">
        <f t="shared" ca="1" si="0"/>
        <v>D.B.002</v>
      </c>
      <c r="J23" s="248" t="s">
        <v>278</v>
      </c>
      <c r="K23" s="253">
        <f t="shared" ref="K23" ca="1" si="31">IF(F23="","",IF(ISERROR(VLOOKUP($F23,SOW,3,FALSE)),0,VLOOKUP($F23,SOW,3,FALSE)*24))</f>
        <v>0</v>
      </c>
      <c r="L23" s="254">
        <v>5</v>
      </c>
      <c r="M23" s="341" t="str">
        <f t="shared" ca="1" si="2"/>
        <v>Store Locator DST SIT実施及びスクリプト作成</v>
      </c>
      <c r="N23" s="341"/>
      <c r="O23" s="342"/>
      <c r="P23" s="255" t="str">
        <f t="shared" ca="1" si="10"/>
        <v>202002D.B.002</v>
      </c>
      <c r="Q23" s="256" t="e">
        <f t="shared" ca="1" si="11"/>
        <v>#VALUE!</v>
      </c>
      <c r="R23" s="256" t="str">
        <f t="shared" si="5"/>
        <v>202002REQ21569</v>
      </c>
      <c r="S23" s="257" t="e">
        <f t="shared" ca="1" si="6"/>
        <v>#VALUE!</v>
      </c>
      <c r="T23" s="219" t="str">
        <f t="shared" si="7"/>
        <v>20200219Digital Business Support</v>
      </c>
      <c r="U23" s="258"/>
    </row>
    <row r="24" spans="1:21" ht="22.5" x14ac:dyDescent="0.15">
      <c r="A24" s="230"/>
      <c r="B24" s="249">
        <v>43886</v>
      </c>
      <c r="C24" s="314" t="s">
        <v>184</v>
      </c>
      <c r="D24" s="250" t="s">
        <v>151</v>
      </c>
      <c r="E24" s="251" t="s">
        <v>195</v>
      </c>
      <c r="F24" s="335" t="s">
        <v>195</v>
      </c>
      <c r="G24" s="336"/>
      <c r="H24" s="337"/>
      <c r="I24" s="252" t="str">
        <f t="shared" ca="1" si="0"/>
        <v>D.B.002</v>
      </c>
      <c r="J24" s="248" t="s">
        <v>278</v>
      </c>
      <c r="K24" s="253">
        <f t="shared" ref="K24" ca="1" si="32">IF(F24="","",IF(ISERROR(VLOOKUP($F24,SOW,3,FALSE)),0,VLOOKUP($F24,SOW,3,FALSE)*24))</f>
        <v>0</v>
      </c>
      <c r="L24" s="254">
        <v>4</v>
      </c>
      <c r="M24" s="341" t="str">
        <f t="shared" ca="1" si="2"/>
        <v>Store Locator DST SIT実施及びスクリプト作成</v>
      </c>
      <c r="N24" s="341"/>
      <c r="O24" s="342"/>
      <c r="P24" s="255" t="str">
        <f t="shared" ca="1" si="10"/>
        <v>202002D.B.002</v>
      </c>
      <c r="Q24" s="256" t="e">
        <f t="shared" ref="Q24" ca="1" si="33">IF($B24&lt;&gt;"",TEXT(TEXT(YEAR($B24),"0000")&amp;TEXT(MONTH($B24),"00")&amp;$I24&amp;"@"&amp;LEFT($E$2,SEARCH("　",$E$2,1)-1)&amp;"@"&amp;L24,"@"),"")</f>
        <v>#VALUE!</v>
      </c>
      <c r="R24" s="256" t="str">
        <f t="shared" si="5"/>
        <v>202002REQ21569</v>
      </c>
      <c r="S24" s="257" t="e">
        <f t="shared" ref="S24" ca="1" si="34">IF($B24&lt;&gt;"",TEXT(YEAR($B24),"0000")&amp;TEXT(MONTH($B24),"00")&amp;$J24&amp;"@"&amp;LEFT($E$2,SEARCH("　",$E$2,1)-1)&amp;"@"&amp;L24,"")</f>
        <v>#VALUE!</v>
      </c>
      <c r="T24" s="219" t="str">
        <f t="shared" si="7"/>
        <v>20200225Digital Business Support</v>
      </c>
      <c r="U24" s="258"/>
    </row>
    <row r="25" spans="1:21" ht="22.5" x14ac:dyDescent="0.15">
      <c r="A25" s="230"/>
      <c r="B25" s="249">
        <v>43887</v>
      </c>
      <c r="C25" s="314" t="s">
        <v>184</v>
      </c>
      <c r="D25" s="250" t="s">
        <v>151</v>
      </c>
      <c r="E25" s="251" t="s">
        <v>195</v>
      </c>
      <c r="F25" s="335" t="s">
        <v>195</v>
      </c>
      <c r="G25" s="336"/>
      <c r="H25" s="337"/>
      <c r="I25" s="252" t="str">
        <f t="shared" ca="1" si="0"/>
        <v>D.B.002</v>
      </c>
      <c r="J25" s="248" t="s">
        <v>278</v>
      </c>
      <c r="K25" s="253">
        <f t="shared" ref="K25" ca="1" si="35">IF(F25="","",IF(ISERROR(VLOOKUP($F25,SOW,3,FALSE)),0,VLOOKUP($F25,SOW,3,FALSE)*24))</f>
        <v>0</v>
      </c>
      <c r="L25" s="254">
        <v>3</v>
      </c>
      <c r="M25" s="341" t="str">
        <f t="shared" ca="1" si="2"/>
        <v>Store Locator DST SIT実施及びスクリプト作成</v>
      </c>
      <c r="N25" s="341"/>
      <c r="O25" s="342"/>
      <c r="P25" s="255" t="str">
        <f t="shared" ca="1" si="10"/>
        <v>202002D.B.002</v>
      </c>
      <c r="Q25" s="256" t="e">
        <f t="shared" ref="Q25" ca="1" si="36">IF($B25&lt;&gt;"",TEXT(TEXT(YEAR($B25),"0000")&amp;TEXT(MONTH($B25),"00")&amp;$I25&amp;"@"&amp;LEFT($E$2,SEARCH("　",$E$2,1)-1)&amp;"@"&amp;L25,"@"),"")</f>
        <v>#VALUE!</v>
      </c>
      <c r="R25" s="256" t="str">
        <f t="shared" si="5"/>
        <v>202002REQ21569</v>
      </c>
      <c r="S25" s="257" t="e">
        <f t="shared" ref="S25" ca="1" si="37">IF($B25&lt;&gt;"",TEXT(YEAR($B25),"0000")&amp;TEXT(MONTH($B25),"00")&amp;$J25&amp;"@"&amp;LEFT($E$2,SEARCH("　",$E$2,1)-1)&amp;"@"&amp;L25,"")</f>
        <v>#VALUE!</v>
      </c>
      <c r="T25" s="219" t="str">
        <f t="shared" si="7"/>
        <v>20200226Digital Business Support</v>
      </c>
      <c r="U25" s="258"/>
    </row>
    <row r="26" spans="1:21" ht="22.5" x14ac:dyDescent="0.15">
      <c r="A26" s="230"/>
      <c r="B26" s="249">
        <v>43888</v>
      </c>
      <c r="C26" s="314" t="s">
        <v>184</v>
      </c>
      <c r="D26" s="250" t="s">
        <v>151</v>
      </c>
      <c r="E26" s="251" t="s">
        <v>195</v>
      </c>
      <c r="F26" s="335" t="s">
        <v>195</v>
      </c>
      <c r="G26" s="336"/>
      <c r="H26" s="337"/>
      <c r="I26" s="252" t="str">
        <f t="shared" ca="1" si="0"/>
        <v>D.B.002</v>
      </c>
      <c r="J26" s="248" t="s">
        <v>278</v>
      </c>
      <c r="K26" s="253">
        <f t="shared" ref="K26" ca="1" si="38">IF(F26="","",IF(ISERROR(VLOOKUP($F26,SOW,3,FALSE)),0,VLOOKUP($F26,SOW,3,FALSE)*24))</f>
        <v>0</v>
      </c>
      <c r="L26" s="254">
        <v>2</v>
      </c>
      <c r="M26" s="341" t="str">
        <f t="shared" ca="1" si="2"/>
        <v>Store Locator DST SIT実施及びスクリプト作成</v>
      </c>
      <c r="N26" s="341"/>
      <c r="O26" s="342"/>
      <c r="P26" s="255" t="str">
        <f t="shared" ca="1" si="10"/>
        <v>202002D.B.002</v>
      </c>
      <c r="Q26" s="256" t="e">
        <f t="shared" ref="Q26" ca="1" si="39">IF($B26&lt;&gt;"",TEXT(TEXT(YEAR($B26),"0000")&amp;TEXT(MONTH($B26),"00")&amp;$I26&amp;"@"&amp;LEFT($E$2,SEARCH("　",$E$2,1)-1)&amp;"@"&amp;L26,"@"),"")</f>
        <v>#VALUE!</v>
      </c>
      <c r="R26" s="256" t="str">
        <f t="shared" si="5"/>
        <v>202002REQ21569</v>
      </c>
      <c r="S26" s="257" t="e">
        <f t="shared" ref="S26" ca="1" si="40">IF($B26&lt;&gt;"",TEXT(YEAR($B26),"0000")&amp;TEXT(MONTH($B26),"00")&amp;$J26&amp;"@"&amp;LEFT($E$2,SEARCH("　",$E$2,1)-1)&amp;"@"&amp;L26,"")</f>
        <v>#VALUE!</v>
      </c>
      <c r="T26" s="219" t="str">
        <f t="shared" si="7"/>
        <v>20200227Digital Business Support</v>
      </c>
      <c r="U26" s="258"/>
    </row>
    <row r="27" spans="1:21" ht="22.5" x14ac:dyDescent="0.15">
      <c r="A27" s="261"/>
      <c r="B27" s="249">
        <v>43906</v>
      </c>
      <c r="C27" s="314" t="s">
        <v>184</v>
      </c>
      <c r="D27" s="250" t="s">
        <v>220</v>
      </c>
      <c r="E27" s="251" t="s">
        <v>195</v>
      </c>
      <c r="F27" s="335" t="s">
        <v>195</v>
      </c>
      <c r="G27" s="336"/>
      <c r="H27" s="337"/>
      <c r="I27" s="252" t="str">
        <f t="shared" ca="1" si="0"/>
        <v>D.B.007</v>
      </c>
      <c r="J27" s="248" t="s">
        <v>277</v>
      </c>
      <c r="K27" s="253">
        <f t="shared" ca="1" si="1"/>
        <v>0</v>
      </c>
      <c r="L27" s="254">
        <v>8</v>
      </c>
      <c r="M27" s="341" t="str">
        <f t="shared" ca="1" si="2"/>
        <v>MyAcuvue DST SIT実施及びスクリプト作成</v>
      </c>
      <c r="N27" s="341"/>
      <c r="O27" s="342"/>
      <c r="P27" s="255" t="str">
        <f t="shared" ca="1" si="10"/>
        <v>202003D.B.007</v>
      </c>
      <c r="Q27" s="256" t="e">
        <f t="shared" ca="1" si="11"/>
        <v>#VALUE!</v>
      </c>
      <c r="R27" s="256" t="str">
        <f t="shared" si="5"/>
        <v>202003REQ21568</v>
      </c>
      <c r="S27" s="257" t="e">
        <f t="shared" ca="1" si="6"/>
        <v>#VALUE!</v>
      </c>
      <c r="T27" s="219" t="str">
        <f t="shared" si="7"/>
        <v>20200316Digital Business Support</v>
      </c>
      <c r="U27" s="258"/>
    </row>
    <row r="28" spans="1:21" ht="22.5" x14ac:dyDescent="0.15">
      <c r="A28" s="223"/>
      <c r="B28" s="249">
        <v>43907</v>
      </c>
      <c r="C28" s="314" t="s">
        <v>184</v>
      </c>
      <c r="D28" s="250" t="s">
        <v>220</v>
      </c>
      <c r="E28" s="251" t="s">
        <v>195</v>
      </c>
      <c r="F28" s="335" t="s">
        <v>195</v>
      </c>
      <c r="G28" s="336"/>
      <c r="H28" s="337"/>
      <c r="I28" s="252" t="str">
        <f t="shared" ca="1" si="0"/>
        <v>D.B.007</v>
      </c>
      <c r="J28" s="248" t="s">
        <v>277</v>
      </c>
      <c r="K28" s="253">
        <f t="shared" ca="1" si="1"/>
        <v>0</v>
      </c>
      <c r="L28" s="254">
        <v>7</v>
      </c>
      <c r="M28" s="341" t="str">
        <f t="shared" ca="1" si="2"/>
        <v>MyAcuvue DST SIT実施及びスクリプト作成</v>
      </c>
      <c r="N28" s="341"/>
      <c r="O28" s="342"/>
      <c r="P28" s="255" t="str">
        <f t="shared" ca="1" si="10"/>
        <v>202003D.B.007</v>
      </c>
      <c r="Q28" s="256" t="e">
        <f t="shared" ca="1" si="11"/>
        <v>#VALUE!</v>
      </c>
      <c r="R28" s="256" t="str">
        <f t="shared" si="5"/>
        <v>202003REQ21568</v>
      </c>
      <c r="S28" s="257" t="e">
        <f t="shared" ca="1" si="6"/>
        <v>#VALUE!</v>
      </c>
      <c r="T28" s="219" t="str">
        <f t="shared" si="7"/>
        <v>20200317Digital Business Support</v>
      </c>
      <c r="U28" s="258"/>
    </row>
    <row r="29" spans="1:21" ht="22.5" x14ac:dyDescent="0.15">
      <c r="A29" s="223"/>
      <c r="B29" s="249">
        <v>43908</v>
      </c>
      <c r="C29" s="314" t="s">
        <v>184</v>
      </c>
      <c r="D29" s="250" t="s">
        <v>220</v>
      </c>
      <c r="E29" s="251" t="s">
        <v>195</v>
      </c>
      <c r="F29" s="335" t="s">
        <v>195</v>
      </c>
      <c r="G29" s="336"/>
      <c r="H29" s="337"/>
      <c r="I29" s="252" t="str">
        <f t="shared" ca="1" si="0"/>
        <v>D.B.007</v>
      </c>
      <c r="J29" s="248" t="s">
        <v>277</v>
      </c>
      <c r="K29" s="253">
        <f t="shared" ca="1" si="1"/>
        <v>0</v>
      </c>
      <c r="L29" s="254">
        <v>7</v>
      </c>
      <c r="M29" s="341" t="str">
        <f t="shared" ca="1" si="2"/>
        <v>MyAcuvue DST SIT実施及びスクリプト作成</v>
      </c>
      <c r="N29" s="341"/>
      <c r="O29" s="342"/>
      <c r="P29" s="255" t="str">
        <f t="shared" ca="1" si="10"/>
        <v>202003D.B.007</v>
      </c>
      <c r="Q29" s="256" t="e">
        <f t="shared" ca="1" si="11"/>
        <v>#VALUE!</v>
      </c>
      <c r="R29" s="256" t="str">
        <f t="shared" si="5"/>
        <v>202003REQ21568</v>
      </c>
      <c r="S29" s="257" t="e">
        <f t="shared" ca="1" si="6"/>
        <v>#VALUE!</v>
      </c>
      <c r="T29" s="219" t="str">
        <f t="shared" si="7"/>
        <v>20200318Digital Business Support</v>
      </c>
      <c r="U29" s="258"/>
    </row>
    <row r="30" spans="1:21" ht="22.5" x14ac:dyDescent="0.15">
      <c r="A30" s="223"/>
      <c r="B30" s="249">
        <v>43909</v>
      </c>
      <c r="C30" s="314" t="s">
        <v>184</v>
      </c>
      <c r="D30" s="250" t="s">
        <v>220</v>
      </c>
      <c r="E30" s="251" t="s">
        <v>195</v>
      </c>
      <c r="F30" s="335" t="s">
        <v>195</v>
      </c>
      <c r="G30" s="336"/>
      <c r="H30" s="337"/>
      <c r="I30" s="252" t="str">
        <f t="shared" ca="1" si="0"/>
        <v>D.B.007</v>
      </c>
      <c r="J30" s="248" t="s">
        <v>277</v>
      </c>
      <c r="K30" s="253">
        <f t="shared" ca="1" si="1"/>
        <v>0</v>
      </c>
      <c r="L30" s="254">
        <v>7</v>
      </c>
      <c r="M30" s="341" t="str">
        <f t="shared" ca="1" si="2"/>
        <v>MyAcuvue DST SIT実施及びスクリプト作成</v>
      </c>
      <c r="N30" s="341"/>
      <c r="O30" s="342"/>
      <c r="P30" s="255" t="str">
        <f t="shared" ca="1" si="10"/>
        <v>202003D.B.007</v>
      </c>
      <c r="Q30" s="256" t="e">
        <f t="shared" ca="1" si="11"/>
        <v>#VALUE!</v>
      </c>
      <c r="R30" s="256" t="str">
        <f t="shared" si="5"/>
        <v>202003REQ21568</v>
      </c>
      <c r="S30" s="257" t="e">
        <f t="shared" ca="1" si="6"/>
        <v>#VALUE!</v>
      </c>
      <c r="T30" s="219" t="str">
        <f t="shared" si="7"/>
        <v>20200319Digital Business Support</v>
      </c>
      <c r="U30" s="258"/>
    </row>
    <row r="31" spans="1:21" ht="22.5" x14ac:dyDescent="0.15">
      <c r="A31" s="223"/>
      <c r="B31" s="249">
        <v>43914</v>
      </c>
      <c r="C31" s="314" t="s">
        <v>184</v>
      </c>
      <c r="D31" s="250" t="s">
        <v>220</v>
      </c>
      <c r="E31" s="251" t="s">
        <v>195</v>
      </c>
      <c r="F31" s="335" t="s">
        <v>195</v>
      </c>
      <c r="G31" s="336"/>
      <c r="H31" s="337"/>
      <c r="I31" s="252" t="str">
        <f t="shared" ca="1" si="0"/>
        <v>D.B.007</v>
      </c>
      <c r="J31" s="248" t="s">
        <v>277</v>
      </c>
      <c r="K31" s="253">
        <f t="shared" ca="1" si="1"/>
        <v>0</v>
      </c>
      <c r="L31" s="254">
        <v>4</v>
      </c>
      <c r="M31" s="341" t="str">
        <f t="shared" ca="1" si="2"/>
        <v>MyAcuvue DST SIT実施及びスクリプト作成</v>
      </c>
      <c r="N31" s="341"/>
      <c r="O31" s="342"/>
      <c r="P31" s="255" t="str">
        <f t="shared" ca="1" si="10"/>
        <v>202003D.B.007</v>
      </c>
      <c r="Q31" s="256" t="e">
        <f t="shared" ca="1" si="11"/>
        <v>#VALUE!</v>
      </c>
      <c r="R31" s="256" t="str">
        <f t="shared" si="5"/>
        <v>202003REQ21568</v>
      </c>
      <c r="S31" s="257" t="e">
        <f t="shared" ca="1" si="6"/>
        <v>#VALUE!</v>
      </c>
      <c r="T31" s="219" t="str">
        <f t="shared" si="7"/>
        <v>20200324Digital Business Support</v>
      </c>
      <c r="U31" s="258"/>
    </row>
    <row r="32" spans="1:21" ht="22.5" x14ac:dyDescent="0.15">
      <c r="A32" s="230"/>
      <c r="B32" s="249">
        <v>43915</v>
      </c>
      <c r="C32" s="314" t="s">
        <v>184</v>
      </c>
      <c r="D32" s="250" t="s">
        <v>220</v>
      </c>
      <c r="E32" s="251" t="s">
        <v>195</v>
      </c>
      <c r="F32" s="335" t="s">
        <v>195</v>
      </c>
      <c r="G32" s="336"/>
      <c r="H32" s="337"/>
      <c r="I32" s="252" t="str">
        <f t="shared" ca="1" si="0"/>
        <v>D.B.007</v>
      </c>
      <c r="J32" s="248" t="s">
        <v>277</v>
      </c>
      <c r="K32" s="253">
        <f t="shared" ca="1" si="1"/>
        <v>0</v>
      </c>
      <c r="L32" s="254">
        <v>8</v>
      </c>
      <c r="M32" s="341" t="str">
        <f t="shared" ca="1" si="2"/>
        <v>MyAcuvue DST SIT実施及びスクリプト作成</v>
      </c>
      <c r="N32" s="341"/>
      <c r="O32" s="342"/>
      <c r="P32" s="255" t="str">
        <f t="shared" ca="1" si="10"/>
        <v>202003D.B.007</v>
      </c>
      <c r="Q32" s="256" t="e">
        <f t="shared" ca="1" si="11"/>
        <v>#VALUE!</v>
      </c>
      <c r="R32" s="256" t="str">
        <f t="shared" si="5"/>
        <v>202003REQ21568</v>
      </c>
      <c r="S32" s="257" t="e">
        <f t="shared" ca="1" si="6"/>
        <v>#VALUE!</v>
      </c>
      <c r="T32" s="219" t="str">
        <f t="shared" si="7"/>
        <v>20200325Digital Business Support</v>
      </c>
      <c r="U32" s="258"/>
    </row>
    <row r="33" spans="1:21" ht="22.5" x14ac:dyDescent="0.15">
      <c r="A33" s="230"/>
      <c r="B33" s="249">
        <v>43916</v>
      </c>
      <c r="C33" s="314" t="s">
        <v>184</v>
      </c>
      <c r="D33" s="250" t="s">
        <v>220</v>
      </c>
      <c r="E33" s="251" t="s">
        <v>195</v>
      </c>
      <c r="F33" s="335" t="s">
        <v>195</v>
      </c>
      <c r="G33" s="336"/>
      <c r="H33" s="337"/>
      <c r="I33" s="252" t="str">
        <f t="shared" ca="1" si="0"/>
        <v>D.B.007</v>
      </c>
      <c r="J33" s="248" t="s">
        <v>277</v>
      </c>
      <c r="K33" s="253">
        <f t="shared" ca="1" si="1"/>
        <v>0</v>
      </c>
      <c r="L33" s="254">
        <v>8</v>
      </c>
      <c r="M33" s="341" t="str">
        <f t="shared" ca="1" si="2"/>
        <v>MyAcuvue DST SIT実施及びスクリプト作成</v>
      </c>
      <c r="N33" s="341"/>
      <c r="O33" s="342"/>
      <c r="P33" s="255" t="str">
        <f t="shared" ca="1" si="10"/>
        <v>202003D.B.007</v>
      </c>
      <c r="Q33" s="256" t="e">
        <f t="shared" ca="1" si="11"/>
        <v>#VALUE!</v>
      </c>
      <c r="R33" s="256" t="str">
        <f t="shared" si="5"/>
        <v>202003REQ21568</v>
      </c>
      <c r="S33" s="257" t="e">
        <f t="shared" ca="1" si="6"/>
        <v>#VALUE!</v>
      </c>
      <c r="T33" s="219" t="str">
        <f t="shared" si="7"/>
        <v>20200326Digital Business Support</v>
      </c>
      <c r="U33" s="258"/>
    </row>
    <row r="34" spans="1:21" ht="22.5" x14ac:dyDescent="0.15">
      <c r="B34" s="249">
        <v>43917</v>
      </c>
      <c r="C34" s="314" t="s">
        <v>184</v>
      </c>
      <c r="D34" s="250" t="s">
        <v>220</v>
      </c>
      <c r="E34" s="251" t="s">
        <v>195</v>
      </c>
      <c r="F34" s="335" t="s">
        <v>195</v>
      </c>
      <c r="G34" s="336"/>
      <c r="H34" s="337"/>
      <c r="I34" s="252" t="str">
        <f t="shared" ca="1" si="0"/>
        <v>D.B.007</v>
      </c>
      <c r="J34" s="248" t="s">
        <v>277</v>
      </c>
      <c r="K34" s="253">
        <f t="shared" ca="1" si="1"/>
        <v>0</v>
      </c>
      <c r="L34" s="254">
        <v>4</v>
      </c>
      <c r="M34" s="341" t="str">
        <f t="shared" ca="1" si="2"/>
        <v>MyAcuvue DST SIT実施及びスクリプト作成</v>
      </c>
      <c r="N34" s="341"/>
      <c r="O34" s="342"/>
      <c r="P34" s="255" t="str">
        <f t="shared" ca="1" si="10"/>
        <v>202003D.B.007</v>
      </c>
      <c r="Q34" s="256" t="e">
        <f t="shared" ca="1" si="11"/>
        <v>#VALUE!</v>
      </c>
      <c r="R34" s="256" t="str">
        <f t="shared" si="5"/>
        <v>202003REQ21568</v>
      </c>
      <c r="S34" s="257" t="e">
        <f t="shared" ca="1" si="6"/>
        <v>#VALUE!</v>
      </c>
      <c r="T34" s="219" t="str">
        <f t="shared" si="7"/>
        <v>20200327Digital Business Support</v>
      </c>
      <c r="U34" s="258"/>
    </row>
    <row r="35" spans="1:21" ht="22.5" x14ac:dyDescent="0.15">
      <c r="B35" s="249">
        <v>43937</v>
      </c>
      <c r="C35" s="314" t="s">
        <v>184</v>
      </c>
      <c r="D35" s="250" t="s">
        <v>220</v>
      </c>
      <c r="E35" s="251" t="s">
        <v>195</v>
      </c>
      <c r="F35" s="335" t="s">
        <v>195</v>
      </c>
      <c r="G35" s="336"/>
      <c r="H35" s="337"/>
      <c r="I35" s="252" t="str">
        <f t="shared" ca="1" si="0"/>
        <v>D.B.007</v>
      </c>
      <c r="J35" s="248" t="s">
        <v>284</v>
      </c>
      <c r="K35" s="253">
        <f t="shared" ca="1" si="1"/>
        <v>0</v>
      </c>
      <c r="L35" s="254">
        <v>11</v>
      </c>
      <c r="M35" s="341" t="str">
        <f t="shared" ca="1" si="2"/>
        <v>MyAcuvue+のテストスクリプト作成/テスト実施</v>
      </c>
      <c r="N35" s="341"/>
      <c r="O35" s="342"/>
      <c r="P35" s="255" t="str">
        <f t="shared" ca="1" si="10"/>
        <v>202004D.B.007</v>
      </c>
      <c r="Q35" s="256" t="e">
        <f t="shared" ca="1" si="11"/>
        <v>#VALUE!</v>
      </c>
      <c r="R35" s="256" t="str">
        <f t="shared" si="5"/>
        <v>202004REQ21871</v>
      </c>
      <c r="S35" s="257" t="e">
        <f t="shared" ca="1" si="6"/>
        <v>#VALUE!</v>
      </c>
      <c r="T35" s="219" t="str">
        <f t="shared" si="7"/>
        <v>20200416Digital Business Support</v>
      </c>
      <c r="U35" s="258"/>
    </row>
    <row r="36" spans="1:21" ht="22.5" x14ac:dyDescent="0.15">
      <c r="B36" s="249">
        <v>43938</v>
      </c>
      <c r="C36" s="314" t="s">
        <v>184</v>
      </c>
      <c r="D36" s="250" t="s">
        <v>220</v>
      </c>
      <c r="E36" s="251" t="s">
        <v>195</v>
      </c>
      <c r="F36" s="335" t="s">
        <v>195</v>
      </c>
      <c r="G36" s="336"/>
      <c r="H36" s="337"/>
      <c r="I36" s="252" t="str">
        <f t="shared" ca="1" si="0"/>
        <v>D.B.007</v>
      </c>
      <c r="J36" s="248" t="s">
        <v>284</v>
      </c>
      <c r="K36" s="253">
        <f t="shared" ref="K36" ca="1" si="41">IF(F36="","",IF(ISERROR(VLOOKUP($F36,SOW,3,FALSE)),0,VLOOKUP($F36,SOW,3,FALSE)*24))</f>
        <v>0</v>
      </c>
      <c r="L36" s="254">
        <v>9</v>
      </c>
      <c r="M36" s="341" t="str">
        <f t="shared" ca="1" si="2"/>
        <v>MyAcuvue+のテストスクリプト作成/テスト実施</v>
      </c>
      <c r="N36" s="341"/>
      <c r="O36" s="342"/>
      <c r="P36" s="255" t="str">
        <f t="shared" ca="1" si="10"/>
        <v>202004D.B.007</v>
      </c>
      <c r="Q36" s="256" t="e">
        <f t="shared" ref="Q36" ca="1" si="42">IF($B36&lt;&gt;"",TEXT(TEXT(YEAR($B36),"0000")&amp;TEXT(MONTH($B36),"00")&amp;$I36&amp;"@"&amp;LEFT($E$2,SEARCH("　",$E$2,1)-1)&amp;"@"&amp;L36,"@"),"")</f>
        <v>#VALUE!</v>
      </c>
      <c r="R36" s="256" t="str">
        <f t="shared" si="5"/>
        <v>202004REQ21871</v>
      </c>
      <c r="S36" s="257" t="e">
        <f t="shared" ref="S36" ca="1" si="43">IF($B36&lt;&gt;"",TEXT(YEAR($B36),"0000")&amp;TEXT(MONTH($B36),"00")&amp;$J36&amp;"@"&amp;LEFT($E$2,SEARCH("　",$E$2,1)-1)&amp;"@"&amp;L36,"")</f>
        <v>#VALUE!</v>
      </c>
      <c r="T36" s="219" t="str">
        <f t="shared" si="7"/>
        <v>20200417Digital Business Support</v>
      </c>
      <c r="U36" s="258"/>
    </row>
    <row r="37" spans="1:21" ht="22.5" x14ac:dyDescent="0.15">
      <c r="B37" s="249">
        <v>43941</v>
      </c>
      <c r="C37" s="314" t="s">
        <v>184</v>
      </c>
      <c r="D37" s="250" t="s">
        <v>220</v>
      </c>
      <c r="E37" s="251" t="s">
        <v>195</v>
      </c>
      <c r="F37" s="335" t="s">
        <v>195</v>
      </c>
      <c r="G37" s="336"/>
      <c r="H37" s="337"/>
      <c r="I37" s="252" t="str">
        <f t="shared" ca="1" si="0"/>
        <v>D.B.007</v>
      </c>
      <c r="J37" s="248" t="s">
        <v>284</v>
      </c>
      <c r="K37" s="253">
        <f t="shared" ca="1" si="1"/>
        <v>0</v>
      </c>
      <c r="L37" s="254">
        <v>10</v>
      </c>
      <c r="M37" s="341" t="str">
        <f t="shared" ca="1" si="2"/>
        <v>MyAcuvue+のテストスクリプト作成/テスト実施</v>
      </c>
      <c r="N37" s="341"/>
      <c r="O37" s="342"/>
      <c r="P37" s="255" t="str">
        <f t="shared" ca="1" si="10"/>
        <v>202004D.B.007</v>
      </c>
      <c r="Q37" s="256" t="e">
        <f t="shared" ca="1" si="11"/>
        <v>#VALUE!</v>
      </c>
      <c r="R37" s="256" t="str">
        <f t="shared" si="5"/>
        <v>202004REQ21871</v>
      </c>
      <c r="S37" s="257" t="e">
        <f t="shared" ca="1" si="6"/>
        <v>#VALUE!</v>
      </c>
      <c r="T37" s="219" t="str">
        <f t="shared" si="7"/>
        <v>20200420Digital Business Support</v>
      </c>
      <c r="U37" s="258"/>
    </row>
    <row r="38" spans="1:21" ht="22.5" x14ac:dyDescent="0.15">
      <c r="A38" s="261"/>
      <c r="B38" s="249">
        <v>43942</v>
      </c>
      <c r="C38" s="314" t="s">
        <v>184</v>
      </c>
      <c r="D38" s="250" t="s">
        <v>220</v>
      </c>
      <c r="E38" s="251" t="s">
        <v>195</v>
      </c>
      <c r="F38" s="335" t="s">
        <v>195</v>
      </c>
      <c r="G38" s="336"/>
      <c r="H38" s="337"/>
      <c r="I38" s="252" t="str">
        <f t="shared" ca="1" si="0"/>
        <v>D.B.007</v>
      </c>
      <c r="J38" s="248" t="s">
        <v>284</v>
      </c>
      <c r="K38" s="253">
        <f t="shared" ca="1" si="1"/>
        <v>0</v>
      </c>
      <c r="L38" s="254">
        <v>11</v>
      </c>
      <c r="M38" s="341" t="str">
        <f t="shared" ca="1" si="2"/>
        <v>MyAcuvue+のテストスクリプト作成/テスト実施</v>
      </c>
      <c r="N38" s="341"/>
      <c r="O38" s="342"/>
      <c r="P38" s="255" t="str">
        <f t="shared" ca="1" si="10"/>
        <v>202004D.B.007</v>
      </c>
      <c r="Q38" s="256" t="e">
        <f t="shared" ca="1" si="11"/>
        <v>#VALUE!</v>
      </c>
      <c r="R38" s="256" t="str">
        <f t="shared" si="5"/>
        <v>202004REQ21871</v>
      </c>
      <c r="S38" s="257" t="e">
        <f t="shared" ca="1" si="6"/>
        <v>#VALUE!</v>
      </c>
      <c r="T38" s="219" t="str">
        <f t="shared" si="7"/>
        <v>20200421Digital Business Support</v>
      </c>
      <c r="U38" s="258"/>
    </row>
    <row r="39" spans="1:21" ht="22.5" x14ac:dyDescent="0.15">
      <c r="A39" s="261"/>
      <c r="B39" s="249">
        <v>43943</v>
      </c>
      <c r="C39" s="314" t="s">
        <v>184</v>
      </c>
      <c r="D39" s="250" t="s">
        <v>220</v>
      </c>
      <c r="E39" s="251" t="s">
        <v>195</v>
      </c>
      <c r="F39" s="335" t="s">
        <v>195</v>
      </c>
      <c r="G39" s="336"/>
      <c r="H39" s="337"/>
      <c r="I39" s="252" t="str">
        <f t="shared" ca="1" si="0"/>
        <v>D.B.007</v>
      </c>
      <c r="J39" s="248" t="s">
        <v>284</v>
      </c>
      <c r="K39" s="253">
        <f t="shared" ca="1" si="1"/>
        <v>0</v>
      </c>
      <c r="L39" s="254">
        <v>8</v>
      </c>
      <c r="M39" s="341" t="str">
        <f t="shared" ca="1" si="2"/>
        <v>MyAcuvue+のテストスクリプト作成/テスト実施</v>
      </c>
      <c r="N39" s="341"/>
      <c r="O39" s="342"/>
      <c r="P39" s="255" t="str">
        <f t="shared" ca="1" si="10"/>
        <v>202004D.B.007</v>
      </c>
      <c r="Q39" s="256" t="e">
        <f t="shared" ca="1" si="11"/>
        <v>#VALUE!</v>
      </c>
      <c r="R39" s="256" t="str">
        <f t="shared" si="5"/>
        <v>202004REQ21871</v>
      </c>
      <c r="S39" s="257" t="e">
        <f t="shared" ca="1" si="6"/>
        <v>#VALUE!</v>
      </c>
      <c r="T39" s="219" t="str">
        <f t="shared" si="7"/>
        <v>20200422Digital Business Support</v>
      </c>
      <c r="U39" s="258"/>
    </row>
    <row r="40" spans="1:21" ht="22.5" x14ac:dyDescent="0.15">
      <c r="A40" s="261"/>
      <c r="B40" s="249">
        <v>43944</v>
      </c>
      <c r="C40" s="314" t="s">
        <v>184</v>
      </c>
      <c r="D40" s="250" t="s">
        <v>220</v>
      </c>
      <c r="E40" s="251" t="s">
        <v>195</v>
      </c>
      <c r="F40" s="335" t="s">
        <v>195</v>
      </c>
      <c r="G40" s="336"/>
      <c r="H40" s="337"/>
      <c r="I40" s="252" t="str">
        <f t="shared" ca="1" si="0"/>
        <v>D.B.007</v>
      </c>
      <c r="J40" s="248" t="s">
        <v>284</v>
      </c>
      <c r="K40" s="253">
        <f t="shared" ca="1" si="1"/>
        <v>0</v>
      </c>
      <c r="L40" s="254">
        <v>8</v>
      </c>
      <c r="M40" s="341" t="str">
        <f t="shared" ca="1" si="2"/>
        <v>MyAcuvue+のテストスクリプト作成/テスト実施</v>
      </c>
      <c r="N40" s="341"/>
      <c r="O40" s="342"/>
      <c r="P40" s="255" t="str">
        <f t="shared" ca="1" si="10"/>
        <v>202004D.B.007</v>
      </c>
      <c r="Q40" s="256" t="e">
        <f t="shared" ca="1" si="11"/>
        <v>#VALUE!</v>
      </c>
      <c r="R40" s="256" t="str">
        <f t="shared" si="5"/>
        <v>202004REQ21871</v>
      </c>
      <c r="S40" s="257" t="e">
        <f t="shared" ca="1" si="6"/>
        <v>#VALUE!</v>
      </c>
      <c r="T40" s="219" t="str">
        <f t="shared" si="7"/>
        <v>20200423Digital Business Support</v>
      </c>
      <c r="U40" s="258"/>
    </row>
    <row r="41" spans="1:21" ht="22.5" x14ac:dyDescent="0.15">
      <c r="A41" s="230"/>
      <c r="B41" s="249">
        <v>43958</v>
      </c>
      <c r="C41" s="314" t="s">
        <v>184</v>
      </c>
      <c r="D41" s="250" t="s">
        <v>151</v>
      </c>
      <c r="E41" s="251" t="s">
        <v>196</v>
      </c>
      <c r="F41" s="335" t="s">
        <v>196</v>
      </c>
      <c r="G41" s="336"/>
      <c r="H41" s="337"/>
      <c r="I41" s="252" t="str">
        <f t="shared" ca="1" si="0"/>
        <v>D.B.003</v>
      </c>
      <c r="J41" s="248" t="s">
        <v>276</v>
      </c>
      <c r="K41" s="253">
        <f t="shared" ca="1" si="1"/>
        <v>0</v>
      </c>
      <c r="L41" s="260">
        <v>8</v>
      </c>
      <c r="M41" s="338" t="e">
        <f t="shared" ca="1" si="2"/>
        <v>#N/A</v>
      </c>
      <c r="N41" s="339"/>
      <c r="O41" s="340"/>
      <c r="P41" s="255" t="str">
        <f t="shared" ca="1" si="10"/>
        <v>202005D.B.003</v>
      </c>
      <c r="Q41" s="256" t="e">
        <f t="shared" ca="1" si="11"/>
        <v>#VALUE!</v>
      </c>
      <c r="R41" s="256" t="str">
        <f t="shared" si="5"/>
        <v>202005REQ20445</v>
      </c>
      <c r="S41" s="257" t="e">
        <f t="shared" ca="1" si="6"/>
        <v>#VALUE!</v>
      </c>
      <c r="T41" s="219" t="str">
        <f t="shared" si="7"/>
        <v>20200507Digital Business Support</v>
      </c>
      <c r="U41" s="258" t="s">
        <v>273</v>
      </c>
    </row>
    <row r="42" spans="1:21" ht="22.5" x14ac:dyDescent="0.15">
      <c r="A42" s="230"/>
      <c r="B42" s="249">
        <v>43959</v>
      </c>
      <c r="C42" s="314" t="s">
        <v>184</v>
      </c>
      <c r="D42" s="250" t="s">
        <v>151</v>
      </c>
      <c r="E42" s="251" t="s">
        <v>196</v>
      </c>
      <c r="F42" s="335" t="s">
        <v>196</v>
      </c>
      <c r="G42" s="336"/>
      <c r="H42" s="337"/>
      <c r="I42" s="252" t="str">
        <f t="shared" ca="1" si="0"/>
        <v>D.B.003</v>
      </c>
      <c r="J42" s="248" t="s">
        <v>276</v>
      </c>
      <c r="K42" s="253">
        <f t="shared" ref="K42" ca="1" si="44">IF(F42="","",IF(ISERROR(VLOOKUP($F42,SOW,3,FALSE)),0,VLOOKUP($F42,SOW,3,FALSE)*24))</f>
        <v>0</v>
      </c>
      <c r="L42" s="260">
        <v>8</v>
      </c>
      <c r="M42" s="338" t="e">
        <f t="shared" ca="1" si="2"/>
        <v>#N/A</v>
      </c>
      <c r="N42" s="339"/>
      <c r="O42" s="340"/>
      <c r="P42" s="255" t="str">
        <f t="shared" ca="1" si="10"/>
        <v>202005D.B.003</v>
      </c>
      <c r="Q42" s="256" t="e">
        <f t="shared" ref="Q42" ca="1" si="45">IF($B42&lt;&gt;"",TEXT(TEXT(YEAR($B42),"0000")&amp;TEXT(MONTH($B42),"00")&amp;$I42&amp;"@"&amp;LEFT($E$2,SEARCH("　",$E$2,1)-1)&amp;"@"&amp;L42,"@"),"")</f>
        <v>#VALUE!</v>
      </c>
      <c r="R42" s="256" t="str">
        <f t="shared" si="5"/>
        <v>202005REQ20445</v>
      </c>
      <c r="S42" s="257" t="e">
        <f t="shared" ref="S42" ca="1" si="46">IF($B42&lt;&gt;"",TEXT(YEAR($B42),"0000")&amp;TEXT(MONTH($B42),"00")&amp;$J42&amp;"@"&amp;LEFT($E$2,SEARCH("　",$E$2,1)-1)&amp;"@"&amp;L42,"")</f>
        <v>#VALUE!</v>
      </c>
      <c r="T42" s="219" t="str">
        <f t="shared" si="7"/>
        <v>20200508Digital Business Support</v>
      </c>
      <c r="U42" s="258" t="s">
        <v>273</v>
      </c>
    </row>
    <row r="43" spans="1:21" ht="22.5" x14ac:dyDescent="0.15">
      <c r="A43" s="223"/>
      <c r="B43" s="249">
        <v>43969</v>
      </c>
      <c r="C43" s="314" t="s">
        <v>184</v>
      </c>
      <c r="D43" s="250" t="s">
        <v>151</v>
      </c>
      <c r="E43" s="251" t="s">
        <v>195</v>
      </c>
      <c r="F43" s="335" t="s">
        <v>195</v>
      </c>
      <c r="G43" s="336"/>
      <c r="H43" s="337"/>
      <c r="I43" s="252" t="str">
        <f t="shared" ca="1" si="0"/>
        <v>D.B.002</v>
      </c>
      <c r="J43" s="248" t="s">
        <v>278</v>
      </c>
      <c r="K43" s="253">
        <f t="shared" ref="K43" ca="1" si="47">IF(F43="","",IF(ISERROR(VLOOKUP($F43,SOW,3,FALSE)),0,VLOOKUP($F43,SOW,3,FALSE)*24))</f>
        <v>0</v>
      </c>
      <c r="L43" s="254">
        <v>3</v>
      </c>
      <c r="M43" s="341" t="str">
        <f t="shared" ca="1" si="2"/>
        <v>Store Locator DST SIT実施及びスクリプト作成</v>
      </c>
      <c r="N43" s="341"/>
      <c r="O43" s="342"/>
      <c r="P43" s="255" t="str">
        <f t="shared" ca="1" si="10"/>
        <v>202005D.B.002</v>
      </c>
      <c r="Q43" s="256" t="e">
        <f t="shared" ref="Q43" ca="1" si="48">IF($B43&lt;&gt;"",TEXT(TEXT(YEAR($B43),"0000")&amp;TEXT(MONTH($B43),"00")&amp;$I43&amp;"@"&amp;LEFT($E$2,SEARCH("　",$E$2,1)-1)&amp;"@"&amp;L43,"@"),"")</f>
        <v>#VALUE!</v>
      </c>
      <c r="R43" s="256" t="str">
        <f t="shared" si="5"/>
        <v>202005REQ21569</v>
      </c>
      <c r="S43" s="257" t="e">
        <f t="shared" ref="S43" ca="1" si="49">IF($B43&lt;&gt;"",TEXT(YEAR($B43),"0000")&amp;TEXT(MONTH($B43),"00")&amp;$J43&amp;"@"&amp;LEFT($E$2,SEARCH("　",$E$2,1)-1)&amp;"@"&amp;L43,"")</f>
        <v>#VALUE!</v>
      </c>
      <c r="T43" s="219" t="str">
        <f t="shared" si="7"/>
        <v>20200518Digital Business Support</v>
      </c>
      <c r="U43" s="258"/>
    </row>
    <row r="44" spans="1:21" ht="22.5" x14ac:dyDescent="0.15">
      <c r="A44" s="261"/>
      <c r="B44" s="249">
        <v>43970</v>
      </c>
      <c r="C44" s="314" t="s">
        <v>184</v>
      </c>
      <c r="D44" s="250" t="s">
        <v>151</v>
      </c>
      <c r="E44" s="251" t="s">
        <v>195</v>
      </c>
      <c r="F44" s="335" t="s">
        <v>195</v>
      </c>
      <c r="G44" s="336"/>
      <c r="H44" s="337"/>
      <c r="I44" s="252" t="str">
        <f t="shared" ca="1" si="0"/>
        <v>D.B.002</v>
      </c>
      <c r="J44" s="248" t="s">
        <v>278</v>
      </c>
      <c r="K44" s="253">
        <f t="shared" ref="K44:K46" ca="1" si="50">IF(F44="","",IF(ISERROR(VLOOKUP($F44,SOW,3,FALSE)),0,VLOOKUP($F44,SOW,3,FALSE)*24))</f>
        <v>0</v>
      </c>
      <c r="L44" s="254">
        <v>5</v>
      </c>
      <c r="M44" s="341" t="str">
        <f t="shared" ca="1" si="2"/>
        <v>Store Locator DST SIT実施及びスクリプト作成</v>
      </c>
      <c r="N44" s="341"/>
      <c r="O44" s="342"/>
      <c r="P44" s="255" t="str">
        <f t="shared" ca="1" si="10"/>
        <v>202005D.B.002</v>
      </c>
      <c r="Q44" s="256" t="e">
        <f t="shared" ca="1" si="11"/>
        <v>#VALUE!</v>
      </c>
      <c r="R44" s="256" t="str">
        <f t="shared" si="5"/>
        <v>202005REQ21569</v>
      </c>
      <c r="S44" s="257" t="e">
        <f t="shared" ca="1" si="6"/>
        <v>#VALUE!</v>
      </c>
      <c r="T44" s="219" t="str">
        <f t="shared" si="7"/>
        <v>20200519Digital Business Support</v>
      </c>
      <c r="U44" s="258"/>
    </row>
    <row r="45" spans="1:21" ht="22.5" x14ac:dyDescent="0.15">
      <c r="A45" s="223"/>
      <c r="B45" s="249">
        <v>43971</v>
      </c>
      <c r="C45" s="314" t="s">
        <v>184</v>
      </c>
      <c r="D45" s="250" t="s">
        <v>151</v>
      </c>
      <c r="E45" s="251" t="s">
        <v>195</v>
      </c>
      <c r="F45" s="335" t="s">
        <v>195</v>
      </c>
      <c r="G45" s="336"/>
      <c r="H45" s="337"/>
      <c r="I45" s="252" t="str">
        <f t="shared" ca="1" si="0"/>
        <v>D.B.002</v>
      </c>
      <c r="J45" s="248" t="s">
        <v>278</v>
      </c>
      <c r="K45" s="253">
        <f t="shared" ca="1" si="50"/>
        <v>0</v>
      </c>
      <c r="L45" s="254">
        <v>4</v>
      </c>
      <c r="M45" s="341" t="str">
        <f t="shared" ca="1" si="2"/>
        <v>Store Locator DST SIT実施及びスクリプト作成</v>
      </c>
      <c r="N45" s="341"/>
      <c r="O45" s="342"/>
      <c r="P45" s="255" t="str">
        <f t="shared" ca="1" si="10"/>
        <v>202005D.B.002</v>
      </c>
      <c r="Q45" s="256" t="e">
        <f t="shared" ca="1" si="11"/>
        <v>#VALUE!</v>
      </c>
      <c r="R45" s="256" t="str">
        <f t="shared" si="5"/>
        <v>202005REQ21569</v>
      </c>
      <c r="S45" s="257" t="e">
        <f t="shared" ca="1" si="6"/>
        <v>#VALUE!</v>
      </c>
      <c r="T45" s="219" t="str">
        <f t="shared" si="7"/>
        <v>20200520Digital Business Support</v>
      </c>
      <c r="U45" s="258"/>
    </row>
    <row r="46" spans="1:21" ht="22.5" x14ac:dyDescent="0.15">
      <c r="A46" s="223"/>
      <c r="B46" s="249">
        <v>43972</v>
      </c>
      <c r="C46" s="314" t="s">
        <v>184</v>
      </c>
      <c r="D46" s="250" t="s">
        <v>151</v>
      </c>
      <c r="E46" s="251" t="s">
        <v>195</v>
      </c>
      <c r="F46" s="335" t="s">
        <v>195</v>
      </c>
      <c r="G46" s="336"/>
      <c r="H46" s="337"/>
      <c r="I46" s="252" t="str">
        <f t="shared" ca="1" si="0"/>
        <v>D.B.002</v>
      </c>
      <c r="J46" s="248" t="s">
        <v>278</v>
      </c>
      <c r="K46" s="253">
        <f t="shared" ca="1" si="50"/>
        <v>0</v>
      </c>
      <c r="L46" s="254">
        <v>4</v>
      </c>
      <c r="M46" s="341" t="str">
        <f t="shared" ca="1" si="2"/>
        <v>Store Locator DST SIT実施及びスクリプト作成</v>
      </c>
      <c r="N46" s="341"/>
      <c r="O46" s="342"/>
      <c r="P46" s="255" t="str">
        <f t="shared" ca="1" si="10"/>
        <v>202005D.B.002</v>
      </c>
      <c r="Q46" s="256" t="e">
        <f t="shared" ca="1" si="11"/>
        <v>#VALUE!</v>
      </c>
      <c r="R46" s="256" t="str">
        <f t="shared" si="5"/>
        <v>202005REQ21569</v>
      </c>
      <c r="S46" s="257" t="e">
        <f t="shared" ca="1" si="6"/>
        <v>#VALUE!</v>
      </c>
      <c r="T46" s="219" t="str">
        <f t="shared" si="7"/>
        <v>20200521Digital Business Support</v>
      </c>
      <c r="U46" s="258"/>
    </row>
    <row r="47" spans="1:21" ht="22.5" x14ac:dyDescent="0.15">
      <c r="A47" s="223"/>
      <c r="B47" s="249">
        <v>43983</v>
      </c>
      <c r="C47" s="314" t="s">
        <v>184</v>
      </c>
      <c r="D47" s="250" t="s">
        <v>151</v>
      </c>
      <c r="E47" s="251" t="s">
        <v>195</v>
      </c>
      <c r="F47" s="335" t="s">
        <v>195</v>
      </c>
      <c r="G47" s="336"/>
      <c r="H47" s="337"/>
      <c r="I47" s="252" t="str">
        <f t="shared" ca="1" si="0"/>
        <v>D.B.002</v>
      </c>
      <c r="J47" s="248" t="s">
        <v>285</v>
      </c>
      <c r="K47" s="253">
        <f t="shared" ref="K47:K51" ca="1" si="51">IF(F47="","",IF(ISERROR(VLOOKUP($F47,SOW,3,FALSE)),0,VLOOKUP($F47,SOW,3,FALSE)*24))</f>
        <v>0</v>
      </c>
      <c r="L47" s="254">
        <v>4</v>
      </c>
      <c r="M47" s="341" t="str">
        <f t="shared" ca="1" si="2"/>
        <v>フリーワード検索提案資料作成</v>
      </c>
      <c r="N47" s="341"/>
      <c r="O47" s="342"/>
      <c r="P47" s="255" t="str">
        <f t="shared" ref="P47:P74" ca="1" si="52">IF($B47&lt;&gt;"",TEXT(TEXT(YEAR($B47),"0000")&amp;TEXT(MONTH($B47),"00")&amp;$I47,"@"),"")</f>
        <v>202006D.B.002</v>
      </c>
      <c r="Q47" s="256" t="e">
        <f t="shared" ref="Q47:Q74" ca="1" si="53">IF($B47&lt;&gt;"",TEXT(TEXT(YEAR($B47),"0000")&amp;TEXT(MONTH($B47),"00")&amp;$I47&amp;"@"&amp;LEFT($E$2,SEARCH("　",$E$2,1)-1)&amp;"@"&amp;L47,"@"),"")</f>
        <v>#VALUE!</v>
      </c>
      <c r="R47" s="256" t="str">
        <f t="shared" ref="R47:R74" si="54">IF($B47&lt;&gt;"",TEXT(TEXT(YEAR($B47),"0000")&amp;TEXT(MONTH($B47),"00")&amp;$J47,"@"),"")</f>
        <v>202006REQ21554</v>
      </c>
      <c r="S47" s="257" t="e">
        <f t="shared" ref="S47:S74" ca="1" si="55">IF($B47&lt;&gt;"",TEXT(YEAR($B47),"0000")&amp;TEXT(MONTH($B47),"00")&amp;$J47&amp;"@"&amp;LEFT($E$2,SEARCH("　",$E$2,1)-1)&amp;"@"&amp;L47,"")</f>
        <v>#VALUE!</v>
      </c>
      <c r="T47" s="219" t="str">
        <f t="shared" si="7"/>
        <v>20200601Digital Business Support</v>
      </c>
      <c r="U47" s="258"/>
    </row>
    <row r="48" spans="1:21" ht="22.5" x14ac:dyDescent="0.15">
      <c r="A48" s="223"/>
      <c r="B48" s="249">
        <v>43984</v>
      </c>
      <c r="C48" s="314" t="s">
        <v>184</v>
      </c>
      <c r="D48" s="250" t="s">
        <v>151</v>
      </c>
      <c r="E48" s="251" t="s">
        <v>195</v>
      </c>
      <c r="F48" s="335" t="s">
        <v>195</v>
      </c>
      <c r="G48" s="336"/>
      <c r="H48" s="337"/>
      <c r="I48" s="252" t="str">
        <f t="shared" ca="1" si="0"/>
        <v>D.B.002</v>
      </c>
      <c r="J48" s="248" t="s">
        <v>285</v>
      </c>
      <c r="K48" s="253">
        <f t="shared" ca="1" si="51"/>
        <v>0</v>
      </c>
      <c r="L48" s="254">
        <v>6</v>
      </c>
      <c r="M48" s="341" t="str">
        <f t="shared" ca="1" si="2"/>
        <v>フリーワード検索提案資料作成</v>
      </c>
      <c r="N48" s="341"/>
      <c r="O48" s="342"/>
      <c r="P48" s="255" t="str">
        <f t="shared" ca="1" si="52"/>
        <v>202006D.B.002</v>
      </c>
      <c r="Q48" s="256" t="e">
        <f t="shared" ca="1" si="53"/>
        <v>#VALUE!</v>
      </c>
      <c r="R48" s="256" t="str">
        <f t="shared" si="54"/>
        <v>202006REQ21554</v>
      </c>
      <c r="S48" s="257" t="e">
        <f t="shared" ca="1" si="55"/>
        <v>#VALUE!</v>
      </c>
      <c r="T48" s="219" t="str">
        <f t="shared" si="7"/>
        <v>20200602Digital Business Support</v>
      </c>
      <c r="U48" s="258"/>
    </row>
    <row r="49" spans="1:21" ht="22.5" x14ac:dyDescent="0.15">
      <c r="A49" s="230"/>
      <c r="B49" s="249">
        <v>43985</v>
      </c>
      <c r="C49" s="314" t="s">
        <v>184</v>
      </c>
      <c r="D49" s="250" t="s">
        <v>151</v>
      </c>
      <c r="E49" s="251" t="s">
        <v>195</v>
      </c>
      <c r="F49" s="335" t="s">
        <v>195</v>
      </c>
      <c r="G49" s="336"/>
      <c r="H49" s="337"/>
      <c r="I49" s="252" t="str">
        <f t="shared" ca="1" si="0"/>
        <v>D.B.002</v>
      </c>
      <c r="J49" s="248" t="s">
        <v>285</v>
      </c>
      <c r="K49" s="253">
        <f t="shared" ca="1" si="51"/>
        <v>0</v>
      </c>
      <c r="L49" s="254">
        <v>8</v>
      </c>
      <c r="M49" s="341" t="str">
        <f t="shared" ca="1" si="2"/>
        <v>フリーワード検索提案資料作成</v>
      </c>
      <c r="N49" s="341"/>
      <c r="O49" s="342"/>
      <c r="P49" s="255" t="str">
        <f t="shared" ca="1" si="52"/>
        <v>202006D.B.002</v>
      </c>
      <c r="Q49" s="256" t="e">
        <f t="shared" ca="1" si="53"/>
        <v>#VALUE!</v>
      </c>
      <c r="R49" s="256" t="str">
        <f t="shared" si="54"/>
        <v>202006REQ21554</v>
      </c>
      <c r="S49" s="257" t="e">
        <f t="shared" ca="1" si="55"/>
        <v>#VALUE!</v>
      </c>
      <c r="T49" s="219" t="str">
        <f t="shared" si="7"/>
        <v>20200603Digital Business Support</v>
      </c>
      <c r="U49" s="258"/>
    </row>
    <row r="50" spans="1:21" ht="22.5" x14ac:dyDescent="0.15">
      <c r="A50" s="230"/>
      <c r="B50" s="249">
        <v>43986</v>
      </c>
      <c r="C50" s="314" t="s">
        <v>184</v>
      </c>
      <c r="D50" s="250" t="s">
        <v>151</v>
      </c>
      <c r="E50" s="251" t="s">
        <v>195</v>
      </c>
      <c r="F50" s="335" t="s">
        <v>195</v>
      </c>
      <c r="G50" s="336"/>
      <c r="H50" s="337"/>
      <c r="I50" s="252" t="str">
        <f t="shared" ca="1" si="0"/>
        <v>D.B.002</v>
      </c>
      <c r="J50" s="248" t="s">
        <v>285</v>
      </c>
      <c r="K50" s="253">
        <f t="shared" ca="1" si="51"/>
        <v>0</v>
      </c>
      <c r="L50" s="254">
        <v>8</v>
      </c>
      <c r="M50" s="341" t="str">
        <f t="shared" ca="1" si="2"/>
        <v>フリーワード検索提案資料作成</v>
      </c>
      <c r="N50" s="341"/>
      <c r="O50" s="342"/>
      <c r="P50" s="255" t="str">
        <f t="shared" ca="1" si="52"/>
        <v>202006D.B.002</v>
      </c>
      <c r="Q50" s="256" t="e">
        <f t="shared" ca="1" si="53"/>
        <v>#VALUE!</v>
      </c>
      <c r="R50" s="256" t="str">
        <f t="shared" si="54"/>
        <v>202006REQ21554</v>
      </c>
      <c r="S50" s="257" t="e">
        <f t="shared" ca="1" si="55"/>
        <v>#VALUE!</v>
      </c>
      <c r="T50" s="219" t="str">
        <f t="shared" si="7"/>
        <v>20200604Digital Business Support</v>
      </c>
      <c r="U50" s="258"/>
    </row>
    <row r="51" spans="1:21" ht="22.5" x14ac:dyDescent="0.15">
      <c r="B51" s="249">
        <v>43987</v>
      </c>
      <c r="C51" s="314" t="s">
        <v>184</v>
      </c>
      <c r="D51" s="250" t="s">
        <v>151</v>
      </c>
      <c r="E51" s="251" t="s">
        <v>195</v>
      </c>
      <c r="F51" s="335" t="s">
        <v>195</v>
      </c>
      <c r="G51" s="336"/>
      <c r="H51" s="337"/>
      <c r="I51" s="252" t="str">
        <f t="shared" ca="1" si="0"/>
        <v>D.B.002</v>
      </c>
      <c r="J51" s="248" t="s">
        <v>285</v>
      </c>
      <c r="K51" s="253">
        <f t="shared" ca="1" si="51"/>
        <v>0</v>
      </c>
      <c r="L51" s="254">
        <v>8</v>
      </c>
      <c r="M51" s="341" t="str">
        <f t="shared" ca="1" si="2"/>
        <v>フリーワード検索提案資料作成</v>
      </c>
      <c r="N51" s="341"/>
      <c r="O51" s="342"/>
      <c r="P51" s="255" t="str">
        <f t="shared" ca="1" si="52"/>
        <v>202006D.B.002</v>
      </c>
      <c r="Q51" s="256" t="e">
        <f t="shared" ca="1" si="53"/>
        <v>#VALUE!</v>
      </c>
      <c r="R51" s="256" t="str">
        <f t="shared" si="54"/>
        <v>202006REQ21554</v>
      </c>
      <c r="S51" s="257" t="e">
        <f t="shared" ca="1" si="55"/>
        <v>#VALUE!</v>
      </c>
      <c r="T51" s="219" t="str">
        <f t="shared" si="7"/>
        <v>20200605Digital Business Support</v>
      </c>
      <c r="U51" s="258"/>
    </row>
    <row r="52" spans="1:21" ht="11.25" customHeight="1" x14ac:dyDescent="0.15">
      <c r="B52" s="249">
        <v>44007</v>
      </c>
      <c r="C52" s="314" t="s">
        <v>184</v>
      </c>
      <c r="D52" s="250" t="s">
        <v>151</v>
      </c>
      <c r="E52" s="251" t="s">
        <v>195</v>
      </c>
      <c r="F52" s="335" t="s">
        <v>195</v>
      </c>
      <c r="G52" s="336"/>
      <c r="H52" s="337"/>
      <c r="I52" s="252" t="str">
        <f t="shared" ca="1" si="0"/>
        <v>D.B.002</v>
      </c>
      <c r="J52" s="248" t="s">
        <v>285</v>
      </c>
      <c r="K52" s="253">
        <f t="shared" ref="K52:K56" ca="1" si="56">IF(F52="","",IF(ISERROR(VLOOKUP($F52,SOW,3,FALSE)),0,VLOOKUP($F52,SOW,3,FALSE)*24))</f>
        <v>0</v>
      </c>
      <c r="L52" s="254">
        <v>8</v>
      </c>
      <c r="M52" s="341" t="str">
        <f t="shared" ref="M52:M74" ca="1" si="57">IF($F52&lt;&gt;"",IF($J52&lt;&gt;"-",IF($J52="要選択","REQ_IDを選択して下さい。",IF($J52="","REQ_IDを選択して下さい。",VLOOKUP($J52,REQUEST,2,FALSE))),$F52),"")</f>
        <v>フリーワード検索提案資料作成</v>
      </c>
      <c r="N52" s="341"/>
      <c r="O52" s="342"/>
      <c r="P52" s="255" t="str">
        <f t="shared" ca="1" si="52"/>
        <v>202006D.B.002</v>
      </c>
      <c r="Q52" s="256" t="e">
        <f t="shared" ca="1" si="53"/>
        <v>#VALUE!</v>
      </c>
      <c r="R52" s="256" t="str">
        <f t="shared" si="54"/>
        <v>202006REQ21554</v>
      </c>
      <c r="S52" s="257" t="e">
        <f t="shared" ca="1" si="55"/>
        <v>#VALUE!</v>
      </c>
      <c r="T52" s="219" t="str">
        <f t="shared" si="7"/>
        <v>20200625Digital Business Support</v>
      </c>
      <c r="U52" s="258"/>
    </row>
    <row r="53" spans="1:21" ht="11.25" customHeight="1" x14ac:dyDescent="0.15">
      <c r="B53" s="249">
        <v>44008</v>
      </c>
      <c r="C53" s="314" t="s">
        <v>184</v>
      </c>
      <c r="D53" s="250" t="s">
        <v>151</v>
      </c>
      <c r="E53" s="251" t="s">
        <v>195</v>
      </c>
      <c r="F53" s="335" t="s">
        <v>195</v>
      </c>
      <c r="G53" s="336"/>
      <c r="H53" s="337"/>
      <c r="I53" s="252" t="str">
        <f t="shared" ca="1" si="0"/>
        <v>D.B.002</v>
      </c>
      <c r="J53" s="248" t="s">
        <v>285</v>
      </c>
      <c r="K53" s="253">
        <f t="shared" ca="1" si="56"/>
        <v>0</v>
      </c>
      <c r="L53" s="254">
        <v>8</v>
      </c>
      <c r="M53" s="341" t="str">
        <f t="shared" ca="1" si="57"/>
        <v>フリーワード検索提案資料作成</v>
      </c>
      <c r="N53" s="341"/>
      <c r="O53" s="342"/>
      <c r="P53" s="255" t="str">
        <f t="shared" ca="1" si="52"/>
        <v>202006D.B.002</v>
      </c>
      <c r="Q53" s="256" t="e">
        <f t="shared" ca="1" si="53"/>
        <v>#VALUE!</v>
      </c>
      <c r="R53" s="256" t="str">
        <f t="shared" si="54"/>
        <v>202006REQ21554</v>
      </c>
      <c r="S53" s="257" t="e">
        <f t="shared" ca="1" si="55"/>
        <v>#VALUE!</v>
      </c>
      <c r="T53" s="219" t="str">
        <f t="shared" si="7"/>
        <v>20200626Digital Business Support</v>
      </c>
      <c r="U53" s="258"/>
    </row>
    <row r="54" spans="1:21" ht="11.25" customHeight="1" x14ac:dyDescent="0.15">
      <c r="A54" s="230"/>
      <c r="B54" s="249">
        <v>44027</v>
      </c>
      <c r="C54" s="314" t="s">
        <v>184</v>
      </c>
      <c r="D54" s="250" t="s">
        <v>220</v>
      </c>
      <c r="E54" s="251" t="s">
        <v>195</v>
      </c>
      <c r="F54" s="335" t="s">
        <v>195</v>
      </c>
      <c r="G54" s="336"/>
      <c r="H54" s="337"/>
      <c r="I54" s="252" t="str">
        <f t="shared" ca="1" si="0"/>
        <v>D.B.007</v>
      </c>
      <c r="J54" s="248" t="s">
        <v>277</v>
      </c>
      <c r="K54" s="253">
        <f t="shared" ca="1" si="56"/>
        <v>0</v>
      </c>
      <c r="L54" s="254">
        <v>4</v>
      </c>
      <c r="M54" s="341" t="str">
        <f t="shared" ca="1" si="57"/>
        <v>MyAcuvue DST SIT実施及びスクリプト作成</v>
      </c>
      <c r="N54" s="341"/>
      <c r="O54" s="342"/>
      <c r="P54" s="255" t="str">
        <f t="shared" ca="1" si="52"/>
        <v>202007D.B.007</v>
      </c>
      <c r="Q54" s="256" t="e">
        <f t="shared" ca="1" si="53"/>
        <v>#VALUE!</v>
      </c>
      <c r="R54" s="256" t="str">
        <f t="shared" si="54"/>
        <v>202007REQ21568</v>
      </c>
      <c r="S54" s="257" t="e">
        <f t="shared" ca="1" si="55"/>
        <v>#VALUE!</v>
      </c>
      <c r="T54" s="219" t="str">
        <f t="shared" si="7"/>
        <v>20200715Digital Business Support</v>
      </c>
      <c r="U54" s="258"/>
    </row>
    <row r="55" spans="1:21" ht="11.25" customHeight="1" x14ac:dyDescent="0.15">
      <c r="A55" s="230"/>
      <c r="B55" s="249">
        <v>44028</v>
      </c>
      <c r="C55" s="314" t="s">
        <v>184</v>
      </c>
      <c r="D55" s="250" t="s">
        <v>220</v>
      </c>
      <c r="E55" s="251" t="s">
        <v>195</v>
      </c>
      <c r="F55" s="335" t="s">
        <v>195</v>
      </c>
      <c r="G55" s="336"/>
      <c r="H55" s="337"/>
      <c r="I55" s="252" t="str">
        <f t="shared" ca="1" si="0"/>
        <v>D.B.007</v>
      </c>
      <c r="J55" s="248" t="s">
        <v>277</v>
      </c>
      <c r="K55" s="253">
        <f t="shared" ref="K55" ca="1" si="58">IF(F55="","",IF(ISERROR(VLOOKUP($F55,SOW,3,FALSE)),0,VLOOKUP($F55,SOW,3,FALSE)*24))</f>
        <v>0</v>
      </c>
      <c r="L55" s="254">
        <v>4</v>
      </c>
      <c r="M55" s="341" t="str">
        <f t="shared" ca="1" si="57"/>
        <v>MyAcuvue DST SIT実施及びスクリプト作成</v>
      </c>
      <c r="N55" s="341"/>
      <c r="O55" s="342"/>
      <c r="P55" s="255" t="str">
        <f t="shared" ca="1" si="52"/>
        <v>202007D.B.007</v>
      </c>
      <c r="Q55" s="256" t="e">
        <f t="shared" ref="Q55" ca="1" si="59">IF($B55&lt;&gt;"",TEXT(TEXT(YEAR($B55),"0000")&amp;TEXT(MONTH($B55),"00")&amp;$I55&amp;"@"&amp;LEFT($E$2,SEARCH("　",$E$2,1)-1)&amp;"@"&amp;L55,"@"),"")</f>
        <v>#VALUE!</v>
      </c>
      <c r="R55" s="256" t="str">
        <f t="shared" si="54"/>
        <v>202007REQ21568</v>
      </c>
      <c r="S55" s="257" t="e">
        <f t="shared" ref="S55" ca="1" si="60">IF($B55&lt;&gt;"",TEXT(YEAR($B55),"0000")&amp;TEXT(MONTH($B55),"00")&amp;$J55&amp;"@"&amp;LEFT($E$2,SEARCH("　",$E$2,1)-1)&amp;"@"&amp;L55,"")</f>
        <v>#VALUE!</v>
      </c>
      <c r="T55" s="219" t="str">
        <f t="shared" si="7"/>
        <v>20200716Digital Business Support</v>
      </c>
      <c r="U55" s="258"/>
    </row>
    <row r="56" spans="1:21" ht="11.25" customHeight="1" x14ac:dyDescent="0.15">
      <c r="A56" s="230"/>
      <c r="B56" s="249">
        <v>44029</v>
      </c>
      <c r="C56" s="314" t="s">
        <v>184</v>
      </c>
      <c r="D56" s="250" t="s">
        <v>220</v>
      </c>
      <c r="E56" s="251" t="s">
        <v>195</v>
      </c>
      <c r="F56" s="335" t="s">
        <v>195</v>
      </c>
      <c r="G56" s="336"/>
      <c r="H56" s="337"/>
      <c r="I56" s="252" t="str">
        <f t="shared" ca="1" si="0"/>
        <v>D.B.007</v>
      </c>
      <c r="J56" s="248" t="s">
        <v>277</v>
      </c>
      <c r="K56" s="253">
        <f t="shared" ca="1" si="56"/>
        <v>0</v>
      </c>
      <c r="L56" s="254">
        <v>4</v>
      </c>
      <c r="M56" s="341" t="str">
        <f t="shared" ca="1" si="57"/>
        <v>MyAcuvue DST SIT実施及びスクリプト作成</v>
      </c>
      <c r="N56" s="341"/>
      <c r="O56" s="342"/>
      <c r="P56" s="255" t="str">
        <f t="shared" ca="1" si="52"/>
        <v>202007D.B.007</v>
      </c>
      <c r="Q56" s="256" t="e">
        <f t="shared" ca="1" si="53"/>
        <v>#VALUE!</v>
      </c>
      <c r="R56" s="256" t="str">
        <f t="shared" si="54"/>
        <v>202007REQ21568</v>
      </c>
      <c r="S56" s="257" t="e">
        <f t="shared" ca="1" si="55"/>
        <v>#VALUE!</v>
      </c>
      <c r="T56" s="219" t="str">
        <f t="shared" si="7"/>
        <v>20200717Digital Business Support</v>
      </c>
      <c r="U56" s="258"/>
    </row>
    <row r="57" spans="1:21" ht="11.25" customHeight="1" x14ac:dyDescent="0.15">
      <c r="B57" s="249">
        <v>44032</v>
      </c>
      <c r="C57" s="314" t="s">
        <v>184</v>
      </c>
      <c r="D57" s="250" t="s">
        <v>220</v>
      </c>
      <c r="E57" s="251" t="s">
        <v>195</v>
      </c>
      <c r="F57" s="335" t="s">
        <v>195</v>
      </c>
      <c r="G57" s="336"/>
      <c r="H57" s="337"/>
      <c r="I57" s="252" t="str">
        <f t="shared" ca="1" si="0"/>
        <v>D.B.007</v>
      </c>
      <c r="J57" s="248" t="s">
        <v>277</v>
      </c>
      <c r="K57" s="253">
        <f t="shared" ref="K57:K60" ca="1" si="61">IF(F57="","",IF(ISERROR(VLOOKUP($F57,SOW,3,FALSE)),0,VLOOKUP($F57,SOW,3,FALSE)*24))</f>
        <v>0</v>
      </c>
      <c r="L57" s="254">
        <v>8</v>
      </c>
      <c r="M57" s="341" t="str">
        <f t="shared" ca="1" si="57"/>
        <v>MyAcuvue DST SIT実施及びスクリプト作成</v>
      </c>
      <c r="N57" s="341"/>
      <c r="O57" s="342"/>
      <c r="P57" s="255" t="str">
        <f t="shared" ca="1" si="52"/>
        <v>202007D.B.007</v>
      </c>
      <c r="Q57" s="256" t="e">
        <f t="shared" ca="1" si="53"/>
        <v>#VALUE!</v>
      </c>
      <c r="R57" s="256" t="str">
        <f t="shared" si="54"/>
        <v>202007REQ21568</v>
      </c>
      <c r="S57" s="257" t="e">
        <f t="shared" ca="1" si="55"/>
        <v>#VALUE!</v>
      </c>
      <c r="T57" s="219" t="str">
        <f t="shared" si="7"/>
        <v>20200720Digital Business Support</v>
      </c>
      <c r="U57" s="258"/>
    </row>
    <row r="58" spans="1:21" ht="22.5" x14ac:dyDescent="0.15">
      <c r="A58" s="230"/>
      <c r="B58" s="249">
        <v>44033</v>
      </c>
      <c r="C58" s="314" t="s">
        <v>184</v>
      </c>
      <c r="D58" s="250" t="s">
        <v>220</v>
      </c>
      <c r="E58" s="251" t="s">
        <v>195</v>
      </c>
      <c r="F58" s="335" t="s">
        <v>195</v>
      </c>
      <c r="G58" s="336"/>
      <c r="H58" s="337"/>
      <c r="I58" s="252" t="str">
        <f t="shared" ca="1" si="0"/>
        <v>D.B.007</v>
      </c>
      <c r="J58" s="248" t="s">
        <v>277</v>
      </c>
      <c r="K58" s="253">
        <f t="shared" ca="1" si="61"/>
        <v>0</v>
      </c>
      <c r="L58" s="254">
        <v>8</v>
      </c>
      <c r="M58" s="341" t="str">
        <f t="shared" ca="1" si="57"/>
        <v>MyAcuvue DST SIT実施及びスクリプト作成</v>
      </c>
      <c r="N58" s="341"/>
      <c r="O58" s="342"/>
      <c r="P58" s="255" t="str">
        <f t="shared" ca="1" si="52"/>
        <v>202007D.B.007</v>
      </c>
      <c r="Q58" s="256" t="e">
        <f t="shared" ca="1" si="53"/>
        <v>#VALUE!</v>
      </c>
      <c r="R58" s="256" t="str">
        <f t="shared" si="54"/>
        <v>202007REQ21568</v>
      </c>
      <c r="S58" s="257" t="e">
        <f t="shared" ca="1" si="55"/>
        <v>#VALUE!</v>
      </c>
      <c r="T58" s="219" t="str">
        <f t="shared" si="7"/>
        <v>20200721Digital Business Support</v>
      </c>
      <c r="U58" s="258"/>
    </row>
    <row r="59" spans="1:21" ht="11.25" customHeight="1" x14ac:dyDescent="0.15">
      <c r="A59" s="223"/>
      <c r="B59" s="249">
        <v>44034</v>
      </c>
      <c r="C59" s="314" t="s">
        <v>184</v>
      </c>
      <c r="D59" s="250" t="s">
        <v>220</v>
      </c>
      <c r="E59" s="251" t="s">
        <v>195</v>
      </c>
      <c r="F59" s="335" t="s">
        <v>195</v>
      </c>
      <c r="G59" s="336"/>
      <c r="H59" s="337"/>
      <c r="I59" s="252" t="str">
        <f t="shared" ca="1" si="0"/>
        <v>D.B.007</v>
      </c>
      <c r="J59" s="248" t="s">
        <v>277</v>
      </c>
      <c r="K59" s="253">
        <f t="shared" ca="1" si="61"/>
        <v>0</v>
      </c>
      <c r="L59" s="254">
        <v>8</v>
      </c>
      <c r="M59" s="341" t="str">
        <f t="shared" ca="1" si="57"/>
        <v>MyAcuvue DST SIT実施及びスクリプト作成</v>
      </c>
      <c r="N59" s="341"/>
      <c r="O59" s="342"/>
      <c r="P59" s="255" t="str">
        <f t="shared" ca="1" si="52"/>
        <v>202007D.B.007</v>
      </c>
      <c r="Q59" s="256" t="e">
        <f t="shared" ca="1" si="53"/>
        <v>#VALUE!</v>
      </c>
      <c r="R59" s="256" t="str">
        <f t="shared" si="54"/>
        <v>202007REQ21568</v>
      </c>
      <c r="S59" s="257" t="e">
        <f t="shared" ca="1" si="55"/>
        <v>#VALUE!</v>
      </c>
      <c r="T59" s="219" t="str">
        <f t="shared" si="7"/>
        <v>20200722Digital Business Support</v>
      </c>
      <c r="U59" s="258"/>
    </row>
    <row r="60" spans="1:21" ht="11.25" customHeight="1" x14ac:dyDescent="0.15">
      <c r="A60" s="261"/>
      <c r="B60" s="249">
        <v>44039</v>
      </c>
      <c r="C60" s="314" t="s">
        <v>184</v>
      </c>
      <c r="D60" s="250" t="s">
        <v>220</v>
      </c>
      <c r="E60" s="251" t="s">
        <v>195</v>
      </c>
      <c r="F60" s="335" t="s">
        <v>195</v>
      </c>
      <c r="G60" s="336"/>
      <c r="H60" s="337"/>
      <c r="I60" s="252" t="str">
        <f t="shared" ca="1" si="0"/>
        <v>D.B.007</v>
      </c>
      <c r="J60" s="248" t="s">
        <v>277</v>
      </c>
      <c r="K60" s="253">
        <f t="shared" ca="1" si="61"/>
        <v>0</v>
      </c>
      <c r="L60" s="254">
        <v>8</v>
      </c>
      <c r="M60" s="341" t="str">
        <f t="shared" ca="1" si="57"/>
        <v>MyAcuvue DST SIT実施及びスクリプト作成</v>
      </c>
      <c r="N60" s="341"/>
      <c r="O60" s="342"/>
      <c r="P60" s="255" t="str">
        <f t="shared" ca="1" si="52"/>
        <v>202007D.B.007</v>
      </c>
      <c r="Q60" s="256" t="e">
        <f t="shared" ca="1" si="53"/>
        <v>#VALUE!</v>
      </c>
      <c r="R60" s="256" t="str">
        <f t="shared" si="54"/>
        <v>202007REQ21568</v>
      </c>
      <c r="S60" s="257" t="e">
        <f t="shared" ca="1" si="55"/>
        <v>#VALUE!</v>
      </c>
      <c r="T60" s="219" t="str">
        <f t="shared" si="7"/>
        <v>20200727Digital Business Support</v>
      </c>
      <c r="U60" s="258"/>
    </row>
    <row r="61" spans="1:21" ht="11.25" customHeight="1" x14ac:dyDescent="0.15">
      <c r="A61" s="261"/>
      <c r="B61" s="249">
        <v>44040</v>
      </c>
      <c r="C61" s="314" t="s">
        <v>184</v>
      </c>
      <c r="D61" s="250" t="s">
        <v>220</v>
      </c>
      <c r="E61" s="251" t="s">
        <v>195</v>
      </c>
      <c r="F61" s="335" t="s">
        <v>195</v>
      </c>
      <c r="G61" s="336"/>
      <c r="H61" s="337"/>
      <c r="I61" s="252" t="str">
        <f t="shared" ca="1" si="0"/>
        <v>D.B.007</v>
      </c>
      <c r="J61" s="248" t="s">
        <v>277</v>
      </c>
      <c r="K61" s="253">
        <f t="shared" ref="K61:K64" ca="1" si="62">IF(F61="","",IF(ISERROR(VLOOKUP($F61,SOW,3,FALSE)),0,VLOOKUP($F61,SOW,3,FALSE)*24))</f>
        <v>0</v>
      </c>
      <c r="L61" s="254">
        <v>8</v>
      </c>
      <c r="M61" s="341" t="str">
        <f t="shared" ca="1" si="57"/>
        <v>MyAcuvue DST SIT実施及びスクリプト作成</v>
      </c>
      <c r="N61" s="341"/>
      <c r="O61" s="342"/>
      <c r="P61" s="255" t="str">
        <f t="shared" ca="1" si="52"/>
        <v>202007D.B.007</v>
      </c>
      <c r="Q61" s="256" t="e">
        <f t="shared" ca="1" si="53"/>
        <v>#VALUE!</v>
      </c>
      <c r="R61" s="256" t="str">
        <f t="shared" si="54"/>
        <v>202007REQ21568</v>
      </c>
      <c r="S61" s="257" t="e">
        <f t="shared" ca="1" si="55"/>
        <v>#VALUE!</v>
      </c>
      <c r="T61" s="219" t="str">
        <f t="shared" si="7"/>
        <v>20200728Digital Business Support</v>
      </c>
      <c r="U61" s="258"/>
    </row>
    <row r="62" spans="1:21" ht="11.25" customHeight="1" x14ac:dyDescent="0.15">
      <c r="A62" s="261"/>
      <c r="B62" s="249">
        <v>44041</v>
      </c>
      <c r="C62" s="314" t="s">
        <v>184</v>
      </c>
      <c r="D62" s="250" t="s">
        <v>220</v>
      </c>
      <c r="E62" s="251" t="s">
        <v>195</v>
      </c>
      <c r="F62" s="335" t="s">
        <v>195</v>
      </c>
      <c r="G62" s="336"/>
      <c r="H62" s="337"/>
      <c r="I62" s="252" t="str">
        <f t="shared" ca="1" si="0"/>
        <v>D.B.007</v>
      </c>
      <c r="J62" s="248" t="s">
        <v>277</v>
      </c>
      <c r="K62" s="253">
        <f t="shared" ca="1" si="62"/>
        <v>0</v>
      </c>
      <c r="L62" s="254">
        <v>8</v>
      </c>
      <c r="M62" s="341" t="str">
        <f t="shared" ca="1" si="57"/>
        <v>MyAcuvue DST SIT実施及びスクリプト作成</v>
      </c>
      <c r="N62" s="341"/>
      <c r="O62" s="342"/>
      <c r="P62" s="255" t="str">
        <f t="shared" ca="1" si="52"/>
        <v>202007D.B.007</v>
      </c>
      <c r="Q62" s="256" t="e">
        <f t="shared" ca="1" si="53"/>
        <v>#VALUE!</v>
      </c>
      <c r="R62" s="256" t="str">
        <f t="shared" si="54"/>
        <v>202007REQ21568</v>
      </c>
      <c r="S62" s="257" t="e">
        <f t="shared" ca="1" si="55"/>
        <v>#VALUE!</v>
      </c>
      <c r="T62" s="219" t="str">
        <f t="shared" si="7"/>
        <v>20200729Digital Business Support</v>
      </c>
      <c r="U62" s="258"/>
    </row>
    <row r="63" spans="1:21" ht="11.25" customHeight="1" x14ac:dyDescent="0.15">
      <c r="A63" s="223"/>
      <c r="B63" s="249">
        <v>44042</v>
      </c>
      <c r="C63" s="314" t="s">
        <v>184</v>
      </c>
      <c r="D63" s="250" t="s">
        <v>220</v>
      </c>
      <c r="E63" s="251" t="s">
        <v>195</v>
      </c>
      <c r="F63" s="335" t="s">
        <v>195</v>
      </c>
      <c r="G63" s="336"/>
      <c r="H63" s="337"/>
      <c r="I63" s="252" t="str">
        <f t="shared" ca="1" si="0"/>
        <v>D.B.007</v>
      </c>
      <c r="J63" s="248" t="s">
        <v>277</v>
      </c>
      <c r="K63" s="253">
        <f t="shared" ca="1" si="62"/>
        <v>0</v>
      </c>
      <c r="L63" s="254">
        <v>8</v>
      </c>
      <c r="M63" s="341" t="str">
        <f t="shared" ca="1" si="57"/>
        <v>MyAcuvue DST SIT実施及びスクリプト作成</v>
      </c>
      <c r="N63" s="341"/>
      <c r="O63" s="342"/>
      <c r="P63" s="255" t="str">
        <f t="shared" ca="1" si="52"/>
        <v>202007D.B.007</v>
      </c>
      <c r="Q63" s="256" t="e">
        <f t="shared" ca="1" si="53"/>
        <v>#VALUE!</v>
      </c>
      <c r="R63" s="256" t="str">
        <f t="shared" si="54"/>
        <v>202007REQ21568</v>
      </c>
      <c r="S63" s="257" t="e">
        <f t="shared" ca="1" si="55"/>
        <v>#VALUE!</v>
      </c>
      <c r="T63" s="219" t="str">
        <f t="shared" si="7"/>
        <v>20200730Digital Business Support</v>
      </c>
      <c r="U63" s="258"/>
    </row>
    <row r="64" spans="1:21" ht="11.25" customHeight="1" x14ac:dyDescent="0.15">
      <c r="A64" s="223"/>
      <c r="B64" s="249">
        <v>44043</v>
      </c>
      <c r="C64" s="314" t="s">
        <v>184</v>
      </c>
      <c r="D64" s="250" t="s">
        <v>220</v>
      </c>
      <c r="E64" s="251" t="s">
        <v>195</v>
      </c>
      <c r="F64" s="335" t="s">
        <v>195</v>
      </c>
      <c r="G64" s="336"/>
      <c r="H64" s="337"/>
      <c r="I64" s="252" t="str">
        <f t="shared" ca="1" si="0"/>
        <v>D.B.007</v>
      </c>
      <c r="J64" s="248" t="s">
        <v>277</v>
      </c>
      <c r="K64" s="253">
        <f t="shared" ca="1" si="62"/>
        <v>0</v>
      </c>
      <c r="L64" s="254">
        <v>8</v>
      </c>
      <c r="M64" s="341" t="str">
        <f t="shared" ca="1" si="57"/>
        <v>MyAcuvue DST SIT実施及びスクリプト作成</v>
      </c>
      <c r="N64" s="341"/>
      <c r="O64" s="342"/>
      <c r="P64" s="255" t="str">
        <f t="shared" ca="1" si="52"/>
        <v>202007D.B.007</v>
      </c>
      <c r="Q64" s="256" t="e">
        <f t="shared" ca="1" si="53"/>
        <v>#VALUE!</v>
      </c>
      <c r="R64" s="256" t="str">
        <f t="shared" si="54"/>
        <v>202007REQ21568</v>
      </c>
      <c r="S64" s="257" t="e">
        <f t="shared" ca="1" si="55"/>
        <v>#VALUE!</v>
      </c>
      <c r="T64" s="219" t="str">
        <f t="shared" si="7"/>
        <v>20200731Digital Business Support</v>
      </c>
      <c r="U64" s="258"/>
    </row>
    <row r="65" spans="1:21" ht="11.25" customHeight="1" x14ac:dyDescent="0.15">
      <c r="A65" s="230"/>
      <c r="B65" s="249">
        <v>44046</v>
      </c>
      <c r="C65" s="314" t="s">
        <v>184</v>
      </c>
      <c r="D65" s="250" t="s">
        <v>220</v>
      </c>
      <c r="E65" s="251" t="s">
        <v>195</v>
      </c>
      <c r="F65" s="335" t="s">
        <v>195</v>
      </c>
      <c r="G65" s="336"/>
      <c r="H65" s="337"/>
      <c r="I65" s="252" t="str">
        <f t="shared" ref="I65:I74" ca="1" si="63">IF($F65="","",IF(ISERR(VLOOKUP($C65&amp;$D65&amp;$E65&amp;$F65,SOW,2,FALSE)),"-",VLOOKUP($C65&amp;$D65&amp;$E65&amp;$F65,SOW,2,FALSE)))</f>
        <v>D.B.007</v>
      </c>
      <c r="J65" s="248" t="s">
        <v>277</v>
      </c>
      <c r="K65" s="253">
        <f t="shared" ref="K65:K74" ca="1" si="64">IF(F65="","",IF(ISERROR(VLOOKUP($F65,SOW,3,FALSE)),0,VLOOKUP($F65,SOW,3,FALSE)*24))</f>
        <v>0</v>
      </c>
      <c r="L65" s="254">
        <v>8</v>
      </c>
      <c r="M65" s="341" t="str">
        <f t="shared" ca="1" si="57"/>
        <v>MyAcuvue DST SIT実施及びスクリプト作成</v>
      </c>
      <c r="N65" s="341"/>
      <c r="O65" s="342"/>
      <c r="P65" s="255" t="str">
        <f t="shared" ca="1" si="52"/>
        <v>202008D.B.007</v>
      </c>
      <c r="Q65" s="256" t="e">
        <f t="shared" ca="1" si="53"/>
        <v>#VALUE!</v>
      </c>
      <c r="R65" s="256" t="str">
        <f t="shared" si="54"/>
        <v>202008REQ21568</v>
      </c>
      <c r="S65" s="257" t="e">
        <f t="shared" ca="1" si="55"/>
        <v>#VALUE!</v>
      </c>
      <c r="T65" s="219" t="str">
        <f t="shared" si="7"/>
        <v>20200803Digital Business Support</v>
      </c>
      <c r="U65" s="258"/>
    </row>
    <row r="66" spans="1:21" ht="11.25" customHeight="1" x14ac:dyDescent="0.15">
      <c r="A66" s="261"/>
      <c r="B66" s="249">
        <v>44047</v>
      </c>
      <c r="C66" s="314" t="s">
        <v>184</v>
      </c>
      <c r="D66" s="250" t="s">
        <v>220</v>
      </c>
      <c r="E66" s="251" t="s">
        <v>195</v>
      </c>
      <c r="F66" s="335" t="s">
        <v>195</v>
      </c>
      <c r="G66" s="336"/>
      <c r="H66" s="337"/>
      <c r="I66" s="252" t="str">
        <f t="shared" ca="1" si="63"/>
        <v>D.B.007</v>
      </c>
      <c r="J66" s="248" t="s">
        <v>277</v>
      </c>
      <c r="K66" s="253">
        <f t="shared" ca="1" si="64"/>
        <v>0</v>
      </c>
      <c r="L66" s="254">
        <v>8</v>
      </c>
      <c r="M66" s="341" t="str">
        <f t="shared" ca="1" si="57"/>
        <v>MyAcuvue DST SIT実施及びスクリプト作成</v>
      </c>
      <c r="N66" s="341"/>
      <c r="O66" s="342"/>
      <c r="P66" s="255" t="str">
        <f t="shared" ca="1" si="52"/>
        <v>202008D.B.007</v>
      </c>
      <c r="Q66" s="256" t="e">
        <f t="shared" ca="1" si="53"/>
        <v>#VALUE!</v>
      </c>
      <c r="R66" s="256" t="str">
        <f t="shared" si="54"/>
        <v>202008REQ21568</v>
      </c>
      <c r="S66" s="257" t="e">
        <f t="shared" ca="1" si="55"/>
        <v>#VALUE!</v>
      </c>
      <c r="T66" s="219" t="str">
        <f t="shared" si="7"/>
        <v>20200804Digital Business Support</v>
      </c>
      <c r="U66" s="258"/>
    </row>
    <row r="67" spans="1:21" ht="11.25" customHeight="1" x14ac:dyDescent="0.15">
      <c r="A67" s="223"/>
      <c r="B67" s="249">
        <v>44048</v>
      </c>
      <c r="C67" s="314" t="s">
        <v>184</v>
      </c>
      <c r="D67" s="250" t="s">
        <v>220</v>
      </c>
      <c r="E67" s="251" t="s">
        <v>195</v>
      </c>
      <c r="F67" s="335" t="s">
        <v>195</v>
      </c>
      <c r="G67" s="336"/>
      <c r="H67" s="337"/>
      <c r="I67" s="252" t="str">
        <f t="shared" ca="1" si="63"/>
        <v>D.B.007</v>
      </c>
      <c r="J67" s="248" t="s">
        <v>277</v>
      </c>
      <c r="K67" s="253">
        <f t="shared" ca="1" si="64"/>
        <v>0</v>
      </c>
      <c r="L67" s="254">
        <v>8</v>
      </c>
      <c r="M67" s="341" t="str">
        <f t="shared" ca="1" si="57"/>
        <v>MyAcuvue DST SIT実施及びスクリプト作成</v>
      </c>
      <c r="N67" s="341"/>
      <c r="O67" s="342"/>
      <c r="P67" s="255" t="str">
        <f t="shared" ca="1" si="52"/>
        <v>202008D.B.007</v>
      </c>
      <c r="Q67" s="256" t="e">
        <f t="shared" ca="1" si="53"/>
        <v>#VALUE!</v>
      </c>
      <c r="R67" s="256" t="str">
        <f t="shared" si="54"/>
        <v>202008REQ21568</v>
      </c>
      <c r="S67" s="257" t="e">
        <f t="shared" ca="1" si="55"/>
        <v>#VALUE!</v>
      </c>
      <c r="T67" s="219" t="str">
        <f t="shared" si="7"/>
        <v>20200805Digital Business Support</v>
      </c>
      <c r="U67" s="258"/>
    </row>
    <row r="68" spans="1:21" ht="11.25" customHeight="1" x14ac:dyDescent="0.15">
      <c r="A68" s="261"/>
      <c r="B68" s="249">
        <v>44049</v>
      </c>
      <c r="C68" s="314" t="s">
        <v>184</v>
      </c>
      <c r="D68" s="250" t="s">
        <v>220</v>
      </c>
      <c r="E68" s="251" t="s">
        <v>195</v>
      </c>
      <c r="F68" s="335" t="s">
        <v>195</v>
      </c>
      <c r="G68" s="336"/>
      <c r="H68" s="337"/>
      <c r="I68" s="252" t="str">
        <f t="shared" ca="1" si="63"/>
        <v>D.B.007</v>
      </c>
      <c r="J68" s="248" t="s">
        <v>277</v>
      </c>
      <c r="K68" s="253">
        <f t="shared" ca="1" si="64"/>
        <v>0</v>
      </c>
      <c r="L68" s="254">
        <v>8</v>
      </c>
      <c r="M68" s="341" t="str">
        <f t="shared" ca="1" si="57"/>
        <v>MyAcuvue DST SIT実施及びスクリプト作成</v>
      </c>
      <c r="N68" s="341"/>
      <c r="O68" s="342"/>
      <c r="P68" s="255" t="str">
        <f t="shared" ca="1" si="52"/>
        <v>202008D.B.007</v>
      </c>
      <c r="Q68" s="256" t="e">
        <f t="shared" ca="1" si="53"/>
        <v>#VALUE!</v>
      </c>
      <c r="R68" s="256" t="str">
        <f t="shared" si="54"/>
        <v>202008REQ21568</v>
      </c>
      <c r="S68" s="257" t="e">
        <f t="shared" ca="1" si="55"/>
        <v>#VALUE!</v>
      </c>
      <c r="T68" s="219" t="str">
        <f t="shared" si="7"/>
        <v>20200806Digital Business Support</v>
      </c>
      <c r="U68" s="258"/>
    </row>
    <row r="69" spans="1:21" ht="11.25" customHeight="1" x14ac:dyDescent="0.15">
      <c r="A69" s="261"/>
      <c r="B69" s="249">
        <v>44050</v>
      </c>
      <c r="C69" s="314" t="s">
        <v>184</v>
      </c>
      <c r="D69" s="250" t="s">
        <v>220</v>
      </c>
      <c r="E69" s="251" t="s">
        <v>195</v>
      </c>
      <c r="F69" s="335" t="s">
        <v>195</v>
      </c>
      <c r="G69" s="336"/>
      <c r="H69" s="337"/>
      <c r="I69" s="252" t="str">
        <f t="shared" ca="1" si="63"/>
        <v>D.B.007</v>
      </c>
      <c r="J69" s="248" t="s">
        <v>277</v>
      </c>
      <c r="K69" s="253">
        <f t="shared" ca="1" si="64"/>
        <v>0</v>
      </c>
      <c r="L69" s="254">
        <v>8</v>
      </c>
      <c r="M69" s="341" t="str">
        <f t="shared" ca="1" si="57"/>
        <v>MyAcuvue DST SIT実施及びスクリプト作成</v>
      </c>
      <c r="N69" s="341"/>
      <c r="O69" s="342"/>
      <c r="P69" s="255" t="str">
        <f t="shared" ca="1" si="52"/>
        <v>202008D.B.007</v>
      </c>
      <c r="Q69" s="256" t="e">
        <f t="shared" ca="1" si="53"/>
        <v>#VALUE!</v>
      </c>
      <c r="R69" s="256" t="str">
        <f t="shared" si="54"/>
        <v>202008REQ21568</v>
      </c>
      <c r="S69" s="257" t="e">
        <f t="shared" ca="1" si="55"/>
        <v>#VALUE!</v>
      </c>
      <c r="T69" s="219" t="str">
        <f t="shared" si="7"/>
        <v>20200807Digital Business Support</v>
      </c>
      <c r="U69" s="258"/>
    </row>
    <row r="70" spans="1:21" ht="11.25" customHeight="1" x14ac:dyDescent="0.15">
      <c r="A70" s="223"/>
      <c r="B70" s="249">
        <v>44054</v>
      </c>
      <c r="C70" s="314" t="s">
        <v>184</v>
      </c>
      <c r="D70" s="250" t="s">
        <v>220</v>
      </c>
      <c r="E70" s="251" t="s">
        <v>195</v>
      </c>
      <c r="F70" s="335" t="s">
        <v>195</v>
      </c>
      <c r="G70" s="336"/>
      <c r="H70" s="337"/>
      <c r="I70" s="252" t="str">
        <f t="shared" ca="1" si="63"/>
        <v>D.B.007</v>
      </c>
      <c r="J70" s="248" t="s">
        <v>277</v>
      </c>
      <c r="K70" s="253">
        <f t="shared" ca="1" si="64"/>
        <v>0</v>
      </c>
      <c r="L70" s="254">
        <v>8</v>
      </c>
      <c r="M70" s="341" t="str">
        <f t="shared" ca="1" si="57"/>
        <v>MyAcuvue DST SIT実施及びスクリプト作成</v>
      </c>
      <c r="N70" s="341"/>
      <c r="O70" s="342"/>
      <c r="P70" s="255" t="str">
        <f t="shared" ca="1" si="52"/>
        <v>202008D.B.007</v>
      </c>
      <c r="Q70" s="256" t="e">
        <f t="shared" ca="1" si="53"/>
        <v>#VALUE!</v>
      </c>
      <c r="R70" s="256" t="str">
        <f t="shared" si="54"/>
        <v>202008REQ21568</v>
      </c>
      <c r="S70" s="257" t="e">
        <f t="shared" ca="1" si="55"/>
        <v>#VALUE!</v>
      </c>
      <c r="T70" s="219" t="str">
        <f t="shared" si="7"/>
        <v>20200811Digital Business Support</v>
      </c>
      <c r="U70" s="258"/>
    </row>
    <row r="71" spans="1:21" ht="11.25" customHeight="1" x14ac:dyDescent="0.15">
      <c r="A71" s="223"/>
      <c r="B71" s="249">
        <v>44055</v>
      </c>
      <c r="C71" s="314" t="s">
        <v>184</v>
      </c>
      <c r="D71" s="250" t="s">
        <v>220</v>
      </c>
      <c r="E71" s="251" t="s">
        <v>195</v>
      </c>
      <c r="F71" s="335" t="s">
        <v>195</v>
      </c>
      <c r="G71" s="336"/>
      <c r="H71" s="337"/>
      <c r="I71" s="252" t="str">
        <f t="shared" ca="1" si="63"/>
        <v>D.B.007</v>
      </c>
      <c r="J71" s="248" t="s">
        <v>277</v>
      </c>
      <c r="K71" s="253">
        <f t="shared" ca="1" si="64"/>
        <v>0</v>
      </c>
      <c r="L71" s="254">
        <v>6</v>
      </c>
      <c r="M71" s="341" t="str">
        <f t="shared" ca="1" si="57"/>
        <v>MyAcuvue DST SIT実施及びスクリプト作成</v>
      </c>
      <c r="N71" s="341"/>
      <c r="O71" s="342"/>
      <c r="P71" s="255" t="str">
        <f t="shared" ca="1" si="52"/>
        <v>202008D.B.007</v>
      </c>
      <c r="Q71" s="256" t="e">
        <f t="shared" ca="1" si="53"/>
        <v>#VALUE!</v>
      </c>
      <c r="R71" s="256" t="str">
        <f t="shared" si="54"/>
        <v>202008REQ21568</v>
      </c>
      <c r="S71" s="257" t="e">
        <f t="shared" ca="1" si="55"/>
        <v>#VALUE!</v>
      </c>
      <c r="T71" s="219" t="str">
        <f t="shared" si="7"/>
        <v>20200812Digital Business Support</v>
      </c>
      <c r="U71" s="258"/>
    </row>
    <row r="72" spans="1:21" ht="11.25" customHeight="1" x14ac:dyDescent="0.15">
      <c r="A72" s="223"/>
      <c r="B72" s="249">
        <v>44056</v>
      </c>
      <c r="C72" s="314" t="s">
        <v>184</v>
      </c>
      <c r="D72" s="250" t="s">
        <v>220</v>
      </c>
      <c r="E72" s="251" t="s">
        <v>195</v>
      </c>
      <c r="F72" s="335" t="s">
        <v>195</v>
      </c>
      <c r="G72" s="336"/>
      <c r="H72" s="337"/>
      <c r="I72" s="252" t="str">
        <f t="shared" ca="1" si="63"/>
        <v>D.B.007</v>
      </c>
      <c r="J72" s="248" t="s">
        <v>277</v>
      </c>
      <c r="K72" s="253">
        <f t="shared" ca="1" si="64"/>
        <v>0</v>
      </c>
      <c r="L72" s="254">
        <v>8</v>
      </c>
      <c r="M72" s="341" t="str">
        <f t="shared" ca="1" si="57"/>
        <v>MyAcuvue DST SIT実施及びスクリプト作成</v>
      </c>
      <c r="N72" s="341"/>
      <c r="O72" s="342"/>
      <c r="P72" s="255" t="str">
        <f t="shared" ca="1" si="52"/>
        <v>202008D.B.007</v>
      </c>
      <c r="Q72" s="256" t="e">
        <f t="shared" ca="1" si="53"/>
        <v>#VALUE!</v>
      </c>
      <c r="R72" s="256" t="str">
        <f t="shared" si="54"/>
        <v>202008REQ21568</v>
      </c>
      <c r="S72" s="257" t="e">
        <f t="shared" ca="1" si="55"/>
        <v>#VALUE!</v>
      </c>
      <c r="T72" s="219" t="str">
        <f t="shared" si="7"/>
        <v>20200813Digital Business Support</v>
      </c>
      <c r="U72" s="258"/>
    </row>
    <row r="73" spans="1:21" ht="11.25" customHeight="1" x14ac:dyDescent="0.15">
      <c r="A73" s="230"/>
      <c r="B73" s="249">
        <v>44060</v>
      </c>
      <c r="C73" s="314" t="s">
        <v>184</v>
      </c>
      <c r="D73" s="250" t="s">
        <v>220</v>
      </c>
      <c r="E73" s="251" t="s">
        <v>195</v>
      </c>
      <c r="F73" s="335" t="s">
        <v>195</v>
      </c>
      <c r="G73" s="336"/>
      <c r="H73" s="337"/>
      <c r="I73" s="252" t="str">
        <f t="shared" ca="1" si="63"/>
        <v>D.B.007</v>
      </c>
      <c r="J73" s="248" t="s">
        <v>277</v>
      </c>
      <c r="K73" s="253">
        <f t="shared" ca="1" si="64"/>
        <v>0</v>
      </c>
      <c r="L73" s="254">
        <v>8</v>
      </c>
      <c r="M73" s="341" t="str">
        <f t="shared" ca="1" si="57"/>
        <v>MyAcuvue DST SIT実施及びスクリプト作成</v>
      </c>
      <c r="N73" s="341"/>
      <c r="O73" s="342"/>
      <c r="P73" s="255" t="str">
        <f t="shared" ca="1" si="52"/>
        <v>202008D.B.007</v>
      </c>
      <c r="Q73" s="256" t="e">
        <f t="shared" ca="1" si="53"/>
        <v>#VALUE!</v>
      </c>
      <c r="R73" s="256" t="str">
        <f t="shared" si="54"/>
        <v>202008REQ21568</v>
      </c>
      <c r="S73" s="257" t="e">
        <f t="shared" ca="1" si="55"/>
        <v>#VALUE!</v>
      </c>
      <c r="T73" s="219" t="str">
        <f t="shared" si="7"/>
        <v>20200817Digital Business Support</v>
      </c>
      <c r="U73" s="258"/>
    </row>
    <row r="74" spans="1:21" ht="11.25" customHeight="1" x14ac:dyDescent="0.15">
      <c r="A74" s="230"/>
      <c r="B74" s="249">
        <v>44061</v>
      </c>
      <c r="C74" s="314" t="s">
        <v>184</v>
      </c>
      <c r="D74" s="250" t="s">
        <v>220</v>
      </c>
      <c r="E74" s="251" t="s">
        <v>195</v>
      </c>
      <c r="F74" s="335" t="s">
        <v>195</v>
      </c>
      <c r="G74" s="336"/>
      <c r="H74" s="337"/>
      <c r="I74" s="252" t="str">
        <f t="shared" ca="1" si="63"/>
        <v>D.B.007</v>
      </c>
      <c r="J74" s="248" t="s">
        <v>277</v>
      </c>
      <c r="K74" s="253">
        <f t="shared" ca="1" si="64"/>
        <v>0</v>
      </c>
      <c r="L74" s="254">
        <v>8</v>
      </c>
      <c r="M74" s="341" t="str">
        <f t="shared" ca="1" si="57"/>
        <v>MyAcuvue DST SIT実施及びスクリプト作成</v>
      </c>
      <c r="N74" s="341"/>
      <c r="O74" s="342"/>
      <c r="P74" s="255" t="str">
        <f t="shared" ca="1" si="52"/>
        <v>202008D.B.007</v>
      </c>
      <c r="Q74" s="256" t="e">
        <f t="shared" ca="1" si="53"/>
        <v>#VALUE!</v>
      </c>
      <c r="R74" s="256" t="str">
        <f t="shared" si="54"/>
        <v>202008REQ21568</v>
      </c>
      <c r="S74" s="257" t="e">
        <f t="shared" ca="1" si="55"/>
        <v>#VALUE!</v>
      </c>
      <c r="T74" s="219" t="str">
        <f t="shared" si="7"/>
        <v>20200818Digital Business Support</v>
      </c>
      <c r="U74" s="258"/>
    </row>
    <row r="75" spans="1:21" ht="11.25" customHeight="1" x14ac:dyDescent="0.15">
      <c r="B75" s="249">
        <v>44062</v>
      </c>
      <c r="C75" s="314" t="s">
        <v>184</v>
      </c>
      <c r="D75" s="250" t="s">
        <v>220</v>
      </c>
      <c r="E75" s="251" t="s">
        <v>195</v>
      </c>
      <c r="F75" s="335" t="s">
        <v>195</v>
      </c>
      <c r="G75" s="336"/>
      <c r="H75" s="337"/>
      <c r="I75" s="252" t="str">
        <f t="shared" ref="I75:I136" ca="1" si="65">IF($F75="","",IF(ISERR(VLOOKUP($C75&amp;$D75&amp;$E75&amp;$F75,SOW,2,FALSE)),"-",VLOOKUP($C75&amp;$D75&amp;$E75&amp;$F75,SOW,2,FALSE)))</f>
        <v>D.B.007</v>
      </c>
      <c r="J75" s="248" t="s">
        <v>277</v>
      </c>
      <c r="K75" s="253">
        <f t="shared" ref="K75:K84" ca="1" si="66">IF(F75="","",IF(ISERROR(VLOOKUP($F75,SOW,3,FALSE)),0,VLOOKUP($F75,SOW,3,FALSE)*24))</f>
        <v>0</v>
      </c>
      <c r="L75" s="254">
        <v>8</v>
      </c>
      <c r="M75" s="341" t="str">
        <f t="shared" ref="M75:M136" ca="1" si="67">IF($F75&lt;&gt;"",IF($J75&lt;&gt;"-",IF($J75="要選択","REQ_IDを選択して下さい。",IF($J75="","REQ_IDを選択して下さい。",VLOOKUP($J75,REQUEST,2,FALSE))),$F75),"")</f>
        <v>MyAcuvue DST SIT実施及びスクリプト作成</v>
      </c>
      <c r="N75" s="341"/>
      <c r="O75" s="342"/>
      <c r="P75" s="255" t="str">
        <f t="shared" ref="P75:P136" ca="1" si="68">IF($B75&lt;&gt;"",TEXT(TEXT(YEAR($B75),"0000")&amp;TEXT(MONTH($B75),"00")&amp;$I75,"@"),"")</f>
        <v>202008D.B.007</v>
      </c>
      <c r="Q75" s="256" t="e">
        <f t="shared" ref="Q75:Q89" ca="1" si="69">IF($B75&lt;&gt;"",TEXT(TEXT(YEAR($B75),"0000")&amp;TEXT(MONTH($B75),"00")&amp;$I75&amp;"@"&amp;LEFT($E$2,SEARCH("　",$E$2,1)-1)&amp;"@"&amp;L75,"@"),"")</f>
        <v>#VALUE!</v>
      </c>
      <c r="R75" s="256" t="str">
        <f t="shared" ref="R75:R136" si="70">IF($B75&lt;&gt;"",TEXT(TEXT(YEAR($B75),"0000")&amp;TEXT(MONTH($B75),"00")&amp;$J75,"@"),"")</f>
        <v>202008REQ21568</v>
      </c>
      <c r="S75" s="257" t="e">
        <f t="shared" ref="S75:S89" ca="1" si="71">IF($B75&lt;&gt;"",TEXT(YEAR($B75),"0000")&amp;TEXT(MONTH($B75),"00")&amp;$J75&amp;"@"&amp;LEFT($E$2,SEARCH("　",$E$2,1)-1)&amp;"@"&amp;L75,"")</f>
        <v>#VALUE!</v>
      </c>
      <c r="T75" s="219" t="str">
        <f t="shared" si="7"/>
        <v>20200819Digital Business Support</v>
      </c>
      <c r="U75" s="258"/>
    </row>
    <row r="76" spans="1:21" ht="11.25" customHeight="1" x14ac:dyDescent="0.15">
      <c r="B76" s="249">
        <v>44063</v>
      </c>
      <c r="C76" s="314" t="s">
        <v>184</v>
      </c>
      <c r="D76" s="250" t="s">
        <v>220</v>
      </c>
      <c r="E76" s="251" t="s">
        <v>195</v>
      </c>
      <c r="F76" s="335" t="s">
        <v>195</v>
      </c>
      <c r="G76" s="336"/>
      <c r="H76" s="337"/>
      <c r="I76" s="252" t="str">
        <f t="shared" ca="1" si="65"/>
        <v>D.B.007</v>
      </c>
      <c r="J76" s="248" t="s">
        <v>277</v>
      </c>
      <c r="K76" s="253">
        <f t="shared" ca="1" si="66"/>
        <v>0</v>
      </c>
      <c r="L76" s="254">
        <v>8</v>
      </c>
      <c r="M76" s="341" t="str">
        <f t="shared" ca="1" si="67"/>
        <v>MyAcuvue DST SIT実施及びスクリプト作成</v>
      </c>
      <c r="N76" s="341"/>
      <c r="O76" s="342"/>
      <c r="P76" s="255" t="str">
        <f t="shared" ca="1" si="68"/>
        <v>202008D.B.007</v>
      </c>
      <c r="Q76" s="256" t="e">
        <f t="shared" ca="1" si="69"/>
        <v>#VALUE!</v>
      </c>
      <c r="R76" s="256" t="str">
        <f t="shared" si="70"/>
        <v>202008REQ21568</v>
      </c>
      <c r="S76" s="257" t="e">
        <f t="shared" ca="1" si="71"/>
        <v>#VALUE!</v>
      </c>
      <c r="T76" s="219" t="str">
        <f t="shared" ref="T76:T137" si="72">IF($B76&lt;&gt;"",TEXT(TEXT(YEAR($B76),"0000")&amp;TEXT(MONTH($B76),"00")&amp;TEXT(DAY($B76),"00")&amp;$C76,"@"),"")</f>
        <v>20200820Digital Business Support</v>
      </c>
      <c r="U76" s="258"/>
    </row>
    <row r="77" spans="1:21" ht="11.25" customHeight="1" x14ac:dyDescent="0.15">
      <c r="B77" s="249">
        <v>44064</v>
      </c>
      <c r="C77" s="314" t="s">
        <v>184</v>
      </c>
      <c r="D77" s="250" t="s">
        <v>220</v>
      </c>
      <c r="E77" s="251" t="s">
        <v>195</v>
      </c>
      <c r="F77" s="335" t="s">
        <v>195</v>
      </c>
      <c r="G77" s="336"/>
      <c r="H77" s="337"/>
      <c r="I77" s="252" t="str">
        <f t="shared" ca="1" si="65"/>
        <v>D.B.007</v>
      </c>
      <c r="J77" s="248" t="s">
        <v>277</v>
      </c>
      <c r="K77" s="253">
        <f t="shared" ca="1" si="66"/>
        <v>0</v>
      </c>
      <c r="L77" s="254">
        <v>8</v>
      </c>
      <c r="M77" s="341" t="str">
        <f t="shared" ca="1" si="67"/>
        <v>MyAcuvue DST SIT実施及びスクリプト作成</v>
      </c>
      <c r="N77" s="341"/>
      <c r="O77" s="342"/>
      <c r="P77" s="255" t="str">
        <f t="shared" ca="1" si="68"/>
        <v>202008D.B.007</v>
      </c>
      <c r="Q77" s="256" t="e">
        <f t="shared" ca="1" si="69"/>
        <v>#VALUE!</v>
      </c>
      <c r="R77" s="256" t="str">
        <f t="shared" si="70"/>
        <v>202008REQ21568</v>
      </c>
      <c r="S77" s="257" t="e">
        <f t="shared" ca="1" si="71"/>
        <v>#VALUE!</v>
      </c>
      <c r="T77" s="219" t="str">
        <f t="shared" si="72"/>
        <v>20200821Digital Business Support</v>
      </c>
      <c r="U77" s="258"/>
    </row>
    <row r="78" spans="1:21" ht="11.25" customHeight="1" x14ac:dyDescent="0.15">
      <c r="B78" s="249">
        <v>44067</v>
      </c>
      <c r="C78" s="314" t="s">
        <v>184</v>
      </c>
      <c r="D78" s="250" t="s">
        <v>220</v>
      </c>
      <c r="E78" s="251" t="s">
        <v>195</v>
      </c>
      <c r="F78" s="335" t="s">
        <v>195</v>
      </c>
      <c r="G78" s="336"/>
      <c r="H78" s="337"/>
      <c r="I78" s="252" t="str">
        <f t="shared" ca="1" si="65"/>
        <v>D.B.007</v>
      </c>
      <c r="J78" s="248" t="s">
        <v>277</v>
      </c>
      <c r="K78" s="253">
        <f t="shared" ca="1" si="66"/>
        <v>0</v>
      </c>
      <c r="L78" s="254">
        <v>8</v>
      </c>
      <c r="M78" s="341" t="str">
        <f t="shared" ca="1" si="67"/>
        <v>MyAcuvue DST SIT実施及びスクリプト作成</v>
      </c>
      <c r="N78" s="341"/>
      <c r="O78" s="342"/>
      <c r="P78" s="255" t="str">
        <f t="shared" ca="1" si="68"/>
        <v>202008D.B.007</v>
      </c>
      <c r="Q78" s="256" t="e">
        <f t="shared" ca="1" si="69"/>
        <v>#VALUE!</v>
      </c>
      <c r="R78" s="256" t="str">
        <f t="shared" si="70"/>
        <v>202008REQ21568</v>
      </c>
      <c r="S78" s="257" t="e">
        <f t="shared" ca="1" si="71"/>
        <v>#VALUE!</v>
      </c>
      <c r="T78" s="219" t="str">
        <f t="shared" si="72"/>
        <v>20200824Digital Business Support</v>
      </c>
      <c r="U78" s="258"/>
    </row>
    <row r="79" spans="1:21" ht="11.25" customHeight="1" x14ac:dyDescent="0.15">
      <c r="B79" s="249">
        <v>44068</v>
      </c>
      <c r="C79" s="314" t="s">
        <v>184</v>
      </c>
      <c r="D79" s="250" t="s">
        <v>220</v>
      </c>
      <c r="E79" s="251" t="s">
        <v>195</v>
      </c>
      <c r="F79" s="335" t="s">
        <v>195</v>
      </c>
      <c r="G79" s="336"/>
      <c r="H79" s="337"/>
      <c r="I79" s="252" t="str">
        <f t="shared" ca="1" si="65"/>
        <v>D.B.007</v>
      </c>
      <c r="J79" s="248" t="s">
        <v>277</v>
      </c>
      <c r="K79" s="253">
        <f t="shared" ca="1" si="66"/>
        <v>0</v>
      </c>
      <c r="L79" s="254">
        <v>8</v>
      </c>
      <c r="M79" s="341" t="str">
        <f t="shared" ca="1" si="67"/>
        <v>MyAcuvue DST SIT実施及びスクリプト作成</v>
      </c>
      <c r="N79" s="341"/>
      <c r="O79" s="342"/>
      <c r="P79" s="255" t="str">
        <f t="shared" ca="1" si="68"/>
        <v>202008D.B.007</v>
      </c>
      <c r="Q79" s="256" t="e">
        <f t="shared" ca="1" si="69"/>
        <v>#VALUE!</v>
      </c>
      <c r="R79" s="256" t="str">
        <f t="shared" si="70"/>
        <v>202008REQ21568</v>
      </c>
      <c r="S79" s="257" t="e">
        <f t="shared" ca="1" si="71"/>
        <v>#VALUE!</v>
      </c>
      <c r="T79" s="219" t="str">
        <f t="shared" si="72"/>
        <v>20200825Digital Business Support</v>
      </c>
      <c r="U79" s="258"/>
    </row>
    <row r="80" spans="1:21" ht="11.25" customHeight="1" x14ac:dyDescent="0.15">
      <c r="A80" s="230"/>
      <c r="B80" s="249">
        <v>44069</v>
      </c>
      <c r="C80" s="314" t="s">
        <v>184</v>
      </c>
      <c r="D80" s="250" t="s">
        <v>220</v>
      </c>
      <c r="E80" s="251" t="s">
        <v>195</v>
      </c>
      <c r="F80" s="335" t="s">
        <v>195</v>
      </c>
      <c r="G80" s="336"/>
      <c r="H80" s="337"/>
      <c r="I80" s="252" t="str">
        <f t="shared" ca="1" si="65"/>
        <v>D.B.007</v>
      </c>
      <c r="J80" s="248" t="s">
        <v>277</v>
      </c>
      <c r="K80" s="253">
        <f t="shared" ca="1" si="66"/>
        <v>0</v>
      </c>
      <c r="L80" s="254">
        <v>8</v>
      </c>
      <c r="M80" s="341" t="str">
        <f t="shared" ca="1" si="67"/>
        <v>MyAcuvue DST SIT実施及びスクリプト作成</v>
      </c>
      <c r="N80" s="341"/>
      <c r="O80" s="342"/>
      <c r="P80" s="255" t="str">
        <f t="shared" ca="1" si="68"/>
        <v>202008D.B.007</v>
      </c>
      <c r="Q80" s="256" t="e">
        <f t="shared" ca="1" si="69"/>
        <v>#VALUE!</v>
      </c>
      <c r="R80" s="256" t="str">
        <f t="shared" si="70"/>
        <v>202008REQ21568</v>
      </c>
      <c r="S80" s="257" t="e">
        <f t="shared" ca="1" si="71"/>
        <v>#VALUE!</v>
      </c>
      <c r="T80" s="219" t="str">
        <f t="shared" si="72"/>
        <v>20200826Digital Business Support</v>
      </c>
      <c r="U80" s="258"/>
    </row>
    <row r="81" spans="1:21" ht="11.25" customHeight="1" x14ac:dyDescent="0.15">
      <c r="A81" s="230"/>
      <c r="B81" s="249">
        <v>44070</v>
      </c>
      <c r="C81" s="314" t="s">
        <v>184</v>
      </c>
      <c r="D81" s="250" t="s">
        <v>220</v>
      </c>
      <c r="E81" s="251" t="s">
        <v>195</v>
      </c>
      <c r="F81" s="335" t="s">
        <v>195</v>
      </c>
      <c r="G81" s="336"/>
      <c r="H81" s="337"/>
      <c r="I81" s="252" t="str">
        <f t="shared" ca="1" si="65"/>
        <v>D.B.007</v>
      </c>
      <c r="J81" s="248" t="s">
        <v>277</v>
      </c>
      <c r="K81" s="253">
        <f t="shared" ca="1" si="66"/>
        <v>0</v>
      </c>
      <c r="L81" s="254">
        <v>8</v>
      </c>
      <c r="M81" s="341" t="str">
        <f t="shared" ca="1" si="67"/>
        <v>MyAcuvue DST SIT実施及びスクリプト作成</v>
      </c>
      <c r="N81" s="341"/>
      <c r="O81" s="342"/>
      <c r="P81" s="255" t="str">
        <f t="shared" ca="1" si="68"/>
        <v>202008D.B.007</v>
      </c>
      <c r="Q81" s="256" t="e">
        <f t="shared" ca="1" si="69"/>
        <v>#VALUE!</v>
      </c>
      <c r="R81" s="256" t="str">
        <f t="shared" si="70"/>
        <v>202008REQ21568</v>
      </c>
      <c r="S81" s="257" t="e">
        <f t="shared" ca="1" si="71"/>
        <v>#VALUE!</v>
      </c>
      <c r="T81" s="219" t="str">
        <f t="shared" si="72"/>
        <v>20200827Digital Business Support</v>
      </c>
      <c r="U81" s="258"/>
    </row>
    <row r="82" spans="1:21" ht="11.25" customHeight="1" x14ac:dyDescent="0.15">
      <c r="A82" s="223"/>
      <c r="B82" s="249">
        <v>44071</v>
      </c>
      <c r="C82" s="314" t="s">
        <v>184</v>
      </c>
      <c r="D82" s="250" t="s">
        <v>220</v>
      </c>
      <c r="E82" s="251" t="s">
        <v>195</v>
      </c>
      <c r="F82" s="335" t="s">
        <v>195</v>
      </c>
      <c r="G82" s="336"/>
      <c r="H82" s="337"/>
      <c r="I82" s="252" t="str">
        <f t="shared" ca="1" si="65"/>
        <v>D.B.007</v>
      </c>
      <c r="J82" s="248" t="s">
        <v>277</v>
      </c>
      <c r="K82" s="253">
        <f t="shared" ca="1" si="66"/>
        <v>0</v>
      </c>
      <c r="L82" s="254">
        <v>9</v>
      </c>
      <c r="M82" s="341" t="str">
        <f t="shared" ca="1" si="67"/>
        <v>MyAcuvue DST SIT実施及びスクリプト作成</v>
      </c>
      <c r="N82" s="341"/>
      <c r="O82" s="342"/>
      <c r="P82" s="255" t="str">
        <f t="shared" ca="1" si="68"/>
        <v>202008D.B.007</v>
      </c>
      <c r="Q82" s="256" t="e">
        <f t="shared" ca="1" si="69"/>
        <v>#VALUE!</v>
      </c>
      <c r="R82" s="256" t="str">
        <f t="shared" si="70"/>
        <v>202008REQ21568</v>
      </c>
      <c r="S82" s="257" t="e">
        <f t="shared" ca="1" si="71"/>
        <v>#VALUE!</v>
      </c>
      <c r="T82" s="219" t="str">
        <f t="shared" si="72"/>
        <v>20200828Digital Business Support</v>
      </c>
      <c r="U82" s="258"/>
    </row>
    <row r="83" spans="1:21" ht="11.25" customHeight="1" x14ac:dyDescent="0.15">
      <c r="A83" s="261"/>
      <c r="B83" s="249">
        <v>44074</v>
      </c>
      <c r="C83" s="314" t="s">
        <v>184</v>
      </c>
      <c r="D83" s="250" t="s">
        <v>220</v>
      </c>
      <c r="E83" s="251" t="s">
        <v>195</v>
      </c>
      <c r="F83" s="335" t="s">
        <v>195</v>
      </c>
      <c r="G83" s="336"/>
      <c r="H83" s="337"/>
      <c r="I83" s="252" t="str">
        <f t="shared" ca="1" si="65"/>
        <v>D.B.007</v>
      </c>
      <c r="J83" s="248" t="s">
        <v>277</v>
      </c>
      <c r="K83" s="253">
        <f t="shared" ca="1" si="66"/>
        <v>0</v>
      </c>
      <c r="L83" s="254">
        <v>8</v>
      </c>
      <c r="M83" s="341" t="str">
        <f t="shared" ca="1" si="67"/>
        <v>MyAcuvue DST SIT実施及びスクリプト作成</v>
      </c>
      <c r="N83" s="341"/>
      <c r="O83" s="342"/>
      <c r="P83" s="255" t="str">
        <f t="shared" ca="1" si="68"/>
        <v>202008D.B.007</v>
      </c>
      <c r="Q83" s="256" t="e">
        <f t="shared" ca="1" si="69"/>
        <v>#VALUE!</v>
      </c>
      <c r="R83" s="256" t="str">
        <f t="shared" si="70"/>
        <v>202008REQ21568</v>
      </c>
      <c r="S83" s="257" t="e">
        <f t="shared" ca="1" si="71"/>
        <v>#VALUE!</v>
      </c>
      <c r="T83" s="219" t="str">
        <f t="shared" si="72"/>
        <v>20200831Digital Business Support</v>
      </c>
      <c r="U83" s="258"/>
    </row>
    <row r="84" spans="1:21" ht="22.5" x14ac:dyDescent="0.15">
      <c r="A84" s="261"/>
      <c r="B84" s="249">
        <v>44075</v>
      </c>
      <c r="C84" s="314" t="s">
        <v>184</v>
      </c>
      <c r="D84" s="250" t="s">
        <v>220</v>
      </c>
      <c r="E84" s="251" t="s">
        <v>195</v>
      </c>
      <c r="F84" s="335" t="s">
        <v>195</v>
      </c>
      <c r="G84" s="336"/>
      <c r="H84" s="337"/>
      <c r="I84" s="252" t="str">
        <f t="shared" ca="1" si="65"/>
        <v>D.B.007</v>
      </c>
      <c r="J84" s="248" t="s">
        <v>277</v>
      </c>
      <c r="K84" s="253">
        <f t="shared" ca="1" si="66"/>
        <v>0</v>
      </c>
      <c r="L84" s="254">
        <v>8</v>
      </c>
      <c r="M84" s="341" t="str">
        <f t="shared" ca="1" si="67"/>
        <v>MyAcuvue DST SIT実施及びスクリプト作成</v>
      </c>
      <c r="N84" s="341"/>
      <c r="O84" s="342"/>
      <c r="P84" s="255" t="str">
        <f t="shared" ca="1" si="68"/>
        <v>202009D.B.007</v>
      </c>
      <c r="Q84" s="256" t="e">
        <f t="shared" ca="1" si="69"/>
        <v>#VALUE!</v>
      </c>
      <c r="R84" s="256" t="str">
        <f t="shared" si="70"/>
        <v>202009REQ21568</v>
      </c>
      <c r="S84" s="257" t="e">
        <f t="shared" ca="1" si="71"/>
        <v>#VALUE!</v>
      </c>
      <c r="T84" s="219" t="str">
        <f t="shared" si="72"/>
        <v>20200901Digital Business Support</v>
      </c>
      <c r="U84" s="258"/>
    </row>
    <row r="85" spans="1:21" ht="22.5" x14ac:dyDescent="0.15">
      <c r="A85" s="223"/>
      <c r="B85" s="249">
        <v>44076</v>
      </c>
      <c r="C85" s="314" t="s">
        <v>184</v>
      </c>
      <c r="D85" s="250" t="s">
        <v>220</v>
      </c>
      <c r="E85" s="251" t="s">
        <v>195</v>
      </c>
      <c r="F85" s="335" t="s">
        <v>195</v>
      </c>
      <c r="G85" s="336"/>
      <c r="H85" s="337"/>
      <c r="I85" s="252" t="str">
        <f t="shared" ca="1" si="65"/>
        <v>D.B.007</v>
      </c>
      <c r="J85" s="248" t="s">
        <v>277</v>
      </c>
      <c r="K85" s="253">
        <f t="shared" ref="K85:K86" ca="1" si="73">IF(F85="","",IF(ISERROR(VLOOKUP($F85,SOW,3,FALSE)),0,VLOOKUP($F85,SOW,3,FALSE)*24))</f>
        <v>0</v>
      </c>
      <c r="L85" s="254">
        <v>8</v>
      </c>
      <c r="M85" s="341" t="str">
        <f t="shared" ca="1" si="67"/>
        <v>MyAcuvue DST SIT実施及びスクリプト作成</v>
      </c>
      <c r="N85" s="341"/>
      <c r="O85" s="342"/>
      <c r="P85" s="255" t="str">
        <f t="shared" ca="1" si="68"/>
        <v>202009D.B.007</v>
      </c>
      <c r="Q85" s="256" t="e">
        <f t="shared" ca="1" si="69"/>
        <v>#VALUE!</v>
      </c>
      <c r="R85" s="256" t="str">
        <f t="shared" si="70"/>
        <v>202009REQ21568</v>
      </c>
      <c r="S85" s="257" t="e">
        <f t="shared" ca="1" si="71"/>
        <v>#VALUE!</v>
      </c>
      <c r="T85" s="219" t="str">
        <f t="shared" si="72"/>
        <v>20200902Digital Business Support</v>
      </c>
      <c r="U85" s="258"/>
    </row>
    <row r="86" spans="1:21" ht="22.5" x14ac:dyDescent="0.15">
      <c r="A86" s="230"/>
      <c r="B86" s="249">
        <v>44077</v>
      </c>
      <c r="C86" s="314" t="s">
        <v>184</v>
      </c>
      <c r="D86" s="250" t="s">
        <v>220</v>
      </c>
      <c r="E86" s="251" t="s">
        <v>195</v>
      </c>
      <c r="F86" s="335" t="s">
        <v>195</v>
      </c>
      <c r="G86" s="336"/>
      <c r="H86" s="337"/>
      <c r="I86" s="252" t="str">
        <f t="shared" ca="1" si="65"/>
        <v>D.B.007</v>
      </c>
      <c r="J86" s="248" t="s">
        <v>277</v>
      </c>
      <c r="K86" s="253">
        <f t="shared" ca="1" si="73"/>
        <v>0</v>
      </c>
      <c r="L86" s="254">
        <v>9</v>
      </c>
      <c r="M86" s="341" t="str">
        <f t="shared" ca="1" si="67"/>
        <v>MyAcuvue DST SIT実施及びスクリプト作成</v>
      </c>
      <c r="N86" s="341"/>
      <c r="O86" s="342"/>
      <c r="P86" s="255" t="str">
        <f t="shared" ca="1" si="68"/>
        <v>202009D.B.007</v>
      </c>
      <c r="Q86" s="256" t="e">
        <f t="shared" ca="1" si="69"/>
        <v>#VALUE!</v>
      </c>
      <c r="R86" s="256" t="str">
        <f t="shared" si="70"/>
        <v>202009REQ21568</v>
      </c>
      <c r="S86" s="257" t="e">
        <f t="shared" ca="1" si="71"/>
        <v>#VALUE!</v>
      </c>
      <c r="T86" s="219" t="str">
        <f t="shared" si="72"/>
        <v>20200903Digital Business Support</v>
      </c>
      <c r="U86" s="258"/>
    </row>
    <row r="87" spans="1:21" ht="22.5" x14ac:dyDescent="0.15">
      <c r="A87" s="230"/>
      <c r="B87" s="249">
        <v>44082</v>
      </c>
      <c r="C87" s="314" t="s">
        <v>184</v>
      </c>
      <c r="D87" s="250" t="s">
        <v>220</v>
      </c>
      <c r="E87" s="251" t="s">
        <v>195</v>
      </c>
      <c r="F87" s="335" t="s">
        <v>195</v>
      </c>
      <c r="G87" s="336"/>
      <c r="H87" s="337"/>
      <c r="I87" s="252" t="str">
        <f t="shared" ca="1" si="65"/>
        <v>D.B.007</v>
      </c>
      <c r="J87" s="248" t="s">
        <v>277</v>
      </c>
      <c r="K87" s="253">
        <f t="shared" ref="K87:K89" ca="1" si="74">IF(F87="","",IF(ISERROR(VLOOKUP($F87,SOW,3,FALSE)),0,VLOOKUP($F87,SOW,3,FALSE)*24))</f>
        <v>0</v>
      </c>
      <c r="L87" s="254">
        <v>8</v>
      </c>
      <c r="M87" s="341" t="str">
        <f t="shared" ca="1" si="67"/>
        <v>MyAcuvue DST SIT実施及びスクリプト作成</v>
      </c>
      <c r="N87" s="341"/>
      <c r="O87" s="342"/>
      <c r="P87" s="255" t="str">
        <f t="shared" ca="1" si="68"/>
        <v>202009D.B.007</v>
      </c>
      <c r="Q87" s="256" t="e">
        <f t="shared" ca="1" si="69"/>
        <v>#VALUE!</v>
      </c>
      <c r="R87" s="256" t="str">
        <f t="shared" si="70"/>
        <v>202009REQ21568</v>
      </c>
      <c r="S87" s="257" t="e">
        <f t="shared" ca="1" si="71"/>
        <v>#VALUE!</v>
      </c>
      <c r="T87" s="219" t="str">
        <f t="shared" si="72"/>
        <v>20200908Digital Business Support</v>
      </c>
      <c r="U87" s="258"/>
    </row>
    <row r="88" spans="1:21" ht="22.5" x14ac:dyDescent="0.15">
      <c r="B88" s="249">
        <v>44083</v>
      </c>
      <c r="C88" s="314" t="s">
        <v>184</v>
      </c>
      <c r="D88" s="250" t="s">
        <v>220</v>
      </c>
      <c r="E88" s="251" t="s">
        <v>195</v>
      </c>
      <c r="F88" s="335" t="s">
        <v>195</v>
      </c>
      <c r="G88" s="336"/>
      <c r="H88" s="337"/>
      <c r="I88" s="252" t="str">
        <f t="shared" ca="1" si="65"/>
        <v>D.B.007</v>
      </c>
      <c r="J88" s="248" t="s">
        <v>277</v>
      </c>
      <c r="K88" s="253">
        <f t="shared" ca="1" si="74"/>
        <v>0</v>
      </c>
      <c r="L88" s="254">
        <v>8</v>
      </c>
      <c r="M88" s="341" t="str">
        <f t="shared" ca="1" si="67"/>
        <v>MyAcuvue DST SIT実施及びスクリプト作成</v>
      </c>
      <c r="N88" s="341"/>
      <c r="O88" s="342"/>
      <c r="P88" s="255" t="str">
        <f t="shared" ca="1" si="68"/>
        <v>202009D.B.007</v>
      </c>
      <c r="Q88" s="256" t="e">
        <f t="shared" ca="1" si="69"/>
        <v>#VALUE!</v>
      </c>
      <c r="R88" s="256" t="str">
        <f t="shared" si="70"/>
        <v>202009REQ21568</v>
      </c>
      <c r="S88" s="257" t="e">
        <f t="shared" ca="1" si="71"/>
        <v>#VALUE!</v>
      </c>
      <c r="T88" s="219" t="str">
        <f t="shared" si="72"/>
        <v>20200909Digital Business Support</v>
      </c>
      <c r="U88" s="258"/>
    </row>
    <row r="89" spans="1:21" ht="22.5" x14ac:dyDescent="0.15">
      <c r="B89" s="249">
        <v>44084</v>
      </c>
      <c r="C89" s="314" t="s">
        <v>184</v>
      </c>
      <c r="D89" s="250" t="s">
        <v>220</v>
      </c>
      <c r="E89" s="251" t="s">
        <v>195</v>
      </c>
      <c r="F89" s="335" t="s">
        <v>195</v>
      </c>
      <c r="G89" s="336"/>
      <c r="H89" s="337"/>
      <c r="I89" s="252" t="str">
        <f t="shared" ca="1" si="65"/>
        <v>D.B.007</v>
      </c>
      <c r="J89" s="248" t="s">
        <v>277</v>
      </c>
      <c r="K89" s="253">
        <f t="shared" ca="1" si="74"/>
        <v>0</v>
      </c>
      <c r="L89" s="254">
        <v>8</v>
      </c>
      <c r="M89" s="341" t="str">
        <f t="shared" ca="1" si="67"/>
        <v>MyAcuvue DST SIT実施及びスクリプト作成</v>
      </c>
      <c r="N89" s="341"/>
      <c r="O89" s="342"/>
      <c r="P89" s="255" t="str">
        <f t="shared" ca="1" si="68"/>
        <v>202009D.B.007</v>
      </c>
      <c r="Q89" s="256" t="e">
        <f t="shared" ca="1" si="69"/>
        <v>#VALUE!</v>
      </c>
      <c r="R89" s="256" t="str">
        <f t="shared" si="70"/>
        <v>202009REQ21568</v>
      </c>
      <c r="S89" s="257" t="e">
        <f t="shared" ca="1" si="71"/>
        <v>#VALUE!</v>
      </c>
      <c r="T89" s="219" t="str">
        <f t="shared" si="72"/>
        <v>20200910Digital Business Support</v>
      </c>
      <c r="U89" s="258"/>
    </row>
    <row r="90" spans="1:21" ht="22.5" x14ac:dyDescent="0.15">
      <c r="B90" s="249">
        <v>44085</v>
      </c>
      <c r="C90" s="314" t="s">
        <v>184</v>
      </c>
      <c r="D90" s="250" t="s">
        <v>220</v>
      </c>
      <c r="E90" s="251" t="s">
        <v>195</v>
      </c>
      <c r="F90" s="335" t="s">
        <v>195</v>
      </c>
      <c r="G90" s="336"/>
      <c r="H90" s="337"/>
      <c r="I90" s="252" t="str">
        <f t="shared" ca="1" si="65"/>
        <v>D.B.007</v>
      </c>
      <c r="J90" s="248" t="s">
        <v>277</v>
      </c>
      <c r="K90" s="253">
        <f t="shared" ref="K90" ca="1" si="75">IF(F90="","",IF(ISERROR(VLOOKUP($F90,SOW,3,FALSE)),0,VLOOKUP($F90,SOW,3,FALSE)*24))</f>
        <v>0</v>
      </c>
      <c r="L90" s="254">
        <v>8</v>
      </c>
      <c r="M90" s="341" t="str">
        <f t="shared" ca="1" si="67"/>
        <v>MyAcuvue DST SIT実施及びスクリプト作成</v>
      </c>
      <c r="N90" s="341"/>
      <c r="O90" s="342"/>
      <c r="P90" s="255" t="str">
        <f t="shared" ca="1" si="68"/>
        <v>202009D.B.007</v>
      </c>
      <c r="Q90" s="256" t="e">
        <f t="shared" ref="Q90:Q153" ca="1" si="76">IF($B90&lt;&gt;"",TEXT(TEXT(YEAR($B90),"0000")&amp;TEXT(MONTH($B90),"00")&amp;$I90&amp;"@"&amp;LEFT($E$2,SEARCH("　",$E$2,1)-1)&amp;"@"&amp;L90,"@"),"")</f>
        <v>#VALUE!</v>
      </c>
      <c r="R90" s="256" t="str">
        <f t="shared" si="70"/>
        <v>202009REQ21568</v>
      </c>
      <c r="S90" s="257" t="e">
        <f t="shared" ref="S90:S153" ca="1" si="77">IF($B90&lt;&gt;"",TEXT(YEAR($B90),"0000")&amp;TEXT(MONTH($B90),"00")&amp;$J90&amp;"@"&amp;LEFT($E$2,SEARCH("　",$E$2,1)-1)&amp;"@"&amp;L90,"")</f>
        <v>#VALUE!</v>
      </c>
      <c r="T90" s="219" t="str">
        <f t="shared" si="72"/>
        <v>20200911Digital Business Support</v>
      </c>
      <c r="U90" s="258"/>
    </row>
    <row r="91" spans="1:21" x14ac:dyDescent="0.15">
      <c r="B91" s="249"/>
      <c r="C91" s="314"/>
      <c r="D91" s="250"/>
      <c r="E91" s="251"/>
      <c r="F91" s="335"/>
      <c r="G91" s="336"/>
      <c r="H91" s="337"/>
      <c r="I91" s="252" t="str">
        <f t="shared" si="65"/>
        <v/>
      </c>
      <c r="J91" s="248" t="str">
        <f>IF(I91="","",VLOOKUP($I91,Master!$K$4:$N$607,4,FALSE))</f>
        <v/>
      </c>
      <c r="K91" s="253" t="str">
        <f t="shared" ref="K91:K153" si="78">IF(F91="","",IF(ISERROR(VLOOKUP($F91,SOW,3,FALSE)),0,VLOOKUP($F91,SOW,3,FALSE)*24))</f>
        <v/>
      </c>
      <c r="L91" s="254"/>
      <c r="M91" s="341" t="str">
        <f t="shared" si="67"/>
        <v/>
      </c>
      <c r="N91" s="341"/>
      <c r="O91" s="342"/>
      <c r="P91" s="255" t="str">
        <f t="shared" si="68"/>
        <v/>
      </c>
      <c r="Q91" s="256" t="str">
        <f t="shared" si="76"/>
        <v/>
      </c>
      <c r="R91" s="256" t="str">
        <f t="shared" si="70"/>
        <v/>
      </c>
      <c r="S91" s="257" t="str">
        <f t="shared" si="77"/>
        <v/>
      </c>
      <c r="T91" s="219" t="str">
        <f t="shared" si="72"/>
        <v/>
      </c>
      <c r="U91" s="258"/>
    </row>
    <row r="92" spans="1:21" x14ac:dyDescent="0.15">
      <c r="B92" s="249"/>
      <c r="C92" s="314"/>
      <c r="D92" s="250"/>
      <c r="E92" s="251"/>
      <c r="F92" s="335"/>
      <c r="G92" s="336"/>
      <c r="H92" s="337"/>
      <c r="I92" s="252" t="str">
        <f t="shared" si="65"/>
        <v/>
      </c>
      <c r="J92" s="248" t="str">
        <f>IF(I92="","",VLOOKUP($I92,Master!$K$4:$N$607,4,FALSE))</f>
        <v/>
      </c>
      <c r="K92" s="253" t="str">
        <f t="shared" si="78"/>
        <v/>
      </c>
      <c r="L92" s="254"/>
      <c r="M92" s="341" t="str">
        <f t="shared" si="67"/>
        <v/>
      </c>
      <c r="N92" s="341"/>
      <c r="O92" s="342"/>
      <c r="P92" s="255" t="str">
        <f t="shared" si="68"/>
        <v/>
      </c>
      <c r="Q92" s="256" t="str">
        <f t="shared" si="76"/>
        <v/>
      </c>
      <c r="R92" s="256" t="str">
        <f t="shared" si="70"/>
        <v/>
      </c>
      <c r="S92" s="257" t="str">
        <f t="shared" si="77"/>
        <v/>
      </c>
      <c r="T92" s="219" t="str">
        <f t="shared" si="72"/>
        <v/>
      </c>
      <c r="U92" s="258"/>
    </row>
    <row r="93" spans="1:21" x14ac:dyDescent="0.15">
      <c r="B93" s="249"/>
      <c r="C93" s="314"/>
      <c r="D93" s="250"/>
      <c r="E93" s="251"/>
      <c r="F93" s="335"/>
      <c r="G93" s="336"/>
      <c r="H93" s="337"/>
      <c r="I93" s="252" t="str">
        <f t="shared" si="65"/>
        <v/>
      </c>
      <c r="J93" s="248" t="str">
        <f>IF(I93="","",VLOOKUP($I93,Master!$K$4:$N$607,4,FALSE))</f>
        <v/>
      </c>
      <c r="K93" s="253" t="str">
        <f t="shared" si="78"/>
        <v/>
      </c>
      <c r="L93" s="254"/>
      <c r="M93" s="341" t="str">
        <f t="shared" si="67"/>
        <v/>
      </c>
      <c r="N93" s="341"/>
      <c r="O93" s="342"/>
      <c r="P93" s="255" t="str">
        <f t="shared" si="68"/>
        <v/>
      </c>
      <c r="Q93" s="256" t="str">
        <f t="shared" si="76"/>
        <v/>
      </c>
      <c r="R93" s="256" t="str">
        <f t="shared" si="70"/>
        <v/>
      </c>
      <c r="S93" s="257" t="str">
        <f t="shared" si="77"/>
        <v/>
      </c>
      <c r="T93" s="219" t="str">
        <f t="shared" si="72"/>
        <v/>
      </c>
      <c r="U93" s="258"/>
    </row>
    <row r="94" spans="1:21" x14ac:dyDescent="0.15">
      <c r="B94" s="249"/>
      <c r="C94" s="314"/>
      <c r="D94" s="250"/>
      <c r="E94" s="251"/>
      <c r="F94" s="335"/>
      <c r="G94" s="336"/>
      <c r="H94" s="337"/>
      <c r="I94" s="252" t="str">
        <f t="shared" si="65"/>
        <v/>
      </c>
      <c r="J94" s="248" t="str">
        <f>IF(I94="","",VLOOKUP($I94,Master!$K$4:$N$607,4,FALSE))</f>
        <v/>
      </c>
      <c r="K94" s="253" t="str">
        <f t="shared" si="78"/>
        <v/>
      </c>
      <c r="L94" s="254"/>
      <c r="M94" s="341" t="str">
        <f t="shared" si="67"/>
        <v/>
      </c>
      <c r="N94" s="341"/>
      <c r="O94" s="342"/>
      <c r="P94" s="255" t="str">
        <f t="shared" si="68"/>
        <v/>
      </c>
      <c r="Q94" s="256" t="str">
        <f t="shared" si="76"/>
        <v/>
      </c>
      <c r="R94" s="256" t="str">
        <f t="shared" si="70"/>
        <v/>
      </c>
      <c r="S94" s="257" t="str">
        <f t="shared" si="77"/>
        <v/>
      </c>
      <c r="T94" s="219" t="str">
        <f t="shared" si="72"/>
        <v/>
      </c>
      <c r="U94" s="258"/>
    </row>
    <row r="95" spans="1:21" x14ac:dyDescent="0.15">
      <c r="B95" s="249"/>
      <c r="C95" s="314"/>
      <c r="D95" s="250"/>
      <c r="E95" s="251"/>
      <c r="F95" s="335"/>
      <c r="G95" s="336"/>
      <c r="H95" s="337"/>
      <c r="I95" s="252" t="str">
        <f t="shared" si="65"/>
        <v/>
      </c>
      <c r="J95" s="248" t="str">
        <f>IF(I95="","",VLOOKUP($I95,Master!$K$4:$N$607,4,FALSE))</f>
        <v/>
      </c>
      <c r="K95" s="253" t="str">
        <f t="shared" si="78"/>
        <v/>
      </c>
      <c r="L95" s="254"/>
      <c r="M95" s="341" t="str">
        <f t="shared" si="67"/>
        <v/>
      </c>
      <c r="N95" s="341"/>
      <c r="O95" s="342"/>
      <c r="P95" s="255" t="str">
        <f t="shared" si="68"/>
        <v/>
      </c>
      <c r="Q95" s="256" t="str">
        <f t="shared" si="76"/>
        <v/>
      </c>
      <c r="R95" s="256" t="str">
        <f t="shared" si="70"/>
        <v/>
      </c>
      <c r="S95" s="257" t="str">
        <f t="shared" si="77"/>
        <v/>
      </c>
      <c r="T95" s="219" t="str">
        <f t="shared" si="72"/>
        <v/>
      </c>
      <c r="U95" s="258"/>
    </row>
    <row r="96" spans="1:21" x14ac:dyDescent="0.15">
      <c r="B96" s="249"/>
      <c r="C96" s="314"/>
      <c r="D96" s="250"/>
      <c r="E96" s="251"/>
      <c r="F96" s="335"/>
      <c r="G96" s="336"/>
      <c r="H96" s="337"/>
      <c r="I96" s="252" t="str">
        <f t="shared" si="65"/>
        <v/>
      </c>
      <c r="J96" s="248" t="str">
        <f>IF(I96="","",VLOOKUP($I96,Master!$K$4:$N$607,4,FALSE))</f>
        <v/>
      </c>
      <c r="K96" s="253" t="str">
        <f t="shared" si="78"/>
        <v/>
      </c>
      <c r="L96" s="254"/>
      <c r="M96" s="341" t="str">
        <f t="shared" si="67"/>
        <v/>
      </c>
      <c r="N96" s="341"/>
      <c r="O96" s="342"/>
      <c r="P96" s="255" t="str">
        <f t="shared" si="68"/>
        <v/>
      </c>
      <c r="Q96" s="256" t="str">
        <f t="shared" si="76"/>
        <v/>
      </c>
      <c r="R96" s="256" t="str">
        <f t="shared" si="70"/>
        <v/>
      </c>
      <c r="S96" s="257" t="str">
        <f t="shared" si="77"/>
        <v/>
      </c>
      <c r="T96" s="219" t="str">
        <f t="shared" si="72"/>
        <v/>
      </c>
      <c r="U96" s="258"/>
    </row>
    <row r="97" spans="2:21" x14ac:dyDescent="0.15">
      <c r="B97" s="249"/>
      <c r="C97" s="314"/>
      <c r="D97" s="250"/>
      <c r="E97" s="251"/>
      <c r="F97" s="335"/>
      <c r="G97" s="336"/>
      <c r="H97" s="337"/>
      <c r="I97" s="252" t="str">
        <f t="shared" si="65"/>
        <v/>
      </c>
      <c r="J97" s="248" t="str">
        <f>IF(I97="","",VLOOKUP($I97,Master!$K$4:$N$607,4,FALSE))</f>
        <v/>
      </c>
      <c r="K97" s="253" t="str">
        <f t="shared" si="78"/>
        <v/>
      </c>
      <c r="L97" s="254"/>
      <c r="M97" s="341" t="str">
        <f t="shared" si="67"/>
        <v/>
      </c>
      <c r="N97" s="341"/>
      <c r="O97" s="342"/>
      <c r="P97" s="255" t="str">
        <f t="shared" si="68"/>
        <v/>
      </c>
      <c r="Q97" s="256" t="str">
        <f t="shared" si="76"/>
        <v/>
      </c>
      <c r="R97" s="256" t="str">
        <f t="shared" si="70"/>
        <v/>
      </c>
      <c r="S97" s="257" t="str">
        <f t="shared" si="77"/>
        <v/>
      </c>
      <c r="T97" s="219" t="str">
        <f t="shared" si="72"/>
        <v/>
      </c>
      <c r="U97" s="258"/>
    </row>
    <row r="98" spans="2:21" x14ac:dyDescent="0.15">
      <c r="B98" s="249"/>
      <c r="C98" s="314"/>
      <c r="D98" s="250"/>
      <c r="E98" s="251"/>
      <c r="F98" s="335"/>
      <c r="G98" s="336"/>
      <c r="H98" s="337"/>
      <c r="I98" s="252" t="str">
        <f t="shared" si="65"/>
        <v/>
      </c>
      <c r="J98" s="248" t="str">
        <f>IF(I98="","",VLOOKUP($I98,Master!$K$4:$N$607,4,FALSE))</f>
        <v/>
      </c>
      <c r="K98" s="253" t="str">
        <f t="shared" si="78"/>
        <v/>
      </c>
      <c r="L98" s="254"/>
      <c r="M98" s="341" t="str">
        <f t="shared" si="67"/>
        <v/>
      </c>
      <c r="N98" s="341"/>
      <c r="O98" s="342"/>
      <c r="P98" s="255" t="str">
        <f t="shared" si="68"/>
        <v/>
      </c>
      <c r="Q98" s="256" t="str">
        <f t="shared" si="76"/>
        <v/>
      </c>
      <c r="R98" s="256" t="str">
        <f t="shared" si="70"/>
        <v/>
      </c>
      <c r="S98" s="257" t="str">
        <f t="shared" si="77"/>
        <v/>
      </c>
      <c r="T98" s="219" t="str">
        <f t="shared" si="72"/>
        <v/>
      </c>
      <c r="U98" s="258"/>
    </row>
    <row r="99" spans="2:21" x14ac:dyDescent="0.15">
      <c r="B99" s="249"/>
      <c r="C99" s="314"/>
      <c r="D99" s="250"/>
      <c r="E99" s="251"/>
      <c r="F99" s="335"/>
      <c r="G99" s="336"/>
      <c r="H99" s="337"/>
      <c r="I99" s="252" t="str">
        <f t="shared" si="65"/>
        <v/>
      </c>
      <c r="J99" s="248" t="str">
        <f>IF(I99="","",VLOOKUP($I99,Master!$K$4:$N$607,4,FALSE))</f>
        <v/>
      </c>
      <c r="K99" s="253" t="str">
        <f t="shared" si="78"/>
        <v/>
      </c>
      <c r="L99" s="254"/>
      <c r="M99" s="341" t="str">
        <f t="shared" si="67"/>
        <v/>
      </c>
      <c r="N99" s="341"/>
      <c r="O99" s="342"/>
      <c r="P99" s="255" t="str">
        <f t="shared" si="68"/>
        <v/>
      </c>
      <c r="Q99" s="256" t="str">
        <f t="shared" si="76"/>
        <v/>
      </c>
      <c r="R99" s="256" t="str">
        <f t="shared" si="70"/>
        <v/>
      </c>
      <c r="S99" s="257" t="str">
        <f t="shared" si="77"/>
        <v/>
      </c>
      <c r="T99" s="219" t="str">
        <f t="shared" si="72"/>
        <v/>
      </c>
      <c r="U99" s="258"/>
    </row>
    <row r="100" spans="2:21" x14ac:dyDescent="0.15">
      <c r="B100" s="249"/>
      <c r="C100" s="314"/>
      <c r="D100" s="250"/>
      <c r="E100" s="251"/>
      <c r="F100" s="335"/>
      <c r="G100" s="336"/>
      <c r="H100" s="337"/>
      <c r="I100" s="252" t="str">
        <f t="shared" si="65"/>
        <v/>
      </c>
      <c r="J100" s="248" t="str">
        <f>IF(I100="","",VLOOKUP($I100,Master!$K$4:$N$607,4,FALSE))</f>
        <v/>
      </c>
      <c r="K100" s="253" t="str">
        <f t="shared" si="78"/>
        <v/>
      </c>
      <c r="L100" s="254"/>
      <c r="M100" s="341" t="str">
        <f t="shared" si="67"/>
        <v/>
      </c>
      <c r="N100" s="341"/>
      <c r="O100" s="342"/>
      <c r="P100" s="255" t="str">
        <f t="shared" si="68"/>
        <v/>
      </c>
      <c r="Q100" s="256" t="str">
        <f t="shared" si="76"/>
        <v/>
      </c>
      <c r="R100" s="256" t="str">
        <f t="shared" si="70"/>
        <v/>
      </c>
      <c r="S100" s="257" t="str">
        <f t="shared" si="77"/>
        <v/>
      </c>
      <c r="T100" s="219" t="str">
        <f t="shared" si="72"/>
        <v/>
      </c>
      <c r="U100" s="258"/>
    </row>
    <row r="101" spans="2:21" x14ac:dyDescent="0.15">
      <c r="B101" s="249"/>
      <c r="C101" s="314"/>
      <c r="D101" s="250"/>
      <c r="E101" s="251"/>
      <c r="F101" s="335"/>
      <c r="G101" s="336"/>
      <c r="H101" s="337"/>
      <c r="I101" s="252" t="str">
        <f t="shared" si="65"/>
        <v/>
      </c>
      <c r="J101" s="248" t="str">
        <f>IF(I101="","",VLOOKUP($I101,Master!$K$4:$N$607,4,FALSE))</f>
        <v/>
      </c>
      <c r="K101" s="253" t="str">
        <f t="shared" si="78"/>
        <v/>
      </c>
      <c r="L101" s="254"/>
      <c r="M101" s="341" t="str">
        <f t="shared" si="67"/>
        <v/>
      </c>
      <c r="N101" s="341"/>
      <c r="O101" s="342"/>
      <c r="P101" s="255" t="str">
        <f t="shared" si="68"/>
        <v/>
      </c>
      <c r="Q101" s="256" t="str">
        <f t="shared" si="76"/>
        <v/>
      </c>
      <c r="R101" s="256" t="str">
        <f t="shared" si="70"/>
        <v/>
      </c>
      <c r="S101" s="257" t="str">
        <f t="shared" si="77"/>
        <v/>
      </c>
      <c r="T101" s="219" t="str">
        <f t="shared" si="72"/>
        <v/>
      </c>
      <c r="U101" s="258"/>
    </row>
    <row r="102" spans="2:21" x14ac:dyDescent="0.15">
      <c r="B102" s="249"/>
      <c r="C102" s="314"/>
      <c r="D102" s="250"/>
      <c r="E102" s="251"/>
      <c r="F102" s="335"/>
      <c r="G102" s="336"/>
      <c r="H102" s="337"/>
      <c r="I102" s="252" t="str">
        <f t="shared" si="65"/>
        <v/>
      </c>
      <c r="J102" s="248" t="str">
        <f>IF(I102="","",VLOOKUP($I102,Master!$K$4:$N$607,4,FALSE))</f>
        <v/>
      </c>
      <c r="K102" s="253" t="str">
        <f t="shared" si="78"/>
        <v/>
      </c>
      <c r="L102" s="254"/>
      <c r="M102" s="341" t="str">
        <f t="shared" si="67"/>
        <v/>
      </c>
      <c r="N102" s="341"/>
      <c r="O102" s="342"/>
      <c r="P102" s="255" t="str">
        <f t="shared" si="68"/>
        <v/>
      </c>
      <c r="Q102" s="256" t="str">
        <f t="shared" si="76"/>
        <v/>
      </c>
      <c r="R102" s="256" t="str">
        <f t="shared" si="70"/>
        <v/>
      </c>
      <c r="S102" s="257" t="str">
        <f t="shared" si="77"/>
        <v/>
      </c>
      <c r="T102" s="219" t="str">
        <f t="shared" si="72"/>
        <v/>
      </c>
      <c r="U102" s="258"/>
    </row>
    <row r="103" spans="2:21" x14ac:dyDescent="0.15">
      <c r="B103" s="249"/>
      <c r="C103" s="314"/>
      <c r="D103" s="250"/>
      <c r="E103" s="251"/>
      <c r="F103" s="335"/>
      <c r="G103" s="336"/>
      <c r="H103" s="337"/>
      <c r="I103" s="252" t="str">
        <f t="shared" si="65"/>
        <v/>
      </c>
      <c r="J103" s="248" t="str">
        <f>IF(I103="","",VLOOKUP($I103,Master!$K$4:$N$607,4,FALSE))</f>
        <v/>
      </c>
      <c r="K103" s="253" t="str">
        <f t="shared" si="78"/>
        <v/>
      </c>
      <c r="L103" s="254"/>
      <c r="M103" s="341" t="str">
        <f t="shared" si="67"/>
        <v/>
      </c>
      <c r="N103" s="341"/>
      <c r="O103" s="342"/>
      <c r="P103" s="255" t="str">
        <f t="shared" si="68"/>
        <v/>
      </c>
      <c r="Q103" s="256" t="str">
        <f t="shared" si="76"/>
        <v/>
      </c>
      <c r="R103" s="256" t="str">
        <f t="shared" si="70"/>
        <v/>
      </c>
      <c r="S103" s="257" t="str">
        <f t="shared" si="77"/>
        <v/>
      </c>
      <c r="T103" s="219" t="str">
        <f t="shared" si="72"/>
        <v/>
      </c>
      <c r="U103" s="258"/>
    </row>
    <row r="104" spans="2:21" x14ac:dyDescent="0.15">
      <c r="B104" s="249"/>
      <c r="C104" s="314"/>
      <c r="D104" s="250"/>
      <c r="E104" s="251"/>
      <c r="F104" s="335"/>
      <c r="G104" s="336"/>
      <c r="H104" s="337"/>
      <c r="I104" s="252" t="str">
        <f t="shared" si="65"/>
        <v/>
      </c>
      <c r="J104" s="248" t="str">
        <f>IF(I104="","",VLOOKUP($I104,Master!$K$4:$N$607,4,FALSE))</f>
        <v/>
      </c>
      <c r="K104" s="253" t="str">
        <f t="shared" si="78"/>
        <v/>
      </c>
      <c r="L104" s="254"/>
      <c r="M104" s="341" t="str">
        <f t="shared" si="67"/>
        <v/>
      </c>
      <c r="N104" s="341"/>
      <c r="O104" s="342"/>
      <c r="P104" s="255" t="str">
        <f t="shared" si="68"/>
        <v/>
      </c>
      <c r="Q104" s="256" t="str">
        <f t="shared" si="76"/>
        <v/>
      </c>
      <c r="R104" s="256" t="str">
        <f t="shared" si="70"/>
        <v/>
      </c>
      <c r="S104" s="257" t="str">
        <f t="shared" si="77"/>
        <v/>
      </c>
      <c r="T104" s="219" t="str">
        <f t="shared" si="72"/>
        <v/>
      </c>
      <c r="U104" s="258"/>
    </row>
    <row r="105" spans="2:21" x14ac:dyDescent="0.15">
      <c r="B105" s="249"/>
      <c r="C105" s="314"/>
      <c r="D105" s="250"/>
      <c r="E105" s="251"/>
      <c r="F105" s="335"/>
      <c r="G105" s="336"/>
      <c r="H105" s="337"/>
      <c r="I105" s="252" t="str">
        <f t="shared" si="65"/>
        <v/>
      </c>
      <c r="J105" s="248" t="str">
        <f>IF(I105="","",VLOOKUP($I105,Master!$K$4:$N$607,4,FALSE))</f>
        <v/>
      </c>
      <c r="K105" s="253" t="str">
        <f t="shared" si="78"/>
        <v/>
      </c>
      <c r="L105" s="254"/>
      <c r="M105" s="341" t="str">
        <f t="shared" si="67"/>
        <v/>
      </c>
      <c r="N105" s="341"/>
      <c r="O105" s="342"/>
      <c r="P105" s="255" t="str">
        <f t="shared" si="68"/>
        <v/>
      </c>
      <c r="Q105" s="256" t="str">
        <f t="shared" si="76"/>
        <v/>
      </c>
      <c r="R105" s="256" t="str">
        <f t="shared" si="70"/>
        <v/>
      </c>
      <c r="S105" s="257" t="str">
        <f t="shared" si="77"/>
        <v/>
      </c>
      <c r="T105" s="219" t="str">
        <f t="shared" si="72"/>
        <v/>
      </c>
      <c r="U105" s="258"/>
    </row>
    <row r="106" spans="2:21" x14ac:dyDescent="0.15">
      <c r="B106" s="249"/>
      <c r="C106" s="314"/>
      <c r="D106" s="250"/>
      <c r="E106" s="251"/>
      <c r="F106" s="335"/>
      <c r="G106" s="336"/>
      <c r="H106" s="337"/>
      <c r="I106" s="252" t="str">
        <f t="shared" si="65"/>
        <v/>
      </c>
      <c r="J106" s="248" t="str">
        <f>IF(I106="","",VLOOKUP($I106,Master!$K$4:$N$607,4,FALSE))</f>
        <v/>
      </c>
      <c r="K106" s="253" t="str">
        <f t="shared" si="78"/>
        <v/>
      </c>
      <c r="L106" s="254"/>
      <c r="M106" s="341" t="str">
        <f t="shared" si="67"/>
        <v/>
      </c>
      <c r="N106" s="341"/>
      <c r="O106" s="342"/>
      <c r="P106" s="255" t="str">
        <f t="shared" si="68"/>
        <v/>
      </c>
      <c r="Q106" s="256" t="str">
        <f t="shared" si="76"/>
        <v/>
      </c>
      <c r="R106" s="256" t="str">
        <f t="shared" si="70"/>
        <v/>
      </c>
      <c r="S106" s="257" t="str">
        <f t="shared" si="77"/>
        <v/>
      </c>
      <c r="T106" s="219" t="str">
        <f t="shared" si="72"/>
        <v/>
      </c>
      <c r="U106" s="258"/>
    </row>
    <row r="107" spans="2:21" x14ac:dyDescent="0.15">
      <c r="B107" s="249"/>
      <c r="C107" s="314"/>
      <c r="D107" s="250"/>
      <c r="E107" s="251"/>
      <c r="F107" s="335"/>
      <c r="G107" s="336"/>
      <c r="H107" s="337"/>
      <c r="I107" s="252" t="str">
        <f t="shared" si="65"/>
        <v/>
      </c>
      <c r="J107" s="248" t="str">
        <f>IF(I107="","",VLOOKUP($I107,Master!$K$4:$N$607,4,FALSE))</f>
        <v/>
      </c>
      <c r="K107" s="253" t="str">
        <f t="shared" si="78"/>
        <v/>
      </c>
      <c r="L107" s="254"/>
      <c r="M107" s="341" t="str">
        <f t="shared" si="67"/>
        <v/>
      </c>
      <c r="N107" s="341"/>
      <c r="O107" s="342"/>
      <c r="P107" s="255" t="str">
        <f t="shared" si="68"/>
        <v/>
      </c>
      <c r="Q107" s="256" t="str">
        <f t="shared" si="76"/>
        <v/>
      </c>
      <c r="R107" s="256" t="str">
        <f t="shared" si="70"/>
        <v/>
      </c>
      <c r="S107" s="257" t="str">
        <f t="shared" si="77"/>
        <v/>
      </c>
      <c r="T107" s="219" t="str">
        <f t="shared" si="72"/>
        <v/>
      </c>
      <c r="U107" s="258"/>
    </row>
    <row r="108" spans="2:21" x14ac:dyDescent="0.15">
      <c r="B108" s="249"/>
      <c r="C108" s="314"/>
      <c r="D108" s="250"/>
      <c r="E108" s="251"/>
      <c r="F108" s="335"/>
      <c r="G108" s="336"/>
      <c r="H108" s="337"/>
      <c r="I108" s="252" t="str">
        <f t="shared" si="65"/>
        <v/>
      </c>
      <c r="J108" s="248" t="str">
        <f>IF(I108="","",VLOOKUP($I108,Master!$K$4:$N$607,4,FALSE))</f>
        <v/>
      </c>
      <c r="K108" s="253" t="str">
        <f t="shared" si="78"/>
        <v/>
      </c>
      <c r="L108" s="254"/>
      <c r="M108" s="341" t="str">
        <f t="shared" si="67"/>
        <v/>
      </c>
      <c r="N108" s="341"/>
      <c r="O108" s="342"/>
      <c r="P108" s="255" t="str">
        <f t="shared" si="68"/>
        <v/>
      </c>
      <c r="Q108" s="256" t="str">
        <f t="shared" si="76"/>
        <v/>
      </c>
      <c r="R108" s="256" t="str">
        <f t="shared" si="70"/>
        <v/>
      </c>
      <c r="S108" s="257" t="str">
        <f t="shared" si="77"/>
        <v/>
      </c>
      <c r="T108" s="219" t="str">
        <f t="shared" si="72"/>
        <v/>
      </c>
      <c r="U108" s="258"/>
    </row>
    <row r="109" spans="2:21" x14ac:dyDescent="0.15">
      <c r="B109" s="249"/>
      <c r="C109" s="314"/>
      <c r="D109" s="250"/>
      <c r="E109" s="251"/>
      <c r="F109" s="335"/>
      <c r="G109" s="336"/>
      <c r="H109" s="337"/>
      <c r="I109" s="252" t="str">
        <f t="shared" si="65"/>
        <v/>
      </c>
      <c r="J109" s="248" t="str">
        <f>IF(I109="","",VLOOKUP($I109,Master!$K$4:$N$607,4,FALSE))</f>
        <v/>
      </c>
      <c r="K109" s="253" t="str">
        <f t="shared" si="78"/>
        <v/>
      </c>
      <c r="L109" s="254"/>
      <c r="M109" s="341" t="str">
        <f t="shared" si="67"/>
        <v/>
      </c>
      <c r="N109" s="341"/>
      <c r="O109" s="342"/>
      <c r="P109" s="255" t="str">
        <f t="shared" si="68"/>
        <v/>
      </c>
      <c r="Q109" s="256" t="str">
        <f t="shared" si="76"/>
        <v/>
      </c>
      <c r="R109" s="256" t="str">
        <f t="shared" si="70"/>
        <v/>
      </c>
      <c r="S109" s="257" t="str">
        <f t="shared" si="77"/>
        <v/>
      </c>
      <c r="T109" s="219" t="str">
        <f t="shared" si="72"/>
        <v/>
      </c>
      <c r="U109" s="258"/>
    </row>
    <row r="110" spans="2:21" x14ac:dyDescent="0.15">
      <c r="B110" s="249"/>
      <c r="C110" s="314"/>
      <c r="D110" s="250"/>
      <c r="E110" s="251"/>
      <c r="F110" s="335"/>
      <c r="G110" s="336"/>
      <c r="H110" s="337"/>
      <c r="I110" s="252" t="str">
        <f t="shared" si="65"/>
        <v/>
      </c>
      <c r="J110" s="248" t="str">
        <f>IF(I110="","",VLOOKUP($I110,Master!$K$4:$N$607,4,FALSE))</f>
        <v/>
      </c>
      <c r="K110" s="253" t="str">
        <f t="shared" si="78"/>
        <v/>
      </c>
      <c r="L110" s="254"/>
      <c r="M110" s="341" t="str">
        <f t="shared" si="67"/>
        <v/>
      </c>
      <c r="N110" s="341"/>
      <c r="O110" s="342"/>
      <c r="P110" s="255" t="str">
        <f t="shared" si="68"/>
        <v/>
      </c>
      <c r="Q110" s="256" t="str">
        <f t="shared" si="76"/>
        <v/>
      </c>
      <c r="R110" s="256" t="str">
        <f t="shared" si="70"/>
        <v/>
      </c>
      <c r="S110" s="257" t="str">
        <f t="shared" si="77"/>
        <v/>
      </c>
      <c r="T110" s="219" t="str">
        <f t="shared" si="72"/>
        <v/>
      </c>
      <c r="U110" s="258"/>
    </row>
    <row r="111" spans="2:21" x14ac:dyDescent="0.15">
      <c r="B111" s="249"/>
      <c r="C111" s="314"/>
      <c r="D111" s="250"/>
      <c r="E111" s="251"/>
      <c r="F111" s="335"/>
      <c r="G111" s="336"/>
      <c r="H111" s="337"/>
      <c r="I111" s="252" t="str">
        <f t="shared" si="65"/>
        <v/>
      </c>
      <c r="J111" s="248" t="str">
        <f>IF(I111="","",VLOOKUP($I111,Master!$K$4:$N$607,4,FALSE))</f>
        <v/>
      </c>
      <c r="K111" s="253" t="str">
        <f t="shared" si="78"/>
        <v/>
      </c>
      <c r="L111" s="254"/>
      <c r="M111" s="341" t="str">
        <f t="shared" si="67"/>
        <v/>
      </c>
      <c r="N111" s="341"/>
      <c r="O111" s="342"/>
      <c r="P111" s="255" t="str">
        <f t="shared" si="68"/>
        <v/>
      </c>
      <c r="Q111" s="256" t="str">
        <f t="shared" si="76"/>
        <v/>
      </c>
      <c r="R111" s="256" t="str">
        <f t="shared" si="70"/>
        <v/>
      </c>
      <c r="S111" s="257" t="str">
        <f t="shared" si="77"/>
        <v/>
      </c>
      <c r="T111" s="219" t="str">
        <f t="shared" si="72"/>
        <v/>
      </c>
      <c r="U111" s="258"/>
    </row>
    <row r="112" spans="2:21" x14ac:dyDescent="0.15">
      <c r="B112" s="249"/>
      <c r="C112" s="314"/>
      <c r="D112" s="250"/>
      <c r="E112" s="251"/>
      <c r="F112" s="335"/>
      <c r="G112" s="336"/>
      <c r="H112" s="337"/>
      <c r="I112" s="252" t="str">
        <f t="shared" si="65"/>
        <v/>
      </c>
      <c r="J112" s="248" t="str">
        <f>IF(I112="","",VLOOKUP($I112,Master!$K$4:$N$607,4,FALSE))</f>
        <v/>
      </c>
      <c r="K112" s="253" t="str">
        <f t="shared" si="78"/>
        <v/>
      </c>
      <c r="L112" s="254"/>
      <c r="M112" s="341" t="str">
        <f t="shared" si="67"/>
        <v/>
      </c>
      <c r="N112" s="341"/>
      <c r="O112" s="342"/>
      <c r="P112" s="255" t="str">
        <f t="shared" si="68"/>
        <v/>
      </c>
      <c r="Q112" s="256" t="str">
        <f t="shared" si="76"/>
        <v/>
      </c>
      <c r="R112" s="256" t="str">
        <f t="shared" si="70"/>
        <v/>
      </c>
      <c r="S112" s="257" t="str">
        <f t="shared" si="77"/>
        <v/>
      </c>
      <c r="T112" s="219" t="str">
        <f t="shared" si="72"/>
        <v/>
      </c>
      <c r="U112" s="258"/>
    </row>
    <row r="113" spans="2:21" x14ac:dyDescent="0.15">
      <c r="B113" s="249"/>
      <c r="C113" s="314"/>
      <c r="D113" s="250"/>
      <c r="E113" s="251"/>
      <c r="F113" s="335"/>
      <c r="G113" s="336"/>
      <c r="H113" s="337"/>
      <c r="I113" s="252" t="str">
        <f t="shared" si="65"/>
        <v/>
      </c>
      <c r="J113" s="248" t="str">
        <f>IF(I113="","",VLOOKUP($I113,Master!$K$4:$N$607,4,FALSE))</f>
        <v/>
      </c>
      <c r="K113" s="253" t="str">
        <f t="shared" si="78"/>
        <v/>
      </c>
      <c r="L113" s="254"/>
      <c r="M113" s="341" t="str">
        <f t="shared" si="67"/>
        <v/>
      </c>
      <c r="N113" s="341"/>
      <c r="O113" s="342"/>
      <c r="P113" s="255" t="str">
        <f t="shared" si="68"/>
        <v/>
      </c>
      <c r="Q113" s="256" t="str">
        <f t="shared" si="76"/>
        <v/>
      </c>
      <c r="R113" s="256" t="str">
        <f t="shared" si="70"/>
        <v/>
      </c>
      <c r="S113" s="257" t="str">
        <f t="shared" si="77"/>
        <v/>
      </c>
      <c r="T113" s="219" t="str">
        <f t="shared" si="72"/>
        <v/>
      </c>
      <c r="U113" s="258"/>
    </row>
    <row r="114" spans="2:21" x14ac:dyDescent="0.15">
      <c r="B114" s="249"/>
      <c r="C114" s="314"/>
      <c r="D114" s="250"/>
      <c r="E114" s="251"/>
      <c r="F114" s="335"/>
      <c r="G114" s="336"/>
      <c r="H114" s="337"/>
      <c r="I114" s="252" t="str">
        <f t="shared" si="65"/>
        <v/>
      </c>
      <c r="J114" s="248" t="str">
        <f>IF(I114="","",VLOOKUP($I114,Master!$K$4:$N$607,4,FALSE))</f>
        <v/>
      </c>
      <c r="K114" s="253" t="str">
        <f t="shared" si="78"/>
        <v/>
      </c>
      <c r="L114" s="254"/>
      <c r="M114" s="341" t="str">
        <f t="shared" si="67"/>
        <v/>
      </c>
      <c r="N114" s="341"/>
      <c r="O114" s="342"/>
      <c r="P114" s="255" t="str">
        <f t="shared" si="68"/>
        <v/>
      </c>
      <c r="Q114" s="256" t="str">
        <f t="shared" si="76"/>
        <v/>
      </c>
      <c r="R114" s="256" t="str">
        <f t="shared" si="70"/>
        <v/>
      </c>
      <c r="S114" s="257" t="str">
        <f t="shared" si="77"/>
        <v/>
      </c>
      <c r="T114" s="219" t="str">
        <f t="shared" si="72"/>
        <v/>
      </c>
      <c r="U114" s="258"/>
    </row>
    <row r="115" spans="2:21" x14ac:dyDescent="0.15">
      <c r="B115" s="249"/>
      <c r="C115" s="314"/>
      <c r="D115" s="250"/>
      <c r="E115" s="251"/>
      <c r="F115" s="335"/>
      <c r="G115" s="336"/>
      <c r="H115" s="337"/>
      <c r="I115" s="252" t="str">
        <f t="shared" si="65"/>
        <v/>
      </c>
      <c r="J115" s="248" t="str">
        <f>IF(I115="","",VLOOKUP($I115,Master!$K$4:$N$607,4,FALSE))</f>
        <v/>
      </c>
      <c r="K115" s="253" t="str">
        <f t="shared" si="78"/>
        <v/>
      </c>
      <c r="L115" s="254"/>
      <c r="M115" s="341" t="str">
        <f t="shared" si="67"/>
        <v/>
      </c>
      <c r="N115" s="341"/>
      <c r="O115" s="342"/>
      <c r="P115" s="255" t="str">
        <f t="shared" si="68"/>
        <v/>
      </c>
      <c r="Q115" s="256" t="str">
        <f t="shared" si="76"/>
        <v/>
      </c>
      <c r="R115" s="256" t="str">
        <f t="shared" si="70"/>
        <v/>
      </c>
      <c r="S115" s="257" t="str">
        <f t="shared" si="77"/>
        <v/>
      </c>
      <c r="T115" s="219" t="str">
        <f t="shared" si="72"/>
        <v/>
      </c>
      <c r="U115" s="258"/>
    </row>
    <row r="116" spans="2:21" x14ac:dyDescent="0.15">
      <c r="B116" s="249"/>
      <c r="C116" s="314"/>
      <c r="D116" s="250"/>
      <c r="E116" s="251"/>
      <c r="F116" s="335"/>
      <c r="G116" s="336"/>
      <c r="H116" s="337"/>
      <c r="I116" s="252" t="str">
        <f t="shared" si="65"/>
        <v/>
      </c>
      <c r="J116" s="248" t="str">
        <f>IF(I116="","",VLOOKUP($I116,Master!$K$4:$N$607,4,FALSE))</f>
        <v/>
      </c>
      <c r="K116" s="253" t="str">
        <f t="shared" si="78"/>
        <v/>
      </c>
      <c r="L116" s="254"/>
      <c r="M116" s="341" t="str">
        <f t="shared" si="67"/>
        <v/>
      </c>
      <c r="N116" s="341"/>
      <c r="O116" s="342"/>
      <c r="P116" s="255" t="str">
        <f t="shared" si="68"/>
        <v/>
      </c>
      <c r="Q116" s="256" t="str">
        <f t="shared" si="76"/>
        <v/>
      </c>
      <c r="R116" s="256" t="str">
        <f t="shared" si="70"/>
        <v/>
      </c>
      <c r="S116" s="257" t="str">
        <f t="shared" si="77"/>
        <v/>
      </c>
      <c r="T116" s="219" t="str">
        <f t="shared" si="72"/>
        <v/>
      </c>
      <c r="U116" s="258"/>
    </row>
    <row r="117" spans="2:21" x14ac:dyDescent="0.15">
      <c r="B117" s="249"/>
      <c r="C117" s="314"/>
      <c r="D117" s="250"/>
      <c r="E117" s="251"/>
      <c r="F117" s="335"/>
      <c r="G117" s="336"/>
      <c r="H117" s="337"/>
      <c r="I117" s="252" t="str">
        <f t="shared" si="65"/>
        <v/>
      </c>
      <c r="J117" s="248" t="str">
        <f>IF(I117="","",VLOOKUP($I117,Master!$K$4:$N$607,4,FALSE))</f>
        <v/>
      </c>
      <c r="K117" s="253" t="str">
        <f t="shared" si="78"/>
        <v/>
      </c>
      <c r="L117" s="254"/>
      <c r="M117" s="341" t="str">
        <f t="shared" si="67"/>
        <v/>
      </c>
      <c r="N117" s="341"/>
      <c r="O117" s="342"/>
      <c r="P117" s="255" t="str">
        <f t="shared" si="68"/>
        <v/>
      </c>
      <c r="Q117" s="256" t="str">
        <f t="shared" si="76"/>
        <v/>
      </c>
      <c r="R117" s="256" t="str">
        <f t="shared" si="70"/>
        <v/>
      </c>
      <c r="S117" s="257" t="str">
        <f t="shared" si="77"/>
        <v/>
      </c>
      <c r="T117" s="219" t="str">
        <f t="shared" si="72"/>
        <v/>
      </c>
      <c r="U117" s="258"/>
    </row>
    <row r="118" spans="2:21" x14ac:dyDescent="0.15">
      <c r="B118" s="249"/>
      <c r="C118" s="314"/>
      <c r="D118" s="250"/>
      <c r="E118" s="251"/>
      <c r="F118" s="335"/>
      <c r="G118" s="336"/>
      <c r="H118" s="337"/>
      <c r="I118" s="252" t="str">
        <f t="shared" si="65"/>
        <v/>
      </c>
      <c r="J118" s="248" t="str">
        <f>IF(I118="","",VLOOKUP($I118,Master!$K$4:$N$607,4,FALSE))</f>
        <v/>
      </c>
      <c r="K118" s="253" t="str">
        <f t="shared" si="78"/>
        <v/>
      </c>
      <c r="L118" s="254"/>
      <c r="M118" s="341" t="str">
        <f t="shared" si="67"/>
        <v/>
      </c>
      <c r="N118" s="341"/>
      <c r="O118" s="342"/>
      <c r="P118" s="255" t="str">
        <f t="shared" si="68"/>
        <v/>
      </c>
      <c r="Q118" s="256" t="str">
        <f t="shared" si="76"/>
        <v/>
      </c>
      <c r="R118" s="256" t="str">
        <f t="shared" si="70"/>
        <v/>
      </c>
      <c r="S118" s="257" t="str">
        <f t="shared" si="77"/>
        <v/>
      </c>
      <c r="T118" s="219" t="str">
        <f t="shared" si="72"/>
        <v/>
      </c>
      <c r="U118" s="258"/>
    </row>
    <row r="119" spans="2:21" x14ac:dyDescent="0.15">
      <c r="B119" s="249"/>
      <c r="C119" s="314"/>
      <c r="D119" s="250"/>
      <c r="E119" s="251"/>
      <c r="F119" s="335"/>
      <c r="G119" s="336"/>
      <c r="H119" s="337"/>
      <c r="I119" s="252" t="str">
        <f t="shared" si="65"/>
        <v/>
      </c>
      <c r="J119" s="248" t="str">
        <f>IF(I119="","",VLOOKUP($I119,Master!$K$4:$N$607,4,FALSE))</f>
        <v/>
      </c>
      <c r="K119" s="253" t="str">
        <f t="shared" si="78"/>
        <v/>
      </c>
      <c r="L119" s="254"/>
      <c r="M119" s="341" t="str">
        <f t="shared" si="67"/>
        <v/>
      </c>
      <c r="N119" s="341"/>
      <c r="O119" s="342"/>
      <c r="P119" s="255" t="str">
        <f t="shared" si="68"/>
        <v/>
      </c>
      <c r="Q119" s="256" t="str">
        <f t="shared" si="76"/>
        <v/>
      </c>
      <c r="R119" s="256" t="str">
        <f t="shared" si="70"/>
        <v/>
      </c>
      <c r="S119" s="257" t="str">
        <f t="shared" si="77"/>
        <v/>
      </c>
      <c r="T119" s="219" t="str">
        <f t="shared" si="72"/>
        <v/>
      </c>
      <c r="U119" s="258"/>
    </row>
    <row r="120" spans="2:21" x14ac:dyDescent="0.15">
      <c r="B120" s="249"/>
      <c r="C120" s="314"/>
      <c r="D120" s="250"/>
      <c r="E120" s="251"/>
      <c r="F120" s="335"/>
      <c r="G120" s="336"/>
      <c r="H120" s="337"/>
      <c r="I120" s="252" t="str">
        <f t="shared" si="65"/>
        <v/>
      </c>
      <c r="J120" s="248" t="str">
        <f>IF(I120="","",VLOOKUP($I120,Master!$K$4:$N$607,4,FALSE))</f>
        <v/>
      </c>
      <c r="K120" s="253" t="str">
        <f t="shared" si="78"/>
        <v/>
      </c>
      <c r="L120" s="254"/>
      <c r="M120" s="341" t="str">
        <f t="shared" si="67"/>
        <v/>
      </c>
      <c r="N120" s="341"/>
      <c r="O120" s="342"/>
      <c r="P120" s="255" t="str">
        <f t="shared" si="68"/>
        <v/>
      </c>
      <c r="Q120" s="256" t="str">
        <f t="shared" si="76"/>
        <v/>
      </c>
      <c r="R120" s="256" t="str">
        <f t="shared" si="70"/>
        <v/>
      </c>
      <c r="S120" s="257" t="str">
        <f t="shared" si="77"/>
        <v/>
      </c>
      <c r="T120" s="219" t="str">
        <f t="shared" si="72"/>
        <v/>
      </c>
      <c r="U120" s="258"/>
    </row>
    <row r="121" spans="2:21" x14ac:dyDescent="0.15">
      <c r="B121" s="249"/>
      <c r="C121" s="314"/>
      <c r="D121" s="250"/>
      <c r="E121" s="251"/>
      <c r="F121" s="335"/>
      <c r="G121" s="336"/>
      <c r="H121" s="337"/>
      <c r="I121" s="252" t="str">
        <f t="shared" si="65"/>
        <v/>
      </c>
      <c r="J121" s="248" t="str">
        <f>IF(I121="","",VLOOKUP($I121,Master!$K$4:$N$607,4,FALSE))</f>
        <v/>
      </c>
      <c r="K121" s="253" t="str">
        <f t="shared" si="78"/>
        <v/>
      </c>
      <c r="L121" s="254"/>
      <c r="M121" s="341" t="str">
        <f t="shared" si="67"/>
        <v/>
      </c>
      <c r="N121" s="341"/>
      <c r="O121" s="342"/>
      <c r="P121" s="255" t="str">
        <f t="shared" si="68"/>
        <v/>
      </c>
      <c r="Q121" s="256" t="str">
        <f t="shared" si="76"/>
        <v/>
      </c>
      <c r="R121" s="256" t="str">
        <f t="shared" si="70"/>
        <v/>
      </c>
      <c r="S121" s="257" t="str">
        <f t="shared" si="77"/>
        <v/>
      </c>
      <c r="T121" s="219" t="str">
        <f t="shared" si="72"/>
        <v/>
      </c>
      <c r="U121" s="258"/>
    </row>
    <row r="122" spans="2:21" x14ac:dyDescent="0.15">
      <c r="B122" s="249"/>
      <c r="C122" s="314"/>
      <c r="D122" s="250"/>
      <c r="E122" s="251"/>
      <c r="F122" s="335"/>
      <c r="G122" s="336"/>
      <c r="H122" s="337"/>
      <c r="I122" s="252" t="str">
        <f t="shared" si="65"/>
        <v/>
      </c>
      <c r="J122" s="248" t="str">
        <f>IF(I122="","",VLOOKUP($I122,Master!$K$4:$N$607,4,FALSE))</f>
        <v/>
      </c>
      <c r="K122" s="253" t="str">
        <f t="shared" si="78"/>
        <v/>
      </c>
      <c r="L122" s="254"/>
      <c r="M122" s="341" t="str">
        <f t="shared" si="67"/>
        <v/>
      </c>
      <c r="N122" s="341"/>
      <c r="O122" s="342"/>
      <c r="P122" s="255" t="str">
        <f t="shared" si="68"/>
        <v/>
      </c>
      <c r="Q122" s="256" t="str">
        <f t="shared" si="76"/>
        <v/>
      </c>
      <c r="R122" s="256" t="str">
        <f t="shared" si="70"/>
        <v/>
      </c>
      <c r="S122" s="257" t="str">
        <f t="shared" si="77"/>
        <v/>
      </c>
      <c r="T122" s="219" t="str">
        <f t="shared" si="72"/>
        <v/>
      </c>
      <c r="U122" s="258"/>
    </row>
    <row r="123" spans="2:21" x14ac:dyDescent="0.15">
      <c r="B123" s="249"/>
      <c r="C123" s="314"/>
      <c r="D123" s="250"/>
      <c r="E123" s="251"/>
      <c r="F123" s="335"/>
      <c r="G123" s="336"/>
      <c r="H123" s="337"/>
      <c r="I123" s="252" t="str">
        <f t="shared" si="65"/>
        <v/>
      </c>
      <c r="J123" s="248" t="str">
        <f>IF(I123="","",VLOOKUP($I123,Master!$K$4:$N$607,4,FALSE))</f>
        <v/>
      </c>
      <c r="K123" s="253" t="str">
        <f t="shared" si="78"/>
        <v/>
      </c>
      <c r="L123" s="254"/>
      <c r="M123" s="341" t="str">
        <f t="shared" si="67"/>
        <v/>
      </c>
      <c r="N123" s="341"/>
      <c r="O123" s="342"/>
      <c r="P123" s="255" t="str">
        <f t="shared" si="68"/>
        <v/>
      </c>
      <c r="Q123" s="256" t="str">
        <f t="shared" si="76"/>
        <v/>
      </c>
      <c r="R123" s="256" t="str">
        <f t="shared" si="70"/>
        <v/>
      </c>
      <c r="S123" s="257" t="str">
        <f t="shared" si="77"/>
        <v/>
      </c>
      <c r="T123" s="219" t="str">
        <f t="shared" si="72"/>
        <v/>
      </c>
      <c r="U123" s="258"/>
    </row>
    <row r="124" spans="2:21" x14ac:dyDescent="0.15">
      <c r="B124" s="249"/>
      <c r="C124" s="314"/>
      <c r="D124" s="250"/>
      <c r="E124" s="251"/>
      <c r="F124" s="335"/>
      <c r="G124" s="336"/>
      <c r="H124" s="337"/>
      <c r="I124" s="252" t="str">
        <f t="shared" si="65"/>
        <v/>
      </c>
      <c r="J124" s="248" t="str">
        <f>IF(I124="","",VLOOKUP($I124,Master!$K$4:$N$607,4,FALSE))</f>
        <v/>
      </c>
      <c r="K124" s="253" t="str">
        <f t="shared" si="78"/>
        <v/>
      </c>
      <c r="L124" s="254"/>
      <c r="M124" s="341" t="str">
        <f t="shared" si="67"/>
        <v/>
      </c>
      <c r="N124" s="341"/>
      <c r="O124" s="342"/>
      <c r="P124" s="255" t="str">
        <f t="shared" si="68"/>
        <v/>
      </c>
      <c r="Q124" s="256" t="str">
        <f t="shared" si="76"/>
        <v/>
      </c>
      <c r="R124" s="256" t="str">
        <f t="shared" si="70"/>
        <v/>
      </c>
      <c r="S124" s="257" t="str">
        <f t="shared" si="77"/>
        <v/>
      </c>
      <c r="T124" s="219" t="str">
        <f t="shared" si="72"/>
        <v/>
      </c>
      <c r="U124" s="258"/>
    </row>
    <row r="125" spans="2:21" x14ac:dyDescent="0.15">
      <c r="B125" s="249"/>
      <c r="C125" s="314"/>
      <c r="D125" s="250"/>
      <c r="E125" s="251"/>
      <c r="F125" s="335"/>
      <c r="G125" s="336"/>
      <c r="H125" s="337"/>
      <c r="I125" s="252" t="str">
        <f t="shared" si="65"/>
        <v/>
      </c>
      <c r="J125" s="248" t="str">
        <f>IF(I125="","",VLOOKUP($I125,Master!$K$4:$N$607,4,FALSE))</f>
        <v/>
      </c>
      <c r="K125" s="253" t="str">
        <f t="shared" si="78"/>
        <v/>
      </c>
      <c r="L125" s="254"/>
      <c r="M125" s="341" t="str">
        <f t="shared" si="67"/>
        <v/>
      </c>
      <c r="N125" s="341"/>
      <c r="O125" s="342"/>
      <c r="P125" s="255" t="str">
        <f t="shared" si="68"/>
        <v/>
      </c>
      <c r="Q125" s="256" t="str">
        <f t="shared" si="76"/>
        <v/>
      </c>
      <c r="R125" s="256" t="str">
        <f t="shared" si="70"/>
        <v/>
      </c>
      <c r="S125" s="257" t="str">
        <f t="shared" si="77"/>
        <v/>
      </c>
      <c r="T125" s="219" t="str">
        <f t="shared" si="72"/>
        <v/>
      </c>
      <c r="U125" s="258"/>
    </row>
    <row r="126" spans="2:21" x14ac:dyDescent="0.15">
      <c r="B126" s="249"/>
      <c r="C126" s="314"/>
      <c r="D126" s="250"/>
      <c r="E126" s="251"/>
      <c r="F126" s="335"/>
      <c r="G126" s="336"/>
      <c r="H126" s="337"/>
      <c r="I126" s="252" t="str">
        <f t="shared" si="65"/>
        <v/>
      </c>
      <c r="J126" s="248" t="str">
        <f>IF(I126="","",VLOOKUP($I126,Master!$K$4:$N$607,4,FALSE))</f>
        <v/>
      </c>
      <c r="K126" s="253" t="str">
        <f t="shared" si="78"/>
        <v/>
      </c>
      <c r="L126" s="254"/>
      <c r="M126" s="341" t="str">
        <f t="shared" si="67"/>
        <v/>
      </c>
      <c r="N126" s="341"/>
      <c r="O126" s="342"/>
      <c r="P126" s="255" t="str">
        <f t="shared" si="68"/>
        <v/>
      </c>
      <c r="Q126" s="256" t="str">
        <f t="shared" si="76"/>
        <v/>
      </c>
      <c r="R126" s="256" t="str">
        <f t="shared" si="70"/>
        <v/>
      </c>
      <c r="S126" s="257" t="str">
        <f t="shared" si="77"/>
        <v/>
      </c>
      <c r="T126" s="219" t="str">
        <f t="shared" si="72"/>
        <v/>
      </c>
      <c r="U126" s="258"/>
    </row>
    <row r="127" spans="2:21" x14ac:dyDescent="0.15">
      <c r="B127" s="249"/>
      <c r="C127" s="314"/>
      <c r="D127" s="250"/>
      <c r="E127" s="251"/>
      <c r="F127" s="335"/>
      <c r="G127" s="336"/>
      <c r="H127" s="337"/>
      <c r="I127" s="252" t="str">
        <f t="shared" si="65"/>
        <v/>
      </c>
      <c r="J127" s="248" t="str">
        <f>IF(I127="","",VLOOKUP($I127,Master!$K$4:$N$607,4,FALSE))</f>
        <v/>
      </c>
      <c r="K127" s="253" t="str">
        <f t="shared" si="78"/>
        <v/>
      </c>
      <c r="L127" s="254"/>
      <c r="M127" s="341" t="str">
        <f t="shared" si="67"/>
        <v/>
      </c>
      <c r="N127" s="341"/>
      <c r="O127" s="342"/>
      <c r="P127" s="255" t="str">
        <f t="shared" si="68"/>
        <v/>
      </c>
      <c r="Q127" s="256" t="str">
        <f t="shared" si="76"/>
        <v/>
      </c>
      <c r="R127" s="256" t="str">
        <f t="shared" si="70"/>
        <v/>
      </c>
      <c r="S127" s="257" t="str">
        <f t="shared" si="77"/>
        <v/>
      </c>
      <c r="T127" s="219" t="str">
        <f t="shared" si="72"/>
        <v/>
      </c>
      <c r="U127" s="258"/>
    </row>
    <row r="128" spans="2:21" x14ac:dyDescent="0.15">
      <c r="B128" s="249"/>
      <c r="C128" s="314"/>
      <c r="D128" s="250"/>
      <c r="E128" s="251"/>
      <c r="F128" s="335"/>
      <c r="G128" s="336"/>
      <c r="H128" s="337"/>
      <c r="I128" s="252" t="str">
        <f t="shared" si="65"/>
        <v/>
      </c>
      <c r="J128" s="248" t="str">
        <f>IF(I128="","",VLOOKUP($I128,Master!$K$4:$N$607,4,FALSE))</f>
        <v/>
      </c>
      <c r="K128" s="253" t="str">
        <f t="shared" si="78"/>
        <v/>
      </c>
      <c r="L128" s="254"/>
      <c r="M128" s="341" t="str">
        <f t="shared" si="67"/>
        <v/>
      </c>
      <c r="N128" s="341"/>
      <c r="O128" s="342"/>
      <c r="P128" s="255" t="str">
        <f t="shared" si="68"/>
        <v/>
      </c>
      <c r="Q128" s="256" t="str">
        <f t="shared" si="76"/>
        <v/>
      </c>
      <c r="R128" s="256" t="str">
        <f t="shared" si="70"/>
        <v/>
      </c>
      <c r="S128" s="257" t="str">
        <f t="shared" si="77"/>
        <v/>
      </c>
      <c r="T128" s="219" t="str">
        <f t="shared" si="72"/>
        <v/>
      </c>
      <c r="U128" s="258"/>
    </row>
    <row r="129" spans="2:21" x14ac:dyDescent="0.15">
      <c r="B129" s="249"/>
      <c r="C129" s="314"/>
      <c r="D129" s="250"/>
      <c r="E129" s="251"/>
      <c r="F129" s="335"/>
      <c r="G129" s="336"/>
      <c r="H129" s="337"/>
      <c r="I129" s="252" t="str">
        <f t="shared" si="65"/>
        <v/>
      </c>
      <c r="J129" s="248" t="str">
        <f>IF(I129="","",VLOOKUP($I129,Master!$K$4:$N$607,4,FALSE))</f>
        <v/>
      </c>
      <c r="K129" s="253" t="str">
        <f t="shared" si="78"/>
        <v/>
      </c>
      <c r="L129" s="254"/>
      <c r="M129" s="341" t="str">
        <f t="shared" si="67"/>
        <v/>
      </c>
      <c r="N129" s="341"/>
      <c r="O129" s="342"/>
      <c r="P129" s="255" t="str">
        <f t="shared" si="68"/>
        <v/>
      </c>
      <c r="Q129" s="256" t="str">
        <f t="shared" si="76"/>
        <v/>
      </c>
      <c r="R129" s="256" t="str">
        <f t="shared" si="70"/>
        <v/>
      </c>
      <c r="S129" s="257" t="str">
        <f t="shared" si="77"/>
        <v/>
      </c>
      <c r="T129" s="219" t="str">
        <f t="shared" si="72"/>
        <v/>
      </c>
      <c r="U129" s="258"/>
    </row>
    <row r="130" spans="2:21" x14ac:dyDescent="0.15">
      <c r="B130" s="249"/>
      <c r="C130" s="314"/>
      <c r="D130" s="250"/>
      <c r="E130" s="251"/>
      <c r="F130" s="335"/>
      <c r="G130" s="336"/>
      <c r="H130" s="337"/>
      <c r="I130" s="252" t="str">
        <f t="shared" si="65"/>
        <v/>
      </c>
      <c r="J130" s="248" t="str">
        <f>IF(I130="","",VLOOKUP($I130,Master!$K$4:$N$607,4,FALSE))</f>
        <v/>
      </c>
      <c r="K130" s="253" t="str">
        <f t="shared" si="78"/>
        <v/>
      </c>
      <c r="L130" s="254"/>
      <c r="M130" s="341" t="str">
        <f t="shared" si="67"/>
        <v/>
      </c>
      <c r="N130" s="341"/>
      <c r="O130" s="342"/>
      <c r="P130" s="255" t="str">
        <f t="shared" si="68"/>
        <v/>
      </c>
      <c r="Q130" s="256" t="str">
        <f t="shared" si="76"/>
        <v/>
      </c>
      <c r="R130" s="256" t="str">
        <f t="shared" si="70"/>
        <v/>
      </c>
      <c r="S130" s="257" t="str">
        <f t="shared" si="77"/>
        <v/>
      </c>
      <c r="T130" s="219" t="str">
        <f t="shared" si="72"/>
        <v/>
      </c>
      <c r="U130" s="258"/>
    </row>
    <row r="131" spans="2:21" x14ac:dyDescent="0.15">
      <c r="B131" s="249"/>
      <c r="C131" s="314"/>
      <c r="D131" s="250"/>
      <c r="E131" s="251"/>
      <c r="F131" s="335"/>
      <c r="G131" s="336"/>
      <c r="H131" s="337"/>
      <c r="I131" s="252" t="str">
        <f t="shared" si="65"/>
        <v/>
      </c>
      <c r="J131" s="248" t="str">
        <f>IF(I131="","",VLOOKUP($I131,Master!$K$4:$N$607,4,FALSE))</f>
        <v/>
      </c>
      <c r="K131" s="253" t="str">
        <f t="shared" si="78"/>
        <v/>
      </c>
      <c r="L131" s="254"/>
      <c r="M131" s="341" t="str">
        <f t="shared" si="67"/>
        <v/>
      </c>
      <c r="N131" s="341"/>
      <c r="O131" s="342"/>
      <c r="P131" s="255" t="str">
        <f t="shared" si="68"/>
        <v/>
      </c>
      <c r="Q131" s="256" t="str">
        <f t="shared" si="76"/>
        <v/>
      </c>
      <c r="R131" s="256" t="str">
        <f t="shared" si="70"/>
        <v/>
      </c>
      <c r="S131" s="257" t="str">
        <f t="shared" si="77"/>
        <v/>
      </c>
      <c r="T131" s="219" t="str">
        <f t="shared" si="72"/>
        <v/>
      </c>
      <c r="U131" s="258"/>
    </row>
    <row r="132" spans="2:21" x14ac:dyDescent="0.15">
      <c r="B132" s="249"/>
      <c r="C132" s="314"/>
      <c r="D132" s="250"/>
      <c r="E132" s="251"/>
      <c r="F132" s="335"/>
      <c r="G132" s="336"/>
      <c r="H132" s="337"/>
      <c r="I132" s="252" t="str">
        <f t="shared" si="65"/>
        <v/>
      </c>
      <c r="J132" s="248" t="str">
        <f>IF(I132="","",VLOOKUP($I132,Master!$K$4:$N$607,4,FALSE))</f>
        <v/>
      </c>
      <c r="K132" s="253" t="str">
        <f t="shared" si="78"/>
        <v/>
      </c>
      <c r="L132" s="254"/>
      <c r="M132" s="341" t="str">
        <f t="shared" si="67"/>
        <v/>
      </c>
      <c r="N132" s="341"/>
      <c r="O132" s="342"/>
      <c r="P132" s="255" t="str">
        <f t="shared" si="68"/>
        <v/>
      </c>
      <c r="Q132" s="256" t="str">
        <f t="shared" si="76"/>
        <v/>
      </c>
      <c r="R132" s="256" t="str">
        <f t="shared" si="70"/>
        <v/>
      </c>
      <c r="S132" s="257" t="str">
        <f t="shared" si="77"/>
        <v/>
      </c>
      <c r="T132" s="219" t="str">
        <f t="shared" si="72"/>
        <v/>
      </c>
      <c r="U132" s="258"/>
    </row>
    <row r="133" spans="2:21" x14ac:dyDescent="0.15">
      <c r="B133" s="249"/>
      <c r="C133" s="314"/>
      <c r="D133" s="250"/>
      <c r="E133" s="251"/>
      <c r="F133" s="335"/>
      <c r="G133" s="336"/>
      <c r="H133" s="337"/>
      <c r="I133" s="252" t="str">
        <f t="shared" si="65"/>
        <v/>
      </c>
      <c r="J133" s="248" t="str">
        <f>IF(I133="","",VLOOKUP($I133,Master!$K$4:$N$607,4,FALSE))</f>
        <v/>
      </c>
      <c r="K133" s="253" t="str">
        <f t="shared" si="78"/>
        <v/>
      </c>
      <c r="L133" s="254"/>
      <c r="M133" s="341" t="str">
        <f t="shared" si="67"/>
        <v/>
      </c>
      <c r="N133" s="341"/>
      <c r="O133" s="342"/>
      <c r="P133" s="255" t="str">
        <f t="shared" si="68"/>
        <v/>
      </c>
      <c r="Q133" s="256" t="str">
        <f t="shared" si="76"/>
        <v/>
      </c>
      <c r="R133" s="256" t="str">
        <f t="shared" si="70"/>
        <v/>
      </c>
      <c r="S133" s="257" t="str">
        <f t="shared" si="77"/>
        <v/>
      </c>
      <c r="T133" s="219" t="str">
        <f t="shared" si="72"/>
        <v/>
      </c>
      <c r="U133" s="258"/>
    </row>
    <row r="134" spans="2:21" x14ac:dyDescent="0.15">
      <c r="B134" s="249"/>
      <c r="C134" s="314"/>
      <c r="D134" s="250"/>
      <c r="E134" s="251"/>
      <c r="F134" s="335"/>
      <c r="G134" s="336"/>
      <c r="H134" s="337"/>
      <c r="I134" s="252" t="str">
        <f t="shared" si="65"/>
        <v/>
      </c>
      <c r="J134" s="248" t="str">
        <f>IF(I134="","",VLOOKUP($I134,Master!$K$4:$N$607,4,FALSE))</f>
        <v/>
      </c>
      <c r="K134" s="253" t="str">
        <f t="shared" si="78"/>
        <v/>
      </c>
      <c r="L134" s="254"/>
      <c r="M134" s="341" t="str">
        <f t="shared" si="67"/>
        <v/>
      </c>
      <c r="N134" s="341"/>
      <c r="O134" s="342"/>
      <c r="P134" s="255" t="str">
        <f t="shared" si="68"/>
        <v/>
      </c>
      <c r="Q134" s="256" t="str">
        <f t="shared" si="76"/>
        <v/>
      </c>
      <c r="R134" s="256" t="str">
        <f t="shared" si="70"/>
        <v/>
      </c>
      <c r="S134" s="257" t="str">
        <f t="shared" si="77"/>
        <v/>
      </c>
      <c r="T134" s="219" t="str">
        <f t="shared" si="72"/>
        <v/>
      </c>
      <c r="U134" s="258"/>
    </row>
    <row r="135" spans="2:21" x14ac:dyDescent="0.15">
      <c r="B135" s="249"/>
      <c r="C135" s="314"/>
      <c r="D135" s="250"/>
      <c r="E135" s="251"/>
      <c r="F135" s="335"/>
      <c r="G135" s="336"/>
      <c r="H135" s="337"/>
      <c r="I135" s="252" t="str">
        <f t="shared" si="65"/>
        <v/>
      </c>
      <c r="J135" s="248" t="str">
        <f>IF(I135="","",VLOOKUP($I135,Master!$K$4:$N$607,4,FALSE))</f>
        <v/>
      </c>
      <c r="K135" s="253" t="str">
        <f t="shared" si="78"/>
        <v/>
      </c>
      <c r="L135" s="254"/>
      <c r="M135" s="341" t="str">
        <f t="shared" si="67"/>
        <v/>
      </c>
      <c r="N135" s="341"/>
      <c r="O135" s="342"/>
      <c r="P135" s="255" t="str">
        <f t="shared" si="68"/>
        <v/>
      </c>
      <c r="Q135" s="256" t="str">
        <f t="shared" si="76"/>
        <v/>
      </c>
      <c r="R135" s="256" t="str">
        <f t="shared" si="70"/>
        <v/>
      </c>
      <c r="S135" s="257" t="str">
        <f t="shared" si="77"/>
        <v/>
      </c>
      <c r="T135" s="219" t="str">
        <f t="shared" si="72"/>
        <v/>
      </c>
      <c r="U135" s="258"/>
    </row>
    <row r="136" spans="2:21" x14ac:dyDescent="0.15">
      <c r="B136" s="249"/>
      <c r="C136" s="314"/>
      <c r="D136" s="250"/>
      <c r="E136" s="251"/>
      <c r="F136" s="335"/>
      <c r="G136" s="336"/>
      <c r="H136" s="337"/>
      <c r="I136" s="252" t="str">
        <f t="shared" si="65"/>
        <v/>
      </c>
      <c r="J136" s="248" t="str">
        <f>IF(I136="","",VLOOKUP($I136,Master!$K$4:$N$607,4,FALSE))</f>
        <v/>
      </c>
      <c r="K136" s="253" t="str">
        <f t="shared" si="78"/>
        <v/>
      </c>
      <c r="L136" s="254"/>
      <c r="M136" s="341" t="str">
        <f t="shared" si="67"/>
        <v/>
      </c>
      <c r="N136" s="341"/>
      <c r="O136" s="342"/>
      <c r="P136" s="255" t="str">
        <f t="shared" si="68"/>
        <v/>
      </c>
      <c r="Q136" s="256" t="str">
        <f t="shared" si="76"/>
        <v/>
      </c>
      <c r="R136" s="256" t="str">
        <f t="shared" si="70"/>
        <v/>
      </c>
      <c r="S136" s="257" t="str">
        <f t="shared" si="77"/>
        <v/>
      </c>
      <c r="T136" s="219" t="str">
        <f t="shared" si="72"/>
        <v/>
      </c>
      <c r="U136" s="258"/>
    </row>
    <row r="137" spans="2:21" x14ac:dyDescent="0.15">
      <c r="B137" s="249"/>
      <c r="C137" s="314"/>
      <c r="D137" s="250"/>
      <c r="E137" s="251"/>
      <c r="F137" s="335"/>
      <c r="G137" s="336"/>
      <c r="H137" s="337"/>
      <c r="I137" s="252" t="str">
        <f t="shared" ref="I137:I200" si="79">IF($F137="","",IF(ISERR(VLOOKUP($C137&amp;$D137&amp;$E137&amp;$F137,SOW,2,FALSE)),"-",VLOOKUP($C137&amp;$D137&amp;$E137&amp;$F137,SOW,2,FALSE)))</f>
        <v/>
      </c>
      <c r="J137" s="248" t="str">
        <f>IF(I137="","",VLOOKUP($I137,Master!$K$4:$N$607,4,FALSE))</f>
        <v/>
      </c>
      <c r="K137" s="253" t="str">
        <f t="shared" si="78"/>
        <v/>
      </c>
      <c r="L137" s="254"/>
      <c r="M137" s="341" t="str">
        <f t="shared" ref="M137:M200" si="80">IF($F137&lt;&gt;"",IF($J137&lt;&gt;"-",IF($J137="要選択","REQ_IDを選択して下さい。",IF($J137="","REQ_IDを選択して下さい。",VLOOKUP($J137,REQUEST,2,FALSE))),$F137),"")</f>
        <v/>
      </c>
      <c r="N137" s="341"/>
      <c r="O137" s="342"/>
      <c r="P137" s="255" t="str">
        <f t="shared" ref="P137:P200" si="81">IF($B137&lt;&gt;"",TEXT(TEXT(YEAR($B137),"0000")&amp;TEXT(MONTH($B137),"00")&amp;$I137,"@"),"")</f>
        <v/>
      </c>
      <c r="Q137" s="256" t="str">
        <f t="shared" si="76"/>
        <v/>
      </c>
      <c r="R137" s="256" t="str">
        <f t="shared" ref="R137:R200" si="82">IF($B137&lt;&gt;"",TEXT(TEXT(YEAR($B137),"0000")&amp;TEXT(MONTH($B137),"00")&amp;$J137,"@"),"")</f>
        <v/>
      </c>
      <c r="S137" s="257" t="str">
        <f t="shared" si="77"/>
        <v/>
      </c>
      <c r="T137" s="219" t="str">
        <f t="shared" si="72"/>
        <v/>
      </c>
      <c r="U137" s="258"/>
    </row>
    <row r="138" spans="2:21" x14ac:dyDescent="0.15">
      <c r="B138" s="249"/>
      <c r="C138" s="314"/>
      <c r="D138" s="250"/>
      <c r="E138" s="251"/>
      <c r="F138" s="335"/>
      <c r="G138" s="336"/>
      <c r="H138" s="337"/>
      <c r="I138" s="252" t="str">
        <f t="shared" si="79"/>
        <v/>
      </c>
      <c r="J138" s="248" t="str">
        <f>IF(I138="","",VLOOKUP($I138,Master!$K$4:$N$607,4,FALSE))</f>
        <v/>
      </c>
      <c r="K138" s="253" t="str">
        <f t="shared" si="78"/>
        <v/>
      </c>
      <c r="L138" s="254"/>
      <c r="M138" s="341" t="str">
        <f t="shared" si="80"/>
        <v/>
      </c>
      <c r="N138" s="341"/>
      <c r="O138" s="342"/>
      <c r="P138" s="255" t="str">
        <f t="shared" si="81"/>
        <v/>
      </c>
      <c r="Q138" s="256" t="str">
        <f t="shared" si="76"/>
        <v/>
      </c>
      <c r="R138" s="256" t="str">
        <f t="shared" si="82"/>
        <v/>
      </c>
      <c r="S138" s="257" t="str">
        <f t="shared" si="77"/>
        <v/>
      </c>
      <c r="T138" s="219" t="str">
        <f t="shared" ref="T138:T201" si="83">IF($B138&lt;&gt;"",TEXT(TEXT(YEAR($B138),"0000")&amp;TEXT(MONTH($B138),"00")&amp;TEXT(DAY($B138),"00")&amp;$C138,"@"),"")</f>
        <v/>
      </c>
      <c r="U138" s="258"/>
    </row>
    <row r="139" spans="2:21" x14ac:dyDescent="0.15">
      <c r="B139" s="249"/>
      <c r="C139" s="314"/>
      <c r="D139" s="250"/>
      <c r="E139" s="251"/>
      <c r="F139" s="335"/>
      <c r="G139" s="336"/>
      <c r="H139" s="337"/>
      <c r="I139" s="252" t="str">
        <f t="shared" si="79"/>
        <v/>
      </c>
      <c r="J139" s="248" t="str">
        <f>IF(I139="","",VLOOKUP($I139,Master!$K$4:$N$607,4,FALSE))</f>
        <v/>
      </c>
      <c r="K139" s="253" t="str">
        <f t="shared" si="78"/>
        <v/>
      </c>
      <c r="L139" s="254"/>
      <c r="M139" s="341" t="str">
        <f t="shared" si="80"/>
        <v/>
      </c>
      <c r="N139" s="341"/>
      <c r="O139" s="342"/>
      <c r="P139" s="255" t="str">
        <f t="shared" si="81"/>
        <v/>
      </c>
      <c r="Q139" s="256" t="str">
        <f t="shared" si="76"/>
        <v/>
      </c>
      <c r="R139" s="256" t="str">
        <f t="shared" si="82"/>
        <v/>
      </c>
      <c r="S139" s="257" t="str">
        <f t="shared" si="77"/>
        <v/>
      </c>
      <c r="T139" s="219" t="str">
        <f t="shared" si="83"/>
        <v/>
      </c>
      <c r="U139" s="258"/>
    </row>
    <row r="140" spans="2:21" x14ac:dyDescent="0.15">
      <c r="B140" s="249"/>
      <c r="C140" s="314"/>
      <c r="D140" s="250"/>
      <c r="E140" s="251"/>
      <c r="F140" s="335"/>
      <c r="G140" s="336"/>
      <c r="H140" s="337"/>
      <c r="I140" s="252" t="str">
        <f t="shared" si="79"/>
        <v/>
      </c>
      <c r="J140" s="248" t="str">
        <f>IF(I140="","",VLOOKUP($I140,Master!$K$4:$N$607,4,FALSE))</f>
        <v/>
      </c>
      <c r="K140" s="253" t="str">
        <f t="shared" si="78"/>
        <v/>
      </c>
      <c r="L140" s="254"/>
      <c r="M140" s="341" t="str">
        <f t="shared" si="80"/>
        <v/>
      </c>
      <c r="N140" s="341"/>
      <c r="O140" s="342"/>
      <c r="P140" s="255" t="str">
        <f t="shared" si="81"/>
        <v/>
      </c>
      <c r="Q140" s="256" t="str">
        <f t="shared" si="76"/>
        <v/>
      </c>
      <c r="R140" s="256" t="str">
        <f t="shared" si="82"/>
        <v/>
      </c>
      <c r="S140" s="257" t="str">
        <f t="shared" si="77"/>
        <v/>
      </c>
      <c r="T140" s="219" t="str">
        <f t="shared" si="83"/>
        <v/>
      </c>
      <c r="U140" s="258"/>
    </row>
    <row r="141" spans="2:21" x14ac:dyDescent="0.15">
      <c r="B141" s="249"/>
      <c r="C141" s="314"/>
      <c r="D141" s="250"/>
      <c r="E141" s="251"/>
      <c r="F141" s="335"/>
      <c r="G141" s="336"/>
      <c r="H141" s="337"/>
      <c r="I141" s="252" t="str">
        <f t="shared" si="79"/>
        <v/>
      </c>
      <c r="J141" s="248" t="str">
        <f>IF(I141="","",VLOOKUP($I141,Master!$K$4:$N$607,4,FALSE))</f>
        <v/>
      </c>
      <c r="K141" s="253" t="str">
        <f t="shared" si="78"/>
        <v/>
      </c>
      <c r="L141" s="254"/>
      <c r="M141" s="341" t="str">
        <f t="shared" si="80"/>
        <v/>
      </c>
      <c r="N141" s="341"/>
      <c r="O141" s="342"/>
      <c r="P141" s="255" t="str">
        <f t="shared" si="81"/>
        <v/>
      </c>
      <c r="Q141" s="256" t="str">
        <f t="shared" si="76"/>
        <v/>
      </c>
      <c r="R141" s="256" t="str">
        <f t="shared" si="82"/>
        <v/>
      </c>
      <c r="S141" s="257" t="str">
        <f t="shared" si="77"/>
        <v/>
      </c>
      <c r="T141" s="219" t="str">
        <f t="shared" si="83"/>
        <v/>
      </c>
      <c r="U141" s="258"/>
    </row>
    <row r="142" spans="2:21" x14ac:dyDescent="0.15">
      <c r="B142" s="249"/>
      <c r="C142" s="314"/>
      <c r="D142" s="250"/>
      <c r="E142" s="251"/>
      <c r="F142" s="335"/>
      <c r="G142" s="336"/>
      <c r="H142" s="337"/>
      <c r="I142" s="252" t="str">
        <f t="shared" si="79"/>
        <v/>
      </c>
      <c r="J142" s="248" t="str">
        <f>IF(I142="","",VLOOKUP($I142,Master!$K$4:$N$607,4,FALSE))</f>
        <v/>
      </c>
      <c r="K142" s="253" t="str">
        <f t="shared" si="78"/>
        <v/>
      </c>
      <c r="L142" s="254"/>
      <c r="M142" s="341" t="str">
        <f t="shared" si="80"/>
        <v/>
      </c>
      <c r="N142" s="341"/>
      <c r="O142" s="342"/>
      <c r="P142" s="255" t="str">
        <f t="shared" si="81"/>
        <v/>
      </c>
      <c r="Q142" s="256" t="str">
        <f t="shared" si="76"/>
        <v/>
      </c>
      <c r="R142" s="256" t="str">
        <f t="shared" si="82"/>
        <v/>
      </c>
      <c r="S142" s="257" t="str">
        <f t="shared" si="77"/>
        <v/>
      </c>
      <c r="T142" s="219" t="str">
        <f t="shared" si="83"/>
        <v/>
      </c>
      <c r="U142" s="258"/>
    </row>
    <row r="143" spans="2:21" x14ac:dyDescent="0.15">
      <c r="B143" s="249"/>
      <c r="C143" s="314"/>
      <c r="D143" s="250"/>
      <c r="E143" s="251"/>
      <c r="F143" s="335"/>
      <c r="G143" s="336"/>
      <c r="H143" s="337"/>
      <c r="I143" s="252" t="str">
        <f t="shared" si="79"/>
        <v/>
      </c>
      <c r="J143" s="248" t="str">
        <f>IF(I143="","",VLOOKUP($I143,Master!$K$4:$N$607,4,FALSE))</f>
        <v/>
      </c>
      <c r="K143" s="253" t="str">
        <f t="shared" si="78"/>
        <v/>
      </c>
      <c r="L143" s="254"/>
      <c r="M143" s="341" t="str">
        <f t="shared" si="80"/>
        <v/>
      </c>
      <c r="N143" s="341"/>
      <c r="O143" s="342"/>
      <c r="P143" s="255" t="str">
        <f t="shared" si="81"/>
        <v/>
      </c>
      <c r="Q143" s="256" t="str">
        <f t="shared" si="76"/>
        <v/>
      </c>
      <c r="R143" s="256" t="str">
        <f t="shared" si="82"/>
        <v/>
      </c>
      <c r="S143" s="257" t="str">
        <f t="shared" si="77"/>
        <v/>
      </c>
      <c r="T143" s="219" t="str">
        <f t="shared" si="83"/>
        <v/>
      </c>
      <c r="U143" s="258"/>
    </row>
    <row r="144" spans="2:21" x14ac:dyDescent="0.15">
      <c r="B144" s="249"/>
      <c r="C144" s="314"/>
      <c r="D144" s="250"/>
      <c r="E144" s="251"/>
      <c r="F144" s="335"/>
      <c r="G144" s="336"/>
      <c r="H144" s="337"/>
      <c r="I144" s="252" t="str">
        <f t="shared" si="79"/>
        <v/>
      </c>
      <c r="J144" s="248" t="str">
        <f>IF(I144="","",VLOOKUP($I144,Master!$K$4:$N$607,4,FALSE))</f>
        <v/>
      </c>
      <c r="K144" s="253" t="str">
        <f t="shared" si="78"/>
        <v/>
      </c>
      <c r="L144" s="254"/>
      <c r="M144" s="341" t="str">
        <f t="shared" si="80"/>
        <v/>
      </c>
      <c r="N144" s="341"/>
      <c r="O144" s="342"/>
      <c r="P144" s="255" t="str">
        <f t="shared" si="81"/>
        <v/>
      </c>
      <c r="Q144" s="256" t="str">
        <f t="shared" si="76"/>
        <v/>
      </c>
      <c r="R144" s="256" t="str">
        <f t="shared" si="82"/>
        <v/>
      </c>
      <c r="S144" s="257" t="str">
        <f t="shared" si="77"/>
        <v/>
      </c>
      <c r="T144" s="219" t="str">
        <f t="shared" si="83"/>
        <v/>
      </c>
      <c r="U144" s="258"/>
    </row>
    <row r="145" spans="2:21" x14ac:dyDescent="0.15">
      <c r="B145" s="249"/>
      <c r="C145" s="314"/>
      <c r="D145" s="250"/>
      <c r="E145" s="251"/>
      <c r="F145" s="335"/>
      <c r="G145" s="336"/>
      <c r="H145" s="337"/>
      <c r="I145" s="252" t="str">
        <f t="shared" si="79"/>
        <v/>
      </c>
      <c r="J145" s="248" t="str">
        <f>IF(I145="","",VLOOKUP($I145,Master!$K$4:$N$607,4,FALSE))</f>
        <v/>
      </c>
      <c r="K145" s="253" t="str">
        <f t="shared" si="78"/>
        <v/>
      </c>
      <c r="L145" s="254"/>
      <c r="M145" s="341" t="str">
        <f t="shared" si="80"/>
        <v/>
      </c>
      <c r="N145" s="341"/>
      <c r="O145" s="342"/>
      <c r="P145" s="255" t="str">
        <f t="shared" si="81"/>
        <v/>
      </c>
      <c r="Q145" s="256" t="str">
        <f t="shared" si="76"/>
        <v/>
      </c>
      <c r="R145" s="256" t="str">
        <f t="shared" si="82"/>
        <v/>
      </c>
      <c r="S145" s="257" t="str">
        <f t="shared" si="77"/>
        <v/>
      </c>
      <c r="T145" s="219" t="str">
        <f t="shared" si="83"/>
        <v/>
      </c>
      <c r="U145" s="258"/>
    </row>
    <row r="146" spans="2:21" x14ac:dyDescent="0.15">
      <c r="B146" s="249"/>
      <c r="C146" s="314"/>
      <c r="D146" s="250"/>
      <c r="E146" s="251"/>
      <c r="F146" s="335"/>
      <c r="G146" s="336"/>
      <c r="H146" s="337"/>
      <c r="I146" s="252" t="str">
        <f t="shared" si="79"/>
        <v/>
      </c>
      <c r="J146" s="248" t="str">
        <f>IF(I146="","",VLOOKUP($I146,Master!$K$4:$N$607,4,FALSE))</f>
        <v/>
      </c>
      <c r="K146" s="253" t="str">
        <f t="shared" si="78"/>
        <v/>
      </c>
      <c r="L146" s="254"/>
      <c r="M146" s="341" t="str">
        <f t="shared" si="80"/>
        <v/>
      </c>
      <c r="N146" s="341"/>
      <c r="O146" s="342"/>
      <c r="P146" s="255" t="str">
        <f t="shared" si="81"/>
        <v/>
      </c>
      <c r="Q146" s="256" t="str">
        <f t="shared" si="76"/>
        <v/>
      </c>
      <c r="R146" s="256" t="str">
        <f t="shared" si="82"/>
        <v/>
      </c>
      <c r="S146" s="257" t="str">
        <f t="shared" si="77"/>
        <v/>
      </c>
      <c r="T146" s="219" t="str">
        <f t="shared" si="83"/>
        <v/>
      </c>
      <c r="U146" s="258"/>
    </row>
    <row r="147" spans="2:21" x14ac:dyDescent="0.15">
      <c r="B147" s="249"/>
      <c r="C147" s="314"/>
      <c r="D147" s="250"/>
      <c r="E147" s="251"/>
      <c r="F147" s="335"/>
      <c r="G147" s="336"/>
      <c r="H147" s="337"/>
      <c r="I147" s="252" t="str">
        <f t="shared" si="79"/>
        <v/>
      </c>
      <c r="J147" s="248" t="str">
        <f>IF(I147="","",VLOOKUP($I147,Master!$K$4:$N$607,4,FALSE))</f>
        <v/>
      </c>
      <c r="K147" s="253" t="str">
        <f t="shared" si="78"/>
        <v/>
      </c>
      <c r="L147" s="254"/>
      <c r="M147" s="341" t="str">
        <f t="shared" si="80"/>
        <v/>
      </c>
      <c r="N147" s="341"/>
      <c r="O147" s="342"/>
      <c r="P147" s="255" t="str">
        <f t="shared" si="81"/>
        <v/>
      </c>
      <c r="Q147" s="256" t="str">
        <f t="shared" si="76"/>
        <v/>
      </c>
      <c r="R147" s="256" t="str">
        <f t="shared" si="82"/>
        <v/>
      </c>
      <c r="S147" s="257" t="str">
        <f t="shared" si="77"/>
        <v/>
      </c>
      <c r="T147" s="219" t="str">
        <f t="shared" si="83"/>
        <v/>
      </c>
      <c r="U147" s="258"/>
    </row>
    <row r="148" spans="2:21" x14ac:dyDescent="0.15">
      <c r="B148" s="249"/>
      <c r="C148" s="314"/>
      <c r="D148" s="250"/>
      <c r="E148" s="251"/>
      <c r="F148" s="335"/>
      <c r="G148" s="336"/>
      <c r="H148" s="337"/>
      <c r="I148" s="252" t="str">
        <f t="shared" si="79"/>
        <v/>
      </c>
      <c r="J148" s="248" t="str">
        <f>IF(I148="","",VLOOKUP($I148,Master!$K$4:$N$607,4,FALSE))</f>
        <v/>
      </c>
      <c r="K148" s="253" t="str">
        <f t="shared" si="78"/>
        <v/>
      </c>
      <c r="L148" s="254"/>
      <c r="M148" s="341" t="str">
        <f t="shared" si="80"/>
        <v/>
      </c>
      <c r="N148" s="341"/>
      <c r="O148" s="342"/>
      <c r="P148" s="255" t="str">
        <f t="shared" si="81"/>
        <v/>
      </c>
      <c r="Q148" s="256" t="str">
        <f t="shared" si="76"/>
        <v/>
      </c>
      <c r="R148" s="256" t="str">
        <f t="shared" si="82"/>
        <v/>
      </c>
      <c r="S148" s="257" t="str">
        <f t="shared" si="77"/>
        <v/>
      </c>
      <c r="T148" s="219" t="str">
        <f t="shared" si="83"/>
        <v/>
      </c>
      <c r="U148" s="258"/>
    </row>
    <row r="149" spans="2:21" x14ac:dyDescent="0.15">
      <c r="B149" s="249"/>
      <c r="C149" s="314"/>
      <c r="D149" s="250"/>
      <c r="E149" s="251"/>
      <c r="F149" s="335"/>
      <c r="G149" s="336"/>
      <c r="H149" s="337"/>
      <c r="I149" s="252" t="str">
        <f t="shared" si="79"/>
        <v/>
      </c>
      <c r="J149" s="248" t="str">
        <f>IF(I149="","",VLOOKUP($I149,Master!$K$4:$N$607,4,FALSE))</f>
        <v/>
      </c>
      <c r="K149" s="253" t="str">
        <f t="shared" si="78"/>
        <v/>
      </c>
      <c r="L149" s="254"/>
      <c r="M149" s="341" t="str">
        <f t="shared" si="80"/>
        <v/>
      </c>
      <c r="N149" s="341"/>
      <c r="O149" s="342"/>
      <c r="P149" s="255" t="str">
        <f t="shared" si="81"/>
        <v/>
      </c>
      <c r="Q149" s="256" t="str">
        <f t="shared" si="76"/>
        <v/>
      </c>
      <c r="R149" s="256" t="str">
        <f t="shared" si="82"/>
        <v/>
      </c>
      <c r="S149" s="257" t="str">
        <f t="shared" si="77"/>
        <v/>
      </c>
      <c r="T149" s="219" t="str">
        <f t="shared" si="83"/>
        <v/>
      </c>
      <c r="U149" s="258"/>
    </row>
    <row r="150" spans="2:21" x14ac:dyDescent="0.15">
      <c r="B150" s="249"/>
      <c r="C150" s="314"/>
      <c r="D150" s="250"/>
      <c r="E150" s="251"/>
      <c r="F150" s="335"/>
      <c r="G150" s="336"/>
      <c r="H150" s="337"/>
      <c r="I150" s="252" t="str">
        <f t="shared" si="79"/>
        <v/>
      </c>
      <c r="J150" s="248" t="str">
        <f>IF(I150="","",VLOOKUP($I150,Master!$K$4:$N$607,4,FALSE))</f>
        <v/>
      </c>
      <c r="K150" s="253" t="str">
        <f t="shared" si="78"/>
        <v/>
      </c>
      <c r="L150" s="254"/>
      <c r="M150" s="341" t="str">
        <f t="shared" si="80"/>
        <v/>
      </c>
      <c r="N150" s="341"/>
      <c r="O150" s="342"/>
      <c r="P150" s="255" t="str">
        <f t="shared" si="81"/>
        <v/>
      </c>
      <c r="Q150" s="256" t="str">
        <f t="shared" si="76"/>
        <v/>
      </c>
      <c r="R150" s="256" t="str">
        <f t="shared" si="82"/>
        <v/>
      </c>
      <c r="S150" s="257" t="str">
        <f t="shared" si="77"/>
        <v/>
      </c>
      <c r="T150" s="219" t="str">
        <f t="shared" si="83"/>
        <v/>
      </c>
      <c r="U150" s="258"/>
    </row>
    <row r="151" spans="2:21" x14ac:dyDescent="0.15">
      <c r="B151" s="249"/>
      <c r="C151" s="314"/>
      <c r="D151" s="250"/>
      <c r="E151" s="251"/>
      <c r="F151" s="335"/>
      <c r="G151" s="336"/>
      <c r="H151" s="337"/>
      <c r="I151" s="252" t="str">
        <f t="shared" si="79"/>
        <v/>
      </c>
      <c r="J151" s="248" t="str">
        <f>IF(I151="","",VLOOKUP($I151,Master!$K$4:$N$607,4,FALSE))</f>
        <v/>
      </c>
      <c r="K151" s="253" t="str">
        <f t="shared" si="78"/>
        <v/>
      </c>
      <c r="L151" s="254"/>
      <c r="M151" s="341" t="str">
        <f t="shared" si="80"/>
        <v/>
      </c>
      <c r="N151" s="341"/>
      <c r="O151" s="342"/>
      <c r="P151" s="255" t="str">
        <f t="shared" si="81"/>
        <v/>
      </c>
      <c r="Q151" s="256" t="str">
        <f t="shared" si="76"/>
        <v/>
      </c>
      <c r="R151" s="256" t="str">
        <f t="shared" si="82"/>
        <v/>
      </c>
      <c r="S151" s="257" t="str">
        <f t="shared" si="77"/>
        <v/>
      </c>
      <c r="T151" s="219" t="str">
        <f t="shared" si="83"/>
        <v/>
      </c>
      <c r="U151" s="258"/>
    </row>
    <row r="152" spans="2:21" x14ac:dyDescent="0.15">
      <c r="B152" s="249"/>
      <c r="C152" s="314"/>
      <c r="D152" s="250"/>
      <c r="E152" s="251"/>
      <c r="F152" s="335"/>
      <c r="G152" s="336"/>
      <c r="H152" s="337"/>
      <c r="I152" s="252" t="str">
        <f t="shared" si="79"/>
        <v/>
      </c>
      <c r="J152" s="248" t="str">
        <f>IF(I152="","",VLOOKUP($I152,Master!$K$4:$N$607,4,FALSE))</f>
        <v/>
      </c>
      <c r="K152" s="253" t="str">
        <f t="shared" si="78"/>
        <v/>
      </c>
      <c r="L152" s="254"/>
      <c r="M152" s="341" t="str">
        <f t="shared" si="80"/>
        <v/>
      </c>
      <c r="N152" s="341"/>
      <c r="O152" s="342"/>
      <c r="P152" s="255" t="str">
        <f t="shared" si="81"/>
        <v/>
      </c>
      <c r="Q152" s="256" t="str">
        <f t="shared" si="76"/>
        <v/>
      </c>
      <c r="R152" s="256" t="str">
        <f t="shared" si="82"/>
        <v/>
      </c>
      <c r="S152" s="257" t="str">
        <f t="shared" si="77"/>
        <v/>
      </c>
      <c r="T152" s="219" t="str">
        <f t="shared" si="83"/>
        <v/>
      </c>
      <c r="U152" s="258"/>
    </row>
    <row r="153" spans="2:21" x14ac:dyDescent="0.15">
      <c r="B153" s="249"/>
      <c r="C153" s="314"/>
      <c r="D153" s="250"/>
      <c r="E153" s="251"/>
      <c r="F153" s="335"/>
      <c r="G153" s="336"/>
      <c r="H153" s="337"/>
      <c r="I153" s="252" t="str">
        <f t="shared" si="79"/>
        <v/>
      </c>
      <c r="J153" s="248" t="str">
        <f>IF(I153="","",VLOOKUP($I153,Master!$K$4:$N$607,4,FALSE))</f>
        <v/>
      </c>
      <c r="K153" s="253" t="str">
        <f t="shared" si="78"/>
        <v/>
      </c>
      <c r="L153" s="254"/>
      <c r="M153" s="341" t="str">
        <f t="shared" si="80"/>
        <v/>
      </c>
      <c r="N153" s="341"/>
      <c r="O153" s="342"/>
      <c r="P153" s="255" t="str">
        <f t="shared" si="81"/>
        <v/>
      </c>
      <c r="Q153" s="256" t="str">
        <f t="shared" si="76"/>
        <v/>
      </c>
      <c r="R153" s="256" t="str">
        <f t="shared" si="82"/>
        <v/>
      </c>
      <c r="S153" s="257" t="str">
        <f t="shared" si="77"/>
        <v/>
      </c>
      <c r="T153" s="219" t="str">
        <f t="shared" si="83"/>
        <v/>
      </c>
      <c r="U153" s="258"/>
    </row>
    <row r="154" spans="2:21" x14ac:dyDescent="0.15">
      <c r="B154" s="249"/>
      <c r="C154" s="314"/>
      <c r="D154" s="250"/>
      <c r="E154" s="251"/>
      <c r="F154" s="335"/>
      <c r="G154" s="336"/>
      <c r="H154" s="337"/>
      <c r="I154" s="252" t="str">
        <f t="shared" si="79"/>
        <v/>
      </c>
      <c r="J154" s="248" t="str">
        <f>IF(I154="","",VLOOKUP($I154,Master!$K$4:$N$607,4,FALSE))</f>
        <v/>
      </c>
      <c r="K154" s="253" t="str">
        <f t="shared" ref="K154:K217" si="84">IF(F154="","",IF(ISERROR(VLOOKUP($F154,SOW,3,FALSE)),0,VLOOKUP($F154,SOW,3,FALSE)*24))</f>
        <v/>
      </c>
      <c r="L154" s="254"/>
      <c r="M154" s="341" t="str">
        <f t="shared" si="80"/>
        <v/>
      </c>
      <c r="N154" s="341"/>
      <c r="O154" s="342"/>
      <c r="P154" s="255" t="str">
        <f t="shared" si="81"/>
        <v/>
      </c>
      <c r="Q154" s="256" t="str">
        <f t="shared" ref="Q154:Q217" si="85">IF($B154&lt;&gt;"",TEXT(TEXT(YEAR($B154),"0000")&amp;TEXT(MONTH($B154),"00")&amp;$I154&amp;"@"&amp;LEFT($E$2,SEARCH("　",$E$2,1)-1)&amp;"@"&amp;L154,"@"),"")</f>
        <v/>
      </c>
      <c r="R154" s="256" t="str">
        <f t="shared" si="82"/>
        <v/>
      </c>
      <c r="S154" s="257" t="str">
        <f t="shared" ref="S154:S217" si="86">IF($B154&lt;&gt;"",TEXT(YEAR($B154),"0000")&amp;TEXT(MONTH($B154),"00")&amp;$J154&amp;"@"&amp;LEFT($E$2,SEARCH("　",$E$2,1)-1)&amp;"@"&amp;L154,"")</f>
        <v/>
      </c>
      <c r="T154" s="219" t="str">
        <f t="shared" si="83"/>
        <v/>
      </c>
      <c r="U154" s="258"/>
    </row>
    <row r="155" spans="2:21" x14ac:dyDescent="0.15">
      <c r="B155" s="249"/>
      <c r="C155" s="314"/>
      <c r="D155" s="250"/>
      <c r="E155" s="251"/>
      <c r="F155" s="335"/>
      <c r="G155" s="336"/>
      <c r="H155" s="337"/>
      <c r="I155" s="252" t="str">
        <f t="shared" si="79"/>
        <v/>
      </c>
      <c r="J155" s="248" t="str">
        <f>IF(I155="","",VLOOKUP($I155,Master!$K$4:$N$607,4,FALSE))</f>
        <v/>
      </c>
      <c r="K155" s="253" t="str">
        <f t="shared" si="84"/>
        <v/>
      </c>
      <c r="L155" s="254"/>
      <c r="M155" s="341" t="str">
        <f t="shared" si="80"/>
        <v/>
      </c>
      <c r="N155" s="341"/>
      <c r="O155" s="342"/>
      <c r="P155" s="255" t="str">
        <f t="shared" si="81"/>
        <v/>
      </c>
      <c r="Q155" s="256" t="str">
        <f t="shared" si="85"/>
        <v/>
      </c>
      <c r="R155" s="256" t="str">
        <f t="shared" si="82"/>
        <v/>
      </c>
      <c r="S155" s="257" t="str">
        <f t="shared" si="86"/>
        <v/>
      </c>
      <c r="T155" s="219" t="str">
        <f t="shared" si="83"/>
        <v/>
      </c>
      <c r="U155" s="258"/>
    </row>
    <row r="156" spans="2:21" x14ac:dyDescent="0.15">
      <c r="B156" s="249"/>
      <c r="C156" s="314"/>
      <c r="D156" s="250"/>
      <c r="E156" s="251"/>
      <c r="F156" s="335"/>
      <c r="G156" s="336"/>
      <c r="H156" s="337"/>
      <c r="I156" s="252" t="str">
        <f t="shared" si="79"/>
        <v/>
      </c>
      <c r="J156" s="248" t="str">
        <f>IF(I156="","",VLOOKUP($I156,Master!$K$4:$N$607,4,FALSE))</f>
        <v/>
      </c>
      <c r="K156" s="253" t="str">
        <f t="shared" si="84"/>
        <v/>
      </c>
      <c r="L156" s="254"/>
      <c r="M156" s="341" t="str">
        <f t="shared" si="80"/>
        <v/>
      </c>
      <c r="N156" s="341"/>
      <c r="O156" s="342"/>
      <c r="P156" s="255" t="str">
        <f t="shared" si="81"/>
        <v/>
      </c>
      <c r="Q156" s="256" t="str">
        <f t="shared" si="85"/>
        <v/>
      </c>
      <c r="R156" s="256" t="str">
        <f t="shared" si="82"/>
        <v/>
      </c>
      <c r="S156" s="257" t="str">
        <f t="shared" si="86"/>
        <v/>
      </c>
      <c r="T156" s="219" t="str">
        <f t="shared" si="83"/>
        <v/>
      </c>
      <c r="U156" s="258"/>
    </row>
    <row r="157" spans="2:21" x14ac:dyDescent="0.15">
      <c r="B157" s="249"/>
      <c r="C157" s="314"/>
      <c r="D157" s="250"/>
      <c r="E157" s="251"/>
      <c r="F157" s="335"/>
      <c r="G157" s="336"/>
      <c r="H157" s="337"/>
      <c r="I157" s="252" t="str">
        <f t="shared" si="79"/>
        <v/>
      </c>
      <c r="J157" s="248" t="str">
        <f>IF(I157="","",VLOOKUP($I157,Master!$K$4:$N$607,4,FALSE))</f>
        <v/>
      </c>
      <c r="K157" s="253" t="str">
        <f t="shared" si="84"/>
        <v/>
      </c>
      <c r="L157" s="254"/>
      <c r="M157" s="341" t="str">
        <f t="shared" si="80"/>
        <v/>
      </c>
      <c r="N157" s="341"/>
      <c r="O157" s="342"/>
      <c r="P157" s="255" t="str">
        <f t="shared" si="81"/>
        <v/>
      </c>
      <c r="Q157" s="256" t="str">
        <f t="shared" si="85"/>
        <v/>
      </c>
      <c r="R157" s="256" t="str">
        <f t="shared" si="82"/>
        <v/>
      </c>
      <c r="S157" s="257" t="str">
        <f t="shared" si="86"/>
        <v/>
      </c>
      <c r="T157" s="219" t="str">
        <f t="shared" si="83"/>
        <v/>
      </c>
      <c r="U157" s="258"/>
    </row>
    <row r="158" spans="2:21" x14ac:dyDescent="0.15">
      <c r="B158" s="249"/>
      <c r="C158" s="314"/>
      <c r="D158" s="250"/>
      <c r="E158" s="251"/>
      <c r="F158" s="335"/>
      <c r="G158" s="336"/>
      <c r="H158" s="337"/>
      <c r="I158" s="252" t="str">
        <f t="shared" si="79"/>
        <v/>
      </c>
      <c r="J158" s="248" t="str">
        <f>IF(I158="","",VLOOKUP($I158,Master!$K$4:$N$607,4,FALSE))</f>
        <v/>
      </c>
      <c r="K158" s="253" t="str">
        <f t="shared" si="84"/>
        <v/>
      </c>
      <c r="L158" s="254"/>
      <c r="M158" s="341" t="str">
        <f t="shared" si="80"/>
        <v/>
      </c>
      <c r="N158" s="341"/>
      <c r="O158" s="342"/>
      <c r="P158" s="255" t="str">
        <f t="shared" si="81"/>
        <v/>
      </c>
      <c r="Q158" s="256" t="str">
        <f t="shared" si="85"/>
        <v/>
      </c>
      <c r="R158" s="256" t="str">
        <f t="shared" si="82"/>
        <v/>
      </c>
      <c r="S158" s="257" t="str">
        <f t="shared" si="86"/>
        <v/>
      </c>
      <c r="T158" s="219" t="str">
        <f t="shared" si="83"/>
        <v/>
      </c>
      <c r="U158" s="258"/>
    </row>
    <row r="159" spans="2:21" x14ac:dyDescent="0.15">
      <c r="B159" s="249"/>
      <c r="C159" s="314"/>
      <c r="D159" s="250"/>
      <c r="E159" s="251"/>
      <c r="F159" s="335"/>
      <c r="G159" s="336"/>
      <c r="H159" s="337"/>
      <c r="I159" s="252" t="str">
        <f t="shared" si="79"/>
        <v/>
      </c>
      <c r="J159" s="248" t="str">
        <f>IF(I159="","",VLOOKUP($I159,Master!$K$4:$N$607,4,FALSE))</f>
        <v/>
      </c>
      <c r="K159" s="253" t="str">
        <f t="shared" si="84"/>
        <v/>
      </c>
      <c r="L159" s="254"/>
      <c r="M159" s="341" t="str">
        <f t="shared" si="80"/>
        <v/>
      </c>
      <c r="N159" s="341"/>
      <c r="O159" s="342"/>
      <c r="P159" s="255" t="str">
        <f t="shared" si="81"/>
        <v/>
      </c>
      <c r="Q159" s="256" t="str">
        <f t="shared" si="85"/>
        <v/>
      </c>
      <c r="R159" s="256" t="str">
        <f t="shared" si="82"/>
        <v/>
      </c>
      <c r="S159" s="257" t="str">
        <f t="shared" si="86"/>
        <v/>
      </c>
      <c r="T159" s="219" t="str">
        <f t="shared" si="83"/>
        <v/>
      </c>
      <c r="U159" s="258"/>
    </row>
    <row r="160" spans="2:21" x14ac:dyDescent="0.15">
      <c r="B160" s="249"/>
      <c r="C160" s="314"/>
      <c r="D160" s="250"/>
      <c r="E160" s="251"/>
      <c r="F160" s="335"/>
      <c r="G160" s="336"/>
      <c r="H160" s="337"/>
      <c r="I160" s="252" t="str">
        <f t="shared" si="79"/>
        <v/>
      </c>
      <c r="J160" s="248" t="str">
        <f>IF(I160="","",VLOOKUP($I160,Master!$K$4:$N$607,4,FALSE))</f>
        <v/>
      </c>
      <c r="K160" s="253" t="str">
        <f t="shared" si="84"/>
        <v/>
      </c>
      <c r="L160" s="254"/>
      <c r="M160" s="341" t="str">
        <f t="shared" si="80"/>
        <v/>
      </c>
      <c r="N160" s="341"/>
      <c r="O160" s="342"/>
      <c r="P160" s="255" t="str">
        <f t="shared" si="81"/>
        <v/>
      </c>
      <c r="Q160" s="256" t="str">
        <f t="shared" si="85"/>
        <v/>
      </c>
      <c r="R160" s="256" t="str">
        <f t="shared" si="82"/>
        <v/>
      </c>
      <c r="S160" s="257" t="str">
        <f t="shared" si="86"/>
        <v/>
      </c>
      <c r="T160" s="219" t="str">
        <f t="shared" si="83"/>
        <v/>
      </c>
      <c r="U160" s="258"/>
    </row>
    <row r="161" spans="2:21" x14ac:dyDescent="0.15">
      <c r="B161" s="249"/>
      <c r="C161" s="314"/>
      <c r="D161" s="250"/>
      <c r="E161" s="251"/>
      <c r="F161" s="335"/>
      <c r="G161" s="336"/>
      <c r="H161" s="337"/>
      <c r="I161" s="252" t="str">
        <f t="shared" si="79"/>
        <v/>
      </c>
      <c r="J161" s="248" t="str">
        <f>IF(I161="","",VLOOKUP($I161,Master!$K$4:$N$607,4,FALSE))</f>
        <v/>
      </c>
      <c r="K161" s="253" t="str">
        <f t="shared" si="84"/>
        <v/>
      </c>
      <c r="L161" s="254"/>
      <c r="M161" s="341" t="str">
        <f t="shared" si="80"/>
        <v/>
      </c>
      <c r="N161" s="341"/>
      <c r="O161" s="342"/>
      <c r="P161" s="255" t="str">
        <f t="shared" si="81"/>
        <v/>
      </c>
      <c r="Q161" s="256" t="str">
        <f t="shared" si="85"/>
        <v/>
      </c>
      <c r="R161" s="256" t="str">
        <f t="shared" si="82"/>
        <v/>
      </c>
      <c r="S161" s="257" t="str">
        <f t="shared" si="86"/>
        <v/>
      </c>
      <c r="T161" s="219" t="str">
        <f t="shared" si="83"/>
        <v/>
      </c>
      <c r="U161" s="258"/>
    </row>
    <row r="162" spans="2:21" x14ac:dyDescent="0.15">
      <c r="B162" s="249"/>
      <c r="C162" s="314"/>
      <c r="D162" s="250"/>
      <c r="E162" s="251"/>
      <c r="F162" s="335"/>
      <c r="G162" s="336"/>
      <c r="H162" s="337"/>
      <c r="I162" s="252" t="str">
        <f t="shared" si="79"/>
        <v/>
      </c>
      <c r="J162" s="248" t="str">
        <f>IF(I162="","",VLOOKUP($I162,Master!$K$4:$N$607,4,FALSE))</f>
        <v/>
      </c>
      <c r="K162" s="253" t="str">
        <f t="shared" si="84"/>
        <v/>
      </c>
      <c r="L162" s="254"/>
      <c r="M162" s="341" t="str">
        <f t="shared" si="80"/>
        <v/>
      </c>
      <c r="N162" s="341"/>
      <c r="O162" s="342"/>
      <c r="P162" s="255" t="str">
        <f t="shared" si="81"/>
        <v/>
      </c>
      <c r="Q162" s="256" t="str">
        <f t="shared" si="85"/>
        <v/>
      </c>
      <c r="R162" s="256" t="str">
        <f t="shared" si="82"/>
        <v/>
      </c>
      <c r="S162" s="257" t="str">
        <f t="shared" si="86"/>
        <v/>
      </c>
      <c r="T162" s="219" t="str">
        <f t="shared" si="83"/>
        <v/>
      </c>
      <c r="U162" s="258"/>
    </row>
    <row r="163" spans="2:21" x14ac:dyDescent="0.15">
      <c r="B163" s="249"/>
      <c r="C163" s="314"/>
      <c r="D163" s="250"/>
      <c r="E163" s="251"/>
      <c r="F163" s="335"/>
      <c r="G163" s="336"/>
      <c r="H163" s="337"/>
      <c r="I163" s="252" t="str">
        <f t="shared" si="79"/>
        <v/>
      </c>
      <c r="J163" s="248" t="str">
        <f>IF(I163="","",VLOOKUP($I163,Master!$K$4:$N$607,4,FALSE))</f>
        <v/>
      </c>
      <c r="K163" s="253" t="str">
        <f t="shared" si="84"/>
        <v/>
      </c>
      <c r="L163" s="254"/>
      <c r="M163" s="341" t="str">
        <f t="shared" si="80"/>
        <v/>
      </c>
      <c r="N163" s="341"/>
      <c r="O163" s="342"/>
      <c r="P163" s="255" t="str">
        <f t="shared" si="81"/>
        <v/>
      </c>
      <c r="Q163" s="256" t="str">
        <f t="shared" si="85"/>
        <v/>
      </c>
      <c r="R163" s="256" t="str">
        <f t="shared" si="82"/>
        <v/>
      </c>
      <c r="S163" s="257" t="str">
        <f t="shared" si="86"/>
        <v/>
      </c>
      <c r="T163" s="219" t="str">
        <f t="shared" si="83"/>
        <v/>
      </c>
      <c r="U163" s="258"/>
    </row>
    <row r="164" spans="2:21" x14ac:dyDescent="0.15">
      <c r="B164" s="249"/>
      <c r="C164" s="314"/>
      <c r="D164" s="250"/>
      <c r="E164" s="251"/>
      <c r="F164" s="335"/>
      <c r="G164" s="336"/>
      <c r="H164" s="337"/>
      <c r="I164" s="252" t="str">
        <f t="shared" si="79"/>
        <v/>
      </c>
      <c r="J164" s="248" t="str">
        <f>IF(I164="","",VLOOKUP($I164,Master!$K$4:$N$607,4,FALSE))</f>
        <v/>
      </c>
      <c r="K164" s="253" t="str">
        <f t="shared" si="84"/>
        <v/>
      </c>
      <c r="L164" s="254"/>
      <c r="M164" s="341" t="str">
        <f t="shared" si="80"/>
        <v/>
      </c>
      <c r="N164" s="341"/>
      <c r="O164" s="342"/>
      <c r="P164" s="255" t="str">
        <f t="shared" si="81"/>
        <v/>
      </c>
      <c r="Q164" s="256" t="str">
        <f t="shared" si="85"/>
        <v/>
      </c>
      <c r="R164" s="256" t="str">
        <f t="shared" si="82"/>
        <v/>
      </c>
      <c r="S164" s="257" t="str">
        <f t="shared" si="86"/>
        <v/>
      </c>
      <c r="T164" s="219" t="str">
        <f t="shared" si="83"/>
        <v/>
      </c>
      <c r="U164" s="258"/>
    </row>
    <row r="165" spans="2:21" x14ac:dyDescent="0.15">
      <c r="B165" s="249"/>
      <c r="C165" s="314"/>
      <c r="D165" s="250"/>
      <c r="E165" s="251"/>
      <c r="F165" s="335"/>
      <c r="G165" s="336"/>
      <c r="H165" s="337"/>
      <c r="I165" s="252" t="str">
        <f t="shared" si="79"/>
        <v/>
      </c>
      <c r="J165" s="248" t="str">
        <f>IF(I165="","",VLOOKUP($I165,Master!$K$4:$N$607,4,FALSE))</f>
        <v/>
      </c>
      <c r="K165" s="253" t="str">
        <f t="shared" si="84"/>
        <v/>
      </c>
      <c r="L165" s="254"/>
      <c r="M165" s="341" t="str">
        <f t="shared" si="80"/>
        <v/>
      </c>
      <c r="N165" s="341"/>
      <c r="O165" s="342"/>
      <c r="P165" s="255" t="str">
        <f t="shared" si="81"/>
        <v/>
      </c>
      <c r="Q165" s="256" t="str">
        <f t="shared" si="85"/>
        <v/>
      </c>
      <c r="R165" s="256" t="str">
        <f t="shared" si="82"/>
        <v/>
      </c>
      <c r="S165" s="257" t="str">
        <f t="shared" si="86"/>
        <v/>
      </c>
      <c r="T165" s="219" t="str">
        <f t="shared" si="83"/>
        <v/>
      </c>
      <c r="U165" s="258"/>
    </row>
    <row r="166" spans="2:21" x14ac:dyDescent="0.15">
      <c r="B166" s="249"/>
      <c r="C166" s="314"/>
      <c r="D166" s="250"/>
      <c r="E166" s="251"/>
      <c r="F166" s="335"/>
      <c r="G166" s="336"/>
      <c r="H166" s="337"/>
      <c r="I166" s="252" t="str">
        <f t="shared" si="79"/>
        <v/>
      </c>
      <c r="J166" s="248" t="str">
        <f>IF(I166="","",VLOOKUP($I166,Master!$K$4:$N$607,4,FALSE))</f>
        <v/>
      </c>
      <c r="K166" s="253" t="str">
        <f t="shared" si="84"/>
        <v/>
      </c>
      <c r="L166" s="254"/>
      <c r="M166" s="341" t="str">
        <f t="shared" si="80"/>
        <v/>
      </c>
      <c r="N166" s="341"/>
      <c r="O166" s="342"/>
      <c r="P166" s="255" t="str">
        <f t="shared" si="81"/>
        <v/>
      </c>
      <c r="Q166" s="256" t="str">
        <f t="shared" si="85"/>
        <v/>
      </c>
      <c r="R166" s="256" t="str">
        <f t="shared" si="82"/>
        <v/>
      </c>
      <c r="S166" s="257" t="str">
        <f t="shared" si="86"/>
        <v/>
      </c>
      <c r="T166" s="219" t="str">
        <f t="shared" si="83"/>
        <v/>
      </c>
      <c r="U166" s="258"/>
    </row>
    <row r="167" spans="2:21" x14ac:dyDescent="0.15">
      <c r="B167" s="249"/>
      <c r="C167" s="314"/>
      <c r="D167" s="250"/>
      <c r="E167" s="251"/>
      <c r="F167" s="335"/>
      <c r="G167" s="336"/>
      <c r="H167" s="337"/>
      <c r="I167" s="252" t="str">
        <f t="shared" si="79"/>
        <v/>
      </c>
      <c r="J167" s="248" t="str">
        <f>IF(I167="","",VLOOKUP($I167,Master!$K$4:$N$607,4,FALSE))</f>
        <v/>
      </c>
      <c r="K167" s="253" t="str">
        <f t="shared" si="84"/>
        <v/>
      </c>
      <c r="L167" s="254"/>
      <c r="M167" s="341" t="str">
        <f t="shared" si="80"/>
        <v/>
      </c>
      <c r="N167" s="341"/>
      <c r="O167" s="342"/>
      <c r="P167" s="255" t="str">
        <f t="shared" si="81"/>
        <v/>
      </c>
      <c r="Q167" s="256" t="str">
        <f t="shared" si="85"/>
        <v/>
      </c>
      <c r="R167" s="256" t="str">
        <f t="shared" si="82"/>
        <v/>
      </c>
      <c r="S167" s="257" t="str">
        <f t="shared" si="86"/>
        <v/>
      </c>
      <c r="T167" s="219" t="str">
        <f t="shared" si="83"/>
        <v/>
      </c>
      <c r="U167" s="258"/>
    </row>
    <row r="168" spans="2:21" x14ac:dyDescent="0.15">
      <c r="B168" s="249"/>
      <c r="C168" s="314"/>
      <c r="D168" s="250"/>
      <c r="E168" s="251"/>
      <c r="F168" s="335"/>
      <c r="G168" s="336"/>
      <c r="H168" s="337"/>
      <c r="I168" s="252" t="str">
        <f t="shared" si="79"/>
        <v/>
      </c>
      <c r="J168" s="248" t="str">
        <f>IF(I168="","",VLOOKUP($I168,Master!$K$4:$N$607,4,FALSE))</f>
        <v/>
      </c>
      <c r="K168" s="253" t="str">
        <f t="shared" si="84"/>
        <v/>
      </c>
      <c r="L168" s="254"/>
      <c r="M168" s="341" t="str">
        <f t="shared" si="80"/>
        <v/>
      </c>
      <c r="N168" s="341"/>
      <c r="O168" s="342"/>
      <c r="P168" s="255" t="str">
        <f t="shared" si="81"/>
        <v/>
      </c>
      <c r="Q168" s="256" t="str">
        <f t="shared" si="85"/>
        <v/>
      </c>
      <c r="R168" s="256" t="str">
        <f t="shared" si="82"/>
        <v/>
      </c>
      <c r="S168" s="257" t="str">
        <f t="shared" si="86"/>
        <v/>
      </c>
      <c r="T168" s="219" t="str">
        <f t="shared" si="83"/>
        <v/>
      </c>
      <c r="U168" s="258"/>
    </row>
    <row r="169" spans="2:21" x14ac:dyDescent="0.15">
      <c r="B169" s="249"/>
      <c r="C169" s="314"/>
      <c r="D169" s="250"/>
      <c r="E169" s="251"/>
      <c r="F169" s="335"/>
      <c r="G169" s="336"/>
      <c r="H169" s="337"/>
      <c r="I169" s="252" t="str">
        <f t="shared" si="79"/>
        <v/>
      </c>
      <c r="J169" s="248" t="str">
        <f>IF(I169="","",VLOOKUP($I169,Master!$K$4:$N$607,4,FALSE))</f>
        <v/>
      </c>
      <c r="K169" s="253" t="str">
        <f t="shared" si="84"/>
        <v/>
      </c>
      <c r="L169" s="254"/>
      <c r="M169" s="341" t="str">
        <f t="shared" si="80"/>
        <v/>
      </c>
      <c r="N169" s="341"/>
      <c r="O169" s="342"/>
      <c r="P169" s="255" t="str">
        <f t="shared" si="81"/>
        <v/>
      </c>
      <c r="Q169" s="256" t="str">
        <f t="shared" si="85"/>
        <v/>
      </c>
      <c r="R169" s="256" t="str">
        <f t="shared" si="82"/>
        <v/>
      </c>
      <c r="S169" s="257" t="str">
        <f t="shared" si="86"/>
        <v/>
      </c>
      <c r="T169" s="219" t="str">
        <f t="shared" si="83"/>
        <v/>
      </c>
      <c r="U169" s="258"/>
    </row>
    <row r="170" spans="2:21" x14ac:dyDescent="0.15">
      <c r="B170" s="249"/>
      <c r="C170" s="314"/>
      <c r="D170" s="250"/>
      <c r="E170" s="251"/>
      <c r="F170" s="335"/>
      <c r="G170" s="336"/>
      <c r="H170" s="337"/>
      <c r="I170" s="252" t="str">
        <f t="shared" si="79"/>
        <v/>
      </c>
      <c r="J170" s="248" t="str">
        <f>IF(I170="","",VLOOKUP($I170,Master!$K$4:$N$607,4,FALSE))</f>
        <v/>
      </c>
      <c r="K170" s="253" t="str">
        <f t="shared" si="84"/>
        <v/>
      </c>
      <c r="L170" s="254"/>
      <c r="M170" s="341" t="str">
        <f t="shared" si="80"/>
        <v/>
      </c>
      <c r="N170" s="341"/>
      <c r="O170" s="342"/>
      <c r="P170" s="255" t="str">
        <f t="shared" si="81"/>
        <v/>
      </c>
      <c r="Q170" s="256" t="str">
        <f t="shared" si="85"/>
        <v/>
      </c>
      <c r="R170" s="256" t="str">
        <f t="shared" si="82"/>
        <v/>
      </c>
      <c r="S170" s="257" t="str">
        <f t="shared" si="86"/>
        <v/>
      </c>
      <c r="T170" s="219" t="str">
        <f t="shared" si="83"/>
        <v/>
      </c>
      <c r="U170" s="258"/>
    </row>
    <row r="171" spans="2:21" x14ac:dyDescent="0.15">
      <c r="B171" s="249"/>
      <c r="C171" s="314"/>
      <c r="D171" s="250"/>
      <c r="E171" s="251"/>
      <c r="F171" s="335"/>
      <c r="G171" s="336"/>
      <c r="H171" s="337"/>
      <c r="I171" s="252" t="str">
        <f t="shared" si="79"/>
        <v/>
      </c>
      <c r="J171" s="248" t="str">
        <f>IF(I171="","",VLOOKUP($I171,Master!$K$4:$N$607,4,FALSE))</f>
        <v/>
      </c>
      <c r="K171" s="253" t="str">
        <f t="shared" si="84"/>
        <v/>
      </c>
      <c r="L171" s="254"/>
      <c r="M171" s="341" t="str">
        <f t="shared" si="80"/>
        <v/>
      </c>
      <c r="N171" s="341"/>
      <c r="O171" s="342"/>
      <c r="P171" s="255" t="str">
        <f t="shared" si="81"/>
        <v/>
      </c>
      <c r="Q171" s="256" t="str">
        <f t="shared" si="85"/>
        <v/>
      </c>
      <c r="R171" s="256" t="str">
        <f t="shared" si="82"/>
        <v/>
      </c>
      <c r="S171" s="257" t="str">
        <f t="shared" si="86"/>
        <v/>
      </c>
      <c r="T171" s="219" t="str">
        <f t="shared" si="83"/>
        <v/>
      </c>
      <c r="U171" s="258"/>
    </row>
    <row r="172" spans="2:21" x14ac:dyDescent="0.15">
      <c r="B172" s="249"/>
      <c r="C172" s="314"/>
      <c r="D172" s="250"/>
      <c r="E172" s="251"/>
      <c r="F172" s="335"/>
      <c r="G172" s="336"/>
      <c r="H172" s="337"/>
      <c r="I172" s="252" t="str">
        <f t="shared" si="79"/>
        <v/>
      </c>
      <c r="J172" s="248" t="str">
        <f>IF(I172="","",VLOOKUP($I172,Master!$K$4:$N$607,4,FALSE))</f>
        <v/>
      </c>
      <c r="K172" s="253" t="str">
        <f t="shared" si="84"/>
        <v/>
      </c>
      <c r="L172" s="254"/>
      <c r="M172" s="341" t="str">
        <f t="shared" si="80"/>
        <v/>
      </c>
      <c r="N172" s="341"/>
      <c r="O172" s="342"/>
      <c r="P172" s="255" t="str">
        <f t="shared" si="81"/>
        <v/>
      </c>
      <c r="Q172" s="256" t="str">
        <f t="shared" si="85"/>
        <v/>
      </c>
      <c r="R172" s="256" t="str">
        <f t="shared" si="82"/>
        <v/>
      </c>
      <c r="S172" s="257" t="str">
        <f t="shared" si="86"/>
        <v/>
      </c>
      <c r="T172" s="219" t="str">
        <f t="shared" si="83"/>
        <v/>
      </c>
      <c r="U172" s="258"/>
    </row>
    <row r="173" spans="2:21" x14ac:dyDescent="0.15">
      <c r="B173" s="249"/>
      <c r="C173" s="314"/>
      <c r="D173" s="250"/>
      <c r="E173" s="251"/>
      <c r="F173" s="335"/>
      <c r="G173" s="336"/>
      <c r="H173" s="337"/>
      <c r="I173" s="252" t="str">
        <f t="shared" si="79"/>
        <v/>
      </c>
      <c r="J173" s="248" t="str">
        <f>IF(I173="","",VLOOKUP($I173,Master!$K$4:$N$607,4,FALSE))</f>
        <v/>
      </c>
      <c r="K173" s="253" t="str">
        <f t="shared" si="84"/>
        <v/>
      </c>
      <c r="L173" s="254"/>
      <c r="M173" s="341" t="str">
        <f t="shared" si="80"/>
        <v/>
      </c>
      <c r="N173" s="341"/>
      <c r="O173" s="342"/>
      <c r="P173" s="255" t="str">
        <f t="shared" si="81"/>
        <v/>
      </c>
      <c r="Q173" s="256" t="str">
        <f t="shared" si="85"/>
        <v/>
      </c>
      <c r="R173" s="256" t="str">
        <f t="shared" si="82"/>
        <v/>
      </c>
      <c r="S173" s="257" t="str">
        <f t="shared" si="86"/>
        <v/>
      </c>
      <c r="T173" s="219" t="str">
        <f t="shared" si="83"/>
        <v/>
      </c>
      <c r="U173" s="258"/>
    </row>
    <row r="174" spans="2:21" x14ac:dyDescent="0.15">
      <c r="B174" s="249"/>
      <c r="C174" s="314"/>
      <c r="D174" s="250"/>
      <c r="E174" s="251"/>
      <c r="F174" s="335"/>
      <c r="G174" s="336"/>
      <c r="H174" s="337"/>
      <c r="I174" s="252" t="str">
        <f t="shared" si="79"/>
        <v/>
      </c>
      <c r="J174" s="248" t="str">
        <f>IF(I174="","",VLOOKUP($I174,Master!$K$4:$N$607,4,FALSE))</f>
        <v/>
      </c>
      <c r="K174" s="253" t="str">
        <f t="shared" si="84"/>
        <v/>
      </c>
      <c r="L174" s="254"/>
      <c r="M174" s="341" t="str">
        <f t="shared" si="80"/>
        <v/>
      </c>
      <c r="N174" s="341"/>
      <c r="O174" s="342"/>
      <c r="P174" s="255" t="str">
        <f t="shared" si="81"/>
        <v/>
      </c>
      <c r="Q174" s="256" t="str">
        <f t="shared" si="85"/>
        <v/>
      </c>
      <c r="R174" s="256" t="str">
        <f t="shared" si="82"/>
        <v/>
      </c>
      <c r="S174" s="257" t="str">
        <f t="shared" si="86"/>
        <v/>
      </c>
      <c r="T174" s="219" t="str">
        <f t="shared" si="83"/>
        <v/>
      </c>
      <c r="U174" s="258"/>
    </row>
    <row r="175" spans="2:21" x14ac:dyDescent="0.15">
      <c r="B175" s="249"/>
      <c r="C175" s="314"/>
      <c r="D175" s="250"/>
      <c r="E175" s="251"/>
      <c r="F175" s="335"/>
      <c r="G175" s="336"/>
      <c r="H175" s="337"/>
      <c r="I175" s="252" t="str">
        <f t="shared" si="79"/>
        <v/>
      </c>
      <c r="J175" s="248" t="str">
        <f>IF(I175="","",VLOOKUP($I175,Master!$K$4:$N$607,4,FALSE))</f>
        <v/>
      </c>
      <c r="K175" s="253" t="str">
        <f t="shared" si="84"/>
        <v/>
      </c>
      <c r="L175" s="254"/>
      <c r="M175" s="341" t="str">
        <f t="shared" si="80"/>
        <v/>
      </c>
      <c r="N175" s="341"/>
      <c r="O175" s="342"/>
      <c r="P175" s="255" t="str">
        <f t="shared" si="81"/>
        <v/>
      </c>
      <c r="Q175" s="256" t="str">
        <f t="shared" si="85"/>
        <v/>
      </c>
      <c r="R175" s="256" t="str">
        <f t="shared" si="82"/>
        <v/>
      </c>
      <c r="S175" s="257" t="str">
        <f t="shared" si="86"/>
        <v/>
      </c>
      <c r="T175" s="219" t="str">
        <f t="shared" si="83"/>
        <v/>
      </c>
      <c r="U175" s="258"/>
    </row>
    <row r="176" spans="2:21" x14ac:dyDescent="0.15">
      <c r="B176" s="249"/>
      <c r="C176" s="314"/>
      <c r="D176" s="250"/>
      <c r="E176" s="251"/>
      <c r="F176" s="335"/>
      <c r="G176" s="336"/>
      <c r="H176" s="337"/>
      <c r="I176" s="252" t="str">
        <f t="shared" si="79"/>
        <v/>
      </c>
      <c r="J176" s="248" t="str">
        <f>IF(I176="","",VLOOKUP($I176,Master!$K$4:$N$607,4,FALSE))</f>
        <v/>
      </c>
      <c r="K176" s="253" t="str">
        <f t="shared" si="84"/>
        <v/>
      </c>
      <c r="L176" s="254"/>
      <c r="M176" s="341" t="str">
        <f t="shared" si="80"/>
        <v/>
      </c>
      <c r="N176" s="341"/>
      <c r="O176" s="342"/>
      <c r="P176" s="255" t="str">
        <f t="shared" si="81"/>
        <v/>
      </c>
      <c r="Q176" s="256" t="str">
        <f t="shared" si="85"/>
        <v/>
      </c>
      <c r="R176" s="256" t="str">
        <f t="shared" si="82"/>
        <v/>
      </c>
      <c r="S176" s="257" t="str">
        <f t="shared" si="86"/>
        <v/>
      </c>
      <c r="T176" s="219" t="str">
        <f t="shared" si="83"/>
        <v/>
      </c>
      <c r="U176" s="258"/>
    </row>
    <row r="177" spans="2:21" x14ac:dyDescent="0.15">
      <c r="B177" s="249"/>
      <c r="C177" s="314"/>
      <c r="D177" s="250"/>
      <c r="E177" s="251"/>
      <c r="F177" s="335"/>
      <c r="G177" s="336"/>
      <c r="H177" s="337"/>
      <c r="I177" s="252" t="str">
        <f t="shared" si="79"/>
        <v/>
      </c>
      <c r="J177" s="248" t="str">
        <f>IF(I177="","",VLOOKUP($I177,Master!$K$4:$N$607,4,FALSE))</f>
        <v/>
      </c>
      <c r="K177" s="253" t="str">
        <f t="shared" si="84"/>
        <v/>
      </c>
      <c r="L177" s="254"/>
      <c r="M177" s="341" t="str">
        <f t="shared" si="80"/>
        <v/>
      </c>
      <c r="N177" s="341"/>
      <c r="O177" s="342"/>
      <c r="P177" s="255" t="str">
        <f t="shared" si="81"/>
        <v/>
      </c>
      <c r="Q177" s="256" t="str">
        <f t="shared" si="85"/>
        <v/>
      </c>
      <c r="R177" s="256" t="str">
        <f t="shared" si="82"/>
        <v/>
      </c>
      <c r="S177" s="257" t="str">
        <f t="shared" si="86"/>
        <v/>
      </c>
      <c r="T177" s="219" t="str">
        <f t="shared" si="83"/>
        <v/>
      </c>
      <c r="U177" s="258"/>
    </row>
    <row r="178" spans="2:21" x14ac:dyDescent="0.15">
      <c r="B178" s="249"/>
      <c r="C178" s="314"/>
      <c r="D178" s="250"/>
      <c r="E178" s="251"/>
      <c r="F178" s="335"/>
      <c r="G178" s="336"/>
      <c r="H178" s="337"/>
      <c r="I178" s="252" t="str">
        <f t="shared" si="79"/>
        <v/>
      </c>
      <c r="J178" s="248" t="str">
        <f>IF(I178="","",VLOOKUP($I178,Master!$K$4:$N$607,4,FALSE))</f>
        <v/>
      </c>
      <c r="K178" s="253" t="str">
        <f t="shared" si="84"/>
        <v/>
      </c>
      <c r="L178" s="254"/>
      <c r="M178" s="341" t="str">
        <f t="shared" si="80"/>
        <v/>
      </c>
      <c r="N178" s="341"/>
      <c r="O178" s="342"/>
      <c r="P178" s="255" t="str">
        <f t="shared" si="81"/>
        <v/>
      </c>
      <c r="Q178" s="256" t="str">
        <f t="shared" si="85"/>
        <v/>
      </c>
      <c r="R178" s="256" t="str">
        <f t="shared" si="82"/>
        <v/>
      </c>
      <c r="S178" s="257" t="str">
        <f t="shared" si="86"/>
        <v/>
      </c>
      <c r="T178" s="219" t="str">
        <f t="shared" si="83"/>
        <v/>
      </c>
      <c r="U178" s="258"/>
    </row>
    <row r="179" spans="2:21" x14ac:dyDescent="0.15">
      <c r="B179" s="249"/>
      <c r="C179" s="314"/>
      <c r="D179" s="250"/>
      <c r="E179" s="251"/>
      <c r="F179" s="335"/>
      <c r="G179" s="336"/>
      <c r="H179" s="337"/>
      <c r="I179" s="252" t="str">
        <f t="shared" si="79"/>
        <v/>
      </c>
      <c r="J179" s="248" t="str">
        <f>IF(I179="","",VLOOKUP($I179,Master!$K$4:$N$607,4,FALSE))</f>
        <v/>
      </c>
      <c r="K179" s="253" t="str">
        <f t="shared" si="84"/>
        <v/>
      </c>
      <c r="L179" s="254"/>
      <c r="M179" s="341" t="str">
        <f t="shared" si="80"/>
        <v/>
      </c>
      <c r="N179" s="341"/>
      <c r="O179" s="342"/>
      <c r="P179" s="255" t="str">
        <f t="shared" si="81"/>
        <v/>
      </c>
      <c r="Q179" s="256" t="str">
        <f t="shared" si="85"/>
        <v/>
      </c>
      <c r="R179" s="256" t="str">
        <f t="shared" si="82"/>
        <v/>
      </c>
      <c r="S179" s="257" t="str">
        <f t="shared" si="86"/>
        <v/>
      </c>
      <c r="T179" s="219" t="str">
        <f t="shared" si="83"/>
        <v/>
      </c>
      <c r="U179" s="258"/>
    </row>
    <row r="180" spans="2:21" x14ac:dyDescent="0.15">
      <c r="B180" s="249"/>
      <c r="C180" s="314"/>
      <c r="D180" s="250"/>
      <c r="E180" s="251"/>
      <c r="F180" s="335"/>
      <c r="G180" s="336"/>
      <c r="H180" s="337"/>
      <c r="I180" s="252" t="str">
        <f t="shared" si="79"/>
        <v/>
      </c>
      <c r="J180" s="248" t="str">
        <f>IF(I180="","",VLOOKUP($I180,Master!$K$4:$N$607,4,FALSE))</f>
        <v/>
      </c>
      <c r="K180" s="253" t="str">
        <f t="shared" si="84"/>
        <v/>
      </c>
      <c r="L180" s="254"/>
      <c r="M180" s="341" t="str">
        <f t="shared" si="80"/>
        <v/>
      </c>
      <c r="N180" s="341"/>
      <c r="O180" s="342"/>
      <c r="P180" s="255" t="str">
        <f t="shared" si="81"/>
        <v/>
      </c>
      <c r="Q180" s="256" t="str">
        <f t="shared" si="85"/>
        <v/>
      </c>
      <c r="R180" s="256" t="str">
        <f t="shared" si="82"/>
        <v/>
      </c>
      <c r="S180" s="257" t="str">
        <f t="shared" si="86"/>
        <v/>
      </c>
      <c r="T180" s="219" t="str">
        <f t="shared" si="83"/>
        <v/>
      </c>
      <c r="U180" s="258"/>
    </row>
    <row r="181" spans="2:21" x14ac:dyDescent="0.15">
      <c r="B181" s="249"/>
      <c r="C181" s="314"/>
      <c r="D181" s="250"/>
      <c r="E181" s="251"/>
      <c r="F181" s="335"/>
      <c r="G181" s="336"/>
      <c r="H181" s="337"/>
      <c r="I181" s="252" t="str">
        <f t="shared" si="79"/>
        <v/>
      </c>
      <c r="J181" s="248" t="str">
        <f>IF(I181="","",VLOOKUP($I181,Master!$K$4:$N$607,4,FALSE))</f>
        <v/>
      </c>
      <c r="K181" s="253" t="str">
        <f t="shared" si="84"/>
        <v/>
      </c>
      <c r="L181" s="254"/>
      <c r="M181" s="341" t="str">
        <f t="shared" si="80"/>
        <v/>
      </c>
      <c r="N181" s="341"/>
      <c r="O181" s="342"/>
      <c r="P181" s="255" t="str">
        <f t="shared" si="81"/>
        <v/>
      </c>
      <c r="Q181" s="256" t="str">
        <f t="shared" si="85"/>
        <v/>
      </c>
      <c r="R181" s="256" t="str">
        <f t="shared" si="82"/>
        <v/>
      </c>
      <c r="S181" s="257" t="str">
        <f t="shared" si="86"/>
        <v/>
      </c>
      <c r="T181" s="219" t="str">
        <f t="shared" si="83"/>
        <v/>
      </c>
      <c r="U181" s="258"/>
    </row>
    <row r="182" spans="2:21" x14ac:dyDescent="0.15">
      <c r="B182" s="249"/>
      <c r="C182" s="314"/>
      <c r="D182" s="250"/>
      <c r="E182" s="251"/>
      <c r="F182" s="335"/>
      <c r="G182" s="336"/>
      <c r="H182" s="337"/>
      <c r="I182" s="252" t="str">
        <f t="shared" si="79"/>
        <v/>
      </c>
      <c r="J182" s="248" t="str">
        <f>IF(I182="","",VLOOKUP($I182,Master!$K$4:$N$607,4,FALSE))</f>
        <v/>
      </c>
      <c r="K182" s="253" t="str">
        <f t="shared" si="84"/>
        <v/>
      </c>
      <c r="L182" s="254"/>
      <c r="M182" s="341" t="str">
        <f t="shared" si="80"/>
        <v/>
      </c>
      <c r="N182" s="341"/>
      <c r="O182" s="342"/>
      <c r="P182" s="255" t="str">
        <f t="shared" si="81"/>
        <v/>
      </c>
      <c r="Q182" s="256" t="str">
        <f t="shared" si="85"/>
        <v/>
      </c>
      <c r="R182" s="256" t="str">
        <f t="shared" si="82"/>
        <v/>
      </c>
      <c r="S182" s="257" t="str">
        <f t="shared" si="86"/>
        <v/>
      </c>
      <c r="T182" s="219" t="str">
        <f t="shared" si="83"/>
        <v/>
      </c>
      <c r="U182" s="258"/>
    </row>
    <row r="183" spans="2:21" x14ac:dyDescent="0.15">
      <c r="B183" s="249"/>
      <c r="C183" s="314"/>
      <c r="D183" s="250"/>
      <c r="E183" s="251"/>
      <c r="F183" s="335"/>
      <c r="G183" s="336"/>
      <c r="H183" s="337"/>
      <c r="I183" s="252" t="str">
        <f t="shared" si="79"/>
        <v/>
      </c>
      <c r="J183" s="248" t="str">
        <f>IF(I183="","",VLOOKUP($I183,Master!$K$4:$N$607,4,FALSE))</f>
        <v/>
      </c>
      <c r="K183" s="253" t="str">
        <f t="shared" si="84"/>
        <v/>
      </c>
      <c r="L183" s="254"/>
      <c r="M183" s="341" t="str">
        <f t="shared" si="80"/>
        <v/>
      </c>
      <c r="N183" s="341"/>
      <c r="O183" s="342"/>
      <c r="P183" s="255" t="str">
        <f t="shared" si="81"/>
        <v/>
      </c>
      <c r="Q183" s="256" t="str">
        <f t="shared" si="85"/>
        <v/>
      </c>
      <c r="R183" s="256" t="str">
        <f t="shared" si="82"/>
        <v/>
      </c>
      <c r="S183" s="257" t="str">
        <f t="shared" si="86"/>
        <v/>
      </c>
      <c r="T183" s="219" t="str">
        <f t="shared" si="83"/>
        <v/>
      </c>
      <c r="U183" s="258"/>
    </row>
    <row r="184" spans="2:21" x14ac:dyDescent="0.15">
      <c r="B184" s="249"/>
      <c r="C184" s="314"/>
      <c r="D184" s="250"/>
      <c r="E184" s="251"/>
      <c r="F184" s="335"/>
      <c r="G184" s="336"/>
      <c r="H184" s="337"/>
      <c r="I184" s="252" t="str">
        <f t="shared" si="79"/>
        <v/>
      </c>
      <c r="J184" s="248" t="str">
        <f>IF(I184="","",VLOOKUP($I184,Master!$K$4:$N$607,4,FALSE))</f>
        <v/>
      </c>
      <c r="K184" s="253" t="str">
        <f t="shared" si="84"/>
        <v/>
      </c>
      <c r="L184" s="254"/>
      <c r="M184" s="341" t="str">
        <f t="shared" si="80"/>
        <v/>
      </c>
      <c r="N184" s="341"/>
      <c r="O184" s="342"/>
      <c r="P184" s="255" t="str">
        <f t="shared" si="81"/>
        <v/>
      </c>
      <c r="Q184" s="256" t="str">
        <f t="shared" si="85"/>
        <v/>
      </c>
      <c r="R184" s="256" t="str">
        <f t="shared" si="82"/>
        <v/>
      </c>
      <c r="S184" s="257" t="str">
        <f t="shared" si="86"/>
        <v/>
      </c>
      <c r="T184" s="219" t="str">
        <f t="shared" si="83"/>
        <v/>
      </c>
      <c r="U184" s="258"/>
    </row>
    <row r="185" spans="2:21" x14ac:dyDescent="0.15">
      <c r="B185" s="249"/>
      <c r="C185" s="314"/>
      <c r="D185" s="250"/>
      <c r="E185" s="251"/>
      <c r="F185" s="335"/>
      <c r="G185" s="336"/>
      <c r="H185" s="337"/>
      <c r="I185" s="252" t="str">
        <f t="shared" si="79"/>
        <v/>
      </c>
      <c r="J185" s="248" t="str">
        <f>IF(I185="","",VLOOKUP($I185,Master!$K$4:$N$607,4,FALSE))</f>
        <v/>
      </c>
      <c r="K185" s="253" t="str">
        <f t="shared" si="84"/>
        <v/>
      </c>
      <c r="L185" s="254"/>
      <c r="M185" s="341" t="str">
        <f t="shared" si="80"/>
        <v/>
      </c>
      <c r="N185" s="341"/>
      <c r="O185" s="342"/>
      <c r="P185" s="255" t="str">
        <f t="shared" si="81"/>
        <v/>
      </c>
      <c r="Q185" s="256" t="str">
        <f t="shared" si="85"/>
        <v/>
      </c>
      <c r="R185" s="256" t="str">
        <f t="shared" si="82"/>
        <v/>
      </c>
      <c r="S185" s="257" t="str">
        <f t="shared" si="86"/>
        <v/>
      </c>
      <c r="T185" s="219" t="str">
        <f t="shared" si="83"/>
        <v/>
      </c>
      <c r="U185" s="258"/>
    </row>
    <row r="186" spans="2:21" x14ac:dyDescent="0.15">
      <c r="B186" s="249"/>
      <c r="C186" s="314"/>
      <c r="D186" s="250"/>
      <c r="E186" s="251"/>
      <c r="F186" s="335"/>
      <c r="G186" s="336"/>
      <c r="H186" s="337"/>
      <c r="I186" s="252" t="str">
        <f t="shared" si="79"/>
        <v/>
      </c>
      <c r="J186" s="248" t="str">
        <f>IF(I186="","",VLOOKUP($I186,Master!$K$4:$N$607,4,FALSE))</f>
        <v/>
      </c>
      <c r="K186" s="253" t="str">
        <f t="shared" si="84"/>
        <v/>
      </c>
      <c r="L186" s="254"/>
      <c r="M186" s="341" t="str">
        <f t="shared" si="80"/>
        <v/>
      </c>
      <c r="N186" s="341"/>
      <c r="O186" s="342"/>
      <c r="P186" s="255" t="str">
        <f t="shared" si="81"/>
        <v/>
      </c>
      <c r="Q186" s="256" t="str">
        <f t="shared" si="85"/>
        <v/>
      </c>
      <c r="R186" s="256" t="str">
        <f t="shared" si="82"/>
        <v/>
      </c>
      <c r="S186" s="257" t="str">
        <f t="shared" si="86"/>
        <v/>
      </c>
      <c r="T186" s="219" t="str">
        <f t="shared" si="83"/>
        <v/>
      </c>
      <c r="U186" s="258"/>
    </row>
    <row r="187" spans="2:21" x14ac:dyDescent="0.15">
      <c r="B187" s="249"/>
      <c r="C187" s="314"/>
      <c r="D187" s="250"/>
      <c r="E187" s="251"/>
      <c r="F187" s="335"/>
      <c r="G187" s="336"/>
      <c r="H187" s="337"/>
      <c r="I187" s="252" t="str">
        <f t="shared" si="79"/>
        <v/>
      </c>
      <c r="J187" s="248" t="str">
        <f>IF(I187="","",VLOOKUP($I187,Master!$K$4:$N$607,4,FALSE))</f>
        <v/>
      </c>
      <c r="K187" s="253" t="str">
        <f t="shared" si="84"/>
        <v/>
      </c>
      <c r="L187" s="254"/>
      <c r="M187" s="341" t="str">
        <f t="shared" si="80"/>
        <v/>
      </c>
      <c r="N187" s="341"/>
      <c r="O187" s="342"/>
      <c r="P187" s="255" t="str">
        <f t="shared" si="81"/>
        <v/>
      </c>
      <c r="Q187" s="256" t="str">
        <f t="shared" si="85"/>
        <v/>
      </c>
      <c r="R187" s="256" t="str">
        <f t="shared" si="82"/>
        <v/>
      </c>
      <c r="S187" s="257" t="str">
        <f t="shared" si="86"/>
        <v/>
      </c>
      <c r="T187" s="219" t="str">
        <f t="shared" si="83"/>
        <v/>
      </c>
      <c r="U187" s="258"/>
    </row>
    <row r="188" spans="2:21" x14ac:dyDescent="0.15">
      <c r="B188" s="249"/>
      <c r="C188" s="314"/>
      <c r="D188" s="250"/>
      <c r="E188" s="251"/>
      <c r="F188" s="335"/>
      <c r="G188" s="336"/>
      <c r="H188" s="337"/>
      <c r="I188" s="252" t="str">
        <f t="shared" si="79"/>
        <v/>
      </c>
      <c r="J188" s="248" t="str">
        <f>IF(I188="","",VLOOKUP($I188,Master!$K$4:$N$607,4,FALSE))</f>
        <v/>
      </c>
      <c r="K188" s="253" t="str">
        <f t="shared" si="84"/>
        <v/>
      </c>
      <c r="L188" s="254"/>
      <c r="M188" s="341" t="str">
        <f t="shared" si="80"/>
        <v/>
      </c>
      <c r="N188" s="341"/>
      <c r="O188" s="342"/>
      <c r="P188" s="255" t="str">
        <f t="shared" si="81"/>
        <v/>
      </c>
      <c r="Q188" s="256" t="str">
        <f t="shared" si="85"/>
        <v/>
      </c>
      <c r="R188" s="256" t="str">
        <f t="shared" si="82"/>
        <v/>
      </c>
      <c r="S188" s="257" t="str">
        <f t="shared" si="86"/>
        <v/>
      </c>
      <c r="T188" s="219" t="str">
        <f t="shared" si="83"/>
        <v/>
      </c>
      <c r="U188" s="258"/>
    </row>
    <row r="189" spans="2:21" x14ac:dyDescent="0.15">
      <c r="B189" s="249"/>
      <c r="C189" s="314"/>
      <c r="D189" s="250"/>
      <c r="E189" s="251"/>
      <c r="F189" s="335"/>
      <c r="G189" s="336"/>
      <c r="H189" s="337"/>
      <c r="I189" s="252" t="str">
        <f t="shared" si="79"/>
        <v/>
      </c>
      <c r="J189" s="248" t="str">
        <f>IF(I189="","",VLOOKUP($I189,Master!$K$4:$N$607,4,FALSE))</f>
        <v/>
      </c>
      <c r="K189" s="253" t="str">
        <f t="shared" si="84"/>
        <v/>
      </c>
      <c r="L189" s="254"/>
      <c r="M189" s="341" t="str">
        <f t="shared" si="80"/>
        <v/>
      </c>
      <c r="N189" s="341"/>
      <c r="O189" s="342"/>
      <c r="P189" s="255" t="str">
        <f t="shared" si="81"/>
        <v/>
      </c>
      <c r="Q189" s="256" t="str">
        <f t="shared" si="85"/>
        <v/>
      </c>
      <c r="R189" s="256" t="str">
        <f t="shared" si="82"/>
        <v/>
      </c>
      <c r="S189" s="257" t="str">
        <f t="shared" si="86"/>
        <v/>
      </c>
      <c r="T189" s="219" t="str">
        <f t="shared" si="83"/>
        <v/>
      </c>
      <c r="U189" s="258"/>
    </row>
    <row r="190" spans="2:21" x14ac:dyDescent="0.15">
      <c r="B190" s="249"/>
      <c r="C190" s="314"/>
      <c r="D190" s="250"/>
      <c r="E190" s="251"/>
      <c r="F190" s="335"/>
      <c r="G190" s="336"/>
      <c r="H190" s="337"/>
      <c r="I190" s="252" t="str">
        <f t="shared" si="79"/>
        <v/>
      </c>
      <c r="J190" s="248" t="str">
        <f>IF(I190="","",VLOOKUP($I190,Master!$K$4:$N$607,4,FALSE))</f>
        <v/>
      </c>
      <c r="K190" s="253" t="str">
        <f t="shared" si="84"/>
        <v/>
      </c>
      <c r="L190" s="254"/>
      <c r="M190" s="341" t="str">
        <f t="shared" si="80"/>
        <v/>
      </c>
      <c r="N190" s="341"/>
      <c r="O190" s="342"/>
      <c r="P190" s="255" t="str">
        <f t="shared" si="81"/>
        <v/>
      </c>
      <c r="Q190" s="256" t="str">
        <f t="shared" si="85"/>
        <v/>
      </c>
      <c r="R190" s="256" t="str">
        <f t="shared" si="82"/>
        <v/>
      </c>
      <c r="S190" s="257" t="str">
        <f t="shared" si="86"/>
        <v/>
      </c>
      <c r="T190" s="219" t="str">
        <f t="shared" si="83"/>
        <v/>
      </c>
      <c r="U190" s="258"/>
    </row>
    <row r="191" spans="2:21" x14ac:dyDescent="0.15">
      <c r="B191" s="249"/>
      <c r="C191" s="314"/>
      <c r="D191" s="250"/>
      <c r="E191" s="251"/>
      <c r="F191" s="335"/>
      <c r="G191" s="336"/>
      <c r="H191" s="337"/>
      <c r="I191" s="252" t="str">
        <f t="shared" si="79"/>
        <v/>
      </c>
      <c r="J191" s="248" t="str">
        <f>IF(I191="","",VLOOKUP($I191,Master!$K$4:$N$607,4,FALSE))</f>
        <v/>
      </c>
      <c r="K191" s="253" t="str">
        <f t="shared" si="84"/>
        <v/>
      </c>
      <c r="L191" s="254"/>
      <c r="M191" s="341" t="str">
        <f t="shared" si="80"/>
        <v/>
      </c>
      <c r="N191" s="341"/>
      <c r="O191" s="342"/>
      <c r="P191" s="255" t="str">
        <f t="shared" si="81"/>
        <v/>
      </c>
      <c r="Q191" s="256" t="str">
        <f t="shared" si="85"/>
        <v/>
      </c>
      <c r="R191" s="256" t="str">
        <f t="shared" si="82"/>
        <v/>
      </c>
      <c r="S191" s="257" t="str">
        <f t="shared" si="86"/>
        <v/>
      </c>
      <c r="T191" s="219" t="str">
        <f t="shared" si="83"/>
        <v/>
      </c>
      <c r="U191" s="258"/>
    </row>
    <row r="192" spans="2:21" x14ac:dyDescent="0.15">
      <c r="B192" s="249"/>
      <c r="C192" s="314"/>
      <c r="D192" s="250"/>
      <c r="E192" s="251"/>
      <c r="F192" s="335"/>
      <c r="G192" s="336"/>
      <c r="H192" s="337"/>
      <c r="I192" s="252" t="str">
        <f t="shared" si="79"/>
        <v/>
      </c>
      <c r="J192" s="248" t="str">
        <f>IF(I192="","",VLOOKUP($I192,Master!$K$4:$N$607,4,FALSE))</f>
        <v/>
      </c>
      <c r="K192" s="253" t="str">
        <f t="shared" si="84"/>
        <v/>
      </c>
      <c r="L192" s="254"/>
      <c r="M192" s="341" t="str">
        <f t="shared" si="80"/>
        <v/>
      </c>
      <c r="N192" s="341"/>
      <c r="O192" s="342"/>
      <c r="P192" s="255" t="str">
        <f t="shared" si="81"/>
        <v/>
      </c>
      <c r="Q192" s="256" t="str">
        <f t="shared" si="85"/>
        <v/>
      </c>
      <c r="R192" s="256" t="str">
        <f t="shared" si="82"/>
        <v/>
      </c>
      <c r="S192" s="257" t="str">
        <f t="shared" si="86"/>
        <v/>
      </c>
      <c r="T192" s="219" t="str">
        <f t="shared" si="83"/>
        <v/>
      </c>
      <c r="U192" s="258"/>
    </row>
    <row r="193" spans="2:21" x14ac:dyDescent="0.15">
      <c r="B193" s="249"/>
      <c r="C193" s="314"/>
      <c r="D193" s="250"/>
      <c r="E193" s="251"/>
      <c r="F193" s="335"/>
      <c r="G193" s="336"/>
      <c r="H193" s="337"/>
      <c r="I193" s="252" t="str">
        <f t="shared" si="79"/>
        <v/>
      </c>
      <c r="J193" s="248" t="str">
        <f>IF(I193="","",VLOOKUP($I193,Master!$K$4:$N$607,4,FALSE))</f>
        <v/>
      </c>
      <c r="K193" s="253" t="str">
        <f t="shared" si="84"/>
        <v/>
      </c>
      <c r="L193" s="254"/>
      <c r="M193" s="341" t="str">
        <f t="shared" si="80"/>
        <v/>
      </c>
      <c r="N193" s="341"/>
      <c r="O193" s="342"/>
      <c r="P193" s="255" t="str">
        <f t="shared" si="81"/>
        <v/>
      </c>
      <c r="Q193" s="256" t="str">
        <f t="shared" si="85"/>
        <v/>
      </c>
      <c r="R193" s="256" t="str">
        <f t="shared" si="82"/>
        <v/>
      </c>
      <c r="S193" s="257" t="str">
        <f t="shared" si="86"/>
        <v/>
      </c>
      <c r="T193" s="219" t="str">
        <f t="shared" si="83"/>
        <v/>
      </c>
      <c r="U193" s="258"/>
    </row>
    <row r="194" spans="2:21" x14ac:dyDescent="0.15">
      <c r="B194" s="249"/>
      <c r="C194" s="314"/>
      <c r="D194" s="250"/>
      <c r="E194" s="251"/>
      <c r="F194" s="335"/>
      <c r="G194" s="336"/>
      <c r="H194" s="337"/>
      <c r="I194" s="252" t="str">
        <f t="shared" si="79"/>
        <v/>
      </c>
      <c r="J194" s="248" t="str">
        <f>IF(I194="","",VLOOKUP($I194,Master!$K$4:$N$607,4,FALSE))</f>
        <v/>
      </c>
      <c r="K194" s="253" t="str">
        <f t="shared" si="84"/>
        <v/>
      </c>
      <c r="L194" s="254"/>
      <c r="M194" s="341" t="str">
        <f t="shared" si="80"/>
        <v/>
      </c>
      <c r="N194" s="341"/>
      <c r="O194" s="342"/>
      <c r="P194" s="255" t="str">
        <f t="shared" si="81"/>
        <v/>
      </c>
      <c r="Q194" s="256" t="str">
        <f t="shared" si="85"/>
        <v/>
      </c>
      <c r="R194" s="256" t="str">
        <f t="shared" si="82"/>
        <v/>
      </c>
      <c r="S194" s="257" t="str">
        <f t="shared" si="86"/>
        <v/>
      </c>
      <c r="T194" s="219" t="str">
        <f t="shared" si="83"/>
        <v/>
      </c>
      <c r="U194" s="258"/>
    </row>
    <row r="195" spans="2:21" x14ac:dyDescent="0.15">
      <c r="B195" s="249"/>
      <c r="C195" s="314"/>
      <c r="D195" s="250"/>
      <c r="E195" s="251"/>
      <c r="F195" s="335"/>
      <c r="G195" s="336"/>
      <c r="H195" s="337"/>
      <c r="I195" s="252" t="str">
        <f t="shared" si="79"/>
        <v/>
      </c>
      <c r="J195" s="248" t="str">
        <f>IF(I195="","",VLOOKUP($I195,Master!$K$4:$N$607,4,FALSE))</f>
        <v/>
      </c>
      <c r="K195" s="253" t="str">
        <f t="shared" si="84"/>
        <v/>
      </c>
      <c r="L195" s="254"/>
      <c r="M195" s="341" t="str">
        <f t="shared" si="80"/>
        <v/>
      </c>
      <c r="N195" s="341"/>
      <c r="O195" s="342"/>
      <c r="P195" s="255" t="str">
        <f t="shared" si="81"/>
        <v/>
      </c>
      <c r="Q195" s="256" t="str">
        <f t="shared" si="85"/>
        <v/>
      </c>
      <c r="R195" s="256" t="str">
        <f t="shared" si="82"/>
        <v/>
      </c>
      <c r="S195" s="257" t="str">
        <f t="shared" si="86"/>
        <v/>
      </c>
      <c r="T195" s="219" t="str">
        <f t="shared" si="83"/>
        <v/>
      </c>
      <c r="U195" s="258"/>
    </row>
    <row r="196" spans="2:21" x14ac:dyDescent="0.15">
      <c r="B196" s="249"/>
      <c r="C196" s="314"/>
      <c r="D196" s="250"/>
      <c r="E196" s="251"/>
      <c r="F196" s="335"/>
      <c r="G196" s="336"/>
      <c r="H196" s="337"/>
      <c r="I196" s="252" t="str">
        <f t="shared" si="79"/>
        <v/>
      </c>
      <c r="J196" s="248" t="str">
        <f>IF(I196="","",VLOOKUP($I196,Master!$K$4:$N$607,4,FALSE))</f>
        <v/>
      </c>
      <c r="K196" s="253" t="str">
        <f t="shared" si="84"/>
        <v/>
      </c>
      <c r="L196" s="254"/>
      <c r="M196" s="341" t="str">
        <f t="shared" si="80"/>
        <v/>
      </c>
      <c r="N196" s="341"/>
      <c r="O196" s="342"/>
      <c r="P196" s="255" t="str">
        <f t="shared" si="81"/>
        <v/>
      </c>
      <c r="Q196" s="256" t="str">
        <f t="shared" si="85"/>
        <v/>
      </c>
      <c r="R196" s="256" t="str">
        <f t="shared" si="82"/>
        <v/>
      </c>
      <c r="S196" s="257" t="str">
        <f t="shared" si="86"/>
        <v/>
      </c>
      <c r="T196" s="219" t="str">
        <f t="shared" si="83"/>
        <v/>
      </c>
      <c r="U196" s="258"/>
    </row>
    <row r="197" spans="2:21" x14ac:dyDescent="0.15">
      <c r="B197" s="249"/>
      <c r="C197" s="314"/>
      <c r="D197" s="250"/>
      <c r="E197" s="251"/>
      <c r="F197" s="335"/>
      <c r="G197" s="336"/>
      <c r="H197" s="337"/>
      <c r="I197" s="252" t="str">
        <f t="shared" si="79"/>
        <v/>
      </c>
      <c r="J197" s="248" t="str">
        <f>IF(I197="","",VLOOKUP($I197,Master!$K$4:$N$607,4,FALSE))</f>
        <v/>
      </c>
      <c r="K197" s="253" t="str">
        <f t="shared" si="84"/>
        <v/>
      </c>
      <c r="L197" s="254"/>
      <c r="M197" s="341" t="str">
        <f t="shared" si="80"/>
        <v/>
      </c>
      <c r="N197" s="341"/>
      <c r="O197" s="342"/>
      <c r="P197" s="255" t="str">
        <f t="shared" si="81"/>
        <v/>
      </c>
      <c r="Q197" s="256" t="str">
        <f t="shared" si="85"/>
        <v/>
      </c>
      <c r="R197" s="256" t="str">
        <f t="shared" si="82"/>
        <v/>
      </c>
      <c r="S197" s="257" t="str">
        <f t="shared" si="86"/>
        <v/>
      </c>
      <c r="T197" s="219" t="str">
        <f t="shared" si="83"/>
        <v/>
      </c>
      <c r="U197" s="258"/>
    </row>
    <row r="198" spans="2:21" x14ac:dyDescent="0.15">
      <c r="B198" s="249"/>
      <c r="C198" s="314"/>
      <c r="D198" s="250"/>
      <c r="E198" s="251"/>
      <c r="F198" s="335"/>
      <c r="G198" s="336"/>
      <c r="H198" s="337"/>
      <c r="I198" s="252" t="str">
        <f t="shared" si="79"/>
        <v/>
      </c>
      <c r="J198" s="248" t="str">
        <f>IF(I198="","",VLOOKUP($I198,Master!$K$4:$N$607,4,FALSE))</f>
        <v/>
      </c>
      <c r="K198" s="253" t="str">
        <f t="shared" si="84"/>
        <v/>
      </c>
      <c r="L198" s="254"/>
      <c r="M198" s="341" t="str">
        <f t="shared" si="80"/>
        <v/>
      </c>
      <c r="N198" s="341"/>
      <c r="O198" s="342"/>
      <c r="P198" s="255" t="str">
        <f t="shared" si="81"/>
        <v/>
      </c>
      <c r="Q198" s="256" t="str">
        <f t="shared" si="85"/>
        <v/>
      </c>
      <c r="R198" s="256" t="str">
        <f t="shared" si="82"/>
        <v/>
      </c>
      <c r="S198" s="257" t="str">
        <f t="shared" si="86"/>
        <v/>
      </c>
      <c r="T198" s="219" t="str">
        <f t="shared" si="83"/>
        <v/>
      </c>
      <c r="U198" s="258"/>
    </row>
    <row r="199" spans="2:21" x14ac:dyDescent="0.15">
      <c r="B199" s="249"/>
      <c r="C199" s="314"/>
      <c r="D199" s="250"/>
      <c r="E199" s="251"/>
      <c r="F199" s="335"/>
      <c r="G199" s="336"/>
      <c r="H199" s="337"/>
      <c r="I199" s="252" t="str">
        <f t="shared" si="79"/>
        <v/>
      </c>
      <c r="J199" s="248" t="str">
        <f>IF(I199="","",VLOOKUP($I199,Master!$K$4:$N$607,4,FALSE))</f>
        <v/>
      </c>
      <c r="K199" s="253" t="str">
        <f t="shared" si="84"/>
        <v/>
      </c>
      <c r="L199" s="254"/>
      <c r="M199" s="341" t="str">
        <f t="shared" si="80"/>
        <v/>
      </c>
      <c r="N199" s="341"/>
      <c r="O199" s="342"/>
      <c r="P199" s="255" t="str">
        <f t="shared" si="81"/>
        <v/>
      </c>
      <c r="Q199" s="256" t="str">
        <f t="shared" si="85"/>
        <v/>
      </c>
      <c r="R199" s="256" t="str">
        <f t="shared" si="82"/>
        <v/>
      </c>
      <c r="S199" s="257" t="str">
        <f t="shared" si="86"/>
        <v/>
      </c>
      <c r="T199" s="219" t="str">
        <f t="shared" si="83"/>
        <v/>
      </c>
      <c r="U199" s="258"/>
    </row>
    <row r="200" spans="2:21" x14ac:dyDescent="0.15">
      <c r="B200" s="249"/>
      <c r="C200" s="314"/>
      <c r="D200" s="250"/>
      <c r="E200" s="251"/>
      <c r="F200" s="335"/>
      <c r="G200" s="336"/>
      <c r="H200" s="337"/>
      <c r="I200" s="252" t="str">
        <f t="shared" si="79"/>
        <v/>
      </c>
      <c r="J200" s="248" t="str">
        <f>IF(I200="","",VLOOKUP($I200,Master!$K$4:$N$607,4,FALSE))</f>
        <v/>
      </c>
      <c r="K200" s="253" t="str">
        <f t="shared" si="84"/>
        <v/>
      </c>
      <c r="L200" s="254"/>
      <c r="M200" s="341" t="str">
        <f t="shared" si="80"/>
        <v/>
      </c>
      <c r="N200" s="341"/>
      <c r="O200" s="342"/>
      <c r="P200" s="255" t="str">
        <f t="shared" si="81"/>
        <v/>
      </c>
      <c r="Q200" s="256" t="str">
        <f t="shared" si="85"/>
        <v/>
      </c>
      <c r="R200" s="256" t="str">
        <f t="shared" si="82"/>
        <v/>
      </c>
      <c r="S200" s="257" t="str">
        <f t="shared" si="86"/>
        <v/>
      </c>
      <c r="T200" s="219" t="str">
        <f t="shared" si="83"/>
        <v/>
      </c>
      <c r="U200" s="258"/>
    </row>
    <row r="201" spans="2:21" x14ac:dyDescent="0.15">
      <c r="B201" s="249"/>
      <c r="C201" s="314"/>
      <c r="D201" s="250"/>
      <c r="E201" s="251"/>
      <c r="F201" s="335"/>
      <c r="G201" s="336"/>
      <c r="H201" s="337"/>
      <c r="I201" s="252" t="str">
        <f t="shared" ref="I201:I264" si="87">IF($F201="","",IF(ISERR(VLOOKUP($C201&amp;$D201&amp;$E201&amp;$F201,SOW,2,FALSE)),"-",VLOOKUP($C201&amp;$D201&amp;$E201&amp;$F201,SOW,2,FALSE)))</f>
        <v/>
      </c>
      <c r="J201" s="248" t="str">
        <f>IF(I201="","",VLOOKUP($I201,Master!$K$4:$N$607,4,FALSE))</f>
        <v/>
      </c>
      <c r="K201" s="253" t="str">
        <f t="shared" si="84"/>
        <v/>
      </c>
      <c r="L201" s="254"/>
      <c r="M201" s="341" t="str">
        <f t="shared" ref="M201:M264" si="88">IF($F201&lt;&gt;"",IF($J201&lt;&gt;"-",IF($J201="要選択","REQ_IDを選択して下さい。",IF($J201="","REQ_IDを選択して下さい。",VLOOKUP($J201,REQUEST,2,FALSE))),$F201),"")</f>
        <v/>
      </c>
      <c r="N201" s="341"/>
      <c r="O201" s="342"/>
      <c r="P201" s="255" t="str">
        <f t="shared" ref="P201:P264" si="89">IF($B201&lt;&gt;"",TEXT(TEXT(YEAR($B201),"0000")&amp;TEXT(MONTH($B201),"00")&amp;$I201,"@"),"")</f>
        <v/>
      </c>
      <c r="Q201" s="256" t="str">
        <f t="shared" si="85"/>
        <v/>
      </c>
      <c r="R201" s="256" t="str">
        <f t="shared" ref="R201:R264" si="90">IF($B201&lt;&gt;"",TEXT(TEXT(YEAR($B201),"0000")&amp;TEXT(MONTH($B201),"00")&amp;$J201,"@"),"")</f>
        <v/>
      </c>
      <c r="S201" s="257" t="str">
        <f t="shared" si="86"/>
        <v/>
      </c>
      <c r="T201" s="219" t="str">
        <f t="shared" si="83"/>
        <v/>
      </c>
      <c r="U201" s="258"/>
    </row>
    <row r="202" spans="2:21" x14ac:dyDescent="0.15">
      <c r="B202" s="249"/>
      <c r="C202" s="314"/>
      <c r="D202" s="250"/>
      <c r="E202" s="251"/>
      <c r="F202" s="335"/>
      <c r="G202" s="336"/>
      <c r="H202" s="337"/>
      <c r="I202" s="252" t="str">
        <f t="shared" si="87"/>
        <v/>
      </c>
      <c r="J202" s="248" t="str">
        <f>IF(I202="","",VLOOKUP($I202,Master!$K$4:$N$607,4,FALSE))</f>
        <v/>
      </c>
      <c r="K202" s="253" t="str">
        <f t="shared" si="84"/>
        <v/>
      </c>
      <c r="L202" s="254"/>
      <c r="M202" s="341" t="str">
        <f t="shared" si="88"/>
        <v/>
      </c>
      <c r="N202" s="341"/>
      <c r="O202" s="342"/>
      <c r="P202" s="255" t="str">
        <f t="shared" si="89"/>
        <v/>
      </c>
      <c r="Q202" s="256" t="str">
        <f t="shared" si="85"/>
        <v/>
      </c>
      <c r="R202" s="256" t="str">
        <f t="shared" si="90"/>
        <v/>
      </c>
      <c r="S202" s="257" t="str">
        <f t="shared" si="86"/>
        <v/>
      </c>
      <c r="T202" s="219" t="str">
        <f t="shared" ref="T202:T265" si="91">IF($B202&lt;&gt;"",TEXT(TEXT(YEAR($B202),"0000")&amp;TEXT(MONTH($B202),"00")&amp;TEXT(DAY($B202),"00")&amp;$C202,"@"),"")</f>
        <v/>
      </c>
      <c r="U202" s="258"/>
    </row>
    <row r="203" spans="2:21" x14ac:dyDescent="0.15">
      <c r="B203" s="249"/>
      <c r="C203" s="314"/>
      <c r="D203" s="250"/>
      <c r="E203" s="251"/>
      <c r="F203" s="335"/>
      <c r="G203" s="336"/>
      <c r="H203" s="337"/>
      <c r="I203" s="252" t="str">
        <f t="shared" si="87"/>
        <v/>
      </c>
      <c r="J203" s="248" t="str">
        <f>IF(I203="","",VLOOKUP($I203,Master!$K$4:$N$607,4,FALSE))</f>
        <v/>
      </c>
      <c r="K203" s="253" t="str">
        <f t="shared" si="84"/>
        <v/>
      </c>
      <c r="L203" s="254"/>
      <c r="M203" s="341" t="str">
        <f t="shared" si="88"/>
        <v/>
      </c>
      <c r="N203" s="341"/>
      <c r="O203" s="342"/>
      <c r="P203" s="255" t="str">
        <f t="shared" si="89"/>
        <v/>
      </c>
      <c r="Q203" s="256" t="str">
        <f t="shared" si="85"/>
        <v/>
      </c>
      <c r="R203" s="256" t="str">
        <f t="shared" si="90"/>
        <v/>
      </c>
      <c r="S203" s="257" t="str">
        <f t="shared" si="86"/>
        <v/>
      </c>
      <c r="T203" s="219" t="str">
        <f t="shared" si="91"/>
        <v/>
      </c>
      <c r="U203" s="258"/>
    </row>
    <row r="204" spans="2:21" x14ac:dyDescent="0.15">
      <c r="B204" s="249"/>
      <c r="C204" s="314"/>
      <c r="D204" s="250"/>
      <c r="E204" s="251"/>
      <c r="F204" s="335"/>
      <c r="G204" s="336"/>
      <c r="H204" s="337"/>
      <c r="I204" s="252" t="str">
        <f t="shared" si="87"/>
        <v/>
      </c>
      <c r="J204" s="248" t="str">
        <f>IF(I204="","",VLOOKUP($I204,Master!$K$4:$N$607,4,FALSE))</f>
        <v/>
      </c>
      <c r="K204" s="253" t="str">
        <f t="shared" si="84"/>
        <v/>
      </c>
      <c r="L204" s="254"/>
      <c r="M204" s="341" t="str">
        <f t="shared" si="88"/>
        <v/>
      </c>
      <c r="N204" s="341"/>
      <c r="O204" s="342"/>
      <c r="P204" s="255" t="str">
        <f t="shared" si="89"/>
        <v/>
      </c>
      <c r="Q204" s="256" t="str">
        <f t="shared" si="85"/>
        <v/>
      </c>
      <c r="R204" s="256" t="str">
        <f t="shared" si="90"/>
        <v/>
      </c>
      <c r="S204" s="257" t="str">
        <f t="shared" si="86"/>
        <v/>
      </c>
      <c r="T204" s="219" t="str">
        <f t="shared" si="91"/>
        <v/>
      </c>
      <c r="U204" s="258"/>
    </row>
    <row r="205" spans="2:21" x14ac:dyDescent="0.15">
      <c r="B205" s="249"/>
      <c r="C205" s="314"/>
      <c r="D205" s="250"/>
      <c r="E205" s="251"/>
      <c r="F205" s="335"/>
      <c r="G205" s="336"/>
      <c r="H205" s="337"/>
      <c r="I205" s="252" t="str">
        <f t="shared" si="87"/>
        <v/>
      </c>
      <c r="J205" s="248" t="str">
        <f>IF(I205="","",VLOOKUP($I205,Master!$K$4:$N$607,4,FALSE))</f>
        <v/>
      </c>
      <c r="K205" s="253" t="str">
        <f t="shared" si="84"/>
        <v/>
      </c>
      <c r="L205" s="254"/>
      <c r="M205" s="341" t="str">
        <f t="shared" si="88"/>
        <v/>
      </c>
      <c r="N205" s="341"/>
      <c r="O205" s="342"/>
      <c r="P205" s="255" t="str">
        <f t="shared" si="89"/>
        <v/>
      </c>
      <c r="Q205" s="256" t="str">
        <f t="shared" si="85"/>
        <v/>
      </c>
      <c r="R205" s="256" t="str">
        <f t="shared" si="90"/>
        <v/>
      </c>
      <c r="S205" s="257" t="str">
        <f t="shared" si="86"/>
        <v/>
      </c>
      <c r="T205" s="219" t="str">
        <f t="shared" si="91"/>
        <v/>
      </c>
      <c r="U205" s="258"/>
    </row>
    <row r="206" spans="2:21" x14ac:dyDescent="0.15">
      <c r="B206" s="249"/>
      <c r="C206" s="314"/>
      <c r="D206" s="250"/>
      <c r="E206" s="251"/>
      <c r="F206" s="335"/>
      <c r="G206" s="336"/>
      <c r="H206" s="337"/>
      <c r="I206" s="252" t="str">
        <f t="shared" si="87"/>
        <v/>
      </c>
      <c r="J206" s="248" t="str">
        <f>IF(I206="","",VLOOKUP($I206,Master!$K$4:$N$607,4,FALSE))</f>
        <v/>
      </c>
      <c r="K206" s="253" t="str">
        <f t="shared" si="84"/>
        <v/>
      </c>
      <c r="L206" s="254"/>
      <c r="M206" s="341" t="str">
        <f t="shared" si="88"/>
        <v/>
      </c>
      <c r="N206" s="341"/>
      <c r="O206" s="342"/>
      <c r="P206" s="255" t="str">
        <f t="shared" si="89"/>
        <v/>
      </c>
      <c r="Q206" s="256" t="str">
        <f t="shared" si="85"/>
        <v/>
      </c>
      <c r="R206" s="256" t="str">
        <f t="shared" si="90"/>
        <v/>
      </c>
      <c r="S206" s="257" t="str">
        <f t="shared" si="86"/>
        <v/>
      </c>
      <c r="T206" s="219" t="str">
        <f t="shared" si="91"/>
        <v/>
      </c>
      <c r="U206" s="258"/>
    </row>
    <row r="207" spans="2:21" x14ac:dyDescent="0.15">
      <c r="B207" s="249"/>
      <c r="C207" s="314"/>
      <c r="D207" s="250"/>
      <c r="E207" s="251"/>
      <c r="F207" s="335"/>
      <c r="G207" s="336"/>
      <c r="H207" s="337"/>
      <c r="I207" s="252" t="str">
        <f t="shared" si="87"/>
        <v/>
      </c>
      <c r="J207" s="248" t="str">
        <f>IF(I207="","",VLOOKUP($I207,Master!$K$4:$N$607,4,FALSE))</f>
        <v/>
      </c>
      <c r="K207" s="253" t="str">
        <f t="shared" si="84"/>
        <v/>
      </c>
      <c r="L207" s="254"/>
      <c r="M207" s="341" t="str">
        <f t="shared" si="88"/>
        <v/>
      </c>
      <c r="N207" s="341"/>
      <c r="O207" s="342"/>
      <c r="P207" s="255" t="str">
        <f t="shared" si="89"/>
        <v/>
      </c>
      <c r="Q207" s="256" t="str">
        <f t="shared" si="85"/>
        <v/>
      </c>
      <c r="R207" s="256" t="str">
        <f t="shared" si="90"/>
        <v/>
      </c>
      <c r="S207" s="257" t="str">
        <f t="shared" si="86"/>
        <v/>
      </c>
      <c r="T207" s="219" t="str">
        <f t="shared" si="91"/>
        <v/>
      </c>
      <c r="U207" s="258"/>
    </row>
    <row r="208" spans="2:21" x14ac:dyDescent="0.15">
      <c r="B208" s="249"/>
      <c r="C208" s="314"/>
      <c r="D208" s="250"/>
      <c r="E208" s="251"/>
      <c r="F208" s="335"/>
      <c r="G208" s="336"/>
      <c r="H208" s="337"/>
      <c r="I208" s="252" t="str">
        <f t="shared" si="87"/>
        <v/>
      </c>
      <c r="J208" s="248" t="str">
        <f>IF(I208="","",VLOOKUP($I208,Master!$K$4:$N$607,4,FALSE))</f>
        <v/>
      </c>
      <c r="K208" s="253" t="str">
        <f t="shared" si="84"/>
        <v/>
      </c>
      <c r="L208" s="254"/>
      <c r="M208" s="341" t="str">
        <f t="shared" si="88"/>
        <v/>
      </c>
      <c r="N208" s="341"/>
      <c r="O208" s="342"/>
      <c r="P208" s="255" t="str">
        <f t="shared" si="89"/>
        <v/>
      </c>
      <c r="Q208" s="256" t="str">
        <f t="shared" si="85"/>
        <v/>
      </c>
      <c r="R208" s="256" t="str">
        <f t="shared" si="90"/>
        <v/>
      </c>
      <c r="S208" s="257" t="str">
        <f t="shared" si="86"/>
        <v/>
      </c>
      <c r="T208" s="219" t="str">
        <f t="shared" si="91"/>
        <v/>
      </c>
      <c r="U208" s="258"/>
    </row>
    <row r="209" spans="2:21" x14ac:dyDescent="0.15">
      <c r="B209" s="249"/>
      <c r="C209" s="314"/>
      <c r="D209" s="250"/>
      <c r="E209" s="251"/>
      <c r="F209" s="335"/>
      <c r="G209" s="336"/>
      <c r="H209" s="337"/>
      <c r="I209" s="252" t="str">
        <f t="shared" si="87"/>
        <v/>
      </c>
      <c r="J209" s="248" t="str">
        <f>IF(I209="","",VLOOKUP($I209,Master!$K$4:$N$607,4,FALSE))</f>
        <v/>
      </c>
      <c r="K209" s="253" t="str">
        <f t="shared" si="84"/>
        <v/>
      </c>
      <c r="L209" s="254"/>
      <c r="M209" s="341" t="str">
        <f t="shared" si="88"/>
        <v/>
      </c>
      <c r="N209" s="341"/>
      <c r="O209" s="342"/>
      <c r="P209" s="255" t="str">
        <f t="shared" si="89"/>
        <v/>
      </c>
      <c r="Q209" s="256" t="str">
        <f t="shared" si="85"/>
        <v/>
      </c>
      <c r="R209" s="256" t="str">
        <f t="shared" si="90"/>
        <v/>
      </c>
      <c r="S209" s="257" t="str">
        <f t="shared" si="86"/>
        <v/>
      </c>
      <c r="T209" s="219" t="str">
        <f t="shared" si="91"/>
        <v/>
      </c>
      <c r="U209" s="258"/>
    </row>
    <row r="210" spans="2:21" x14ac:dyDescent="0.15">
      <c r="B210" s="249"/>
      <c r="C210" s="314"/>
      <c r="D210" s="250"/>
      <c r="E210" s="251"/>
      <c r="F210" s="335"/>
      <c r="G210" s="336"/>
      <c r="H210" s="337"/>
      <c r="I210" s="252" t="str">
        <f t="shared" si="87"/>
        <v/>
      </c>
      <c r="J210" s="248" t="str">
        <f>IF(I210="","",VLOOKUP($I210,Master!$K$4:$N$607,4,FALSE))</f>
        <v/>
      </c>
      <c r="K210" s="253" t="str">
        <f t="shared" si="84"/>
        <v/>
      </c>
      <c r="L210" s="254"/>
      <c r="M210" s="341" t="str">
        <f t="shared" si="88"/>
        <v/>
      </c>
      <c r="N210" s="341"/>
      <c r="O210" s="342"/>
      <c r="P210" s="255" t="str">
        <f t="shared" si="89"/>
        <v/>
      </c>
      <c r="Q210" s="256" t="str">
        <f t="shared" si="85"/>
        <v/>
      </c>
      <c r="R210" s="256" t="str">
        <f t="shared" si="90"/>
        <v/>
      </c>
      <c r="S210" s="257" t="str">
        <f t="shared" si="86"/>
        <v/>
      </c>
      <c r="T210" s="219" t="str">
        <f t="shared" si="91"/>
        <v/>
      </c>
      <c r="U210" s="258"/>
    </row>
    <row r="211" spans="2:21" x14ac:dyDescent="0.15">
      <c r="B211" s="249"/>
      <c r="C211" s="314"/>
      <c r="D211" s="250"/>
      <c r="E211" s="251"/>
      <c r="F211" s="335"/>
      <c r="G211" s="336"/>
      <c r="H211" s="337"/>
      <c r="I211" s="252" t="str">
        <f t="shared" si="87"/>
        <v/>
      </c>
      <c r="J211" s="248" t="str">
        <f>IF(I211="","",VLOOKUP($I211,Master!$K$4:$N$607,4,FALSE))</f>
        <v/>
      </c>
      <c r="K211" s="253" t="str">
        <f t="shared" si="84"/>
        <v/>
      </c>
      <c r="L211" s="254"/>
      <c r="M211" s="341" t="str">
        <f t="shared" si="88"/>
        <v/>
      </c>
      <c r="N211" s="341"/>
      <c r="O211" s="342"/>
      <c r="P211" s="255" t="str">
        <f t="shared" si="89"/>
        <v/>
      </c>
      <c r="Q211" s="256" t="str">
        <f t="shared" si="85"/>
        <v/>
      </c>
      <c r="R211" s="256" t="str">
        <f t="shared" si="90"/>
        <v/>
      </c>
      <c r="S211" s="257" t="str">
        <f t="shared" si="86"/>
        <v/>
      </c>
      <c r="T211" s="219" t="str">
        <f t="shared" si="91"/>
        <v/>
      </c>
      <c r="U211" s="258"/>
    </row>
    <row r="212" spans="2:21" x14ac:dyDescent="0.15">
      <c r="B212" s="249"/>
      <c r="C212" s="314"/>
      <c r="D212" s="250"/>
      <c r="E212" s="251"/>
      <c r="F212" s="335"/>
      <c r="G212" s="336"/>
      <c r="H212" s="337"/>
      <c r="I212" s="252" t="str">
        <f t="shared" si="87"/>
        <v/>
      </c>
      <c r="J212" s="248" t="str">
        <f>IF(I212="","",VLOOKUP($I212,Master!$K$4:$N$607,4,FALSE))</f>
        <v/>
      </c>
      <c r="K212" s="253" t="str">
        <f t="shared" si="84"/>
        <v/>
      </c>
      <c r="L212" s="254"/>
      <c r="M212" s="341" t="str">
        <f t="shared" si="88"/>
        <v/>
      </c>
      <c r="N212" s="341"/>
      <c r="O212" s="342"/>
      <c r="P212" s="255" t="str">
        <f t="shared" si="89"/>
        <v/>
      </c>
      <c r="Q212" s="256" t="str">
        <f t="shared" si="85"/>
        <v/>
      </c>
      <c r="R212" s="256" t="str">
        <f t="shared" si="90"/>
        <v/>
      </c>
      <c r="S212" s="257" t="str">
        <f t="shared" si="86"/>
        <v/>
      </c>
      <c r="T212" s="219" t="str">
        <f t="shared" si="91"/>
        <v/>
      </c>
      <c r="U212" s="258"/>
    </row>
    <row r="213" spans="2:21" x14ac:dyDescent="0.15">
      <c r="B213" s="249"/>
      <c r="C213" s="314"/>
      <c r="D213" s="250"/>
      <c r="E213" s="251"/>
      <c r="F213" s="335"/>
      <c r="G213" s="336"/>
      <c r="H213" s="337"/>
      <c r="I213" s="252" t="str">
        <f t="shared" si="87"/>
        <v/>
      </c>
      <c r="J213" s="248" t="str">
        <f>IF(I213="","",VLOOKUP($I213,Master!$K$4:$N$607,4,FALSE))</f>
        <v/>
      </c>
      <c r="K213" s="253" t="str">
        <f t="shared" si="84"/>
        <v/>
      </c>
      <c r="L213" s="254"/>
      <c r="M213" s="341" t="str">
        <f t="shared" si="88"/>
        <v/>
      </c>
      <c r="N213" s="341"/>
      <c r="O213" s="342"/>
      <c r="P213" s="255" t="str">
        <f t="shared" si="89"/>
        <v/>
      </c>
      <c r="Q213" s="256" t="str">
        <f t="shared" si="85"/>
        <v/>
      </c>
      <c r="R213" s="256" t="str">
        <f t="shared" si="90"/>
        <v/>
      </c>
      <c r="S213" s="257" t="str">
        <f t="shared" si="86"/>
        <v/>
      </c>
      <c r="T213" s="219" t="str">
        <f t="shared" si="91"/>
        <v/>
      </c>
      <c r="U213" s="258"/>
    </row>
    <row r="214" spans="2:21" x14ac:dyDescent="0.15">
      <c r="B214" s="249"/>
      <c r="C214" s="314"/>
      <c r="D214" s="250"/>
      <c r="E214" s="251"/>
      <c r="F214" s="335"/>
      <c r="G214" s="336"/>
      <c r="H214" s="337"/>
      <c r="I214" s="252" t="str">
        <f t="shared" si="87"/>
        <v/>
      </c>
      <c r="J214" s="248" t="str">
        <f>IF(I214="","",VLOOKUP($I214,Master!$K$4:$N$607,4,FALSE))</f>
        <v/>
      </c>
      <c r="K214" s="253" t="str">
        <f t="shared" si="84"/>
        <v/>
      </c>
      <c r="L214" s="254"/>
      <c r="M214" s="341" t="str">
        <f t="shared" si="88"/>
        <v/>
      </c>
      <c r="N214" s="341"/>
      <c r="O214" s="342"/>
      <c r="P214" s="255" t="str">
        <f t="shared" si="89"/>
        <v/>
      </c>
      <c r="Q214" s="256" t="str">
        <f t="shared" si="85"/>
        <v/>
      </c>
      <c r="R214" s="256" t="str">
        <f t="shared" si="90"/>
        <v/>
      </c>
      <c r="S214" s="257" t="str">
        <f t="shared" si="86"/>
        <v/>
      </c>
      <c r="T214" s="219" t="str">
        <f t="shared" si="91"/>
        <v/>
      </c>
      <c r="U214" s="258"/>
    </row>
    <row r="215" spans="2:21" x14ac:dyDescent="0.15">
      <c r="B215" s="249"/>
      <c r="C215" s="314"/>
      <c r="D215" s="250"/>
      <c r="E215" s="251"/>
      <c r="F215" s="335"/>
      <c r="G215" s="336"/>
      <c r="H215" s="337"/>
      <c r="I215" s="252" t="str">
        <f t="shared" si="87"/>
        <v/>
      </c>
      <c r="J215" s="248" t="str">
        <f>IF(I215="","",VLOOKUP($I215,Master!$K$4:$N$607,4,FALSE))</f>
        <v/>
      </c>
      <c r="K215" s="253" t="str">
        <f t="shared" si="84"/>
        <v/>
      </c>
      <c r="L215" s="254"/>
      <c r="M215" s="341" t="str">
        <f t="shared" si="88"/>
        <v/>
      </c>
      <c r="N215" s="341"/>
      <c r="O215" s="342"/>
      <c r="P215" s="255" t="str">
        <f t="shared" si="89"/>
        <v/>
      </c>
      <c r="Q215" s="256" t="str">
        <f t="shared" si="85"/>
        <v/>
      </c>
      <c r="R215" s="256" t="str">
        <f t="shared" si="90"/>
        <v/>
      </c>
      <c r="S215" s="257" t="str">
        <f t="shared" si="86"/>
        <v/>
      </c>
      <c r="T215" s="219" t="str">
        <f t="shared" si="91"/>
        <v/>
      </c>
      <c r="U215" s="258"/>
    </row>
    <row r="216" spans="2:21" x14ac:dyDescent="0.15">
      <c r="B216" s="249"/>
      <c r="C216" s="314"/>
      <c r="D216" s="250"/>
      <c r="E216" s="251"/>
      <c r="F216" s="335"/>
      <c r="G216" s="336"/>
      <c r="H216" s="337"/>
      <c r="I216" s="252" t="str">
        <f t="shared" si="87"/>
        <v/>
      </c>
      <c r="J216" s="248" t="str">
        <f>IF(I216="","",VLOOKUP($I216,Master!$K$4:$N$607,4,FALSE))</f>
        <v/>
      </c>
      <c r="K216" s="253" t="str">
        <f t="shared" si="84"/>
        <v/>
      </c>
      <c r="L216" s="254"/>
      <c r="M216" s="341" t="str">
        <f t="shared" si="88"/>
        <v/>
      </c>
      <c r="N216" s="341"/>
      <c r="O216" s="342"/>
      <c r="P216" s="255" t="str">
        <f t="shared" si="89"/>
        <v/>
      </c>
      <c r="Q216" s="256" t="str">
        <f t="shared" si="85"/>
        <v/>
      </c>
      <c r="R216" s="256" t="str">
        <f t="shared" si="90"/>
        <v/>
      </c>
      <c r="S216" s="257" t="str">
        <f t="shared" si="86"/>
        <v/>
      </c>
      <c r="T216" s="219" t="str">
        <f t="shared" si="91"/>
        <v/>
      </c>
      <c r="U216" s="258"/>
    </row>
    <row r="217" spans="2:21" x14ac:dyDescent="0.15">
      <c r="B217" s="249"/>
      <c r="C217" s="314"/>
      <c r="D217" s="250"/>
      <c r="E217" s="251"/>
      <c r="F217" s="335"/>
      <c r="G217" s="336"/>
      <c r="H217" s="337"/>
      <c r="I217" s="252" t="str">
        <f t="shared" si="87"/>
        <v/>
      </c>
      <c r="J217" s="248" t="str">
        <f>IF(I217="","",VLOOKUP($I217,Master!$K$4:$N$607,4,FALSE))</f>
        <v/>
      </c>
      <c r="K217" s="253" t="str">
        <f t="shared" si="84"/>
        <v/>
      </c>
      <c r="L217" s="254"/>
      <c r="M217" s="341" t="str">
        <f t="shared" si="88"/>
        <v/>
      </c>
      <c r="N217" s="341"/>
      <c r="O217" s="342"/>
      <c r="P217" s="255" t="str">
        <f t="shared" si="89"/>
        <v/>
      </c>
      <c r="Q217" s="256" t="str">
        <f t="shared" si="85"/>
        <v/>
      </c>
      <c r="R217" s="256" t="str">
        <f t="shared" si="90"/>
        <v/>
      </c>
      <c r="S217" s="257" t="str">
        <f t="shared" si="86"/>
        <v/>
      </c>
      <c r="T217" s="219" t="str">
        <f t="shared" si="91"/>
        <v/>
      </c>
      <c r="U217" s="258"/>
    </row>
    <row r="218" spans="2:21" x14ac:dyDescent="0.15">
      <c r="B218" s="249"/>
      <c r="C218" s="314"/>
      <c r="D218" s="250"/>
      <c r="E218" s="251"/>
      <c r="F218" s="335"/>
      <c r="G218" s="336"/>
      <c r="H218" s="337"/>
      <c r="I218" s="252" t="str">
        <f t="shared" si="87"/>
        <v/>
      </c>
      <c r="J218" s="248" t="str">
        <f>IF(I218="","",VLOOKUP($I218,Master!$K$4:$N$607,4,FALSE))</f>
        <v/>
      </c>
      <c r="K218" s="253" t="str">
        <f t="shared" ref="K218:K281" si="92">IF(F218="","",IF(ISERROR(VLOOKUP($F218,SOW,3,FALSE)),0,VLOOKUP($F218,SOW,3,FALSE)*24))</f>
        <v/>
      </c>
      <c r="L218" s="254"/>
      <c r="M218" s="341" t="str">
        <f t="shared" si="88"/>
        <v/>
      </c>
      <c r="N218" s="341"/>
      <c r="O218" s="342"/>
      <c r="P218" s="255" t="str">
        <f t="shared" si="89"/>
        <v/>
      </c>
      <c r="Q218" s="256" t="str">
        <f t="shared" ref="Q218:Q281" si="93">IF($B218&lt;&gt;"",TEXT(TEXT(YEAR($B218),"0000")&amp;TEXT(MONTH($B218),"00")&amp;$I218&amp;"@"&amp;LEFT($E$2,SEARCH("　",$E$2,1)-1)&amp;"@"&amp;L218,"@"),"")</f>
        <v/>
      </c>
      <c r="R218" s="256" t="str">
        <f t="shared" si="90"/>
        <v/>
      </c>
      <c r="S218" s="257" t="str">
        <f t="shared" ref="S218:S281" si="94">IF($B218&lt;&gt;"",TEXT(YEAR($B218),"0000")&amp;TEXT(MONTH($B218),"00")&amp;$J218&amp;"@"&amp;LEFT($E$2,SEARCH("　",$E$2,1)-1)&amp;"@"&amp;L218,"")</f>
        <v/>
      </c>
      <c r="T218" s="219" t="str">
        <f t="shared" si="91"/>
        <v/>
      </c>
      <c r="U218" s="258"/>
    </row>
    <row r="219" spans="2:21" x14ac:dyDescent="0.15">
      <c r="B219" s="249"/>
      <c r="C219" s="314"/>
      <c r="D219" s="250"/>
      <c r="E219" s="251"/>
      <c r="F219" s="335"/>
      <c r="G219" s="336"/>
      <c r="H219" s="337"/>
      <c r="I219" s="252" t="str">
        <f t="shared" si="87"/>
        <v/>
      </c>
      <c r="J219" s="248" t="str">
        <f>IF(I219="","",VLOOKUP($I219,Master!$K$4:$N$607,4,FALSE))</f>
        <v/>
      </c>
      <c r="K219" s="253" t="str">
        <f t="shared" si="92"/>
        <v/>
      </c>
      <c r="L219" s="254"/>
      <c r="M219" s="341" t="str">
        <f t="shared" si="88"/>
        <v/>
      </c>
      <c r="N219" s="341"/>
      <c r="O219" s="342"/>
      <c r="P219" s="255" t="str">
        <f t="shared" si="89"/>
        <v/>
      </c>
      <c r="Q219" s="256" t="str">
        <f t="shared" si="93"/>
        <v/>
      </c>
      <c r="R219" s="256" t="str">
        <f t="shared" si="90"/>
        <v/>
      </c>
      <c r="S219" s="257" t="str">
        <f t="shared" si="94"/>
        <v/>
      </c>
      <c r="T219" s="219" t="str">
        <f t="shared" si="91"/>
        <v/>
      </c>
      <c r="U219" s="258"/>
    </row>
    <row r="220" spans="2:21" x14ac:dyDescent="0.15">
      <c r="B220" s="249"/>
      <c r="C220" s="314"/>
      <c r="D220" s="250"/>
      <c r="E220" s="251"/>
      <c r="F220" s="335"/>
      <c r="G220" s="336"/>
      <c r="H220" s="337"/>
      <c r="I220" s="252" t="str">
        <f t="shared" si="87"/>
        <v/>
      </c>
      <c r="J220" s="248" t="str">
        <f>IF(I220="","",VLOOKUP($I220,Master!$K$4:$N$607,4,FALSE))</f>
        <v/>
      </c>
      <c r="K220" s="253" t="str">
        <f t="shared" si="92"/>
        <v/>
      </c>
      <c r="L220" s="254"/>
      <c r="M220" s="341" t="str">
        <f t="shared" si="88"/>
        <v/>
      </c>
      <c r="N220" s="341"/>
      <c r="O220" s="342"/>
      <c r="P220" s="255" t="str">
        <f t="shared" si="89"/>
        <v/>
      </c>
      <c r="Q220" s="256" t="str">
        <f t="shared" si="93"/>
        <v/>
      </c>
      <c r="R220" s="256" t="str">
        <f t="shared" si="90"/>
        <v/>
      </c>
      <c r="S220" s="257" t="str">
        <f t="shared" si="94"/>
        <v/>
      </c>
      <c r="T220" s="219" t="str">
        <f t="shared" si="91"/>
        <v/>
      </c>
      <c r="U220" s="258"/>
    </row>
    <row r="221" spans="2:21" x14ac:dyDescent="0.15">
      <c r="B221" s="249"/>
      <c r="C221" s="314"/>
      <c r="D221" s="250"/>
      <c r="E221" s="251"/>
      <c r="F221" s="335"/>
      <c r="G221" s="336"/>
      <c r="H221" s="337"/>
      <c r="I221" s="252" t="str">
        <f t="shared" si="87"/>
        <v/>
      </c>
      <c r="J221" s="248" t="str">
        <f>IF(I221="","",VLOOKUP($I221,Master!$K$4:$N$607,4,FALSE))</f>
        <v/>
      </c>
      <c r="K221" s="253" t="str">
        <f t="shared" si="92"/>
        <v/>
      </c>
      <c r="L221" s="254"/>
      <c r="M221" s="341" t="str">
        <f t="shared" si="88"/>
        <v/>
      </c>
      <c r="N221" s="341"/>
      <c r="O221" s="342"/>
      <c r="P221" s="255" t="str">
        <f t="shared" si="89"/>
        <v/>
      </c>
      <c r="Q221" s="256" t="str">
        <f t="shared" si="93"/>
        <v/>
      </c>
      <c r="R221" s="256" t="str">
        <f t="shared" si="90"/>
        <v/>
      </c>
      <c r="S221" s="257" t="str">
        <f t="shared" si="94"/>
        <v/>
      </c>
      <c r="T221" s="219" t="str">
        <f t="shared" si="91"/>
        <v/>
      </c>
      <c r="U221" s="258"/>
    </row>
    <row r="222" spans="2:21" x14ac:dyDescent="0.15">
      <c r="B222" s="249"/>
      <c r="C222" s="314"/>
      <c r="D222" s="250"/>
      <c r="E222" s="251"/>
      <c r="F222" s="335"/>
      <c r="G222" s="336"/>
      <c r="H222" s="337"/>
      <c r="I222" s="252" t="str">
        <f t="shared" si="87"/>
        <v/>
      </c>
      <c r="J222" s="248" t="str">
        <f>IF(I222="","",VLOOKUP($I222,Master!$K$4:$N$607,4,FALSE))</f>
        <v/>
      </c>
      <c r="K222" s="253" t="str">
        <f t="shared" si="92"/>
        <v/>
      </c>
      <c r="L222" s="254"/>
      <c r="M222" s="341" t="str">
        <f t="shared" si="88"/>
        <v/>
      </c>
      <c r="N222" s="341"/>
      <c r="O222" s="342"/>
      <c r="P222" s="255" t="str">
        <f t="shared" si="89"/>
        <v/>
      </c>
      <c r="Q222" s="256" t="str">
        <f t="shared" si="93"/>
        <v/>
      </c>
      <c r="R222" s="256" t="str">
        <f t="shared" si="90"/>
        <v/>
      </c>
      <c r="S222" s="257" t="str">
        <f t="shared" si="94"/>
        <v/>
      </c>
      <c r="T222" s="219" t="str">
        <f t="shared" si="91"/>
        <v/>
      </c>
      <c r="U222" s="258"/>
    </row>
    <row r="223" spans="2:21" x14ac:dyDescent="0.15">
      <c r="B223" s="249"/>
      <c r="C223" s="314"/>
      <c r="D223" s="250"/>
      <c r="E223" s="251"/>
      <c r="F223" s="335"/>
      <c r="G223" s="336"/>
      <c r="H223" s="337"/>
      <c r="I223" s="252" t="str">
        <f t="shared" si="87"/>
        <v/>
      </c>
      <c r="J223" s="248" t="str">
        <f>IF(I223="","",VLOOKUP($I223,Master!$K$4:$N$607,4,FALSE))</f>
        <v/>
      </c>
      <c r="K223" s="253" t="str">
        <f t="shared" si="92"/>
        <v/>
      </c>
      <c r="L223" s="254"/>
      <c r="M223" s="341" t="str">
        <f t="shared" si="88"/>
        <v/>
      </c>
      <c r="N223" s="341"/>
      <c r="O223" s="342"/>
      <c r="P223" s="255" t="str">
        <f t="shared" si="89"/>
        <v/>
      </c>
      <c r="Q223" s="256" t="str">
        <f t="shared" si="93"/>
        <v/>
      </c>
      <c r="R223" s="256" t="str">
        <f t="shared" si="90"/>
        <v/>
      </c>
      <c r="S223" s="257" t="str">
        <f t="shared" si="94"/>
        <v/>
      </c>
      <c r="T223" s="219" t="str">
        <f t="shared" si="91"/>
        <v/>
      </c>
      <c r="U223" s="258"/>
    </row>
    <row r="224" spans="2:21" x14ac:dyDescent="0.15">
      <c r="B224" s="249"/>
      <c r="C224" s="314"/>
      <c r="D224" s="250"/>
      <c r="E224" s="251"/>
      <c r="F224" s="335"/>
      <c r="G224" s="336"/>
      <c r="H224" s="337"/>
      <c r="I224" s="252" t="str">
        <f t="shared" si="87"/>
        <v/>
      </c>
      <c r="J224" s="248" t="str">
        <f>IF(I224="","",VLOOKUP($I224,Master!$K$4:$N$607,4,FALSE))</f>
        <v/>
      </c>
      <c r="K224" s="253" t="str">
        <f t="shared" si="92"/>
        <v/>
      </c>
      <c r="L224" s="254"/>
      <c r="M224" s="341" t="str">
        <f t="shared" si="88"/>
        <v/>
      </c>
      <c r="N224" s="341"/>
      <c r="O224" s="342"/>
      <c r="P224" s="255" t="str">
        <f t="shared" si="89"/>
        <v/>
      </c>
      <c r="Q224" s="256" t="str">
        <f t="shared" si="93"/>
        <v/>
      </c>
      <c r="R224" s="256" t="str">
        <f t="shared" si="90"/>
        <v/>
      </c>
      <c r="S224" s="257" t="str">
        <f t="shared" si="94"/>
        <v/>
      </c>
      <c r="T224" s="219" t="str">
        <f t="shared" si="91"/>
        <v/>
      </c>
      <c r="U224" s="258"/>
    </row>
    <row r="225" spans="2:21" x14ac:dyDescent="0.15">
      <c r="B225" s="249"/>
      <c r="C225" s="314"/>
      <c r="D225" s="250"/>
      <c r="E225" s="251"/>
      <c r="F225" s="335"/>
      <c r="G225" s="336"/>
      <c r="H225" s="337"/>
      <c r="I225" s="252" t="str">
        <f t="shared" si="87"/>
        <v/>
      </c>
      <c r="J225" s="248" t="str">
        <f>IF(I225="","",VLOOKUP($I225,Master!$K$4:$N$607,4,FALSE))</f>
        <v/>
      </c>
      <c r="K225" s="253" t="str">
        <f t="shared" si="92"/>
        <v/>
      </c>
      <c r="L225" s="254"/>
      <c r="M225" s="341" t="str">
        <f t="shared" si="88"/>
        <v/>
      </c>
      <c r="N225" s="341"/>
      <c r="O225" s="342"/>
      <c r="P225" s="255" t="str">
        <f t="shared" si="89"/>
        <v/>
      </c>
      <c r="Q225" s="256" t="str">
        <f t="shared" si="93"/>
        <v/>
      </c>
      <c r="R225" s="256" t="str">
        <f t="shared" si="90"/>
        <v/>
      </c>
      <c r="S225" s="257" t="str">
        <f t="shared" si="94"/>
        <v/>
      </c>
      <c r="T225" s="219" t="str">
        <f t="shared" si="91"/>
        <v/>
      </c>
      <c r="U225" s="258"/>
    </row>
    <row r="226" spans="2:21" x14ac:dyDescent="0.15">
      <c r="B226" s="249"/>
      <c r="C226" s="314"/>
      <c r="D226" s="250"/>
      <c r="E226" s="251"/>
      <c r="F226" s="335"/>
      <c r="G226" s="336"/>
      <c r="H226" s="337"/>
      <c r="I226" s="252" t="str">
        <f t="shared" si="87"/>
        <v/>
      </c>
      <c r="J226" s="248" t="str">
        <f>IF(I226="","",VLOOKUP($I226,Master!$K$4:$N$607,4,FALSE))</f>
        <v/>
      </c>
      <c r="K226" s="253" t="str">
        <f t="shared" si="92"/>
        <v/>
      </c>
      <c r="L226" s="254"/>
      <c r="M226" s="341" t="str">
        <f t="shared" si="88"/>
        <v/>
      </c>
      <c r="N226" s="341"/>
      <c r="O226" s="342"/>
      <c r="P226" s="255" t="str">
        <f t="shared" si="89"/>
        <v/>
      </c>
      <c r="Q226" s="256" t="str">
        <f t="shared" si="93"/>
        <v/>
      </c>
      <c r="R226" s="256" t="str">
        <f t="shared" si="90"/>
        <v/>
      </c>
      <c r="S226" s="257" t="str">
        <f t="shared" si="94"/>
        <v/>
      </c>
      <c r="T226" s="219" t="str">
        <f t="shared" si="91"/>
        <v/>
      </c>
      <c r="U226" s="258"/>
    </row>
    <row r="227" spans="2:21" x14ac:dyDescent="0.15">
      <c r="B227" s="249"/>
      <c r="C227" s="314"/>
      <c r="D227" s="250"/>
      <c r="E227" s="251"/>
      <c r="F227" s="335"/>
      <c r="G227" s="336"/>
      <c r="H227" s="337"/>
      <c r="I227" s="252" t="str">
        <f t="shared" si="87"/>
        <v/>
      </c>
      <c r="J227" s="248" t="str">
        <f>IF(I227="","",VLOOKUP($I227,Master!$K$4:$N$607,4,FALSE))</f>
        <v/>
      </c>
      <c r="K227" s="253" t="str">
        <f t="shared" si="92"/>
        <v/>
      </c>
      <c r="L227" s="254"/>
      <c r="M227" s="341" t="str">
        <f t="shared" si="88"/>
        <v/>
      </c>
      <c r="N227" s="341"/>
      <c r="O227" s="342"/>
      <c r="P227" s="255" t="str">
        <f t="shared" si="89"/>
        <v/>
      </c>
      <c r="Q227" s="256" t="str">
        <f t="shared" si="93"/>
        <v/>
      </c>
      <c r="R227" s="256" t="str">
        <f t="shared" si="90"/>
        <v/>
      </c>
      <c r="S227" s="257" t="str">
        <f t="shared" si="94"/>
        <v/>
      </c>
      <c r="T227" s="219" t="str">
        <f t="shared" si="91"/>
        <v/>
      </c>
      <c r="U227" s="258"/>
    </row>
    <row r="228" spans="2:21" x14ac:dyDescent="0.15">
      <c r="B228" s="249"/>
      <c r="C228" s="314"/>
      <c r="D228" s="250"/>
      <c r="E228" s="251"/>
      <c r="F228" s="335"/>
      <c r="G228" s="336"/>
      <c r="H228" s="337"/>
      <c r="I228" s="252" t="str">
        <f t="shared" si="87"/>
        <v/>
      </c>
      <c r="J228" s="248" t="str">
        <f>IF(I228="","",VLOOKUP($I228,Master!$K$4:$N$607,4,FALSE))</f>
        <v/>
      </c>
      <c r="K228" s="253" t="str">
        <f t="shared" si="92"/>
        <v/>
      </c>
      <c r="L228" s="254"/>
      <c r="M228" s="341" t="str">
        <f t="shared" si="88"/>
        <v/>
      </c>
      <c r="N228" s="341"/>
      <c r="O228" s="342"/>
      <c r="P228" s="255" t="str">
        <f t="shared" si="89"/>
        <v/>
      </c>
      <c r="Q228" s="256" t="str">
        <f t="shared" si="93"/>
        <v/>
      </c>
      <c r="R228" s="256" t="str">
        <f t="shared" si="90"/>
        <v/>
      </c>
      <c r="S228" s="257" t="str">
        <f t="shared" si="94"/>
        <v/>
      </c>
      <c r="T228" s="219" t="str">
        <f t="shared" si="91"/>
        <v/>
      </c>
      <c r="U228" s="258"/>
    </row>
    <row r="229" spans="2:21" x14ac:dyDescent="0.15">
      <c r="B229" s="249"/>
      <c r="C229" s="314"/>
      <c r="D229" s="250"/>
      <c r="E229" s="251"/>
      <c r="F229" s="335"/>
      <c r="G229" s="336"/>
      <c r="H229" s="337"/>
      <c r="I229" s="252" t="str">
        <f t="shared" si="87"/>
        <v/>
      </c>
      <c r="J229" s="248" t="str">
        <f>IF(I229="","",VLOOKUP($I229,Master!$K$4:$N$607,4,FALSE))</f>
        <v/>
      </c>
      <c r="K229" s="253" t="str">
        <f t="shared" si="92"/>
        <v/>
      </c>
      <c r="L229" s="254"/>
      <c r="M229" s="341" t="str">
        <f t="shared" si="88"/>
        <v/>
      </c>
      <c r="N229" s="341"/>
      <c r="O229" s="342"/>
      <c r="P229" s="255" t="str">
        <f t="shared" si="89"/>
        <v/>
      </c>
      <c r="Q229" s="256" t="str">
        <f t="shared" si="93"/>
        <v/>
      </c>
      <c r="R229" s="256" t="str">
        <f t="shared" si="90"/>
        <v/>
      </c>
      <c r="S229" s="257" t="str">
        <f t="shared" si="94"/>
        <v/>
      </c>
      <c r="T229" s="219" t="str">
        <f t="shared" si="91"/>
        <v/>
      </c>
      <c r="U229" s="258"/>
    </row>
    <row r="230" spans="2:21" x14ac:dyDescent="0.15">
      <c r="B230" s="249"/>
      <c r="C230" s="314"/>
      <c r="D230" s="250"/>
      <c r="E230" s="251"/>
      <c r="F230" s="335"/>
      <c r="G230" s="336"/>
      <c r="H230" s="337"/>
      <c r="I230" s="252" t="str">
        <f t="shared" si="87"/>
        <v/>
      </c>
      <c r="J230" s="248" t="str">
        <f>IF(I230="","",VLOOKUP($I230,Master!$K$4:$N$607,4,FALSE))</f>
        <v/>
      </c>
      <c r="K230" s="253" t="str">
        <f t="shared" si="92"/>
        <v/>
      </c>
      <c r="L230" s="254"/>
      <c r="M230" s="341" t="str">
        <f t="shared" si="88"/>
        <v/>
      </c>
      <c r="N230" s="341"/>
      <c r="O230" s="342"/>
      <c r="P230" s="255" t="str">
        <f t="shared" si="89"/>
        <v/>
      </c>
      <c r="Q230" s="256" t="str">
        <f t="shared" si="93"/>
        <v/>
      </c>
      <c r="R230" s="256" t="str">
        <f t="shared" si="90"/>
        <v/>
      </c>
      <c r="S230" s="257" t="str">
        <f t="shared" si="94"/>
        <v/>
      </c>
      <c r="T230" s="219" t="str">
        <f t="shared" si="91"/>
        <v/>
      </c>
      <c r="U230" s="258"/>
    </row>
    <row r="231" spans="2:21" x14ac:dyDescent="0.15">
      <c r="B231" s="249"/>
      <c r="C231" s="314"/>
      <c r="D231" s="250"/>
      <c r="E231" s="251"/>
      <c r="F231" s="335"/>
      <c r="G231" s="336"/>
      <c r="H231" s="337"/>
      <c r="I231" s="252" t="str">
        <f t="shared" si="87"/>
        <v/>
      </c>
      <c r="J231" s="248" t="str">
        <f>IF(I231="","",VLOOKUP($I231,Master!$K$4:$N$607,4,FALSE))</f>
        <v/>
      </c>
      <c r="K231" s="253" t="str">
        <f t="shared" si="92"/>
        <v/>
      </c>
      <c r="L231" s="254"/>
      <c r="M231" s="341" t="str">
        <f t="shared" si="88"/>
        <v/>
      </c>
      <c r="N231" s="341"/>
      <c r="O231" s="342"/>
      <c r="P231" s="255" t="str">
        <f t="shared" si="89"/>
        <v/>
      </c>
      <c r="Q231" s="256" t="str">
        <f t="shared" si="93"/>
        <v/>
      </c>
      <c r="R231" s="256" t="str">
        <f t="shared" si="90"/>
        <v/>
      </c>
      <c r="S231" s="257" t="str">
        <f t="shared" si="94"/>
        <v/>
      </c>
      <c r="T231" s="219" t="str">
        <f t="shared" si="91"/>
        <v/>
      </c>
      <c r="U231" s="258"/>
    </row>
    <row r="232" spans="2:21" x14ac:dyDescent="0.15">
      <c r="B232" s="249"/>
      <c r="C232" s="314"/>
      <c r="D232" s="250"/>
      <c r="E232" s="251"/>
      <c r="F232" s="335"/>
      <c r="G232" s="336"/>
      <c r="H232" s="337"/>
      <c r="I232" s="252" t="str">
        <f t="shared" si="87"/>
        <v/>
      </c>
      <c r="J232" s="248" t="str">
        <f>IF(I232="","",VLOOKUP($I232,Master!$K$4:$N$607,4,FALSE))</f>
        <v/>
      </c>
      <c r="K232" s="253" t="str">
        <f t="shared" si="92"/>
        <v/>
      </c>
      <c r="L232" s="254"/>
      <c r="M232" s="341" t="str">
        <f t="shared" si="88"/>
        <v/>
      </c>
      <c r="N232" s="341"/>
      <c r="O232" s="342"/>
      <c r="P232" s="255" t="str">
        <f t="shared" si="89"/>
        <v/>
      </c>
      <c r="Q232" s="256" t="str">
        <f t="shared" si="93"/>
        <v/>
      </c>
      <c r="R232" s="256" t="str">
        <f t="shared" si="90"/>
        <v/>
      </c>
      <c r="S232" s="257" t="str">
        <f t="shared" si="94"/>
        <v/>
      </c>
      <c r="T232" s="219" t="str">
        <f t="shared" si="91"/>
        <v/>
      </c>
      <c r="U232" s="258"/>
    </row>
    <row r="233" spans="2:21" x14ac:dyDescent="0.15">
      <c r="B233" s="249"/>
      <c r="C233" s="314"/>
      <c r="D233" s="250"/>
      <c r="E233" s="251"/>
      <c r="F233" s="335"/>
      <c r="G233" s="336"/>
      <c r="H233" s="337"/>
      <c r="I233" s="252" t="str">
        <f t="shared" si="87"/>
        <v/>
      </c>
      <c r="J233" s="248" t="str">
        <f>IF(I233="","",VLOOKUP($I233,Master!$K$4:$N$607,4,FALSE))</f>
        <v/>
      </c>
      <c r="K233" s="253" t="str">
        <f t="shared" si="92"/>
        <v/>
      </c>
      <c r="L233" s="254"/>
      <c r="M233" s="341" t="str">
        <f t="shared" si="88"/>
        <v/>
      </c>
      <c r="N233" s="341"/>
      <c r="O233" s="342"/>
      <c r="P233" s="255" t="str">
        <f t="shared" si="89"/>
        <v/>
      </c>
      <c r="Q233" s="256" t="str">
        <f t="shared" si="93"/>
        <v/>
      </c>
      <c r="R233" s="256" t="str">
        <f t="shared" si="90"/>
        <v/>
      </c>
      <c r="S233" s="257" t="str">
        <f t="shared" si="94"/>
        <v/>
      </c>
      <c r="T233" s="219" t="str">
        <f t="shared" si="91"/>
        <v/>
      </c>
      <c r="U233" s="258"/>
    </row>
    <row r="234" spans="2:21" x14ac:dyDescent="0.15">
      <c r="B234" s="249"/>
      <c r="C234" s="314"/>
      <c r="D234" s="250"/>
      <c r="E234" s="251"/>
      <c r="F234" s="335"/>
      <c r="G234" s="336"/>
      <c r="H234" s="337"/>
      <c r="I234" s="252" t="str">
        <f t="shared" si="87"/>
        <v/>
      </c>
      <c r="J234" s="248" t="str">
        <f>IF(I234="","",VLOOKUP($I234,Master!$K$4:$N$607,4,FALSE))</f>
        <v/>
      </c>
      <c r="K234" s="253" t="str">
        <f t="shared" si="92"/>
        <v/>
      </c>
      <c r="L234" s="254"/>
      <c r="M234" s="341" t="str">
        <f t="shared" si="88"/>
        <v/>
      </c>
      <c r="N234" s="341"/>
      <c r="O234" s="342"/>
      <c r="P234" s="255" t="str">
        <f t="shared" si="89"/>
        <v/>
      </c>
      <c r="Q234" s="256" t="str">
        <f t="shared" si="93"/>
        <v/>
      </c>
      <c r="R234" s="256" t="str">
        <f t="shared" si="90"/>
        <v/>
      </c>
      <c r="S234" s="257" t="str">
        <f t="shared" si="94"/>
        <v/>
      </c>
      <c r="T234" s="219" t="str">
        <f t="shared" si="91"/>
        <v/>
      </c>
      <c r="U234" s="258"/>
    </row>
    <row r="235" spans="2:21" x14ac:dyDescent="0.15">
      <c r="B235" s="249"/>
      <c r="C235" s="314"/>
      <c r="D235" s="250"/>
      <c r="E235" s="251"/>
      <c r="F235" s="335"/>
      <c r="G235" s="336"/>
      <c r="H235" s="337"/>
      <c r="I235" s="252" t="str">
        <f t="shared" si="87"/>
        <v/>
      </c>
      <c r="J235" s="248" t="str">
        <f>IF(I235="","",VLOOKUP($I235,Master!$K$4:$N$607,4,FALSE))</f>
        <v/>
      </c>
      <c r="K235" s="253" t="str">
        <f t="shared" si="92"/>
        <v/>
      </c>
      <c r="L235" s="254"/>
      <c r="M235" s="341" t="str">
        <f t="shared" si="88"/>
        <v/>
      </c>
      <c r="N235" s="341"/>
      <c r="O235" s="342"/>
      <c r="P235" s="255" t="str">
        <f t="shared" si="89"/>
        <v/>
      </c>
      <c r="Q235" s="256" t="str">
        <f t="shared" si="93"/>
        <v/>
      </c>
      <c r="R235" s="256" t="str">
        <f t="shared" si="90"/>
        <v/>
      </c>
      <c r="S235" s="257" t="str">
        <f t="shared" si="94"/>
        <v/>
      </c>
      <c r="T235" s="219" t="str">
        <f t="shared" si="91"/>
        <v/>
      </c>
      <c r="U235" s="258"/>
    </row>
    <row r="236" spans="2:21" x14ac:dyDescent="0.15">
      <c r="B236" s="249"/>
      <c r="C236" s="314"/>
      <c r="D236" s="250"/>
      <c r="E236" s="251"/>
      <c r="F236" s="335"/>
      <c r="G236" s="336"/>
      <c r="H236" s="337"/>
      <c r="I236" s="252" t="str">
        <f t="shared" si="87"/>
        <v/>
      </c>
      <c r="J236" s="248" t="str">
        <f>IF(I236="","",VLOOKUP($I236,Master!$K$4:$N$607,4,FALSE))</f>
        <v/>
      </c>
      <c r="K236" s="253" t="str">
        <f t="shared" si="92"/>
        <v/>
      </c>
      <c r="L236" s="254"/>
      <c r="M236" s="341" t="str">
        <f t="shared" si="88"/>
        <v/>
      </c>
      <c r="N236" s="341"/>
      <c r="O236" s="342"/>
      <c r="P236" s="255" t="str">
        <f t="shared" si="89"/>
        <v/>
      </c>
      <c r="Q236" s="256" t="str">
        <f t="shared" si="93"/>
        <v/>
      </c>
      <c r="R236" s="256" t="str">
        <f t="shared" si="90"/>
        <v/>
      </c>
      <c r="S236" s="257" t="str">
        <f t="shared" si="94"/>
        <v/>
      </c>
      <c r="T236" s="219" t="str">
        <f t="shared" si="91"/>
        <v/>
      </c>
      <c r="U236" s="258"/>
    </row>
    <row r="237" spans="2:21" x14ac:dyDescent="0.15">
      <c r="B237" s="249"/>
      <c r="C237" s="314"/>
      <c r="D237" s="250"/>
      <c r="E237" s="251"/>
      <c r="F237" s="335"/>
      <c r="G237" s="336"/>
      <c r="H237" s="337"/>
      <c r="I237" s="252" t="str">
        <f t="shared" si="87"/>
        <v/>
      </c>
      <c r="J237" s="248" t="str">
        <f>IF(I237="","",VLOOKUP($I237,Master!$K$4:$N$607,4,FALSE))</f>
        <v/>
      </c>
      <c r="K237" s="253" t="str">
        <f t="shared" si="92"/>
        <v/>
      </c>
      <c r="L237" s="254"/>
      <c r="M237" s="341" t="str">
        <f t="shared" si="88"/>
        <v/>
      </c>
      <c r="N237" s="341"/>
      <c r="O237" s="342"/>
      <c r="P237" s="255" t="str">
        <f t="shared" si="89"/>
        <v/>
      </c>
      <c r="Q237" s="256" t="str">
        <f t="shared" si="93"/>
        <v/>
      </c>
      <c r="R237" s="256" t="str">
        <f t="shared" si="90"/>
        <v/>
      </c>
      <c r="S237" s="257" t="str">
        <f t="shared" si="94"/>
        <v/>
      </c>
      <c r="T237" s="219" t="str">
        <f t="shared" si="91"/>
        <v/>
      </c>
      <c r="U237" s="258"/>
    </row>
    <row r="238" spans="2:21" x14ac:dyDescent="0.15">
      <c r="B238" s="249"/>
      <c r="C238" s="314"/>
      <c r="D238" s="250"/>
      <c r="E238" s="251"/>
      <c r="F238" s="335"/>
      <c r="G238" s="336"/>
      <c r="H238" s="337"/>
      <c r="I238" s="252" t="str">
        <f t="shared" si="87"/>
        <v/>
      </c>
      <c r="J238" s="248" t="str">
        <f>IF(I238="","",VLOOKUP($I238,Master!$K$4:$N$607,4,FALSE))</f>
        <v/>
      </c>
      <c r="K238" s="253" t="str">
        <f t="shared" si="92"/>
        <v/>
      </c>
      <c r="L238" s="254"/>
      <c r="M238" s="341" t="str">
        <f t="shared" si="88"/>
        <v/>
      </c>
      <c r="N238" s="341"/>
      <c r="O238" s="342"/>
      <c r="P238" s="255" t="str">
        <f t="shared" si="89"/>
        <v/>
      </c>
      <c r="Q238" s="256" t="str">
        <f t="shared" si="93"/>
        <v/>
      </c>
      <c r="R238" s="256" t="str">
        <f t="shared" si="90"/>
        <v/>
      </c>
      <c r="S238" s="257" t="str">
        <f t="shared" si="94"/>
        <v/>
      </c>
      <c r="T238" s="219" t="str">
        <f t="shared" si="91"/>
        <v/>
      </c>
      <c r="U238" s="258"/>
    </row>
    <row r="239" spans="2:21" x14ac:dyDescent="0.15">
      <c r="B239" s="249"/>
      <c r="C239" s="314"/>
      <c r="D239" s="250"/>
      <c r="E239" s="251"/>
      <c r="F239" s="335"/>
      <c r="G239" s="336"/>
      <c r="H239" s="337"/>
      <c r="I239" s="252" t="str">
        <f t="shared" si="87"/>
        <v/>
      </c>
      <c r="J239" s="248" t="str">
        <f>IF(I239="","",VLOOKUP($I239,Master!$K$4:$N$607,4,FALSE))</f>
        <v/>
      </c>
      <c r="K239" s="253" t="str">
        <f t="shared" si="92"/>
        <v/>
      </c>
      <c r="L239" s="254"/>
      <c r="M239" s="341" t="str">
        <f t="shared" si="88"/>
        <v/>
      </c>
      <c r="N239" s="341"/>
      <c r="O239" s="342"/>
      <c r="P239" s="255" t="str">
        <f t="shared" si="89"/>
        <v/>
      </c>
      <c r="Q239" s="256" t="str">
        <f t="shared" si="93"/>
        <v/>
      </c>
      <c r="R239" s="256" t="str">
        <f t="shared" si="90"/>
        <v/>
      </c>
      <c r="S239" s="257" t="str">
        <f t="shared" si="94"/>
        <v/>
      </c>
      <c r="T239" s="219" t="str">
        <f t="shared" si="91"/>
        <v/>
      </c>
      <c r="U239" s="258"/>
    </row>
    <row r="240" spans="2:21" x14ac:dyDescent="0.15">
      <c r="B240" s="249"/>
      <c r="C240" s="314"/>
      <c r="D240" s="250"/>
      <c r="E240" s="251"/>
      <c r="F240" s="335"/>
      <c r="G240" s="336"/>
      <c r="H240" s="337"/>
      <c r="I240" s="252" t="str">
        <f t="shared" si="87"/>
        <v/>
      </c>
      <c r="J240" s="248" t="str">
        <f>IF(I240="","",VLOOKUP($I240,Master!$K$4:$N$607,4,FALSE))</f>
        <v/>
      </c>
      <c r="K240" s="253" t="str">
        <f t="shared" si="92"/>
        <v/>
      </c>
      <c r="L240" s="254"/>
      <c r="M240" s="341" t="str">
        <f t="shared" si="88"/>
        <v/>
      </c>
      <c r="N240" s="341"/>
      <c r="O240" s="342"/>
      <c r="P240" s="255" t="str">
        <f t="shared" si="89"/>
        <v/>
      </c>
      <c r="Q240" s="256" t="str">
        <f t="shared" si="93"/>
        <v/>
      </c>
      <c r="R240" s="256" t="str">
        <f t="shared" si="90"/>
        <v/>
      </c>
      <c r="S240" s="257" t="str">
        <f t="shared" si="94"/>
        <v/>
      </c>
      <c r="T240" s="219" t="str">
        <f t="shared" si="91"/>
        <v/>
      </c>
      <c r="U240" s="258"/>
    </row>
    <row r="241" spans="2:21" x14ac:dyDescent="0.15">
      <c r="B241" s="249"/>
      <c r="C241" s="314"/>
      <c r="D241" s="250"/>
      <c r="E241" s="251"/>
      <c r="F241" s="335"/>
      <c r="G241" s="336"/>
      <c r="H241" s="337"/>
      <c r="I241" s="252" t="str">
        <f t="shared" si="87"/>
        <v/>
      </c>
      <c r="J241" s="248" t="str">
        <f>IF(I241="","",VLOOKUP($I241,Master!$K$4:$N$607,4,FALSE))</f>
        <v/>
      </c>
      <c r="K241" s="253" t="str">
        <f t="shared" si="92"/>
        <v/>
      </c>
      <c r="L241" s="254"/>
      <c r="M241" s="341" t="str">
        <f t="shared" si="88"/>
        <v/>
      </c>
      <c r="N241" s="341"/>
      <c r="O241" s="342"/>
      <c r="P241" s="255" t="str">
        <f t="shared" si="89"/>
        <v/>
      </c>
      <c r="Q241" s="256" t="str">
        <f t="shared" si="93"/>
        <v/>
      </c>
      <c r="R241" s="256" t="str">
        <f t="shared" si="90"/>
        <v/>
      </c>
      <c r="S241" s="257" t="str">
        <f t="shared" si="94"/>
        <v/>
      </c>
      <c r="T241" s="219" t="str">
        <f t="shared" si="91"/>
        <v/>
      </c>
      <c r="U241" s="258"/>
    </row>
    <row r="242" spans="2:21" x14ac:dyDescent="0.15">
      <c r="B242" s="249"/>
      <c r="C242" s="314"/>
      <c r="D242" s="250"/>
      <c r="E242" s="251"/>
      <c r="F242" s="335"/>
      <c r="G242" s="336"/>
      <c r="H242" s="337"/>
      <c r="I242" s="252" t="str">
        <f t="shared" si="87"/>
        <v/>
      </c>
      <c r="J242" s="248" t="str">
        <f>IF(I242="","",VLOOKUP($I242,Master!$K$4:$N$607,4,FALSE))</f>
        <v/>
      </c>
      <c r="K242" s="253" t="str">
        <f t="shared" si="92"/>
        <v/>
      </c>
      <c r="L242" s="254"/>
      <c r="M242" s="341" t="str">
        <f t="shared" si="88"/>
        <v/>
      </c>
      <c r="N242" s="341"/>
      <c r="O242" s="342"/>
      <c r="P242" s="255" t="str">
        <f t="shared" si="89"/>
        <v/>
      </c>
      <c r="Q242" s="256" t="str">
        <f t="shared" si="93"/>
        <v/>
      </c>
      <c r="R242" s="256" t="str">
        <f t="shared" si="90"/>
        <v/>
      </c>
      <c r="S242" s="257" t="str">
        <f t="shared" si="94"/>
        <v/>
      </c>
      <c r="T242" s="219" t="str">
        <f t="shared" si="91"/>
        <v/>
      </c>
      <c r="U242" s="258"/>
    </row>
    <row r="243" spans="2:21" x14ac:dyDescent="0.15">
      <c r="B243" s="249"/>
      <c r="C243" s="314"/>
      <c r="D243" s="250"/>
      <c r="E243" s="251"/>
      <c r="F243" s="335"/>
      <c r="G243" s="336"/>
      <c r="H243" s="337"/>
      <c r="I243" s="252" t="str">
        <f t="shared" si="87"/>
        <v/>
      </c>
      <c r="J243" s="248" t="str">
        <f>IF(I243="","",VLOOKUP($I243,Master!$K$4:$N$607,4,FALSE))</f>
        <v/>
      </c>
      <c r="K243" s="253" t="str">
        <f t="shared" si="92"/>
        <v/>
      </c>
      <c r="L243" s="254"/>
      <c r="M243" s="341" t="str">
        <f t="shared" si="88"/>
        <v/>
      </c>
      <c r="N243" s="341"/>
      <c r="O243" s="342"/>
      <c r="P243" s="255" t="str">
        <f t="shared" si="89"/>
        <v/>
      </c>
      <c r="Q243" s="256" t="str">
        <f t="shared" si="93"/>
        <v/>
      </c>
      <c r="R243" s="256" t="str">
        <f t="shared" si="90"/>
        <v/>
      </c>
      <c r="S243" s="257" t="str">
        <f t="shared" si="94"/>
        <v/>
      </c>
      <c r="T243" s="219" t="str">
        <f t="shared" si="91"/>
        <v/>
      </c>
      <c r="U243" s="258"/>
    </row>
    <row r="244" spans="2:21" x14ac:dyDescent="0.15">
      <c r="B244" s="249"/>
      <c r="C244" s="314"/>
      <c r="D244" s="250"/>
      <c r="E244" s="251"/>
      <c r="F244" s="335"/>
      <c r="G244" s="336"/>
      <c r="H244" s="337"/>
      <c r="I244" s="252" t="str">
        <f t="shared" si="87"/>
        <v/>
      </c>
      <c r="J244" s="248" t="str">
        <f>IF(I244="","",VLOOKUP($I244,Master!$K$4:$N$607,4,FALSE))</f>
        <v/>
      </c>
      <c r="K244" s="253" t="str">
        <f t="shared" si="92"/>
        <v/>
      </c>
      <c r="L244" s="254"/>
      <c r="M244" s="341" t="str">
        <f t="shared" si="88"/>
        <v/>
      </c>
      <c r="N244" s="341"/>
      <c r="O244" s="342"/>
      <c r="P244" s="255" t="str">
        <f t="shared" si="89"/>
        <v/>
      </c>
      <c r="Q244" s="256" t="str">
        <f t="shared" si="93"/>
        <v/>
      </c>
      <c r="R244" s="256" t="str">
        <f t="shared" si="90"/>
        <v/>
      </c>
      <c r="S244" s="257" t="str">
        <f t="shared" si="94"/>
        <v/>
      </c>
      <c r="T244" s="219" t="str">
        <f t="shared" si="91"/>
        <v/>
      </c>
      <c r="U244" s="258"/>
    </row>
    <row r="245" spans="2:21" x14ac:dyDescent="0.15">
      <c r="B245" s="249"/>
      <c r="C245" s="314"/>
      <c r="D245" s="250"/>
      <c r="E245" s="251"/>
      <c r="F245" s="335"/>
      <c r="G245" s="336"/>
      <c r="H245" s="337"/>
      <c r="I245" s="252" t="str">
        <f t="shared" si="87"/>
        <v/>
      </c>
      <c r="J245" s="248" t="str">
        <f>IF(I245="","",VLOOKUP($I245,Master!$K$4:$N$607,4,FALSE))</f>
        <v/>
      </c>
      <c r="K245" s="253" t="str">
        <f t="shared" si="92"/>
        <v/>
      </c>
      <c r="L245" s="254"/>
      <c r="M245" s="341" t="str">
        <f t="shared" si="88"/>
        <v/>
      </c>
      <c r="N245" s="341"/>
      <c r="O245" s="342"/>
      <c r="P245" s="255" t="str">
        <f t="shared" si="89"/>
        <v/>
      </c>
      <c r="Q245" s="256" t="str">
        <f t="shared" si="93"/>
        <v/>
      </c>
      <c r="R245" s="256" t="str">
        <f t="shared" si="90"/>
        <v/>
      </c>
      <c r="S245" s="257" t="str">
        <f t="shared" si="94"/>
        <v/>
      </c>
      <c r="T245" s="219" t="str">
        <f t="shared" si="91"/>
        <v/>
      </c>
      <c r="U245" s="258"/>
    </row>
    <row r="246" spans="2:21" x14ac:dyDescent="0.15">
      <c r="B246" s="249"/>
      <c r="C246" s="314"/>
      <c r="D246" s="250"/>
      <c r="E246" s="251"/>
      <c r="F246" s="335"/>
      <c r="G246" s="336"/>
      <c r="H246" s="337"/>
      <c r="I246" s="252" t="str">
        <f t="shared" si="87"/>
        <v/>
      </c>
      <c r="J246" s="248" t="str">
        <f>IF(I246="","",VLOOKUP($I246,Master!$K$4:$N$607,4,FALSE))</f>
        <v/>
      </c>
      <c r="K246" s="253" t="str">
        <f t="shared" si="92"/>
        <v/>
      </c>
      <c r="L246" s="254"/>
      <c r="M246" s="341" t="str">
        <f t="shared" si="88"/>
        <v/>
      </c>
      <c r="N246" s="341"/>
      <c r="O246" s="342"/>
      <c r="P246" s="255" t="str">
        <f t="shared" si="89"/>
        <v/>
      </c>
      <c r="Q246" s="256" t="str">
        <f t="shared" si="93"/>
        <v/>
      </c>
      <c r="R246" s="256" t="str">
        <f t="shared" si="90"/>
        <v/>
      </c>
      <c r="S246" s="257" t="str">
        <f t="shared" si="94"/>
        <v/>
      </c>
      <c r="T246" s="219" t="str">
        <f t="shared" si="91"/>
        <v/>
      </c>
      <c r="U246" s="258"/>
    </row>
    <row r="247" spans="2:21" x14ac:dyDescent="0.15">
      <c r="B247" s="249"/>
      <c r="C247" s="314"/>
      <c r="D247" s="250"/>
      <c r="E247" s="251"/>
      <c r="F247" s="335"/>
      <c r="G247" s="336"/>
      <c r="H247" s="337"/>
      <c r="I247" s="252" t="str">
        <f t="shared" si="87"/>
        <v/>
      </c>
      <c r="J247" s="248" t="str">
        <f>IF(I247="","",VLOOKUP($I247,Master!$K$4:$N$607,4,FALSE))</f>
        <v/>
      </c>
      <c r="K247" s="253" t="str">
        <f t="shared" si="92"/>
        <v/>
      </c>
      <c r="L247" s="254"/>
      <c r="M247" s="341" t="str">
        <f t="shared" si="88"/>
        <v/>
      </c>
      <c r="N247" s="341"/>
      <c r="O247" s="342"/>
      <c r="P247" s="255" t="str">
        <f t="shared" si="89"/>
        <v/>
      </c>
      <c r="Q247" s="256" t="str">
        <f t="shared" si="93"/>
        <v/>
      </c>
      <c r="R247" s="256" t="str">
        <f t="shared" si="90"/>
        <v/>
      </c>
      <c r="S247" s="257" t="str">
        <f t="shared" si="94"/>
        <v/>
      </c>
      <c r="T247" s="219" t="str">
        <f t="shared" si="91"/>
        <v/>
      </c>
      <c r="U247" s="258"/>
    </row>
    <row r="248" spans="2:21" x14ac:dyDescent="0.15">
      <c r="B248" s="249"/>
      <c r="C248" s="314"/>
      <c r="D248" s="250"/>
      <c r="E248" s="251"/>
      <c r="F248" s="335"/>
      <c r="G248" s="336"/>
      <c r="H248" s="337"/>
      <c r="I248" s="252" t="str">
        <f t="shared" si="87"/>
        <v/>
      </c>
      <c r="J248" s="248" t="str">
        <f>IF(I248="","",VLOOKUP($I248,Master!$K$4:$N$607,4,FALSE))</f>
        <v/>
      </c>
      <c r="K248" s="253" t="str">
        <f t="shared" si="92"/>
        <v/>
      </c>
      <c r="L248" s="254"/>
      <c r="M248" s="341" t="str">
        <f t="shared" si="88"/>
        <v/>
      </c>
      <c r="N248" s="341"/>
      <c r="O248" s="342"/>
      <c r="P248" s="255" t="str">
        <f t="shared" si="89"/>
        <v/>
      </c>
      <c r="Q248" s="256" t="str">
        <f t="shared" si="93"/>
        <v/>
      </c>
      <c r="R248" s="256" t="str">
        <f t="shared" si="90"/>
        <v/>
      </c>
      <c r="S248" s="257" t="str">
        <f t="shared" si="94"/>
        <v/>
      </c>
      <c r="T248" s="219" t="str">
        <f t="shared" si="91"/>
        <v/>
      </c>
      <c r="U248" s="258"/>
    </row>
    <row r="249" spans="2:21" x14ac:dyDescent="0.15">
      <c r="B249" s="249"/>
      <c r="C249" s="314"/>
      <c r="D249" s="250"/>
      <c r="E249" s="251"/>
      <c r="F249" s="335"/>
      <c r="G249" s="336"/>
      <c r="H249" s="337"/>
      <c r="I249" s="252" t="str">
        <f t="shared" si="87"/>
        <v/>
      </c>
      <c r="J249" s="248" t="str">
        <f>IF(I249="","",VLOOKUP($I249,Master!$K$4:$N$607,4,FALSE))</f>
        <v/>
      </c>
      <c r="K249" s="253" t="str">
        <f t="shared" si="92"/>
        <v/>
      </c>
      <c r="L249" s="254"/>
      <c r="M249" s="341" t="str">
        <f t="shared" si="88"/>
        <v/>
      </c>
      <c r="N249" s="341"/>
      <c r="O249" s="342"/>
      <c r="P249" s="255" t="str">
        <f t="shared" si="89"/>
        <v/>
      </c>
      <c r="Q249" s="256" t="str">
        <f t="shared" si="93"/>
        <v/>
      </c>
      <c r="R249" s="256" t="str">
        <f t="shared" si="90"/>
        <v/>
      </c>
      <c r="S249" s="257" t="str">
        <f t="shared" si="94"/>
        <v/>
      </c>
      <c r="T249" s="219" t="str">
        <f t="shared" si="91"/>
        <v/>
      </c>
      <c r="U249" s="258"/>
    </row>
    <row r="250" spans="2:21" x14ac:dyDescent="0.15">
      <c r="B250" s="249"/>
      <c r="C250" s="314"/>
      <c r="D250" s="250"/>
      <c r="E250" s="251"/>
      <c r="F250" s="335"/>
      <c r="G250" s="336"/>
      <c r="H250" s="337"/>
      <c r="I250" s="252" t="str">
        <f t="shared" si="87"/>
        <v/>
      </c>
      <c r="J250" s="248" t="str">
        <f>IF(I250="","",VLOOKUP($I250,Master!$K$4:$N$607,4,FALSE))</f>
        <v/>
      </c>
      <c r="K250" s="253" t="str">
        <f t="shared" si="92"/>
        <v/>
      </c>
      <c r="L250" s="254"/>
      <c r="M250" s="341" t="str">
        <f t="shared" si="88"/>
        <v/>
      </c>
      <c r="N250" s="341"/>
      <c r="O250" s="342"/>
      <c r="P250" s="255" t="str">
        <f t="shared" si="89"/>
        <v/>
      </c>
      <c r="Q250" s="256" t="str">
        <f t="shared" si="93"/>
        <v/>
      </c>
      <c r="R250" s="256" t="str">
        <f t="shared" si="90"/>
        <v/>
      </c>
      <c r="S250" s="257" t="str">
        <f t="shared" si="94"/>
        <v/>
      </c>
      <c r="T250" s="219" t="str">
        <f t="shared" si="91"/>
        <v/>
      </c>
      <c r="U250" s="258"/>
    </row>
    <row r="251" spans="2:21" x14ac:dyDescent="0.15">
      <c r="B251" s="249"/>
      <c r="C251" s="314"/>
      <c r="D251" s="250"/>
      <c r="E251" s="251"/>
      <c r="F251" s="335"/>
      <c r="G251" s="336"/>
      <c r="H251" s="337"/>
      <c r="I251" s="252" t="str">
        <f t="shared" si="87"/>
        <v/>
      </c>
      <c r="J251" s="248" t="str">
        <f>IF(I251="","",VLOOKUP($I251,Master!$K$4:$N$607,4,FALSE))</f>
        <v/>
      </c>
      <c r="K251" s="253" t="str">
        <f t="shared" si="92"/>
        <v/>
      </c>
      <c r="L251" s="254"/>
      <c r="M251" s="341" t="str">
        <f t="shared" si="88"/>
        <v/>
      </c>
      <c r="N251" s="341"/>
      <c r="O251" s="342"/>
      <c r="P251" s="255" t="str">
        <f t="shared" si="89"/>
        <v/>
      </c>
      <c r="Q251" s="256" t="str">
        <f t="shared" si="93"/>
        <v/>
      </c>
      <c r="R251" s="256" t="str">
        <f t="shared" si="90"/>
        <v/>
      </c>
      <c r="S251" s="257" t="str">
        <f t="shared" si="94"/>
        <v/>
      </c>
      <c r="T251" s="219" t="str">
        <f t="shared" si="91"/>
        <v/>
      </c>
      <c r="U251" s="258"/>
    </row>
    <row r="252" spans="2:21" x14ac:dyDescent="0.15">
      <c r="B252" s="249"/>
      <c r="C252" s="314"/>
      <c r="D252" s="250"/>
      <c r="E252" s="251"/>
      <c r="F252" s="335"/>
      <c r="G252" s="336"/>
      <c r="H252" s="337"/>
      <c r="I252" s="252" t="str">
        <f t="shared" si="87"/>
        <v/>
      </c>
      <c r="J252" s="248" t="str">
        <f>IF(I252="","",VLOOKUP($I252,Master!$K$4:$N$607,4,FALSE))</f>
        <v/>
      </c>
      <c r="K252" s="253" t="str">
        <f t="shared" si="92"/>
        <v/>
      </c>
      <c r="L252" s="254"/>
      <c r="M252" s="341" t="str">
        <f t="shared" si="88"/>
        <v/>
      </c>
      <c r="N252" s="341"/>
      <c r="O252" s="342"/>
      <c r="P252" s="255" t="str">
        <f t="shared" si="89"/>
        <v/>
      </c>
      <c r="Q252" s="256" t="str">
        <f t="shared" si="93"/>
        <v/>
      </c>
      <c r="R252" s="256" t="str">
        <f t="shared" si="90"/>
        <v/>
      </c>
      <c r="S252" s="257" t="str">
        <f t="shared" si="94"/>
        <v/>
      </c>
      <c r="T252" s="219" t="str">
        <f t="shared" si="91"/>
        <v/>
      </c>
      <c r="U252" s="258"/>
    </row>
    <row r="253" spans="2:21" x14ac:dyDescent="0.15">
      <c r="B253" s="249"/>
      <c r="C253" s="314"/>
      <c r="D253" s="250"/>
      <c r="E253" s="251"/>
      <c r="F253" s="335"/>
      <c r="G253" s="336"/>
      <c r="H253" s="337"/>
      <c r="I253" s="252" t="str">
        <f t="shared" si="87"/>
        <v/>
      </c>
      <c r="J253" s="248" t="str">
        <f>IF(I253="","",VLOOKUP($I253,Master!$K$4:$N$607,4,FALSE))</f>
        <v/>
      </c>
      <c r="K253" s="253" t="str">
        <f t="shared" si="92"/>
        <v/>
      </c>
      <c r="L253" s="254"/>
      <c r="M253" s="341" t="str">
        <f t="shared" si="88"/>
        <v/>
      </c>
      <c r="N253" s="341"/>
      <c r="O253" s="342"/>
      <c r="P253" s="255" t="str">
        <f t="shared" si="89"/>
        <v/>
      </c>
      <c r="Q253" s="256" t="str">
        <f t="shared" si="93"/>
        <v/>
      </c>
      <c r="R253" s="256" t="str">
        <f t="shared" si="90"/>
        <v/>
      </c>
      <c r="S253" s="257" t="str">
        <f t="shared" si="94"/>
        <v/>
      </c>
      <c r="T253" s="219" t="str">
        <f t="shared" si="91"/>
        <v/>
      </c>
      <c r="U253" s="258"/>
    </row>
    <row r="254" spans="2:21" x14ac:dyDescent="0.15">
      <c r="B254" s="249"/>
      <c r="C254" s="314"/>
      <c r="D254" s="250"/>
      <c r="E254" s="251"/>
      <c r="F254" s="335"/>
      <c r="G254" s="336"/>
      <c r="H254" s="337"/>
      <c r="I254" s="252" t="str">
        <f t="shared" si="87"/>
        <v/>
      </c>
      <c r="J254" s="248" t="str">
        <f>IF(I254="","",VLOOKUP($I254,Master!$K$4:$N$607,4,FALSE))</f>
        <v/>
      </c>
      <c r="K254" s="253" t="str">
        <f t="shared" si="92"/>
        <v/>
      </c>
      <c r="L254" s="254"/>
      <c r="M254" s="341" t="str">
        <f t="shared" si="88"/>
        <v/>
      </c>
      <c r="N254" s="341"/>
      <c r="O254" s="342"/>
      <c r="P254" s="255" t="str">
        <f t="shared" si="89"/>
        <v/>
      </c>
      <c r="Q254" s="256" t="str">
        <f t="shared" si="93"/>
        <v/>
      </c>
      <c r="R254" s="256" t="str">
        <f t="shared" si="90"/>
        <v/>
      </c>
      <c r="S254" s="257" t="str">
        <f t="shared" si="94"/>
        <v/>
      </c>
      <c r="T254" s="219" t="str">
        <f t="shared" si="91"/>
        <v/>
      </c>
      <c r="U254" s="258"/>
    </row>
    <row r="255" spans="2:21" x14ac:dyDescent="0.15">
      <c r="B255" s="249"/>
      <c r="C255" s="314"/>
      <c r="D255" s="250"/>
      <c r="E255" s="251"/>
      <c r="F255" s="335"/>
      <c r="G255" s="336"/>
      <c r="H255" s="337"/>
      <c r="I255" s="252" t="str">
        <f t="shared" si="87"/>
        <v/>
      </c>
      <c r="J255" s="248" t="str">
        <f>IF(I255="","",VLOOKUP($I255,Master!$K$4:$N$607,4,FALSE))</f>
        <v/>
      </c>
      <c r="K255" s="253" t="str">
        <f t="shared" si="92"/>
        <v/>
      </c>
      <c r="L255" s="254"/>
      <c r="M255" s="341" t="str">
        <f t="shared" si="88"/>
        <v/>
      </c>
      <c r="N255" s="341"/>
      <c r="O255" s="342"/>
      <c r="P255" s="255" t="str">
        <f t="shared" si="89"/>
        <v/>
      </c>
      <c r="Q255" s="256" t="str">
        <f t="shared" si="93"/>
        <v/>
      </c>
      <c r="R255" s="256" t="str">
        <f t="shared" si="90"/>
        <v/>
      </c>
      <c r="S255" s="257" t="str">
        <f t="shared" si="94"/>
        <v/>
      </c>
      <c r="T255" s="219" t="str">
        <f t="shared" si="91"/>
        <v/>
      </c>
      <c r="U255" s="258"/>
    </row>
    <row r="256" spans="2:21" x14ac:dyDescent="0.15">
      <c r="B256" s="249"/>
      <c r="C256" s="314"/>
      <c r="D256" s="250"/>
      <c r="E256" s="251"/>
      <c r="F256" s="335"/>
      <c r="G256" s="336"/>
      <c r="H256" s="337"/>
      <c r="I256" s="252" t="str">
        <f t="shared" si="87"/>
        <v/>
      </c>
      <c r="J256" s="248" t="str">
        <f>IF(I256="","",VLOOKUP($I256,Master!$K$4:$N$607,4,FALSE))</f>
        <v/>
      </c>
      <c r="K256" s="253" t="str">
        <f t="shared" si="92"/>
        <v/>
      </c>
      <c r="L256" s="254"/>
      <c r="M256" s="341" t="str">
        <f t="shared" si="88"/>
        <v/>
      </c>
      <c r="N256" s="341"/>
      <c r="O256" s="342"/>
      <c r="P256" s="255" t="str">
        <f t="shared" si="89"/>
        <v/>
      </c>
      <c r="Q256" s="256" t="str">
        <f t="shared" si="93"/>
        <v/>
      </c>
      <c r="R256" s="256" t="str">
        <f t="shared" si="90"/>
        <v/>
      </c>
      <c r="S256" s="257" t="str">
        <f t="shared" si="94"/>
        <v/>
      </c>
      <c r="T256" s="219" t="str">
        <f t="shared" si="91"/>
        <v/>
      </c>
      <c r="U256" s="258"/>
    </row>
    <row r="257" spans="2:21" x14ac:dyDescent="0.15">
      <c r="B257" s="249"/>
      <c r="C257" s="314"/>
      <c r="D257" s="250"/>
      <c r="E257" s="251"/>
      <c r="F257" s="335"/>
      <c r="G257" s="336"/>
      <c r="H257" s="337"/>
      <c r="I257" s="252" t="str">
        <f t="shared" si="87"/>
        <v/>
      </c>
      <c r="J257" s="248" t="str">
        <f>IF(I257="","",VLOOKUP($I257,Master!$K$4:$N$607,4,FALSE))</f>
        <v/>
      </c>
      <c r="K257" s="253" t="str">
        <f t="shared" si="92"/>
        <v/>
      </c>
      <c r="L257" s="254"/>
      <c r="M257" s="341" t="str">
        <f t="shared" si="88"/>
        <v/>
      </c>
      <c r="N257" s="341"/>
      <c r="O257" s="342"/>
      <c r="P257" s="255" t="str">
        <f t="shared" si="89"/>
        <v/>
      </c>
      <c r="Q257" s="256" t="str">
        <f t="shared" si="93"/>
        <v/>
      </c>
      <c r="R257" s="256" t="str">
        <f t="shared" si="90"/>
        <v/>
      </c>
      <c r="S257" s="257" t="str">
        <f t="shared" si="94"/>
        <v/>
      </c>
      <c r="T257" s="219" t="str">
        <f t="shared" si="91"/>
        <v/>
      </c>
      <c r="U257" s="258"/>
    </row>
    <row r="258" spans="2:21" x14ac:dyDescent="0.15">
      <c r="B258" s="249"/>
      <c r="C258" s="314"/>
      <c r="D258" s="250"/>
      <c r="E258" s="251"/>
      <c r="F258" s="335"/>
      <c r="G258" s="336"/>
      <c r="H258" s="337"/>
      <c r="I258" s="252" t="str">
        <f t="shared" si="87"/>
        <v/>
      </c>
      <c r="J258" s="248" t="str">
        <f>IF(I258="","",VLOOKUP($I258,Master!$K$4:$N$607,4,FALSE))</f>
        <v/>
      </c>
      <c r="K258" s="253" t="str">
        <f t="shared" si="92"/>
        <v/>
      </c>
      <c r="L258" s="254"/>
      <c r="M258" s="341" t="str">
        <f t="shared" si="88"/>
        <v/>
      </c>
      <c r="N258" s="341"/>
      <c r="O258" s="342"/>
      <c r="P258" s="255" t="str">
        <f t="shared" si="89"/>
        <v/>
      </c>
      <c r="Q258" s="256" t="str">
        <f t="shared" si="93"/>
        <v/>
      </c>
      <c r="R258" s="256" t="str">
        <f t="shared" si="90"/>
        <v/>
      </c>
      <c r="S258" s="257" t="str">
        <f t="shared" si="94"/>
        <v/>
      </c>
      <c r="T258" s="219" t="str">
        <f t="shared" si="91"/>
        <v/>
      </c>
      <c r="U258" s="258"/>
    </row>
    <row r="259" spans="2:21" x14ac:dyDescent="0.15">
      <c r="B259" s="249"/>
      <c r="C259" s="314"/>
      <c r="D259" s="250"/>
      <c r="E259" s="251"/>
      <c r="F259" s="335"/>
      <c r="G259" s="336"/>
      <c r="H259" s="337"/>
      <c r="I259" s="252" t="str">
        <f t="shared" si="87"/>
        <v/>
      </c>
      <c r="J259" s="248" t="str">
        <f>IF(I259="","",VLOOKUP($I259,Master!$K$4:$N$607,4,FALSE))</f>
        <v/>
      </c>
      <c r="K259" s="253" t="str">
        <f t="shared" si="92"/>
        <v/>
      </c>
      <c r="L259" s="254"/>
      <c r="M259" s="341" t="str">
        <f t="shared" si="88"/>
        <v/>
      </c>
      <c r="N259" s="341"/>
      <c r="O259" s="342"/>
      <c r="P259" s="255" t="str">
        <f t="shared" si="89"/>
        <v/>
      </c>
      <c r="Q259" s="256" t="str">
        <f t="shared" si="93"/>
        <v/>
      </c>
      <c r="R259" s="256" t="str">
        <f t="shared" si="90"/>
        <v/>
      </c>
      <c r="S259" s="257" t="str">
        <f t="shared" si="94"/>
        <v/>
      </c>
      <c r="T259" s="219" t="str">
        <f t="shared" si="91"/>
        <v/>
      </c>
      <c r="U259" s="258"/>
    </row>
    <row r="260" spans="2:21" x14ac:dyDescent="0.15">
      <c r="B260" s="249"/>
      <c r="C260" s="314"/>
      <c r="D260" s="250"/>
      <c r="E260" s="251"/>
      <c r="F260" s="335"/>
      <c r="G260" s="336"/>
      <c r="H260" s="337"/>
      <c r="I260" s="252" t="str">
        <f t="shared" si="87"/>
        <v/>
      </c>
      <c r="J260" s="248" t="str">
        <f>IF(I260="","",VLOOKUP($I260,Master!$K$4:$N$607,4,FALSE))</f>
        <v/>
      </c>
      <c r="K260" s="253" t="str">
        <f t="shared" si="92"/>
        <v/>
      </c>
      <c r="L260" s="254"/>
      <c r="M260" s="341" t="str">
        <f t="shared" si="88"/>
        <v/>
      </c>
      <c r="N260" s="341"/>
      <c r="O260" s="342"/>
      <c r="P260" s="255" t="str">
        <f t="shared" si="89"/>
        <v/>
      </c>
      <c r="Q260" s="256" t="str">
        <f t="shared" si="93"/>
        <v/>
      </c>
      <c r="R260" s="256" t="str">
        <f t="shared" si="90"/>
        <v/>
      </c>
      <c r="S260" s="257" t="str">
        <f t="shared" si="94"/>
        <v/>
      </c>
      <c r="T260" s="219" t="str">
        <f t="shared" si="91"/>
        <v/>
      </c>
      <c r="U260" s="258"/>
    </row>
    <row r="261" spans="2:21" x14ac:dyDescent="0.15">
      <c r="B261" s="249"/>
      <c r="C261" s="314"/>
      <c r="D261" s="250"/>
      <c r="E261" s="251"/>
      <c r="F261" s="335"/>
      <c r="G261" s="336"/>
      <c r="H261" s="337"/>
      <c r="I261" s="252" t="str">
        <f t="shared" si="87"/>
        <v/>
      </c>
      <c r="J261" s="248" t="str">
        <f>IF(I261="","",VLOOKUP($I261,Master!$K$4:$N$607,4,FALSE))</f>
        <v/>
      </c>
      <c r="K261" s="253" t="str">
        <f t="shared" si="92"/>
        <v/>
      </c>
      <c r="L261" s="254"/>
      <c r="M261" s="341" t="str">
        <f t="shared" si="88"/>
        <v/>
      </c>
      <c r="N261" s="341"/>
      <c r="O261" s="342"/>
      <c r="P261" s="255" t="str">
        <f t="shared" si="89"/>
        <v/>
      </c>
      <c r="Q261" s="256" t="str">
        <f t="shared" si="93"/>
        <v/>
      </c>
      <c r="R261" s="256" t="str">
        <f t="shared" si="90"/>
        <v/>
      </c>
      <c r="S261" s="257" t="str">
        <f t="shared" si="94"/>
        <v/>
      </c>
      <c r="T261" s="219" t="str">
        <f t="shared" si="91"/>
        <v/>
      </c>
      <c r="U261" s="258"/>
    </row>
    <row r="262" spans="2:21" x14ac:dyDescent="0.15">
      <c r="B262" s="249"/>
      <c r="C262" s="314"/>
      <c r="D262" s="250"/>
      <c r="E262" s="251"/>
      <c r="F262" s="335"/>
      <c r="G262" s="336"/>
      <c r="H262" s="337"/>
      <c r="I262" s="252" t="str">
        <f t="shared" si="87"/>
        <v/>
      </c>
      <c r="J262" s="248" t="str">
        <f>IF(I262="","",VLOOKUP($I262,Master!$K$4:$N$607,4,FALSE))</f>
        <v/>
      </c>
      <c r="K262" s="253" t="str">
        <f t="shared" si="92"/>
        <v/>
      </c>
      <c r="L262" s="254"/>
      <c r="M262" s="341" t="str">
        <f t="shared" si="88"/>
        <v/>
      </c>
      <c r="N262" s="341"/>
      <c r="O262" s="342"/>
      <c r="P262" s="255" t="str">
        <f t="shared" si="89"/>
        <v/>
      </c>
      <c r="Q262" s="256" t="str">
        <f t="shared" si="93"/>
        <v/>
      </c>
      <c r="R262" s="256" t="str">
        <f t="shared" si="90"/>
        <v/>
      </c>
      <c r="S262" s="257" t="str">
        <f t="shared" si="94"/>
        <v/>
      </c>
      <c r="T262" s="219" t="str">
        <f t="shared" si="91"/>
        <v/>
      </c>
      <c r="U262" s="258"/>
    </row>
    <row r="263" spans="2:21" x14ac:dyDescent="0.15">
      <c r="B263" s="249"/>
      <c r="C263" s="314"/>
      <c r="D263" s="250"/>
      <c r="E263" s="251"/>
      <c r="F263" s="335"/>
      <c r="G263" s="336"/>
      <c r="H263" s="337"/>
      <c r="I263" s="252" t="str">
        <f t="shared" si="87"/>
        <v/>
      </c>
      <c r="J263" s="248" t="str">
        <f>IF(I263="","",VLOOKUP($I263,Master!$K$4:$N$607,4,FALSE))</f>
        <v/>
      </c>
      <c r="K263" s="253" t="str">
        <f t="shared" si="92"/>
        <v/>
      </c>
      <c r="L263" s="254"/>
      <c r="M263" s="341" t="str">
        <f t="shared" si="88"/>
        <v/>
      </c>
      <c r="N263" s="341"/>
      <c r="O263" s="342"/>
      <c r="P263" s="255" t="str">
        <f t="shared" si="89"/>
        <v/>
      </c>
      <c r="Q263" s="256" t="str">
        <f t="shared" si="93"/>
        <v/>
      </c>
      <c r="R263" s="256" t="str">
        <f t="shared" si="90"/>
        <v/>
      </c>
      <c r="S263" s="257" t="str">
        <f t="shared" si="94"/>
        <v/>
      </c>
      <c r="T263" s="219" t="str">
        <f t="shared" si="91"/>
        <v/>
      </c>
      <c r="U263" s="258"/>
    </row>
    <row r="264" spans="2:21" x14ac:dyDescent="0.15">
      <c r="B264" s="249"/>
      <c r="C264" s="314"/>
      <c r="D264" s="250"/>
      <c r="E264" s="251"/>
      <c r="F264" s="335"/>
      <c r="G264" s="336"/>
      <c r="H264" s="337"/>
      <c r="I264" s="252" t="str">
        <f t="shared" si="87"/>
        <v/>
      </c>
      <c r="J264" s="248" t="str">
        <f>IF(I264="","",VLOOKUP($I264,Master!$K$4:$N$607,4,FALSE))</f>
        <v/>
      </c>
      <c r="K264" s="253" t="str">
        <f t="shared" si="92"/>
        <v/>
      </c>
      <c r="L264" s="254"/>
      <c r="M264" s="341" t="str">
        <f t="shared" si="88"/>
        <v/>
      </c>
      <c r="N264" s="341"/>
      <c r="O264" s="342"/>
      <c r="P264" s="255" t="str">
        <f t="shared" si="89"/>
        <v/>
      </c>
      <c r="Q264" s="256" t="str">
        <f t="shared" si="93"/>
        <v/>
      </c>
      <c r="R264" s="256" t="str">
        <f t="shared" si="90"/>
        <v/>
      </c>
      <c r="S264" s="257" t="str">
        <f t="shared" si="94"/>
        <v/>
      </c>
      <c r="T264" s="219" t="str">
        <f t="shared" si="91"/>
        <v/>
      </c>
      <c r="U264" s="258"/>
    </row>
    <row r="265" spans="2:21" x14ac:dyDescent="0.15">
      <c r="B265" s="249"/>
      <c r="C265" s="314"/>
      <c r="D265" s="250"/>
      <c r="E265" s="251"/>
      <c r="F265" s="335"/>
      <c r="G265" s="336"/>
      <c r="H265" s="337"/>
      <c r="I265" s="252" t="str">
        <f t="shared" ref="I265:I323" si="95">IF($F265="","",IF(ISERR(VLOOKUP($C265&amp;$D265&amp;$E265&amp;$F265,SOW,2,FALSE)),"-",VLOOKUP($C265&amp;$D265&amp;$E265&amp;$F265,SOW,2,FALSE)))</f>
        <v/>
      </c>
      <c r="J265" s="248" t="str">
        <f>IF(I265="","",VLOOKUP($I265,Master!$K$4:$N$607,4,FALSE))</f>
        <v/>
      </c>
      <c r="K265" s="253" t="str">
        <f t="shared" si="92"/>
        <v/>
      </c>
      <c r="L265" s="254"/>
      <c r="M265" s="341" t="str">
        <f t="shared" ref="M265:M323" si="96">IF($F265&lt;&gt;"",IF($J265&lt;&gt;"-",IF($J265="要選択","REQ_IDを選択して下さい。",IF($J265="","REQ_IDを選択して下さい。",VLOOKUP($J265,REQUEST,2,FALSE))),$F265),"")</f>
        <v/>
      </c>
      <c r="N265" s="341"/>
      <c r="O265" s="342"/>
      <c r="P265" s="255" t="str">
        <f t="shared" ref="P265:P323" si="97">IF($B265&lt;&gt;"",TEXT(TEXT(YEAR($B265),"0000")&amp;TEXT(MONTH($B265),"00")&amp;$I265,"@"),"")</f>
        <v/>
      </c>
      <c r="Q265" s="256" t="str">
        <f t="shared" si="93"/>
        <v/>
      </c>
      <c r="R265" s="256" t="str">
        <f t="shared" ref="R265:R323" si="98">IF($B265&lt;&gt;"",TEXT(TEXT(YEAR($B265),"0000")&amp;TEXT(MONTH($B265),"00")&amp;$J265,"@"),"")</f>
        <v/>
      </c>
      <c r="S265" s="257" t="str">
        <f t="shared" si="94"/>
        <v/>
      </c>
      <c r="T265" s="219" t="str">
        <f t="shared" si="91"/>
        <v/>
      </c>
      <c r="U265" s="258"/>
    </row>
    <row r="266" spans="2:21" x14ac:dyDescent="0.15">
      <c r="B266" s="249"/>
      <c r="C266" s="314"/>
      <c r="D266" s="250"/>
      <c r="E266" s="251"/>
      <c r="F266" s="335"/>
      <c r="G266" s="336"/>
      <c r="H266" s="337"/>
      <c r="I266" s="252" t="str">
        <f t="shared" si="95"/>
        <v/>
      </c>
      <c r="J266" s="248" t="str">
        <f>IF(I266="","",VLOOKUP($I266,Master!$K$4:$N$607,4,FALSE))</f>
        <v/>
      </c>
      <c r="K266" s="253" t="str">
        <f t="shared" si="92"/>
        <v/>
      </c>
      <c r="L266" s="254"/>
      <c r="M266" s="341" t="str">
        <f t="shared" si="96"/>
        <v/>
      </c>
      <c r="N266" s="341"/>
      <c r="O266" s="342"/>
      <c r="P266" s="255" t="str">
        <f t="shared" si="97"/>
        <v/>
      </c>
      <c r="Q266" s="256" t="str">
        <f t="shared" si="93"/>
        <v/>
      </c>
      <c r="R266" s="256" t="str">
        <f t="shared" si="98"/>
        <v/>
      </c>
      <c r="S266" s="257" t="str">
        <f t="shared" si="94"/>
        <v/>
      </c>
      <c r="T266" s="219" t="str">
        <f t="shared" ref="T266:T324" si="99">IF($B266&lt;&gt;"",TEXT(TEXT(YEAR($B266),"0000")&amp;TEXT(MONTH($B266),"00")&amp;TEXT(DAY($B266),"00")&amp;$C266,"@"),"")</f>
        <v/>
      </c>
      <c r="U266" s="258"/>
    </row>
    <row r="267" spans="2:21" x14ac:dyDescent="0.15">
      <c r="B267" s="249"/>
      <c r="C267" s="314"/>
      <c r="D267" s="250"/>
      <c r="E267" s="251"/>
      <c r="F267" s="335"/>
      <c r="G267" s="336"/>
      <c r="H267" s="337"/>
      <c r="I267" s="252" t="str">
        <f t="shared" si="95"/>
        <v/>
      </c>
      <c r="J267" s="248" t="str">
        <f>IF(I267="","",VLOOKUP($I267,Master!$K$4:$N$607,4,FALSE))</f>
        <v/>
      </c>
      <c r="K267" s="253" t="str">
        <f t="shared" si="92"/>
        <v/>
      </c>
      <c r="L267" s="254"/>
      <c r="M267" s="341" t="str">
        <f t="shared" si="96"/>
        <v/>
      </c>
      <c r="N267" s="341"/>
      <c r="O267" s="342"/>
      <c r="P267" s="255" t="str">
        <f t="shared" si="97"/>
        <v/>
      </c>
      <c r="Q267" s="256" t="str">
        <f t="shared" si="93"/>
        <v/>
      </c>
      <c r="R267" s="256" t="str">
        <f t="shared" si="98"/>
        <v/>
      </c>
      <c r="S267" s="257" t="str">
        <f t="shared" si="94"/>
        <v/>
      </c>
      <c r="T267" s="219" t="str">
        <f t="shared" si="99"/>
        <v/>
      </c>
      <c r="U267" s="258"/>
    </row>
    <row r="268" spans="2:21" x14ac:dyDescent="0.15">
      <c r="B268" s="249"/>
      <c r="C268" s="314"/>
      <c r="D268" s="250"/>
      <c r="E268" s="251"/>
      <c r="F268" s="335"/>
      <c r="G268" s="336"/>
      <c r="H268" s="337"/>
      <c r="I268" s="252" t="str">
        <f t="shared" si="95"/>
        <v/>
      </c>
      <c r="J268" s="248" t="str">
        <f>IF(I268="","",VLOOKUP($I268,Master!$K$4:$N$607,4,FALSE))</f>
        <v/>
      </c>
      <c r="K268" s="253" t="str">
        <f t="shared" si="92"/>
        <v/>
      </c>
      <c r="L268" s="254"/>
      <c r="M268" s="341" t="str">
        <f t="shared" si="96"/>
        <v/>
      </c>
      <c r="N268" s="341"/>
      <c r="O268" s="342"/>
      <c r="P268" s="255" t="str">
        <f t="shared" si="97"/>
        <v/>
      </c>
      <c r="Q268" s="256" t="str">
        <f t="shared" si="93"/>
        <v/>
      </c>
      <c r="R268" s="256" t="str">
        <f t="shared" si="98"/>
        <v/>
      </c>
      <c r="S268" s="257" t="str">
        <f t="shared" si="94"/>
        <v/>
      </c>
      <c r="T268" s="219" t="str">
        <f t="shared" si="99"/>
        <v/>
      </c>
      <c r="U268" s="258"/>
    </row>
    <row r="269" spans="2:21" x14ac:dyDescent="0.15">
      <c r="B269" s="249"/>
      <c r="C269" s="314"/>
      <c r="D269" s="250"/>
      <c r="E269" s="251"/>
      <c r="F269" s="335"/>
      <c r="G269" s="336"/>
      <c r="H269" s="337"/>
      <c r="I269" s="252" t="str">
        <f t="shared" si="95"/>
        <v/>
      </c>
      <c r="J269" s="248" t="str">
        <f>IF(I269="","",VLOOKUP($I269,Master!$K$4:$N$607,4,FALSE))</f>
        <v/>
      </c>
      <c r="K269" s="253" t="str">
        <f t="shared" si="92"/>
        <v/>
      </c>
      <c r="L269" s="254"/>
      <c r="M269" s="341" t="str">
        <f t="shared" si="96"/>
        <v/>
      </c>
      <c r="N269" s="341"/>
      <c r="O269" s="342"/>
      <c r="P269" s="255" t="str">
        <f t="shared" si="97"/>
        <v/>
      </c>
      <c r="Q269" s="256" t="str">
        <f t="shared" si="93"/>
        <v/>
      </c>
      <c r="R269" s="256" t="str">
        <f t="shared" si="98"/>
        <v/>
      </c>
      <c r="S269" s="257" t="str">
        <f t="shared" si="94"/>
        <v/>
      </c>
      <c r="T269" s="219" t="str">
        <f t="shared" si="99"/>
        <v/>
      </c>
      <c r="U269" s="258"/>
    </row>
    <row r="270" spans="2:21" x14ac:dyDescent="0.15">
      <c r="B270" s="249"/>
      <c r="C270" s="314"/>
      <c r="D270" s="250"/>
      <c r="E270" s="251"/>
      <c r="F270" s="335"/>
      <c r="G270" s="336"/>
      <c r="H270" s="337"/>
      <c r="I270" s="252" t="str">
        <f t="shared" si="95"/>
        <v/>
      </c>
      <c r="J270" s="248" t="str">
        <f>IF(I270="","",VLOOKUP($I270,Master!$K$4:$N$607,4,FALSE))</f>
        <v/>
      </c>
      <c r="K270" s="253" t="str">
        <f t="shared" si="92"/>
        <v/>
      </c>
      <c r="L270" s="254"/>
      <c r="M270" s="341" t="str">
        <f t="shared" si="96"/>
        <v/>
      </c>
      <c r="N270" s="341"/>
      <c r="O270" s="342"/>
      <c r="P270" s="255" t="str">
        <f t="shared" si="97"/>
        <v/>
      </c>
      <c r="Q270" s="256" t="str">
        <f t="shared" si="93"/>
        <v/>
      </c>
      <c r="R270" s="256" t="str">
        <f t="shared" si="98"/>
        <v/>
      </c>
      <c r="S270" s="257" t="str">
        <f t="shared" si="94"/>
        <v/>
      </c>
      <c r="T270" s="219" t="str">
        <f t="shared" si="99"/>
        <v/>
      </c>
      <c r="U270" s="258"/>
    </row>
    <row r="271" spans="2:21" x14ac:dyDescent="0.15">
      <c r="B271" s="249"/>
      <c r="C271" s="314"/>
      <c r="D271" s="250"/>
      <c r="E271" s="251"/>
      <c r="F271" s="335"/>
      <c r="G271" s="336"/>
      <c r="H271" s="337"/>
      <c r="I271" s="252" t="str">
        <f t="shared" si="95"/>
        <v/>
      </c>
      <c r="J271" s="248" t="str">
        <f>IF(I271="","",VLOOKUP($I271,Master!$K$4:$N$607,4,FALSE))</f>
        <v/>
      </c>
      <c r="K271" s="253" t="str">
        <f t="shared" si="92"/>
        <v/>
      </c>
      <c r="L271" s="254"/>
      <c r="M271" s="341" t="str">
        <f t="shared" si="96"/>
        <v/>
      </c>
      <c r="N271" s="341"/>
      <c r="O271" s="342"/>
      <c r="P271" s="255" t="str">
        <f t="shared" si="97"/>
        <v/>
      </c>
      <c r="Q271" s="256" t="str">
        <f t="shared" si="93"/>
        <v/>
      </c>
      <c r="R271" s="256" t="str">
        <f t="shared" si="98"/>
        <v/>
      </c>
      <c r="S271" s="257" t="str">
        <f t="shared" si="94"/>
        <v/>
      </c>
      <c r="T271" s="219" t="str">
        <f t="shared" si="99"/>
        <v/>
      </c>
      <c r="U271" s="258"/>
    </row>
    <row r="272" spans="2:21" x14ac:dyDescent="0.15">
      <c r="B272" s="249"/>
      <c r="C272" s="314"/>
      <c r="D272" s="250"/>
      <c r="E272" s="251"/>
      <c r="F272" s="335"/>
      <c r="G272" s="336"/>
      <c r="H272" s="337"/>
      <c r="I272" s="252" t="str">
        <f t="shared" si="95"/>
        <v/>
      </c>
      <c r="J272" s="248" t="str">
        <f>IF(I272="","",VLOOKUP($I272,Master!$K$4:$N$607,4,FALSE))</f>
        <v/>
      </c>
      <c r="K272" s="253" t="str">
        <f t="shared" si="92"/>
        <v/>
      </c>
      <c r="L272" s="254"/>
      <c r="M272" s="341" t="str">
        <f t="shared" si="96"/>
        <v/>
      </c>
      <c r="N272" s="341"/>
      <c r="O272" s="342"/>
      <c r="P272" s="255" t="str">
        <f t="shared" si="97"/>
        <v/>
      </c>
      <c r="Q272" s="256" t="str">
        <f t="shared" si="93"/>
        <v/>
      </c>
      <c r="R272" s="256" t="str">
        <f t="shared" si="98"/>
        <v/>
      </c>
      <c r="S272" s="257" t="str">
        <f t="shared" si="94"/>
        <v/>
      </c>
      <c r="T272" s="219" t="str">
        <f t="shared" si="99"/>
        <v/>
      </c>
      <c r="U272" s="258"/>
    </row>
    <row r="273" spans="2:21" x14ac:dyDescent="0.15">
      <c r="B273" s="249"/>
      <c r="C273" s="314"/>
      <c r="D273" s="250"/>
      <c r="E273" s="251"/>
      <c r="F273" s="335"/>
      <c r="G273" s="336"/>
      <c r="H273" s="337"/>
      <c r="I273" s="252" t="str">
        <f t="shared" si="95"/>
        <v/>
      </c>
      <c r="J273" s="248" t="str">
        <f>IF(I273="","",VLOOKUP($I273,Master!$K$4:$N$607,4,FALSE))</f>
        <v/>
      </c>
      <c r="K273" s="253" t="str">
        <f t="shared" si="92"/>
        <v/>
      </c>
      <c r="L273" s="254"/>
      <c r="M273" s="341" t="str">
        <f t="shared" si="96"/>
        <v/>
      </c>
      <c r="N273" s="341"/>
      <c r="O273" s="342"/>
      <c r="P273" s="255" t="str">
        <f t="shared" si="97"/>
        <v/>
      </c>
      <c r="Q273" s="256" t="str">
        <f t="shared" si="93"/>
        <v/>
      </c>
      <c r="R273" s="256" t="str">
        <f t="shared" si="98"/>
        <v/>
      </c>
      <c r="S273" s="257" t="str">
        <f t="shared" si="94"/>
        <v/>
      </c>
      <c r="T273" s="219" t="str">
        <f t="shared" si="99"/>
        <v/>
      </c>
      <c r="U273" s="258"/>
    </row>
    <row r="274" spans="2:21" x14ac:dyDescent="0.15">
      <c r="B274" s="249"/>
      <c r="C274" s="314"/>
      <c r="D274" s="250"/>
      <c r="E274" s="251"/>
      <c r="F274" s="335"/>
      <c r="G274" s="336"/>
      <c r="H274" s="337"/>
      <c r="I274" s="252" t="str">
        <f t="shared" si="95"/>
        <v/>
      </c>
      <c r="J274" s="248" t="str">
        <f>IF(I274="","",VLOOKUP($I274,Master!$K$4:$N$607,4,FALSE))</f>
        <v/>
      </c>
      <c r="K274" s="253" t="str">
        <f t="shared" si="92"/>
        <v/>
      </c>
      <c r="L274" s="254"/>
      <c r="M274" s="341" t="str">
        <f t="shared" si="96"/>
        <v/>
      </c>
      <c r="N274" s="341"/>
      <c r="O274" s="342"/>
      <c r="P274" s="255" t="str">
        <f t="shared" si="97"/>
        <v/>
      </c>
      <c r="Q274" s="256" t="str">
        <f t="shared" si="93"/>
        <v/>
      </c>
      <c r="R274" s="256" t="str">
        <f t="shared" si="98"/>
        <v/>
      </c>
      <c r="S274" s="257" t="str">
        <f t="shared" si="94"/>
        <v/>
      </c>
      <c r="T274" s="219" t="str">
        <f t="shared" si="99"/>
        <v/>
      </c>
      <c r="U274" s="258"/>
    </row>
    <row r="275" spans="2:21" x14ac:dyDescent="0.15">
      <c r="B275" s="249"/>
      <c r="C275" s="314"/>
      <c r="D275" s="250"/>
      <c r="E275" s="251"/>
      <c r="F275" s="335"/>
      <c r="G275" s="336"/>
      <c r="H275" s="337"/>
      <c r="I275" s="252" t="str">
        <f t="shared" si="95"/>
        <v/>
      </c>
      <c r="J275" s="248" t="str">
        <f>IF(I275="","",VLOOKUP($I275,Master!$K$4:$N$607,4,FALSE))</f>
        <v/>
      </c>
      <c r="K275" s="253" t="str">
        <f t="shared" si="92"/>
        <v/>
      </c>
      <c r="L275" s="254"/>
      <c r="M275" s="341" t="str">
        <f t="shared" si="96"/>
        <v/>
      </c>
      <c r="N275" s="341"/>
      <c r="O275" s="342"/>
      <c r="P275" s="255" t="str">
        <f t="shared" si="97"/>
        <v/>
      </c>
      <c r="Q275" s="256" t="str">
        <f t="shared" si="93"/>
        <v/>
      </c>
      <c r="R275" s="256" t="str">
        <f t="shared" si="98"/>
        <v/>
      </c>
      <c r="S275" s="257" t="str">
        <f t="shared" si="94"/>
        <v/>
      </c>
      <c r="T275" s="219" t="str">
        <f t="shared" si="99"/>
        <v/>
      </c>
      <c r="U275" s="258"/>
    </row>
    <row r="276" spans="2:21" x14ac:dyDescent="0.15">
      <c r="B276" s="249"/>
      <c r="C276" s="314"/>
      <c r="D276" s="250"/>
      <c r="E276" s="251"/>
      <c r="F276" s="335"/>
      <c r="G276" s="336"/>
      <c r="H276" s="337"/>
      <c r="I276" s="252" t="str">
        <f t="shared" si="95"/>
        <v/>
      </c>
      <c r="J276" s="248" t="str">
        <f>IF(I276="","",VLOOKUP($I276,Master!$K$4:$N$607,4,FALSE))</f>
        <v/>
      </c>
      <c r="K276" s="253" t="str">
        <f t="shared" si="92"/>
        <v/>
      </c>
      <c r="L276" s="254"/>
      <c r="M276" s="341" t="str">
        <f t="shared" si="96"/>
        <v/>
      </c>
      <c r="N276" s="341"/>
      <c r="O276" s="342"/>
      <c r="P276" s="255" t="str">
        <f t="shared" si="97"/>
        <v/>
      </c>
      <c r="Q276" s="256" t="str">
        <f t="shared" si="93"/>
        <v/>
      </c>
      <c r="R276" s="256" t="str">
        <f t="shared" si="98"/>
        <v/>
      </c>
      <c r="S276" s="257" t="str">
        <f t="shared" si="94"/>
        <v/>
      </c>
      <c r="T276" s="219" t="str">
        <f t="shared" si="99"/>
        <v/>
      </c>
      <c r="U276" s="258"/>
    </row>
    <row r="277" spans="2:21" x14ac:dyDescent="0.15">
      <c r="B277" s="249"/>
      <c r="C277" s="314"/>
      <c r="D277" s="250"/>
      <c r="E277" s="251"/>
      <c r="F277" s="335"/>
      <c r="G277" s="336"/>
      <c r="H277" s="337"/>
      <c r="I277" s="252" t="str">
        <f t="shared" si="95"/>
        <v/>
      </c>
      <c r="J277" s="248" t="str">
        <f>IF(I277="","",VLOOKUP($I277,Master!$K$4:$N$607,4,FALSE))</f>
        <v/>
      </c>
      <c r="K277" s="253" t="str">
        <f t="shared" si="92"/>
        <v/>
      </c>
      <c r="L277" s="254"/>
      <c r="M277" s="341" t="str">
        <f t="shared" si="96"/>
        <v/>
      </c>
      <c r="N277" s="341"/>
      <c r="O277" s="342"/>
      <c r="P277" s="255" t="str">
        <f t="shared" si="97"/>
        <v/>
      </c>
      <c r="Q277" s="256" t="str">
        <f t="shared" si="93"/>
        <v/>
      </c>
      <c r="R277" s="256" t="str">
        <f t="shared" si="98"/>
        <v/>
      </c>
      <c r="S277" s="257" t="str">
        <f t="shared" si="94"/>
        <v/>
      </c>
      <c r="T277" s="219" t="str">
        <f t="shared" si="99"/>
        <v/>
      </c>
      <c r="U277" s="258"/>
    </row>
    <row r="278" spans="2:21" x14ac:dyDescent="0.15">
      <c r="B278" s="249"/>
      <c r="C278" s="314"/>
      <c r="D278" s="250"/>
      <c r="E278" s="251"/>
      <c r="F278" s="335"/>
      <c r="G278" s="336"/>
      <c r="H278" s="337"/>
      <c r="I278" s="252" t="str">
        <f t="shared" si="95"/>
        <v/>
      </c>
      <c r="J278" s="248" t="str">
        <f>IF(I278="","",VLOOKUP($I278,Master!$K$4:$N$607,4,FALSE))</f>
        <v/>
      </c>
      <c r="K278" s="253" t="str">
        <f t="shared" si="92"/>
        <v/>
      </c>
      <c r="L278" s="254"/>
      <c r="M278" s="341" t="str">
        <f t="shared" si="96"/>
        <v/>
      </c>
      <c r="N278" s="341"/>
      <c r="O278" s="342"/>
      <c r="P278" s="255" t="str">
        <f t="shared" si="97"/>
        <v/>
      </c>
      <c r="Q278" s="256" t="str">
        <f t="shared" si="93"/>
        <v/>
      </c>
      <c r="R278" s="256" t="str">
        <f t="shared" si="98"/>
        <v/>
      </c>
      <c r="S278" s="257" t="str">
        <f t="shared" si="94"/>
        <v/>
      </c>
      <c r="T278" s="219" t="str">
        <f t="shared" si="99"/>
        <v/>
      </c>
      <c r="U278" s="258"/>
    </row>
    <row r="279" spans="2:21" x14ac:dyDescent="0.15">
      <c r="B279" s="249"/>
      <c r="C279" s="314"/>
      <c r="D279" s="250"/>
      <c r="E279" s="251"/>
      <c r="F279" s="335"/>
      <c r="G279" s="336"/>
      <c r="H279" s="337"/>
      <c r="I279" s="252" t="str">
        <f t="shared" si="95"/>
        <v/>
      </c>
      <c r="J279" s="248" t="str">
        <f>IF(I279="","",VLOOKUP($I279,Master!$K$4:$N$607,4,FALSE))</f>
        <v/>
      </c>
      <c r="K279" s="253" t="str">
        <f t="shared" si="92"/>
        <v/>
      </c>
      <c r="L279" s="254"/>
      <c r="M279" s="341" t="str">
        <f t="shared" si="96"/>
        <v/>
      </c>
      <c r="N279" s="341"/>
      <c r="O279" s="342"/>
      <c r="P279" s="255" t="str">
        <f t="shared" si="97"/>
        <v/>
      </c>
      <c r="Q279" s="256" t="str">
        <f t="shared" si="93"/>
        <v/>
      </c>
      <c r="R279" s="256" t="str">
        <f t="shared" si="98"/>
        <v/>
      </c>
      <c r="S279" s="257" t="str">
        <f t="shared" si="94"/>
        <v/>
      </c>
      <c r="T279" s="219" t="str">
        <f t="shared" si="99"/>
        <v/>
      </c>
      <c r="U279" s="258"/>
    </row>
    <row r="280" spans="2:21" x14ac:dyDescent="0.15">
      <c r="B280" s="249"/>
      <c r="C280" s="314"/>
      <c r="D280" s="250"/>
      <c r="E280" s="251"/>
      <c r="F280" s="335"/>
      <c r="G280" s="336"/>
      <c r="H280" s="337"/>
      <c r="I280" s="252" t="str">
        <f t="shared" si="95"/>
        <v/>
      </c>
      <c r="J280" s="248" t="str">
        <f>IF(I280="","",VLOOKUP($I280,Master!$K$4:$N$607,4,FALSE))</f>
        <v/>
      </c>
      <c r="K280" s="253" t="str">
        <f t="shared" si="92"/>
        <v/>
      </c>
      <c r="L280" s="254"/>
      <c r="M280" s="341" t="str">
        <f t="shared" si="96"/>
        <v/>
      </c>
      <c r="N280" s="341"/>
      <c r="O280" s="342"/>
      <c r="P280" s="255" t="str">
        <f t="shared" si="97"/>
        <v/>
      </c>
      <c r="Q280" s="256" t="str">
        <f t="shared" si="93"/>
        <v/>
      </c>
      <c r="R280" s="256" t="str">
        <f t="shared" si="98"/>
        <v/>
      </c>
      <c r="S280" s="257" t="str">
        <f t="shared" si="94"/>
        <v/>
      </c>
      <c r="T280" s="219" t="str">
        <f t="shared" si="99"/>
        <v/>
      </c>
      <c r="U280" s="258"/>
    </row>
    <row r="281" spans="2:21" x14ac:dyDescent="0.15">
      <c r="B281" s="249"/>
      <c r="C281" s="314"/>
      <c r="D281" s="250"/>
      <c r="E281" s="251"/>
      <c r="F281" s="335"/>
      <c r="G281" s="336"/>
      <c r="H281" s="337"/>
      <c r="I281" s="252" t="str">
        <f t="shared" si="95"/>
        <v/>
      </c>
      <c r="J281" s="248" t="str">
        <f>IF(I281="","",VLOOKUP($I281,Master!$K$4:$N$607,4,FALSE))</f>
        <v/>
      </c>
      <c r="K281" s="253" t="str">
        <f t="shared" si="92"/>
        <v/>
      </c>
      <c r="L281" s="254"/>
      <c r="M281" s="341" t="str">
        <f t="shared" si="96"/>
        <v/>
      </c>
      <c r="N281" s="341"/>
      <c r="O281" s="342"/>
      <c r="P281" s="255" t="str">
        <f t="shared" si="97"/>
        <v/>
      </c>
      <c r="Q281" s="256" t="str">
        <f t="shared" si="93"/>
        <v/>
      </c>
      <c r="R281" s="256" t="str">
        <f t="shared" si="98"/>
        <v/>
      </c>
      <c r="S281" s="257" t="str">
        <f t="shared" si="94"/>
        <v/>
      </c>
      <c r="T281" s="219" t="str">
        <f t="shared" si="99"/>
        <v/>
      </c>
      <c r="U281" s="258"/>
    </row>
    <row r="282" spans="2:21" x14ac:dyDescent="0.15">
      <c r="B282" s="249"/>
      <c r="C282" s="314"/>
      <c r="D282" s="250"/>
      <c r="E282" s="251"/>
      <c r="F282" s="335"/>
      <c r="G282" s="336"/>
      <c r="H282" s="337"/>
      <c r="I282" s="252" t="str">
        <f t="shared" si="95"/>
        <v/>
      </c>
      <c r="J282" s="248" t="str">
        <f>IF(I282="","",VLOOKUP($I282,Master!$K$4:$N$607,4,FALSE))</f>
        <v/>
      </c>
      <c r="K282" s="253" t="str">
        <f t="shared" ref="K282:K345" si="100">IF(F282="","",IF(ISERROR(VLOOKUP($F282,SOW,3,FALSE)),0,VLOOKUP($F282,SOW,3,FALSE)*24))</f>
        <v/>
      </c>
      <c r="L282" s="254"/>
      <c r="M282" s="341" t="str">
        <f t="shared" si="96"/>
        <v/>
      </c>
      <c r="N282" s="341"/>
      <c r="O282" s="342"/>
      <c r="P282" s="255" t="str">
        <f t="shared" si="97"/>
        <v/>
      </c>
      <c r="Q282" s="256" t="str">
        <f t="shared" ref="Q282:Q345" si="101">IF($B282&lt;&gt;"",TEXT(TEXT(YEAR($B282),"0000")&amp;TEXT(MONTH($B282),"00")&amp;$I282&amp;"@"&amp;LEFT($E$2,SEARCH("　",$E$2,1)-1)&amp;"@"&amp;L282,"@"),"")</f>
        <v/>
      </c>
      <c r="R282" s="256" t="str">
        <f t="shared" si="98"/>
        <v/>
      </c>
      <c r="S282" s="257" t="str">
        <f t="shared" ref="S282:S345" si="102">IF($B282&lt;&gt;"",TEXT(YEAR($B282),"0000")&amp;TEXT(MONTH($B282),"00")&amp;$J282&amp;"@"&amp;LEFT($E$2,SEARCH("　",$E$2,1)-1)&amp;"@"&amp;L282,"")</f>
        <v/>
      </c>
      <c r="T282" s="219" t="str">
        <f t="shared" si="99"/>
        <v/>
      </c>
      <c r="U282" s="258"/>
    </row>
    <row r="283" spans="2:21" x14ac:dyDescent="0.15">
      <c r="B283" s="249"/>
      <c r="C283" s="314"/>
      <c r="D283" s="250"/>
      <c r="E283" s="251"/>
      <c r="F283" s="335"/>
      <c r="G283" s="336"/>
      <c r="H283" s="337"/>
      <c r="I283" s="252" t="str">
        <f t="shared" si="95"/>
        <v/>
      </c>
      <c r="J283" s="248" t="str">
        <f>IF(I283="","",VLOOKUP($I283,Master!$K$4:$N$607,4,FALSE))</f>
        <v/>
      </c>
      <c r="K283" s="253" t="str">
        <f t="shared" si="100"/>
        <v/>
      </c>
      <c r="L283" s="254"/>
      <c r="M283" s="341" t="str">
        <f t="shared" si="96"/>
        <v/>
      </c>
      <c r="N283" s="341"/>
      <c r="O283" s="342"/>
      <c r="P283" s="255" t="str">
        <f t="shared" si="97"/>
        <v/>
      </c>
      <c r="Q283" s="256" t="str">
        <f t="shared" si="101"/>
        <v/>
      </c>
      <c r="R283" s="256" t="str">
        <f t="shared" si="98"/>
        <v/>
      </c>
      <c r="S283" s="257" t="str">
        <f t="shared" si="102"/>
        <v/>
      </c>
      <c r="T283" s="219" t="str">
        <f t="shared" si="99"/>
        <v/>
      </c>
      <c r="U283" s="258"/>
    </row>
    <row r="284" spans="2:21" x14ac:dyDescent="0.15">
      <c r="B284" s="249"/>
      <c r="C284" s="314"/>
      <c r="D284" s="250"/>
      <c r="E284" s="251"/>
      <c r="F284" s="335"/>
      <c r="G284" s="336"/>
      <c r="H284" s="337"/>
      <c r="I284" s="252" t="str">
        <f t="shared" si="95"/>
        <v/>
      </c>
      <c r="J284" s="248" t="str">
        <f>IF(I284="","",VLOOKUP($I284,Master!$K$4:$N$607,4,FALSE))</f>
        <v/>
      </c>
      <c r="K284" s="253" t="str">
        <f t="shared" si="100"/>
        <v/>
      </c>
      <c r="L284" s="254"/>
      <c r="M284" s="341" t="str">
        <f t="shared" si="96"/>
        <v/>
      </c>
      <c r="N284" s="341"/>
      <c r="O284" s="342"/>
      <c r="P284" s="255" t="str">
        <f t="shared" si="97"/>
        <v/>
      </c>
      <c r="Q284" s="256" t="str">
        <f t="shared" si="101"/>
        <v/>
      </c>
      <c r="R284" s="256" t="str">
        <f t="shared" si="98"/>
        <v/>
      </c>
      <c r="S284" s="257" t="str">
        <f t="shared" si="102"/>
        <v/>
      </c>
      <c r="T284" s="219" t="str">
        <f t="shared" si="99"/>
        <v/>
      </c>
      <c r="U284" s="258"/>
    </row>
    <row r="285" spans="2:21" x14ac:dyDescent="0.15">
      <c r="B285" s="249"/>
      <c r="C285" s="314"/>
      <c r="D285" s="250"/>
      <c r="E285" s="251"/>
      <c r="F285" s="335"/>
      <c r="G285" s="336"/>
      <c r="H285" s="337"/>
      <c r="I285" s="252" t="str">
        <f t="shared" si="95"/>
        <v/>
      </c>
      <c r="J285" s="248" t="str">
        <f>IF(I285="","",VLOOKUP($I285,Master!$K$4:$N$607,4,FALSE))</f>
        <v/>
      </c>
      <c r="K285" s="253" t="str">
        <f t="shared" si="100"/>
        <v/>
      </c>
      <c r="L285" s="254"/>
      <c r="M285" s="341" t="str">
        <f t="shared" si="96"/>
        <v/>
      </c>
      <c r="N285" s="341"/>
      <c r="O285" s="342"/>
      <c r="P285" s="255" t="str">
        <f t="shared" si="97"/>
        <v/>
      </c>
      <c r="Q285" s="256" t="str">
        <f t="shared" si="101"/>
        <v/>
      </c>
      <c r="R285" s="256" t="str">
        <f t="shared" si="98"/>
        <v/>
      </c>
      <c r="S285" s="257" t="str">
        <f t="shared" si="102"/>
        <v/>
      </c>
      <c r="T285" s="219" t="str">
        <f t="shared" si="99"/>
        <v/>
      </c>
      <c r="U285" s="258"/>
    </row>
    <row r="286" spans="2:21" x14ac:dyDescent="0.15">
      <c r="B286" s="249"/>
      <c r="C286" s="314"/>
      <c r="D286" s="250"/>
      <c r="E286" s="251"/>
      <c r="F286" s="335"/>
      <c r="G286" s="336"/>
      <c r="H286" s="337"/>
      <c r="I286" s="252" t="str">
        <f t="shared" si="95"/>
        <v/>
      </c>
      <c r="J286" s="248" t="str">
        <f>IF(I286="","",VLOOKUP($I286,Master!$K$4:$N$607,4,FALSE))</f>
        <v/>
      </c>
      <c r="K286" s="253" t="str">
        <f t="shared" si="100"/>
        <v/>
      </c>
      <c r="L286" s="254"/>
      <c r="M286" s="341" t="str">
        <f t="shared" si="96"/>
        <v/>
      </c>
      <c r="N286" s="341"/>
      <c r="O286" s="342"/>
      <c r="P286" s="255" t="str">
        <f t="shared" si="97"/>
        <v/>
      </c>
      <c r="Q286" s="256" t="str">
        <f t="shared" si="101"/>
        <v/>
      </c>
      <c r="R286" s="256" t="str">
        <f t="shared" si="98"/>
        <v/>
      </c>
      <c r="S286" s="257" t="str">
        <f t="shared" si="102"/>
        <v/>
      </c>
      <c r="T286" s="219" t="str">
        <f t="shared" si="99"/>
        <v/>
      </c>
      <c r="U286" s="258"/>
    </row>
    <row r="287" spans="2:21" x14ac:dyDescent="0.15">
      <c r="B287" s="249"/>
      <c r="C287" s="314"/>
      <c r="D287" s="250"/>
      <c r="E287" s="251"/>
      <c r="F287" s="335"/>
      <c r="G287" s="336"/>
      <c r="H287" s="337"/>
      <c r="I287" s="252" t="str">
        <f t="shared" si="95"/>
        <v/>
      </c>
      <c r="J287" s="248" t="str">
        <f>IF(I287="","",VLOOKUP($I287,Master!$K$4:$N$607,4,FALSE))</f>
        <v/>
      </c>
      <c r="K287" s="253" t="str">
        <f t="shared" si="100"/>
        <v/>
      </c>
      <c r="L287" s="254"/>
      <c r="M287" s="341" t="str">
        <f t="shared" si="96"/>
        <v/>
      </c>
      <c r="N287" s="341"/>
      <c r="O287" s="342"/>
      <c r="P287" s="255" t="str">
        <f t="shared" si="97"/>
        <v/>
      </c>
      <c r="Q287" s="256" t="str">
        <f t="shared" si="101"/>
        <v/>
      </c>
      <c r="R287" s="256" t="str">
        <f t="shared" si="98"/>
        <v/>
      </c>
      <c r="S287" s="257" t="str">
        <f t="shared" si="102"/>
        <v/>
      </c>
      <c r="T287" s="219" t="str">
        <f t="shared" si="99"/>
        <v/>
      </c>
      <c r="U287" s="258"/>
    </row>
    <row r="288" spans="2:21" x14ac:dyDescent="0.15">
      <c r="B288" s="249"/>
      <c r="C288" s="314"/>
      <c r="D288" s="250"/>
      <c r="E288" s="251"/>
      <c r="F288" s="335"/>
      <c r="G288" s="336"/>
      <c r="H288" s="337"/>
      <c r="I288" s="252" t="str">
        <f t="shared" si="95"/>
        <v/>
      </c>
      <c r="J288" s="248" t="str">
        <f>IF(I288="","",VLOOKUP($I288,Master!$K$4:$N$607,4,FALSE))</f>
        <v/>
      </c>
      <c r="K288" s="253" t="str">
        <f t="shared" si="100"/>
        <v/>
      </c>
      <c r="L288" s="254"/>
      <c r="M288" s="341" t="str">
        <f t="shared" si="96"/>
        <v/>
      </c>
      <c r="N288" s="341"/>
      <c r="O288" s="342"/>
      <c r="P288" s="255" t="str">
        <f t="shared" si="97"/>
        <v/>
      </c>
      <c r="Q288" s="256" t="str">
        <f t="shared" si="101"/>
        <v/>
      </c>
      <c r="R288" s="256" t="str">
        <f t="shared" si="98"/>
        <v/>
      </c>
      <c r="S288" s="257" t="str">
        <f t="shared" si="102"/>
        <v/>
      </c>
      <c r="T288" s="219" t="str">
        <f t="shared" si="99"/>
        <v/>
      </c>
      <c r="U288" s="258"/>
    </row>
    <row r="289" spans="2:21" x14ac:dyDescent="0.15">
      <c r="B289" s="249"/>
      <c r="C289" s="314"/>
      <c r="D289" s="250"/>
      <c r="E289" s="251"/>
      <c r="F289" s="335"/>
      <c r="G289" s="336"/>
      <c r="H289" s="337"/>
      <c r="I289" s="252" t="str">
        <f t="shared" si="95"/>
        <v/>
      </c>
      <c r="J289" s="248" t="str">
        <f>IF(I289="","",VLOOKUP($I289,Master!$K$4:$N$607,4,FALSE))</f>
        <v/>
      </c>
      <c r="K289" s="253" t="str">
        <f t="shared" si="100"/>
        <v/>
      </c>
      <c r="L289" s="254"/>
      <c r="M289" s="341" t="str">
        <f t="shared" si="96"/>
        <v/>
      </c>
      <c r="N289" s="341"/>
      <c r="O289" s="342"/>
      <c r="P289" s="255" t="str">
        <f t="shared" si="97"/>
        <v/>
      </c>
      <c r="Q289" s="256" t="str">
        <f t="shared" si="101"/>
        <v/>
      </c>
      <c r="R289" s="256" t="str">
        <f t="shared" si="98"/>
        <v/>
      </c>
      <c r="S289" s="257" t="str">
        <f t="shared" si="102"/>
        <v/>
      </c>
      <c r="T289" s="219" t="str">
        <f t="shared" si="99"/>
        <v/>
      </c>
      <c r="U289" s="258"/>
    </row>
    <row r="290" spans="2:21" x14ac:dyDescent="0.15">
      <c r="B290" s="249"/>
      <c r="C290" s="314"/>
      <c r="D290" s="250"/>
      <c r="E290" s="251"/>
      <c r="F290" s="335"/>
      <c r="G290" s="336"/>
      <c r="H290" s="337"/>
      <c r="I290" s="252" t="str">
        <f t="shared" si="95"/>
        <v/>
      </c>
      <c r="J290" s="248" t="str">
        <f>IF(I290="","",VLOOKUP($I290,Master!$K$4:$N$607,4,FALSE))</f>
        <v/>
      </c>
      <c r="K290" s="253" t="str">
        <f t="shared" si="100"/>
        <v/>
      </c>
      <c r="L290" s="254"/>
      <c r="M290" s="341" t="str">
        <f t="shared" si="96"/>
        <v/>
      </c>
      <c r="N290" s="341"/>
      <c r="O290" s="342"/>
      <c r="P290" s="255" t="str">
        <f t="shared" si="97"/>
        <v/>
      </c>
      <c r="Q290" s="256" t="str">
        <f t="shared" si="101"/>
        <v/>
      </c>
      <c r="R290" s="256" t="str">
        <f t="shared" si="98"/>
        <v/>
      </c>
      <c r="S290" s="257" t="str">
        <f t="shared" si="102"/>
        <v/>
      </c>
      <c r="T290" s="219" t="str">
        <f t="shared" si="99"/>
        <v/>
      </c>
      <c r="U290" s="258"/>
    </row>
    <row r="291" spans="2:21" x14ac:dyDescent="0.15">
      <c r="B291" s="249"/>
      <c r="C291" s="314"/>
      <c r="D291" s="250"/>
      <c r="E291" s="251"/>
      <c r="F291" s="335"/>
      <c r="G291" s="336"/>
      <c r="H291" s="337"/>
      <c r="I291" s="252" t="str">
        <f t="shared" si="95"/>
        <v/>
      </c>
      <c r="J291" s="248" t="str">
        <f>IF(I291="","",VLOOKUP($I291,Master!$K$4:$N$607,4,FALSE))</f>
        <v/>
      </c>
      <c r="K291" s="253" t="str">
        <f t="shared" si="100"/>
        <v/>
      </c>
      <c r="L291" s="254"/>
      <c r="M291" s="341" t="str">
        <f t="shared" si="96"/>
        <v/>
      </c>
      <c r="N291" s="341"/>
      <c r="O291" s="342"/>
      <c r="P291" s="255" t="str">
        <f t="shared" si="97"/>
        <v/>
      </c>
      <c r="Q291" s="256" t="str">
        <f t="shared" si="101"/>
        <v/>
      </c>
      <c r="R291" s="256" t="str">
        <f t="shared" si="98"/>
        <v/>
      </c>
      <c r="S291" s="257" t="str">
        <f t="shared" si="102"/>
        <v/>
      </c>
      <c r="T291" s="219" t="str">
        <f t="shared" si="99"/>
        <v/>
      </c>
      <c r="U291" s="258"/>
    </row>
    <row r="292" spans="2:21" x14ac:dyDescent="0.15">
      <c r="B292" s="249"/>
      <c r="C292" s="314"/>
      <c r="D292" s="250"/>
      <c r="E292" s="251"/>
      <c r="F292" s="335"/>
      <c r="G292" s="336"/>
      <c r="H292" s="337"/>
      <c r="I292" s="252" t="str">
        <f t="shared" si="95"/>
        <v/>
      </c>
      <c r="J292" s="248" t="str">
        <f>IF(I292="","",VLOOKUP($I292,Master!$K$4:$N$607,4,FALSE))</f>
        <v/>
      </c>
      <c r="K292" s="253" t="str">
        <f t="shared" si="100"/>
        <v/>
      </c>
      <c r="L292" s="254"/>
      <c r="M292" s="341" t="str">
        <f t="shared" si="96"/>
        <v/>
      </c>
      <c r="N292" s="341"/>
      <c r="O292" s="342"/>
      <c r="P292" s="255" t="str">
        <f t="shared" si="97"/>
        <v/>
      </c>
      <c r="Q292" s="256" t="str">
        <f t="shared" si="101"/>
        <v/>
      </c>
      <c r="R292" s="256" t="str">
        <f t="shared" si="98"/>
        <v/>
      </c>
      <c r="S292" s="257" t="str">
        <f t="shared" si="102"/>
        <v/>
      </c>
      <c r="T292" s="219" t="str">
        <f t="shared" si="99"/>
        <v/>
      </c>
      <c r="U292" s="258"/>
    </row>
    <row r="293" spans="2:21" x14ac:dyDescent="0.15">
      <c r="B293" s="249"/>
      <c r="C293" s="314"/>
      <c r="D293" s="250"/>
      <c r="E293" s="251"/>
      <c r="F293" s="335"/>
      <c r="G293" s="336"/>
      <c r="H293" s="337"/>
      <c r="I293" s="252" t="str">
        <f t="shared" si="95"/>
        <v/>
      </c>
      <c r="J293" s="248" t="str">
        <f>IF(I293="","",VLOOKUP($I293,Master!$K$4:$N$607,4,FALSE))</f>
        <v/>
      </c>
      <c r="K293" s="253" t="str">
        <f t="shared" si="100"/>
        <v/>
      </c>
      <c r="L293" s="254"/>
      <c r="M293" s="341" t="str">
        <f t="shared" si="96"/>
        <v/>
      </c>
      <c r="N293" s="341"/>
      <c r="O293" s="342"/>
      <c r="P293" s="255" t="str">
        <f t="shared" si="97"/>
        <v/>
      </c>
      <c r="Q293" s="256" t="str">
        <f t="shared" si="101"/>
        <v/>
      </c>
      <c r="R293" s="256" t="str">
        <f t="shared" si="98"/>
        <v/>
      </c>
      <c r="S293" s="257" t="str">
        <f t="shared" si="102"/>
        <v/>
      </c>
      <c r="T293" s="219" t="str">
        <f t="shared" si="99"/>
        <v/>
      </c>
      <c r="U293" s="258"/>
    </row>
    <row r="294" spans="2:21" x14ac:dyDescent="0.15">
      <c r="B294" s="249"/>
      <c r="C294" s="314"/>
      <c r="D294" s="250"/>
      <c r="E294" s="251"/>
      <c r="F294" s="335"/>
      <c r="G294" s="336"/>
      <c r="H294" s="337"/>
      <c r="I294" s="252" t="str">
        <f t="shared" si="95"/>
        <v/>
      </c>
      <c r="J294" s="248" t="str">
        <f>IF(I294="","",VLOOKUP($I294,Master!$K$4:$N$607,4,FALSE))</f>
        <v/>
      </c>
      <c r="K294" s="253" t="str">
        <f t="shared" si="100"/>
        <v/>
      </c>
      <c r="L294" s="254"/>
      <c r="M294" s="341" t="str">
        <f t="shared" si="96"/>
        <v/>
      </c>
      <c r="N294" s="341"/>
      <c r="O294" s="342"/>
      <c r="P294" s="255" t="str">
        <f t="shared" si="97"/>
        <v/>
      </c>
      <c r="Q294" s="256" t="str">
        <f t="shared" si="101"/>
        <v/>
      </c>
      <c r="R294" s="256" t="str">
        <f t="shared" si="98"/>
        <v/>
      </c>
      <c r="S294" s="257" t="str">
        <f t="shared" si="102"/>
        <v/>
      </c>
      <c r="T294" s="219" t="str">
        <f t="shared" si="99"/>
        <v/>
      </c>
      <c r="U294" s="258"/>
    </row>
    <row r="295" spans="2:21" x14ac:dyDescent="0.15">
      <c r="B295" s="249"/>
      <c r="C295" s="314"/>
      <c r="D295" s="250"/>
      <c r="E295" s="251"/>
      <c r="F295" s="335"/>
      <c r="G295" s="336"/>
      <c r="H295" s="337"/>
      <c r="I295" s="252" t="str">
        <f t="shared" si="95"/>
        <v/>
      </c>
      <c r="J295" s="248" t="str">
        <f>IF(I295="","",VLOOKUP($I295,Master!$K$4:$N$607,4,FALSE))</f>
        <v/>
      </c>
      <c r="K295" s="253" t="str">
        <f t="shared" si="100"/>
        <v/>
      </c>
      <c r="L295" s="254"/>
      <c r="M295" s="341" t="str">
        <f t="shared" si="96"/>
        <v/>
      </c>
      <c r="N295" s="341"/>
      <c r="O295" s="342"/>
      <c r="P295" s="255" t="str">
        <f t="shared" si="97"/>
        <v/>
      </c>
      <c r="Q295" s="256" t="str">
        <f t="shared" si="101"/>
        <v/>
      </c>
      <c r="R295" s="256" t="str">
        <f t="shared" si="98"/>
        <v/>
      </c>
      <c r="S295" s="257" t="str">
        <f t="shared" si="102"/>
        <v/>
      </c>
      <c r="T295" s="219" t="str">
        <f t="shared" si="99"/>
        <v/>
      </c>
      <c r="U295" s="258"/>
    </row>
    <row r="296" spans="2:21" x14ac:dyDescent="0.15">
      <c r="B296" s="249"/>
      <c r="C296" s="314"/>
      <c r="D296" s="250"/>
      <c r="E296" s="251"/>
      <c r="F296" s="335"/>
      <c r="G296" s="336"/>
      <c r="H296" s="337"/>
      <c r="I296" s="252" t="str">
        <f t="shared" si="95"/>
        <v/>
      </c>
      <c r="J296" s="248" t="str">
        <f>IF(I296="","",VLOOKUP($I296,Master!$K$4:$N$607,4,FALSE))</f>
        <v/>
      </c>
      <c r="K296" s="253" t="str">
        <f t="shared" si="100"/>
        <v/>
      </c>
      <c r="L296" s="254"/>
      <c r="M296" s="341" t="str">
        <f t="shared" si="96"/>
        <v/>
      </c>
      <c r="N296" s="341"/>
      <c r="O296" s="342"/>
      <c r="P296" s="255" t="str">
        <f t="shared" si="97"/>
        <v/>
      </c>
      <c r="Q296" s="256" t="str">
        <f t="shared" si="101"/>
        <v/>
      </c>
      <c r="R296" s="256" t="str">
        <f t="shared" si="98"/>
        <v/>
      </c>
      <c r="S296" s="257" t="str">
        <f t="shared" si="102"/>
        <v/>
      </c>
      <c r="T296" s="219" t="str">
        <f t="shared" si="99"/>
        <v/>
      </c>
      <c r="U296" s="258"/>
    </row>
    <row r="297" spans="2:21" x14ac:dyDescent="0.15">
      <c r="B297" s="249"/>
      <c r="C297" s="314"/>
      <c r="D297" s="250"/>
      <c r="E297" s="251"/>
      <c r="F297" s="335"/>
      <c r="G297" s="336"/>
      <c r="H297" s="337"/>
      <c r="I297" s="252" t="str">
        <f t="shared" si="95"/>
        <v/>
      </c>
      <c r="J297" s="248" t="str">
        <f>IF(I297="","",VLOOKUP($I297,Master!$K$4:$N$607,4,FALSE))</f>
        <v/>
      </c>
      <c r="K297" s="253" t="str">
        <f t="shared" si="100"/>
        <v/>
      </c>
      <c r="L297" s="254"/>
      <c r="M297" s="341" t="str">
        <f t="shared" si="96"/>
        <v/>
      </c>
      <c r="N297" s="341"/>
      <c r="O297" s="342"/>
      <c r="P297" s="255" t="str">
        <f t="shared" si="97"/>
        <v/>
      </c>
      <c r="Q297" s="256" t="str">
        <f t="shared" si="101"/>
        <v/>
      </c>
      <c r="R297" s="256" t="str">
        <f t="shared" si="98"/>
        <v/>
      </c>
      <c r="S297" s="257" t="str">
        <f t="shared" si="102"/>
        <v/>
      </c>
      <c r="T297" s="219" t="str">
        <f t="shared" si="99"/>
        <v/>
      </c>
      <c r="U297" s="258"/>
    </row>
    <row r="298" spans="2:21" x14ac:dyDescent="0.15">
      <c r="B298" s="249"/>
      <c r="C298" s="314"/>
      <c r="D298" s="250"/>
      <c r="E298" s="251"/>
      <c r="F298" s="335"/>
      <c r="G298" s="336"/>
      <c r="H298" s="337"/>
      <c r="I298" s="252" t="str">
        <f t="shared" si="95"/>
        <v/>
      </c>
      <c r="J298" s="248" t="str">
        <f>IF(I298="","",VLOOKUP($I298,Master!$K$4:$N$607,4,FALSE))</f>
        <v/>
      </c>
      <c r="K298" s="253" t="str">
        <f t="shared" si="100"/>
        <v/>
      </c>
      <c r="L298" s="254"/>
      <c r="M298" s="341" t="str">
        <f t="shared" si="96"/>
        <v/>
      </c>
      <c r="N298" s="341"/>
      <c r="O298" s="342"/>
      <c r="P298" s="255" t="str">
        <f t="shared" si="97"/>
        <v/>
      </c>
      <c r="Q298" s="256" t="str">
        <f t="shared" si="101"/>
        <v/>
      </c>
      <c r="R298" s="256" t="str">
        <f t="shared" si="98"/>
        <v/>
      </c>
      <c r="S298" s="257" t="str">
        <f t="shared" si="102"/>
        <v/>
      </c>
      <c r="T298" s="219" t="str">
        <f t="shared" si="99"/>
        <v/>
      </c>
      <c r="U298" s="258"/>
    </row>
    <row r="299" spans="2:21" x14ac:dyDescent="0.15">
      <c r="B299" s="249"/>
      <c r="C299" s="314"/>
      <c r="D299" s="250"/>
      <c r="E299" s="251"/>
      <c r="F299" s="335"/>
      <c r="G299" s="336"/>
      <c r="H299" s="337"/>
      <c r="I299" s="252" t="str">
        <f t="shared" si="95"/>
        <v/>
      </c>
      <c r="J299" s="248" t="str">
        <f>IF(I299="","",VLOOKUP($I299,Master!$K$4:$N$607,4,FALSE))</f>
        <v/>
      </c>
      <c r="K299" s="253" t="str">
        <f t="shared" si="100"/>
        <v/>
      </c>
      <c r="L299" s="254"/>
      <c r="M299" s="341" t="str">
        <f t="shared" si="96"/>
        <v/>
      </c>
      <c r="N299" s="341"/>
      <c r="O299" s="342"/>
      <c r="P299" s="255" t="str">
        <f t="shared" si="97"/>
        <v/>
      </c>
      <c r="Q299" s="256" t="str">
        <f t="shared" si="101"/>
        <v/>
      </c>
      <c r="R299" s="256" t="str">
        <f t="shared" si="98"/>
        <v/>
      </c>
      <c r="S299" s="257" t="str">
        <f t="shared" si="102"/>
        <v/>
      </c>
      <c r="T299" s="219" t="str">
        <f t="shared" si="99"/>
        <v/>
      </c>
      <c r="U299" s="258"/>
    </row>
    <row r="300" spans="2:21" x14ac:dyDescent="0.15">
      <c r="B300" s="249"/>
      <c r="C300" s="314"/>
      <c r="D300" s="250"/>
      <c r="E300" s="251"/>
      <c r="F300" s="335"/>
      <c r="G300" s="336"/>
      <c r="H300" s="337"/>
      <c r="I300" s="252" t="str">
        <f t="shared" si="95"/>
        <v/>
      </c>
      <c r="J300" s="248" t="str">
        <f>IF(I300="","",VLOOKUP($I300,Master!$K$4:$N$607,4,FALSE))</f>
        <v/>
      </c>
      <c r="K300" s="253" t="str">
        <f t="shared" si="100"/>
        <v/>
      </c>
      <c r="L300" s="254"/>
      <c r="M300" s="341" t="str">
        <f t="shared" si="96"/>
        <v/>
      </c>
      <c r="N300" s="341"/>
      <c r="O300" s="342"/>
      <c r="P300" s="255" t="str">
        <f t="shared" si="97"/>
        <v/>
      </c>
      <c r="Q300" s="256" t="str">
        <f t="shared" si="101"/>
        <v/>
      </c>
      <c r="R300" s="256" t="str">
        <f t="shared" si="98"/>
        <v/>
      </c>
      <c r="S300" s="257" t="str">
        <f t="shared" si="102"/>
        <v/>
      </c>
      <c r="T300" s="219" t="str">
        <f t="shared" si="99"/>
        <v/>
      </c>
      <c r="U300" s="258"/>
    </row>
    <row r="301" spans="2:21" x14ac:dyDescent="0.15">
      <c r="B301" s="249"/>
      <c r="C301" s="314"/>
      <c r="D301" s="250"/>
      <c r="E301" s="251"/>
      <c r="F301" s="335"/>
      <c r="G301" s="336"/>
      <c r="H301" s="337"/>
      <c r="I301" s="252" t="str">
        <f t="shared" si="95"/>
        <v/>
      </c>
      <c r="J301" s="248" t="str">
        <f>IF(I301="","",VLOOKUP($I301,Master!$K$4:$N$607,4,FALSE))</f>
        <v/>
      </c>
      <c r="K301" s="253" t="str">
        <f t="shared" si="100"/>
        <v/>
      </c>
      <c r="L301" s="254"/>
      <c r="M301" s="341" t="str">
        <f t="shared" si="96"/>
        <v/>
      </c>
      <c r="N301" s="341"/>
      <c r="O301" s="342"/>
      <c r="P301" s="255" t="str">
        <f t="shared" si="97"/>
        <v/>
      </c>
      <c r="Q301" s="256" t="str">
        <f t="shared" si="101"/>
        <v/>
      </c>
      <c r="R301" s="256" t="str">
        <f t="shared" si="98"/>
        <v/>
      </c>
      <c r="S301" s="257" t="str">
        <f t="shared" si="102"/>
        <v/>
      </c>
      <c r="T301" s="219" t="str">
        <f t="shared" si="99"/>
        <v/>
      </c>
      <c r="U301" s="258"/>
    </row>
    <row r="302" spans="2:21" x14ac:dyDescent="0.15">
      <c r="B302" s="249"/>
      <c r="C302" s="314"/>
      <c r="D302" s="250"/>
      <c r="E302" s="251"/>
      <c r="F302" s="335"/>
      <c r="G302" s="336"/>
      <c r="H302" s="337"/>
      <c r="I302" s="252" t="str">
        <f t="shared" si="95"/>
        <v/>
      </c>
      <c r="J302" s="248" t="str">
        <f>IF(I302="","",VLOOKUP($I302,Master!$K$4:$N$607,4,FALSE))</f>
        <v/>
      </c>
      <c r="K302" s="253" t="str">
        <f t="shared" si="100"/>
        <v/>
      </c>
      <c r="L302" s="254"/>
      <c r="M302" s="341" t="str">
        <f t="shared" si="96"/>
        <v/>
      </c>
      <c r="N302" s="341"/>
      <c r="O302" s="342"/>
      <c r="P302" s="255" t="str">
        <f t="shared" si="97"/>
        <v/>
      </c>
      <c r="Q302" s="256" t="str">
        <f t="shared" si="101"/>
        <v/>
      </c>
      <c r="R302" s="256" t="str">
        <f t="shared" si="98"/>
        <v/>
      </c>
      <c r="S302" s="257" t="str">
        <f t="shared" si="102"/>
        <v/>
      </c>
      <c r="T302" s="219" t="str">
        <f t="shared" si="99"/>
        <v/>
      </c>
      <c r="U302" s="258"/>
    </row>
    <row r="303" spans="2:21" x14ac:dyDescent="0.15">
      <c r="B303" s="249"/>
      <c r="C303" s="314"/>
      <c r="D303" s="250"/>
      <c r="E303" s="251"/>
      <c r="F303" s="335"/>
      <c r="G303" s="336"/>
      <c r="H303" s="337"/>
      <c r="I303" s="252" t="str">
        <f t="shared" si="95"/>
        <v/>
      </c>
      <c r="J303" s="248" t="str">
        <f>IF(I303="","",VLOOKUP($I303,Master!$K$4:$N$607,4,FALSE))</f>
        <v/>
      </c>
      <c r="K303" s="253" t="str">
        <f t="shared" si="100"/>
        <v/>
      </c>
      <c r="L303" s="254"/>
      <c r="M303" s="341" t="str">
        <f t="shared" si="96"/>
        <v/>
      </c>
      <c r="N303" s="341"/>
      <c r="O303" s="342"/>
      <c r="P303" s="255" t="str">
        <f t="shared" si="97"/>
        <v/>
      </c>
      <c r="Q303" s="256" t="str">
        <f t="shared" si="101"/>
        <v/>
      </c>
      <c r="R303" s="256" t="str">
        <f t="shared" si="98"/>
        <v/>
      </c>
      <c r="S303" s="257" t="str">
        <f t="shared" si="102"/>
        <v/>
      </c>
      <c r="T303" s="219" t="str">
        <f t="shared" si="99"/>
        <v/>
      </c>
      <c r="U303" s="258"/>
    </row>
    <row r="304" spans="2:21" x14ac:dyDescent="0.15">
      <c r="B304" s="249"/>
      <c r="C304" s="314"/>
      <c r="D304" s="250"/>
      <c r="E304" s="251"/>
      <c r="F304" s="335"/>
      <c r="G304" s="336"/>
      <c r="H304" s="337"/>
      <c r="I304" s="252" t="str">
        <f t="shared" si="95"/>
        <v/>
      </c>
      <c r="J304" s="248" t="str">
        <f>IF(I304="","",VLOOKUP($I304,Master!$K$4:$N$607,4,FALSE))</f>
        <v/>
      </c>
      <c r="K304" s="253" t="str">
        <f t="shared" si="100"/>
        <v/>
      </c>
      <c r="L304" s="254"/>
      <c r="M304" s="341" t="str">
        <f t="shared" si="96"/>
        <v/>
      </c>
      <c r="N304" s="341"/>
      <c r="O304" s="342"/>
      <c r="P304" s="255" t="str">
        <f t="shared" si="97"/>
        <v/>
      </c>
      <c r="Q304" s="256" t="str">
        <f t="shared" si="101"/>
        <v/>
      </c>
      <c r="R304" s="256" t="str">
        <f t="shared" si="98"/>
        <v/>
      </c>
      <c r="S304" s="257" t="str">
        <f t="shared" si="102"/>
        <v/>
      </c>
      <c r="T304" s="219" t="str">
        <f t="shared" si="99"/>
        <v/>
      </c>
      <c r="U304" s="258"/>
    </row>
    <row r="305" spans="2:21" x14ac:dyDescent="0.15">
      <c r="B305" s="249"/>
      <c r="C305" s="314"/>
      <c r="D305" s="250"/>
      <c r="E305" s="251"/>
      <c r="F305" s="335"/>
      <c r="G305" s="336"/>
      <c r="H305" s="337"/>
      <c r="I305" s="252" t="str">
        <f t="shared" si="95"/>
        <v/>
      </c>
      <c r="J305" s="248" t="str">
        <f>IF(I305="","",VLOOKUP($I305,Master!$K$4:$N$607,4,FALSE))</f>
        <v/>
      </c>
      <c r="K305" s="253" t="str">
        <f t="shared" si="100"/>
        <v/>
      </c>
      <c r="L305" s="254"/>
      <c r="M305" s="341" t="str">
        <f t="shared" si="96"/>
        <v/>
      </c>
      <c r="N305" s="341"/>
      <c r="O305" s="342"/>
      <c r="P305" s="255" t="str">
        <f t="shared" si="97"/>
        <v/>
      </c>
      <c r="Q305" s="256" t="str">
        <f t="shared" si="101"/>
        <v/>
      </c>
      <c r="R305" s="256" t="str">
        <f t="shared" si="98"/>
        <v/>
      </c>
      <c r="S305" s="257" t="str">
        <f t="shared" si="102"/>
        <v/>
      </c>
      <c r="T305" s="219" t="str">
        <f t="shared" si="99"/>
        <v/>
      </c>
      <c r="U305" s="258"/>
    </row>
    <row r="306" spans="2:21" x14ac:dyDescent="0.15">
      <c r="B306" s="249"/>
      <c r="C306" s="314"/>
      <c r="D306" s="250"/>
      <c r="E306" s="251"/>
      <c r="F306" s="335"/>
      <c r="G306" s="336"/>
      <c r="H306" s="337"/>
      <c r="I306" s="252" t="str">
        <f t="shared" si="95"/>
        <v/>
      </c>
      <c r="J306" s="248" t="str">
        <f>IF(I306="","",VLOOKUP($I306,Master!$K$4:$N$607,4,FALSE))</f>
        <v/>
      </c>
      <c r="K306" s="253" t="str">
        <f t="shared" si="100"/>
        <v/>
      </c>
      <c r="L306" s="254"/>
      <c r="M306" s="341" t="str">
        <f t="shared" si="96"/>
        <v/>
      </c>
      <c r="N306" s="341"/>
      <c r="O306" s="342"/>
      <c r="P306" s="255" t="str">
        <f t="shared" si="97"/>
        <v/>
      </c>
      <c r="Q306" s="256" t="str">
        <f t="shared" si="101"/>
        <v/>
      </c>
      <c r="R306" s="256" t="str">
        <f t="shared" si="98"/>
        <v/>
      </c>
      <c r="S306" s="257" t="str">
        <f t="shared" si="102"/>
        <v/>
      </c>
      <c r="T306" s="219" t="str">
        <f t="shared" si="99"/>
        <v/>
      </c>
      <c r="U306" s="258"/>
    </row>
    <row r="307" spans="2:21" x14ac:dyDescent="0.15">
      <c r="B307" s="249"/>
      <c r="C307" s="314"/>
      <c r="D307" s="250"/>
      <c r="E307" s="251"/>
      <c r="F307" s="335"/>
      <c r="G307" s="336"/>
      <c r="H307" s="337"/>
      <c r="I307" s="252" t="str">
        <f t="shared" si="95"/>
        <v/>
      </c>
      <c r="J307" s="248" t="str">
        <f>IF(I307="","",VLOOKUP($I307,Master!$K$4:$N$607,4,FALSE))</f>
        <v/>
      </c>
      <c r="K307" s="253" t="str">
        <f t="shared" si="100"/>
        <v/>
      </c>
      <c r="L307" s="254"/>
      <c r="M307" s="341" t="str">
        <f t="shared" si="96"/>
        <v/>
      </c>
      <c r="N307" s="341"/>
      <c r="O307" s="342"/>
      <c r="P307" s="255" t="str">
        <f t="shared" si="97"/>
        <v/>
      </c>
      <c r="Q307" s="256" t="str">
        <f t="shared" si="101"/>
        <v/>
      </c>
      <c r="R307" s="256" t="str">
        <f t="shared" si="98"/>
        <v/>
      </c>
      <c r="S307" s="257" t="str">
        <f t="shared" si="102"/>
        <v/>
      </c>
      <c r="T307" s="219" t="str">
        <f t="shared" si="99"/>
        <v/>
      </c>
      <c r="U307" s="258"/>
    </row>
    <row r="308" spans="2:21" x14ac:dyDescent="0.15">
      <c r="B308" s="249"/>
      <c r="C308" s="314"/>
      <c r="D308" s="250"/>
      <c r="E308" s="251"/>
      <c r="F308" s="335"/>
      <c r="G308" s="336"/>
      <c r="H308" s="337"/>
      <c r="I308" s="252" t="str">
        <f t="shared" si="95"/>
        <v/>
      </c>
      <c r="J308" s="248" t="str">
        <f>IF(I308="","",VLOOKUP($I308,Master!$K$4:$N$607,4,FALSE))</f>
        <v/>
      </c>
      <c r="K308" s="253" t="str">
        <f t="shared" si="100"/>
        <v/>
      </c>
      <c r="L308" s="254"/>
      <c r="M308" s="341" t="str">
        <f t="shared" si="96"/>
        <v/>
      </c>
      <c r="N308" s="341"/>
      <c r="O308" s="342"/>
      <c r="P308" s="255" t="str">
        <f t="shared" si="97"/>
        <v/>
      </c>
      <c r="Q308" s="256" t="str">
        <f t="shared" si="101"/>
        <v/>
      </c>
      <c r="R308" s="256" t="str">
        <f t="shared" si="98"/>
        <v/>
      </c>
      <c r="S308" s="257" t="str">
        <f t="shared" si="102"/>
        <v/>
      </c>
      <c r="T308" s="219" t="str">
        <f t="shared" si="99"/>
        <v/>
      </c>
      <c r="U308" s="258"/>
    </row>
    <row r="309" spans="2:21" x14ac:dyDescent="0.15">
      <c r="B309" s="249"/>
      <c r="C309" s="314"/>
      <c r="D309" s="250"/>
      <c r="E309" s="251"/>
      <c r="F309" s="335"/>
      <c r="G309" s="336"/>
      <c r="H309" s="337"/>
      <c r="I309" s="252" t="str">
        <f t="shared" si="95"/>
        <v/>
      </c>
      <c r="J309" s="248" t="str">
        <f>IF(I309="","",VLOOKUP($I309,Master!$K$4:$N$607,4,FALSE))</f>
        <v/>
      </c>
      <c r="K309" s="253" t="str">
        <f t="shared" si="100"/>
        <v/>
      </c>
      <c r="L309" s="254"/>
      <c r="M309" s="341" t="str">
        <f t="shared" si="96"/>
        <v/>
      </c>
      <c r="N309" s="341"/>
      <c r="O309" s="342"/>
      <c r="P309" s="255" t="str">
        <f t="shared" si="97"/>
        <v/>
      </c>
      <c r="Q309" s="256" t="str">
        <f t="shared" si="101"/>
        <v/>
      </c>
      <c r="R309" s="256" t="str">
        <f t="shared" si="98"/>
        <v/>
      </c>
      <c r="S309" s="257" t="str">
        <f t="shared" si="102"/>
        <v/>
      </c>
      <c r="T309" s="219" t="str">
        <f t="shared" si="99"/>
        <v/>
      </c>
      <c r="U309" s="258"/>
    </row>
    <row r="310" spans="2:21" x14ac:dyDescent="0.15">
      <c r="B310" s="249"/>
      <c r="C310" s="314"/>
      <c r="D310" s="250"/>
      <c r="E310" s="251"/>
      <c r="F310" s="335"/>
      <c r="G310" s="336"/>
      <c r="H310" s="337"/>
      <c r="I310" s="252" t="str">
        <f t="shared" si="95"/>
        <v/>
      </c>
      <c r="J310" s="248" t="str">
        <f>IF(I310="","",VLOOKUP($I310,Master!$K$4:$N$607,4,FALSE))</f>
        <v/>
      </c>
      <c r="K310" s="253" t="str">
        <f t="shared" si="100"/>
        <v/>
      </c>
      <c r="L310" s="254"/>
      <c r="M310" s="341" t="str">
        <f t="shared" si="96"/>
        <v/>
      </c>
      <c r="N310" s="341"/>
      <c r="O310" s="342"/>
      <c r="P310" s="255" t="str">
        <f t="shared" si="97"/>
        <v/>
      </c>
      <c r="Q310" s="256" t="str">
        <f t="shared" si="101"/>
        <v/>
      </c>
      <c r="R310" s="256" t="str">
        <f t="shared" si="98"/>
        <v/>
      </c>
      <c r="S310" s="257" t="str">
        <f t="shared" si="102"/>
        <v/>
      </c>
      <c r="T310" s="219" t="str">
        <f t="shared" si="99"/>
        <v/>
      </c>
      <c r="U310" s="258"/>
    </row>
    <row r="311" spans="2:21" x14ac:dyDescent="0.15">
      <c r="B311" s="249"/>
      <c r="C311" s="314"/>
      <c r="D311" s="250"/>
      <c r="E311" s="251"/>
      <c r="F311" s="335"/>
      <c r="G311" s="336"/>
      <c r="H311" s="337"/>
      <c r="I311" s="252" t="str">
        <f t="shared" si="95"/>
        <v/>
      </c>
      <c r="J311" s="248" t="str">
        <f>IF(I311="","",VLOOKUP($I311,Master!$K$4:$N$607,4,FALSE))</f>
        <v/>
      </c>
      <c r="K311" s="253" t="str">
        <f t="shared" si="100"/>
        <v/>
      </c>
      <c r="L311" s="254"/>
      <c r="M311" s="341" t="str">
        <f t="shared" si="96"/>
        <v/>
      </c>
      <c r="N311" s="341"/>
      <c r="O311" s="342"/>
      <c r="P311" s="255" t="str">
        <f t="shared" si="97"/>
        <v/>
      </c>
      <c r="Q311" s="256" t="str">
        <f t="shared" si="101"/>
        <v/>
      </c>
      <c r="R311" s="256" t="str">
        <f t="shared" si="98"/>
        <v/>
      </c>
      <c r="S311" s="257" t="str">
        <f t="shared" si="102"/>
        <v/>
      </c>
      <c r="T311" s="219" t="str">
        <f t="shared" si="99"/>
        <v/>
      </c>
      <c r="U311" s="258"/>
    </row>
    <row r="312" spans="2:21" x14ac:dyDescent="0.15">
      <c r="B312" s="249"/>
      <c r="C312" s="314"/>
      <c r="D312" s="250"/>
      <c r="E312" s="251"/>
      <c r="F312" s="335"/>
      <c r="G312" s="336"/>
      <c r="H312" s="337"/>
      <c r="I312" s="252" t="str">
        <f t="shared" si="95"/>
        <v/>
      </c>
      <c r="J312" s="248" t="str">
        <f>IF(I312="","",VLOOKUP($I312,Master!$K$4:$N$607,4,FALSE))</f>
        <v/>
      </c>
      <c r="K312" s="253" t="str">
        <f t="shared" si="100"/>
        <v/>
      </c>
      <c r="L312" s="254"/>
      <c r="M312" s="341" t="str">
        <f t="shared" si="96"/>
        <v/>
      </c>
      <c r="N312" s="341"/>
      <c r="O312" s="342"/>
      <c r="P312" s="255" t="str">
        <f t="shared" si="97"/>
        <v/>
      </c>
      <c r="Q312" s="256" t="str">
        <f t="shared" si="101"/>
        <v/>
      </c>
      <c r="R312" s="256" t="str">
        <f t="shared" si="98"/>
        <v/>
      </c>
      <c r="S312" s="257" t="str">
        <f t="shared" si="102"/>
        <v/>
      </c>
      <c r="T312" s="219" t="str">
        <f t="shared" si="99"/>
        <v/>
      </c>
      <c r="U312" s="258"/>
    </row>
    <row r="313" spans="2:21" x14ac:dyDescent="0.15">
      <c r="B313" s="249"/>
      <c r="C313" s="314"/>
      <c r="D313" s="250"/>
      <c r="E313" s="251"/>
      <c r="F313" s="335"/>
      <c r="G313" s="336"/>
      <c r="H313" s="337"/>
      <c r="I313" s="252" t="str">
        <f t="shared" si="95"/>
        <v/>
      </c>
      <c r="J313" s="248" t="str">
        <f>IF(I313="","",VLOOKUP($I313,Master!$K$4:$N$607,4,FALSE))</f>
        <v/>
      </c>
      <c r="K313" s="253" t="str">
        <f t="shared" si="100"/>
        <v/>
      </c>
      <c r="L313" s="254"/>
      <c r="M313" s="341" t="str">
        <f t="shared" si="96"/>
        <v/>
      </c>
      <c r="N313" s="341"/>
      <c r="O313" s="342"/>
      <c r="P313" s="255" t="str">
        <f t="shared" si="97"/>
        <v/>
      </c>
      <c r="Q313" s="256" t="str">
        <f t="shared" si="101"/>
        <v/>
      </c>
      <c r="R313" s="256" t="str">
        <f t="shared" si="98"/>
        <v/>
      </c>
      <c r="S313" s="257" t="str">
        <f t="shared" si="102"/>
        <v/>
      </c>
      <c r="T313" s="219" t="str">
        <f t="shared" si="99"/>
        <v/>
      </c>
      <c r="U313" s="258"/>
    </row>
    <row r="314" spans="2:21" x14ac:dyDescent="0.15">
      <c r="B314" s="249"/>
      <c r="C314" s="314"/>
      <c r="D314" s="250"/>
      <c r="E314" s="251"/>
      <c r="F314" s="335"/>
      <c r="G314" s="336"/>
      <c r="H314" s="337"/>
      <c r="I314" s="252" t="str">
        <f t="shared" si="95"/>
        <v/>
      </c>
      <c r="J314" s="248" t="str">
        <f>IF(I314="","",VLOOKUP($I314,Master!$K$4:$N$607,4,FALSE))</f>
        <v/>
      </c>
      <c r="K314" s="253" t="str">
        <f t="shared" si="100"/>
        <v/>
      </c>
      <c r="L314" s="254"/>
      <c r="M314" s="341" t="str">
        <f t="shared" si="96"/>
        <v/>
      </c>
      <c r="N314" s="341"/>
      <c r="O314" s="342"/>
      <c r="P314" s="255" t="str">
        <f t="shared" si="97"/>
        <v/>
      </c>
      <c r="Q314" s="256" t="str">
        <f t="shared" si="101"/>
        <v/>
      </c>
      <c r="R314" s="256" t="str">
        <f t="shared" si="98"/>
        <v/>
      </c>
      <c r="S314" s="257" t="str">
        <f t="shared" si="102"/>
        <v/>
      </c>
      <c r="T314" s="219" t="str">
        <f t="shared" si="99"/>
        <v/>
      </c>
      <c r="U314" s="258"/>
    </row>
    <row r="315" spans="2:21" x14ac:dyDescent="0.15">
      <c r="B315" s="249"/>
      <c r="C315" s="314"/>
      <c r="D315" s="250"/>
      <c r="E315" s="251"/>
      <c r="F315" s="335"/>
      <c r="G315" s="336"/>
      <c r="H315" s="337"/>
      <c r="I315" s="252" t="str">
        <f t="shared" si="95"/>
        <v/>
      </c>
      <c r="J315" s="248" t="str">
        <f>IF(I315="","",VLOOKUP($I315,Master!$K$4:$N$607,4,FALSE))</f>
        <v/>
      </c>
      <c r="K315" s="253" t="str">
        <f t="shared" si="100"/>
        <v/>
      </c>
      <c r="L315" s="254"/>
      <c r="M315" s="341" t="str">
        <f t="shared" si="96"/>
        <v/>
      </c>
      <c r="N315" s="341"/>
      <c r="O315" s="342"/>
      <c r="P315" s="255" t="str">
        <f t="shared" si="97"/>
        <v/>
      </c>
      <c r="Q315" s="256" t="str">
        <f t="shared" si="101"/>
        <v/>
      </c>
      <c r="R315" s="256" t="str">
        <f t="shared" si="98"/>
        <v/>
      </c>
      <c r="S315" s="257" t="str">
        <f t="shared" si="102"/>
        <v/>
      </c>
      <c r="T315" s="219" t="str">
        <f t="shared" si="99"/>
        <v/>
      </c>
      <c r="U315" s="258"/>
    </row>
    <row r="316" spans="2:21" x14ac:dyDescent="0.15">
      <c r="B316" s="249"/>
      <c r="C316" s="314"/>
      <c r="D316" s="250"/>
      <c r="E316" s="251"/>
      <c r="F316" s="335"/>
      <c r="G316" s="336"/>
      <c r="H316" s="337"/>
      <c r="I316" s="252" t="str">
        <f t="shared" si="95"/>
        <v/>
      </c>
      <c r="J316" s="248" t="str">
        <f>IF(I316="","",VLOOKUP($I316,Master!$K$4:$N$607,4,FALSE))</f>
        <v/>
      </c>
      <c r="K316" s="253" t="str">
        <f t="shared" si="100"/>
        <v/>
      </c>
      <c r="L316" s="254"/>
      <c r="M316" s="341" t="str">
        <f t="shared" si="96"/>
        <v/>
      </c>
      <c r="N316" s="341"/>
      <c r="O316" s="342"/>
      <c r="P316" s="255" t="str">
        <f t="shared" si="97"/>
        <v/>
      </c>
      <c r="Q316" s="256" t="str">
        <f t="shared" si="101"/>
        <v/>
      </c>
      <c r="R316" s="256" t="str">
        <f t="shared" si="98"/>
        <v/>
      </c>
      <c r="S316" s="257" t="str">
        <f t="shared" si="102"/>
        <v/>
      </c>
      <c r="T316" s="219" t="str">
        <f t="shared" si="99"/>
        <v/>
      </c>
      <c r="U316" s="258"/>
    </row>
    <row r="317" spans="2:21" x14ac:dyDescent="0.15">
      <c r="B317" s="249"/>
      <c r="C317" s="314"/>
      <c r="D317" s="250"/>
      <c r="E317" s="251"/>
      <c r="F317" s="335"/>
      <c r="G317" s="336"/>
      <c r="H317" s="337"/>
      <c r="I317" s="252" t="str">
        <f t="shared" si="95"/>
        <v/>
      </c>
      <c r="J317" s="248" t="str">
        <f>IF(I317="","",VLOOKUP($I317,Master!$K$4:$N$607,4,FALSE))</f>
        <v/>
      </c>
      <c r="K317" s="253" t="str">
        <f t="shared" si="100"/>
        <v/>
      </c>
      <c r="L317" s="254"/>
      <c r="M317" s="341" t="str">
        <f t="shared" si="96"/>
        <v/>
      </c>
      <c r="N317" s="341"/>
      <c r="O317" s="342"/>
      <c r="P317" s="255" t="str">
        <f t="shared" si="97"/>
        <v/>
      </c>
      <c r="Q317" s="256" t="str">
        <f t="shared" si="101"/>
        <v/>
      </c>
      <c r="R317" s="256" t="str">
        <f t="shared" si="98"/>
        <v/>
      </c>
      <c r="S317" s="257" t="str">
        <f t="shared" si="102"/>
        <v/>
      </c>
      <c r="T317" s="219" t="str">
        <f t="shared" si="99"/>
        <v/>
      </c>
      <c r="U317" s="258"/>
    </row>
    <row r="318" spans="2:21" x14ac:dyDescent="0.15">
      <c r="B318" s="249"/>
      <c r="C318" s="314"/>
      <c r="D318" s="250"/>
      <c r="E318" s="251"/>
      <c r="F318" s="335"/>
      <c r="G318" s="336"/>
      <c r="H318" s="337"/>
      <c r="I318" s="252" t="str">
        <f t="shared" si="95"/>
        <v/>
      </c>
      <c r="J318" s="248" t="str">
        <f>IF(I318="","",VLOOKUP($I318,Master!$K$4:$N$607,4,FALSE))</f>
        <v/>
      </c>
      <c r="K318" s="253" t="str">
        <f t="shared" si="100"/>
        <v/>
      </c>
      <c r="L318" s="254"/>
      <c r="M318" s="341" t="str">
        <f t="shared" si="96"/>
        <v/>
      </c>
      <c r="N318" s="341"/>
      <c r="O318" s="342"/>
      <c r="P318" s="255" t="str">
        <f t="shared" si="97"/>
        <v/>
      </c>
      <c r="Q318" s="256" t="str">
        <f t="shared" si="101"/>
        <v/>
      </c>
      <c r="R318" s="256" t="str">
        <f t="shared" si="98"/>
        <v/>
      </c>
      <c r="S318" s="257" t="str">
        <f t="shared" si="102"/>
        <v/>
      </c>
      <c r="T318" s="219" t="str">
        <f t="shared" si="99"/>
        <v/>
      </c>
      <c r="U318" s="258"/>
    </row>
    <row r="319" spans="2:21" x14ac:dyDescent="0.15">
      <c r="B319" s="249"/>
      <c r="C319" s="314"/>
      <c r="D319" s="250"/>
      <c r="E319" s="251"/>
      <c r="F319" s="335"/>
      <c r="G319" s="336"/>
      <c r="H319" s="337"/>
      <c r="I319" s="252" t="str">
        <f t="shared" si="95"/>
        <v/>
      </c>
      <c r="J319" s="248" t="str">
        <f>IF(I319="","",VLOOKUP($I319,Master!$K$4:$N$607,4,FALSE))</f>
        <v/>
      </c>
      <c r="K319" s="253" t="str">
        <f t="shared" si="100"/>
        <v/>
      </c>
      <c r="L319" s="254"/>
      <c r="M319" s="341" t="str">
        <f t="shared" si="96"/>
        <v/>
      </c>
      <c r="N319" s="341"/>
      <c r="O319" s="342"/>
      <c r="P319" s="255" t="str">
        <f t="shared" si="97"/>
        <v/>
      </c>
      <c r="Q319" s="256" t="str">
        <f t="shared" si="101"/>
        <v/>
      </c>
      <c r="R319" s="256" t="str">
        <f t="shared" si="98"/>
        <v/>
      </c>
      <c r="S319" s="257" t="str">
        <f t="shared" si="102"/>
        <v/>
      </c>
      <c r="T319" s="219" t="str">
        <f t="shared" si="99"/>
        <v/>
      </c>
      <c r="U319" s="258"/>
    </row>
    <row r="320" spans="2:21" x14ac:dyDescent="0.15">
      <c r="B320" s="249"/>
      <c r="C320" s="314"/>
      <c r="D320" s="250"/>
      <c r="E320" s="251"/>
      <c r="F320" s="335"/>
      <c r="G320" s="336"/>
      <c r="H320" s="337"/>
      <c r="I320" s="252" t="str">
        <f t="shared" si="95"/>
        <v/>
      </c>
      <c r="J320" s="248" t="str">
        <f>IF(I320="","",VLOOKUP($I320,Master!$K$4:$N$607,4,FALSE))</f>
        <v/>
      </c>
      <c r="K320" s="253" t="str">
        <f t="shared" si="100"/>
        <v/>
      </c>
      <c r="L320" s="254"/>
      <c r="M320" s="341" t="str">
        <f t="shared" si="96"/>
        <v/>
      </c>
      <c r="N320" s="341"/>
      <c r="O320" s="342"/>
      <c r="P320" s="255" t="str">
        <f t="shared" si="97"/>
        <v/>
      </c>
      <c r="Q320" s="256" t="str">
        <f t="shared" si="101"/>
        <v/>
      </c>
      <c r="R320" s="256" t="str">
        <f t="shared" si="98"/>
        <v/>
      </c>
      <c r="S320" s="257" t="str">
        <f t="shared" si="102"/>
        <v/>
      </c>
      <c r="T320" s="219" t="str">
        <f t="shared" si="99"/>
        <v/>
      </c>
      <c r="U320" s="258"/>
    </row>
    <row r="321" spans="2:21" x14ac:dyDescent="0.15">
      <c r="B321" s="249"/>
      <c r="C321" s="314"/>
      <c r="D321" s="250"/>
      <c r="E321" s="251"/>
      <c r="F321" s="335"/>
      <c r="G321" s="336"/>
      <c r="H321" s="337"/>
      <c r="I321" s="252" t="str">
        <f t="shared" si="95"/>
        <v/>
      </c>
      <c r="J321" s="248" t="str">
        <f>IF(I321="","",VLOOKUP($I321,Master!$K$4:$N$607,4,FALSE))</f>
        <v/>
      </c>
      <c r="K321" s="253" t="str">
        <f t="shared" si="100"/>
        <v/>
      </c>
      <c r="L321" s="254"/>
      <c r="M321" s="341" t="str">
        <f t="shared" si="96"/>
        <v/>
      </c>
      <c r="N321" s="341"/>
      <c r="O321" s="342"/>
      <c r="P321" s="255" t="str">
        <f t="shared" si="97"/>
        <v/>
      </c>
      <c r="Q321" s="256" t="str">
        <f t="shared" si="101"/>
        <v/>
      </c>
      <c r="R321" s="256" t="str">
        <f t="shared" si="98"/>
        <v/>
      </c>
      <c r="S321" s="257" t="str">
        <f t="shared" si="102"/>
        <v/>
      </c>
      <c r="T321" s="219" t="str">
        <f t="shared" si="99"/>
        <v/>
      </c>
      <c r="U321" s="258"/>
    </row>
    <row r="322" spans="2:21" x14ac:dyDescent="0.15">
      <c r="B322" s="249"/>
      <c r="C322" s="314"/>
      <c r="D322" s="250"/>
      <c r="E322" s="251"/>
      <c r="F322" s="335"/>
      <c r="G322" s="336"/>
      <c r="H322" s="337"/>
      <c r="I322" s="252" t="str">
        <f t="shared" si="95"/>
        <v/>
      </c>
      <c r="J322" s="248" t="str">
        <f>IF(I322="","",VLOOKUP($I322,Master!$K$4:$N$607,4,FALSE))</f>
        <v/>
      </c>
      <c r="K322" s="253" t="str">
        <f t="shared" si="100"/>
        <v/>
      </c>
      <c r="L322" s="254"/>
      <c r="M322" s="341" t="str">
        <f t="shared" si="96"/>
        <v/>
      </c>
      <c r="N322" s="341"/>
      <c r="O322" s="342"/>
      <c r="P322" s="255" t="str">
        <f t="shared" si="97"/>
        <v/>
      </c>
      <c r="Q322" s="256" t="str">
        <f t="shared" si="101"/>
        <v/>
      </c>
      <c r="R322" s="256" t="str">
        <f t="shared" si="98"/>
        <v/>
      </c>
      <c r="S322" s="257" t="str">
        <f t="shared" si="102"/>
        <v/>
      </c>
      <c r="T322" s="219" t="str">
        <f t="shared" si="99"/>
        <v/>
      </c>
      <c r="U322" s="258"/>
    </row>
    <row r="323" spans="2:21" x14ac:dyDescent="0.15">
      <c r="B323" s="249"/>
      <c r="C323" s="314"/>
      <c r="D323" s="250"/>
      <c r="E323" s="251"/>
      <c r="F323" s="335"/>
      <c r="G323" s="336"/>
      <c r="H323" s="337"/>
      <c r="I323" s="252" t="str">
        <f t="shared" si="95"/>
        <v/>
      </c>
      <c r="J323" s="248" t="str">
        <f>IF(I323="","",VLOOKUP($I323,Master!$K$4:$N$607,4,FALSE))</f>
        <v/>
      </c>
      <c r="K323" s="253" t="str">
        <f t="shared" si="100"/>
        <v/>
      </c>
      <c r="L323" s="254"/>
      <c r="M323" s="341" t="str">
        <f t="shared" si="96"/>
        <v/>
      </c>
      <c r="N323" s="341"/>
      <c r="O323" s="342"/>
      <c r="P323" s="255" t="str">
        <f t="shared" si="97"/>
        <v/>
      </c>
      <c r="Q323" s="256" t="str">
        <f t="shared" si="101"/>
        <v/>
      </c>
      <c r="R323" s="256" t="str">
        <f t="shared" si="98"/>
        <v/>
      </c>
      <c r="S323" s="257" t="str">
        <f t="shared" si="102"/>
        <v/>
      </c>
      <c r="T323" s="219" t="str">
        <f t="shared" si="99"/>
        <v/>
      </c>
      <c r="U323" s="258"/>
    </row>
    <row r="324" spans="2:21" x14ac:dyDescent="0.15">
      <c r="B324" s="249"/>
      <c r="C324" s="314"/>
      <c r="D324" s="250"/>
      <c r="E324" s="251"/>
      <c r="F324" s="335"/>
      <c r="G324" s="336"/>
      <c r="H324" s="337"/>
      <c r="I324" s="252" t="str">
        <f t="shared" ref="I324:I387" si="103">IF($F324="","",IF(ISERR(VLOOKUP($C324&amp;$D324&amp;$E324&amp;$F324,SOW,2,FALSE)),"-",VLOOKUP($C324&amp;$D324&amp;$E324&amp;$F324,SOW,2,FALSE)))</f>
        <v/>
      </c>
      <c r="J324" s="248" t="str">
        <f>IF(I324="","",VLOOKUP($I324,Master!$K$4:$N$607,4,FALSE))</f>
        <v/>
      </c>
      <c r="K324" s="253" t="str">
        <f t="shared" si="100"/>
        <v/>
      </c>
      <c r="L324" s="254"/>
      <c r="M324" s="341" t="str">
        <f t="shared" ref="M324:M387" si="104">IF($F324&lt;&gt;"",IF($J324&lt;&gt;"-",IF($J324="要選択","REQ_IDを選択して下さい。",IF($J324="","REQ_IDを選択して下さい。",VLOOKUP($J324,REQUEST,2,FALSE))),$F324),"")</f>
        <v/>
      </c>
      <c r="N324" s="341"/>
      <c r="O324" s="342"/>
      <c r="P324" s="255" t="str">
        <f t="shared" ref="P324:P387" si="105">IF($B324&lt;&gt;"",TEXT(TEXT(YEAR($B324),"0000")&amp;TEXT(MONTH($B324),"00")&amp;$I324,"@"),"")</f>
        <v/>
      </c>
      <c r="Q324" s="256" t="str">
        <f t="shared" si="101"/>
        <v/>
      </c>
      <c r="R324" s="256" t="str">
        <f t="shared" ref="R324:R387" si="106">IF($B324&lt;&gt;"",TEXT(TEXT(YEAR($B324),"0000")&amp;TEXT(MONTH($B324),"00")&amp;$J324,"@"),"")</f>
        <v/>
      </c>
      <c r="S324" s="257" t="str">
        <f t="shared" si="102"/>
        <v/>
      </c>
      <c r="T324" s="219" t="str">
        <f t="shared" si="99"/>
        <v/>
      </c>
      <c r="U324" s="258"/>
    </row>
    <row r="325" spans="2:21" x14ac:dyDescent="0.15">
      <c r="B325" s="249"/>
      <c r="C325" s="314"/>
      <c r="D325" s="250"/>
      <c r="E325" s="251"/>
      <c r="F325" s="335"/>
      <c r="G325" s="336"/>
      <c r="H325" s="337"/>
      <c r="I325" s="252" t="str">
        <f t="shared" si="103"/>
        <v/>
      </c>
      <c r="J325" s="248" t="str">
        <f>IF(I325="","",VLOOKUP($I325,Master!$K$4:$N$607,4,FALSE))</f>
        <v/>
      </c>
      <c r="K325" s="253" t="str">
        <f t="shared" si="100"/>
        <v/>
      </c>
      <c r="L325" s="254"/>
      <c r="M325" s="341" t="str">
        <f t="shared" si="104"/>
        <v/>
      </c>
      <c r="N325" s="341"/>
      <c r="O325" s="342"/>
      <c r="P325" s="255" t="str">
        <f t="shared" si="105"/>
        <v/>
      </c>
      <c r="Q325" s="256" t="str">
        <f t="shared" si="101"/>
        <v/>
      </c>
      <c r="R325" s="256" t="str">
        <f t="shared" si="106"/>
        <v/>
      </c>
      <c r="S325" s="257" t="str">
        <f t="shared" si="102"/>
        <v/>
      </c>
      <c r="T325" s="219" t="str">
        <f t="shared" ref="T325:T388" si="107">IF($B325&lt;&gt;"",TEXT(TEXT(YEAR($B325),"0000")&amp;TEXT(MONTH($B325),"00")&amp;TEXT(DAY($B325),"00")&amp;$C325,"@"),"")</f>
        <v/>
      </c>
      <c r="U325" s="258"/>
    </row>
    <row r="326" spans="2:21" x14ac:dyDescent="0.15">
      <c r="B326" s="249"/>
      <c r="C326" s="314"/>
      <c r="D326" s="250"/>
      <c r="E326" s="251"/>
      <c r="F326" s="335"/>
      <c r="G326" s="336"/>
      <c r="H326" s="337"/>
      <c r="I326" s="252" t="str">
        <f t="shared" si="103"/>
        <v/>
      </c>
      <c r="J326" s="248" t="str">
        <f>IF(I326="","",VLOOKUP($I326,Master!$K$4:$N$607,4,FALSE))</f>
        <v/>
      </c>
      <c r="K326" s="253" t="str">
        <f t="shared" si="100"/>
        <v/>
      </c>
      <c r="L326" s="254"/>
      <c r="M326" s="341" t="str">
        <f t="shared" si="104"/>
        <v/>
      </c>
      <c r="N326" s="341"/>
      <c r="O326" s="342"/>
      <c r="P326" s="255" t="str">
        <f t="shared" si="105"/>
        <v/>
      </c>
      <c r="Q326" s="256" t="str">
        <f t="shared" si="101"/>
        <v/>
      </c>
      <c r="R326" s="256" t="str">
        <f t="shared" si="106"/>
        <v/>
      </c>
      <c r="S326" s="257" t="str">
        <f t="shared" si="102"/>
        <v/>
      </c>
      <c r="T326" s="219" t="str">
        <f t="shared" si="107"/>
        <v/>
      </c>
      <c r="U326" s="258"/>
    </row>
    <row r="327" spans="2:21" x14ac:dyDescent="0.15">
      <c r="B327" s="249"/>
      <c r="C327" s="314"/>
      <c r="D327" s="250"/>
      <c r="E327" s="251"/>
      <c r="F327" s="335"/>
      <c r="G327" s="336"/>
      <c r="H327" s="337"/>
      <c r="I327" s="252" t="str">
        <f t="shared" si="103"/>
        <v/>
      </c>
      <c r="J327" s="248" t="str">
        <f>IF(I327="","",VLOOKUP($I327,Master!$K$4:$N$607,4,FALSE))</f>
        <v/>
      </c>
      <c r="K327" s="253" t="str">
        <f t="shared" si="100"/>
        <v/>
      </c>
      <c r="L327" s="254"/>
      <c r="M327" s="341" t="str">
        <f t="shared" si="104"/>
        <v/>
      </c>
      <c r="N327" s="341"/>
      <c r="O327" s="342"/>
      <c r="P327" s="255" t="str">
        <f t="shared" si="105"/>
        <v/>
      </c>
      <c r="Q327" s="256" t="str">
        <f t="shared" si="101"/>
        <v/>
      </c>
      <c r="R327" s="256" t="str">
        <f t="shared" si="106"/>
        <v/>
      </c>
      <c r="S327" s="257" t="str">
        <f t="shared" si="102"/>
        <v/>
      </c>
      <c r="T327" s="219" t="str">
        <f t="shared" si="107"/>
        <v/>
      </c>
      <c r="U327" s="258"/>
    </row>
    <row r="328" spans="2:21" x14ac:dyDescent="0.15">
      <c r="B328" s="249"/>
      <c r="C328" s="314"/>
      <c r="D328" s="250"/>
      <c r="E328" s="251"/>
      <c r="F328" s="335"/>
      <c r="G328" s="336"/>
      <c r="H328" s="337"/>
      <c r="I328" s="252" t="str">
        <f t="shared" si="103"/>
        <v/>
      </c>
      <c r="J328" s="248" t="str">
        <f>IF(I328="","",VLOOKUP($I328,Master!$K$4:$N$607,4,FALSE))</f>
        <v/>
      </c>
      <c r="K328" s="253" t="str">
        <f t="shared" si="100"/>
        <v/>
      </c>
      <c r="L328" s="254"/>
      <c r="M328" s="341" t="str">
        <f t="shared" si="104"/>
        <v/>
      </c>
      <c r="N328" s="341"/>
      <c r="O328" s="342"/>
      <c r="P328" s="255" t="str">
        <f t="shared" si="105"/>
        <v/>
      </c>
      <c r="Q328" s="256" t="str">
        <f t="shared" si="101"/>
        <v/>
      </c>
      <c r="R328" s="256" t="str">
        <f t="shared" si="106"/>
        <v/>
      </c>
      <c r="S328" s="257" t="str">
        <f t="shared" si="102"/>
        <v/>
      </c>
      <c r="T328" s="219" t="str">
        <f t="shared" si="107"/>
        <v/>
      </c>
      <c r="U328" s="258"/>
    </row>
    <row r="329" spans="2:21" x14ac:dyDescent="0.15">
      <c r="B329" s="249"/>
      <c r="C329" s="314"/>
      <c r="D329" s="250"/>
      <c r="E329" s="251"/>
      <c r="F329" s="335"/>
      <c r="G329" s="336"/>
      <c r="H329" s="337"/>
      <c r="I329" s="252" t="str">
        <f t="shared" si="103"/>
        <v/>
      </c>
      <c r="J329" s="248" t="str">
        <f>IF(I329="","",VLOOKUP($I329,Master!$K$4:$N$607,4,FALSE))</f>
        <v/>
      </c>
      <c r="K329" s="253" t="str">
        <f t="shared" si="100"/>
        <v/>
      </c>
      <c r="L329" s="254"/>
      <c r="M329" s="341" t="str">
        <f t="shared" si="104"/>
        <v/>
      </c>
      <c r="N329" s="341"/>
      <c r="O329" s="342"/>
      <c r="P329" s="255" t="str">
        <f t="shared" si="105"/>
        <v/>
      </c>
      <c r="Q329" s="256" t="str">
        <f t="shared" si="101"/>
        <v/>
      </c>
      <c r="R329" s="256" t="str">
        <f t="shared" si="106"/>
        <v/>
      </c>
      <c r="S329" s="257" t="str">
        <f t="shared" si="102"/>
        <v/>
      </c>
      <c r="T329" s="219" t="str">
        <f t="shared" si="107"/>
        <v/>
      </c>
      <c r="U329" s="258"/>
    </row>
    <row r="330" spans="2:21" x14ac:dyDescent="0.15">
      <c r="B330" s="249"/>
      <c r="C330" s="314"/>
      <c r="D330" s="250"/>
      <c r="E330" s="251"/>
      <c r="F330" s="335"/>
      <c r="G330" s="336"/>
      <c r="H330" s="337"/>
      <c r="I330" s="252" t="str">
        <f t="shared" si="103"/>
        <v/>
      </c>
      <c r="J330" s="248" t="str">
        <f>IF(I330="","",VLOOKUP($I330,Master!$K$4:$N$607,4,FALSE))</f>
        <v/>
      </c>
      <c r="K330" s="253" t="str">
        <f t="shared" si="100"/>
        <v/>
      </c>
      <c r="L330" s="254"/>
      <c r="M330" s="341" t="str">
        <f t="shared" si="104"/>
        <v/>
      </c>
      <c r="N330" s="341"/>
      <c r="O330" s="342"/>
      <c r="P330" s="255" t="str">
        <f t="shared" si="105"/>
        <v/>
      </c>
      <c r="Q330" s="256" t="str">
        <f t="shared" si="101"/>
        <v/>
      </c>
      <c r="R330" s="256" t="str">
        <f t="shared" si="106"/>
        <v/>
      </c>
      <c r="S330" s="257" t="str">
        <f t="shared" si="102"/>
        <v/>
      </c>
      <c r="T330" s="219" t="str">
        <f t="shared" si="107"/>
        <v/>
      </c>
      <c r="U330" s="258"/>
    </row>
    <row r="331" spans="2:21" x14ac:dyDescent="0.15">
      <c r="B331" s="249"/>
      <c r="C331" s="314"/>
      <c r="D331" s="250"/>
      <c r="E331" s="251"/>
      <c r="F331" s="335"/>
      <c r="G331" s="336"/>
      <c r="H331" s="337"/>
      <c r="I331" s="252" t="str">
        <f t="shared" si="103"/>
        <v/>
      </c>
      <c r="J331" s="248" t="str">
        <f>IF(I331="","",VLOOKUP($I331,Master!$K$4:$N$607,4,FALSE))</f>
        <v/>
      </c>
      <c r="K331" s="253" t="str">
        <f t="shared" si="100"/>
        <v/>
      </c>
      <c r="L331" s="254"/>
      <c r="M331" s="341" t="str">
        <f t="shared" si="104"/>
        <v/>
      </c>
      <c r="N331" s="341"/>
      <c r="O331" s="342"/>
      <c r="P331" s="255" t="str">
        <f t="shared" si="105"/>
        <v/>
      </c>
      <c r="Q331" s="256" t="str">
        <f t="shared" si="101"/>
        <v/>
      </c>
      <c r="R331" s="256" t="str">
        <f t="shared" si="106"/>
        <v/>
      </c>
      <c r="S331" s="257" t="str">
        <f t="shared" si="102"/>
        <v/>
      </c>
      <c r="T331" s="219" t="str">
        <f t="shared" si="107"/>
        <v/>
      </c>
      <c r="U331" s="258"/>
    </row>
    <row r="332" spans="2:21" x14ac:dyDescent="0.15">
      <c r="B332" s="249"/>
      <c r="C332" s="314"/>
      <c r="D332" s="250"/>
      <c r="E332" s="251"/>
      <c r="F332" s="335"/>
      <c r="G332" s="336"/>
      <c r="H332" s="337"/>
      <c r="I332" s="252" t="str">
        <f t="shared" si="103"/>
        <v/>
      </c>
      <c r="J332" s="248" t="str">
        <f>IF(I332="","",VLOOKUP($I332,Master!$K$4:$N$607,4,FALSE))</f>
        <v/>
      </c>
      <c r="K332" s="253" t="str">
        <f t="shared" si="100"/>
        <v/>
      </c>
      <c r="L332" s="254"/>
      <c r="M332" s="341" t="str">
        <f t="shared" si="104"/>
        <v/>
      </c>
      <c r="N332" s="341"/>
      <c r="O332" s="342"/>
      <c r="P332" s="255" t="str">
        <f t="shared" si="105"/>
        <v/>
      </c>
      <c r="Q332" s="256" t="str">
        <f t="shared" si="101"/>
        <v/>
      </c>
      <c r="R332" s="256" t="str">
        <f t="shared" si="106"/>
        <v/>
      </c>
      <c r="S332" s="257" t="str">
        <f t="shared" si="102"/>
        <v/>
      </c>
      <c r="T332" s="219" t="str">
        <f t="shared" si="107"/>
        <v/>
      </c>
      <c r="U332" s="258"/>
    </row>
    <row r="333" spans="2:21" x14ac:dyDescent="0.15">
      <c r="B333" s="249"/>
      <c r="C333" s="314"/>
      <c r="D333" s="250"/>
      <c r="E333" s="251"/>
      <c r="F333" s="335"/>
      <c r="G333" s="336"/>
      <c r="H333" s="337"/>
      <c r="I333" s="252" t="str">
        <f t="shared" si="103"/>
        <v/>
      </c>
      <c r="J333" s="248" t="str">
        <f>IF(I333="","",VLOOKUP($I333,Master!$K$4:$N$607,4,FALSE))</f>
        <v/>
      </c>
      <c r="K333" s="253" t="str">
        <f t="shared" si="100"/>
        <v/>
      </c>
      <c r="L333" s="254"/>
      <c r="M333" s="341" t="str">
        <f t="shared" si="104"/>
        <v/>
      </c>
      <c r="N333" s="341"/>
      <c r="O333" s="342"/>
      <c r="P333" s="255" t="str">
        <f t="shared" si="105"/>
        <v/>
      </c>
      <c r="Q333" s="256" t="str">
        <f t="shared" si="101"/>
        <v/>
      </c>
      <c r="R333" s="256" t="str">
        <f t="shared" si="106"/>
        <v/>
      </c>
      <c r="S333" s="257" t="str">
        <f t="shared" si="102"/>
        <v/>
      </c>
      <c r="T333" s="219" t="str">
        <f t="shared" si="107"/>
        <v/>
      </c>
      <c r="U333" s="258"/>
    </row>
    <row r="334" spans="2:21" x14ac:dyDescent="0.15">
      <c r="B334" s="249"/>
      <c r="C334" s="314"/>
      <c r="D334" s="250"/>
      <c r="E334" s="251"/>
      <c r="F334" s="335"/>
      <c r="G334" s="336"/>
      <c r="H334" s="337"/>
      <c r="I334" s="252" t="str">
        <f t="shared" si="103"/>
        <v/>
      </c>
      <c r="J334" s="248" t="str">
        <f>IF(I334="","",VLOOKUP($I334,Master!$K$4:$N$607,4,FALSE))</f>
        <v/>
      </c>
      <c r="K334" s="253" t="str">
        <f t="shared" si="100"/>
        <v/>
      </c>
      <c r="L334" s="254"/>
      <c r="M334" s="341" t="str">
        <f t="shared" si="104"/>
        <v/>
      </c>
      <c r="N334" s="341"/>
      <c r="O334" s="342"/>
      <c r="P334" s="255" t="str">
        <f t="shared" si="105"/>
        <v/>
      </c>
      <c r="Q334" s="256" t="str">
        <f t="shared" si="101"/>
        <v/>
      </c>
      <c r="R334" s="256" t="str">
        <f t="shared" si="106"/>
        <v/>
      </c>
      <c r="S334" s="257" t="str">
        <f t="shared" si="102"/>
        <v/>
      </c>
      <c r="T334" s="219" t="str">
        <f t="shared" si="107"/>
        <v/>
      </c>
      <c r="U334" s="258"/>
    </row>
    <row r="335" spans="2:21" x14ac:dyDescent="0.15">
      <c r="B335" s="249"/>
      <c r="C335" s="314"/>
      <c r="D335" s="250"/>
      <c r="E335" s="251"/>
      <c r="F335" s="335"/>
      <c r="G335" s="336"/>
      <c r="H335" s="337"/>
      <c r="I335" s="252" t="str">
        <f t="shared" si="103"/>
        <v/>
      </c>
      <c r="J335" s="248" t="str">
        <f>IF(I335="","",VLOOKUP($I335,Master!$K$4:$N$607,4,FALSE))</f>
        <v/>
      </c>
      <c r="K335" s="253" t="str">
        <f t="shared" si="100"/>
        <v/>
      </c>
      <c r="L335" s="254"/>
      <c r="M335" s="341" t="str">
        <f t="shared" si="104"/>
        <v/>
      </c>
      <c r="N335" s="341"/>
      <c r="O335" s="342"/>
      <c r="P335" s="255" t="str">
        <f t="shared" si="105"/>
        <v/>
      </c>
      <c r="Q335" s="256" t="str">
        <f t="shared" si="101"/>
        <v/>
      </c>
      <c r="R335" s="256" t="str">
        <f t="shared" si="106"/>
        <v/>
      </c>
      <c r="S335" s="257" t="str">
        <f t="shared" si="102"/>
        <v/>
      </c>
      <c r="T335" s="219" t="str">
        <f t="shared" si="107"/>
        <v/>
      </c>
      <c r="U335" s="258"/>
    </row>
    <row r="336" spans="2:21" x14ac:dyDescent="0.15">
      <c r="B336" s="249"/>
      <c r="C336" s="314"/>
      <c r="D336" s="250"/>
      <c r="E336" s="251"/>
      <c r="F336" s="335"/>
      <c r="G336" s="336"/>
      <c r="H336" s="337"/>
      <c r="I336" s="252" t="str">
        <f t="shared" si="103"/>
        <v/>
      </c>
      <c r="J336" s="248" t="str">
        <f>IF(I336="","",VLOOKUP($I336,Master!$K$4:$N$607,4,FALSE))</f>
        <v/>
      </c>
      <c r="K336" s="253" t="str">
        <f t="shared" si="100"/>
        <v/>
      </c>
      <c r="L336" s="254"/>
      <c r="M336" s="341" t="str">
        <f t="shared" si="104"/>
        <v/>
      </c>
      <c r="N336" s="341"/>
      <c r="O336" s="342"/>
      <c r="P336" s="255" t="str">
        <f t="shared" si="105"/>
        <v/>
      </c>
      <c r="Q336" s="256" t="str">
        <f t="shared" si="101"/>
        <v/>
      </c>
      <c r="R336" s="256" t="str">
        <f t="shared" si="106"/>
        <v/>
      </c>
      <c r="S336" s="257" t="str">
        <f t="shared" si="102"/>
        <v/>
      </c>
      <c r="T336" s="219" t="str">
        <f t="shared" si="107"/>
        <v/>
      </c>
      <c r="U336" s="258"/>
    </row>
    <row r="337" spans="2:21" x14ac:dyDescent="0.15">
      <c r="B337" s="249"/>
      <c r="C337" s="314"/>
      <c r="D337" s="250"/>
      <c r="E337" s="251"/>
      <c r="F337" s="335"/>
      <c r="G337" s="336"/>
      <c r="H337" s="337"/>
      <c r="I337" s="252" t="str">
        <f t="shared" si="103"/>
        <v/>
      </c>
      <c r="J337" s="248" t="str">
        <f>IF(I337="","",VLOOKUP($I337,Master!$K$4:$N$607,4,FALSE))</f>
        <v/>
      </c>
      <c r="K337" s="253" t="str">
        <f t="shared" si="100"/>
        <v/>
      </c>
      <c r="L337" s="254"/>
      <c r="M337" s="341" t="str">
        <f t="shared" si="104"/>
        <v/>
      </c>
      <c r="N337" s="341"/>
      <c r="O337" s="342"/>
      <c r="P337" s="255" t="str">
        <f t="shared" si="105"/>
        <v/>
      </c>
      <c r="Q337" s="256" t="str">
        <f t="shared" si="101"/>
        <v/>
      </c>
      <c r="R337" s="256" t="str">
        <f t="shared" si="106"/>
        <v/>
      </c>
      <c r="S337" s="257" t="str">
        <f t="shared" si="102"/>
        <v/>
      </c>
      <c r="T337" s="219" t="str">
        <f t="shared" si="107"/>
        <v/>
      </c>
      <c r="U337" s="258"/>
    </row>
    <row r="338" spans="2:21" x14ac:dyDescent="0.15">
      <c r="B338" s="249"/>
      <c r="C338" s="314"/>
      <c r="D338" s="250"/>
      <c r="E338" s="251"/>
      <c r="F338" s="335"/>
      <c r="G338" s="336"/>
      <c r="H338" s="337"/>
      <c r="I338" s="252" t="str">
        <f t="shared" si="103"/>
        <v/>
      </c>
      <c r="J338" s="248" t="str">
        <f>IF(I338="","",VLOOKUP($I338,Master!$K$4:$N$607,4,FALSE))</f>
        <v/>
      </c>
      <c r="K338" s="253" t="str">
        <f t="shared" si="100"/>
        <v/>
      </c>
      <c r="L338" s="254"/>
      <c r="M338" s="341" t="str">
        <f t="shared" si="104"/>
        <v/>
      </c>
      <c r="N338" s="341"/>
      <c r="O338" s="342"/>
      <c r="P338" s="255" t="str">
        <f t="shared" si="105"/>
        <v/>
      </c>
      <c r="Q338" s="256" t="str">
        <f t="shared" si="101"/>
        <v/>
      </c>
      <c r="R338" s="256" t="str">
        <f t="shared" si="106"/>
        <v/>
      </c>
      <c r="S338" s="257" t="str">
        <f t="shared" si="102"/>
        <v/>
      </c>
      <c r="T338" s="219" t="str">
        <f t="shared" si="107"/>
        <v/>
      </c>
      <c r="U338" s="258"/>
    </row>
    <row r="339" spans="2:21" x14ac:dyDescent="0.15">
      <c r="B339" s="249"/>
      <c r="C339" s="314"/>
      <c r="D339" s="250"/>
      <c r="E339" s="251"/>
      <c r="F339" s="335"/>
      <c r="G339" s="336"/>
      <c r="H339" s="337"/>
      <c r="I339" s="252" t="str">
        <f t="shared" si="103"/>
        <v/>
      </c>
      <c r="J339" s="248" t="str">
        <f>IF(I339="","",VLOOKUP($I339,Master!$K$4:$N$607,4,FALSE))</f>
        <v/>
      </c>
      <c r="K339" s="253" t="str">
        <f t="shared" si="100"/>
        <v/>
      </c>
      <c r="L339" s="254"/>
      <c r="M339" s="341" t="str">
        <f t="shared" si="104"/>
        <v/>
      </c>
      <c r="N339" s="341"/>
      <c r="O339" s="342"/>
      <c r="P339" s="255" t="str">
        <f t="shared" si="105"/>
        <v/>
      </c>
      <c r="Q339" s="256" t="str">
        <f t="shared" si="101"/>
        <v/>
      </c>
      <c r="R339" s="256" t="str">
        <f t="shared" si="106"/>
        <v/>
      </c>
      <c r="S339" s="257" t="str">
        <f t="shared" si="102"/>
        <v/>
      </c>
      <c r="T339" s="219" t="str">
        <f t="shared" si="107"/>
        <v/>
      </c>
      <c r="U339" s="258"/>
    </row>
    <row r="340" spans="2:21" x14ac:dyDescent="0.15">
      <c r="B340" s="249"/>
      <c r="C340" s="314"/>
      <c r="D340" s="250"/>
      <c r="E340" s="251"/>
      <c r="F340" s="335"/>
      <c r="G340" s="336"/>
      <c r="H340" s="337"/>
      <c r="I340" s="252" t="str">
        <f t="shared" si="103"/>
        <v/>
      </c>
      <c r="J340" s="248" t="str">
        <f>IF(I340="","",VLOOKUP($I340,Master!$K$4:$N$607,4,FALSE))</f>
        <v/>
      </c>
      <c r="K340" s="253" t="str">
        <f t="shared" si="100"/>
        <v/>
      </c>
      <c r="L340" s="254"/>
      <c r="M340" s="341" t="str">
        <f t="shared" si="104"/>
        <v/>
      </c>
      <c r="N340" s="341"/>
      <c r="O340" s="342"/>
      <c r="P340" s="255" t="str">
        <f t="shared" si="105"/>
        <v/>
      </c>
      <c r="Q340" s="256" t="str">
        <f t="shared" si="101"/>
        <v/>
      </c>
      <c r="R340" s="256" t="str">
        <f t="shared" si="106"/>
        <v/>
      </c>
      <c r="S340" s="257" t="str">
        <f t="shared" si="102"/>
        <v/>
      </c>
      <c r="T340" s="219" t="str">
        <f t="shared" si="107"/>
        <v/>
      </c>
      <c r="U340" s="258"/>
    </row>
    <row r="341" spans="2:21" x14ac:dyDescent="0.15">
      <c r="B341" s="249"/>
      <c r="C341" s="314"/>
      <c r="D341" s="250"/>
      <c r="E341" s="251"/>
      <c r="F341" s="335"/>
      <c r="G341" s="336"/>
      <c r="H341" s="337"/>
      <c r="I341" s="252" t="str">
        <f t="shared" si="103"/>
        <v/>
      </c>
      <c r="J341" s="248" t="str">
        <f>IF(I341="","",VLOOKUP($I341,Master!$K$4:$N$607,4,FALSE))</f>
        <v/>
      </c>
      <c r="K341" s="253" t="str">
        <f t="shared" si="100"/>
        <v/>
      </c>
      <c r="L341" s="254"/>
      <c r="M341" s="341" t="str">
        <f t="shared" si="104"/>
        <v/>
      </c>
      <c r="N341" s="341"/>
      <c r="O341" s="342"/>
      <c r="P341" s="255" t="str">
        <f t="shared" si="105"/>
        <v/>
      </c>
      <c r="Q341" s="256" t="str">
        <f t="shared" si="101"/>
        <v/>
      </c>
      <c r="R341" s="256" t="str">
        <f t="shared" si="106"/>
        <v/>
      </c>
      <c r="S341" s="257" t="str">
        <f t="shared" si="102"/>
        <v/>
      </c>
      <c r="T341" s="219" t="str">
        <f t="shared" si="107"/>
        <v/>
      </c>
      <c r="U341" s="258"/>
    </row>
    <row r="342" spans="2:21" x14ac:dyDescent="0.15">
      <c r="B342" s="249"/>
      <c r="C342" s="314"/>
      <c r="D342" s="250"/>
      <c r="E342" s="251"/>
      <c r="F342" s="335"/>
      <c r="G342" s="336"/>
      <c r="H342" s="337"/>
      <c r="I342" s="252" t="str">
        <f t="shared" si="103"/>
        <v/>
      </c>
      <c r="J342" s="248" t="str">
        <f>IF(I342="","",VLOOKUP($I342,Master!$K$4:$N$607,4,FALSE))</f>
        <v/>
      </c>
      <c r="K342" s="253" t="str">
        <f t="shared" si="100"/>
        <v/>
      </c>
      <c r="L342" s="254"/>
      <c r="M342" s="341" t="str">
        <f t="shared" si="104"/>
        <v/>
      </c>
      <c r="N342" s="341"/>
      <c r="O342" s="342"/>
      <c r="P342" s="255" t="str">
        <f t="shared" si="105"/>
        <v/>
      </c>
      <c r="Q342" s="256" t="str">
        <f t="shared" si="101"/>
        <v/>
      </c>
      <c r="R342" s="256" t="str">
        <f t="shared" si="106"/>
        <v/>
      </c>
      <c r="S342" s="257" t="str">
        <f t="shared" si="102"/>
        <v/>
      </c>
      <c r="T342" s="219" t="str">
        <f t="shared" si="107"/>
        <v/>
      </c>
      <c r="U342" s="258"/>
    </row>
    <row r="343" spans="2:21" x14ac:dyDescent="0.15">
      <c r="B343" s="249"/>
      <c r="C343" s="314"/>
      <c r="D343" s="250"/>
      <c r="E343" s="251"/>
      <c r="F343" s="335"/>
      <c r="G343" s="336"/>
      <c r="H343" s="337"/>
      <c r="I343" s="252" t="str">
        <f t="shared" si="103"/>
        <v/>
      </c>
      <c r="J343" s="248" t="str">
        <f>IF(I343="","",VLOOKUP($I343,Master!$K$4:$N$607,4,FALSE))</f>
        <v/>
      </c>
      <c r="K343" s="253" t="str">
        <f t="shared" si="100"/>
        <v/>
      </c>
      <c r="L343" s="254"/>
      <c r="M343" s="341" t="str">
        <f t="shared" si="104"/>
        <v/>
      </c>
      <c r="N343" s="341"/>
      <c r="O343" s="342"/>
      <c r="P343" s="255" t="str">
        <f t="shared" si="105"/>
        <v/>
      </c>
      <c r="Q343" s="256" t="str">
        <f t="shared" si="101"/>
        <v/>
      </c>
      <c r="R343" s="256" t="str">
        <f t="shared" si="106"/>
        <v/>
      </c>
      <c r="S343" s="257" t="str">
        <f t="shared" si="102"/>
        <v/>
      </c>
      <c r="T343" s="219" t="str">
        <f t="shared" si="107"/>
        <v/>
      </c>
      <c r="U343" s="258"/>
    </row>
    <row r="344" spans="2:21" x14ac:dyDescent="0.15">
      <c r="B344" s="249"/>
      <c r="C344" s="314"/>
      <c r="D344" s="250"/>
      <c r="E344" s="251"/>
      <c r="F344" s="335"/>
      <c r="G344" s="336"/>
      <c r="H344" s="337"/>
      <c r="I344" s="252" t="str">
        <f t="shared" si="103"/>
        <v/>
      </c>
      <c r="J344" s="248" t="str">
        <f>IF(I344="","",VLOOKUP($I344,Master!$K$4:$N$607,4,FALSE))</f>
        <v/>
      </c>
      <c r="K344" s="253" t="str">
        <f t="shared" si="100"/>
        <v/>
      </c>
      <c r="L344" s="254"/>
      <c r="M344" s="341" t="str">
        <f t="shared" si="104"/>
        <v/>
      </c>
      <c r="N344" s="341"/>
      <c r="O344" s="342"/>
      <c r="P344" s="255" t="str">
        <f t="shared" si="105"/>
        <v/>
      </c>
      <c r="Q344" s="256" t="str">
        <f t="shared" si="101"/>
        <v/>
      </c>
      <c r="R344" s="256" t="str">
        <f t="shared" si="106"/>
        <v/>
      </c>
      <c r="S344" s="257" t="str">
        <f t="shared" si="102"/>
        <v/>
      </c>
      <c r="T344" s="219" t="str">
        <f t="shared" si="107"/>
        <v/>
      </c>
      <c r="U344" s="258"/>
    </row>
    <row r="345" spans="2:21" x14ac:dyDescent="0.15">
      <c r="B345" s="249"/>
      <c r="C345" s="314"/>
      <c r="D345" s="250"/>
      <c r="E345" s="251"/>
      <c r="F345" s="335"/>
      <c r="G345" s="336"/>
      <c r="H345" s="337"/>
      <c r="I345" s="252" t="str">
        <f t="shared" si="103"/>
        <v/>
      </c>
      <c r="J345" s="248" t="str">
        <f>IF(I345="","",VLOOKUP($I345,Master!$K$4:$N$607,4,FALSE))</f>
        <v/>
      </c>
      <c r="K345" s="253" t="str">
        <f t="shared" si="100"/>
        <v/>
      </c>
      <c r="L345" s="254"/>
      <c r="M345" s="341" t="str">
        <f t="shared" si="104"/>
        <v/>
      </c>
      <c r="N345" s="341"/>
      <c r="O345" s="342"/>
      <c r="P345" s="255" t="str">
        <f t="shared" si="105"/>
        <v/>
      </c>
      <c r="Q345" s="256" t="str">
        <f t="shared" si="101"/>
        <v/>
      </c>
      <c r="R345" s="256" t="str">
        <f t="shared" si="106"/>
        <v/>
      </c>
      <c r="S345" s="257" t="str">
        <f t="shared" si="102"/>
        <v/>
      </c>
      <c r="T345" s="219" t="str">
        <f t="shared" si="107"/>
        <v/>
      </c>
      <c r="U345" s="258"/>
    </row>
    <row r="346" spans="2:21" x14ac:dyDescent="0.15">
      <c r="B346" s="249"/>
      <c r="C346" s="314"/>
      <c r="D346" s="250"/>
      <c r="E346" s="251"/>
      <c r="F346" s="335"/>
      <c r="G346" s="336"/>
      <c r="H346" s="337"/>
      <c r="I346" s="252" t="str">
        <f t="shared" si="103"/>
        <v/>
      </c>
      <c r="J346" s="248" t="str">
        <f>IF(I346="","",VLOOKUP($I346,Master!$K$4:$N$607,4,FALSE))</f>
        <v/>
      </c>
      <c r="K346" s="253" t="str">
        <f t="shared" ref="K346:K409" si="108">IF(F346="","",IF(ISERROR(VLOOKUP($F346,SOW,3,FALSE)),0,VLOOKUP($F346,SOW,3,FALSE)*24))</f>
        <v/>
      </c>
      <c r="L346" s="254"/>
      <c r="M346" s="341" t="str">
        <f t="shared" si="104"/>
        <v/>
      </c>
      <c r="N346" s="341"/>
      <c r="O346" s="342"/>
      <c r="P346" s="255" t="str">
        <f t="shared" si="105"/>
        <v/>
      </c>
      <c r="Q346" s="256" t="str">
        <f t="shared" ref="Q346:Q409" si="109">IF($B346&lt;&gt;"",TEXT(TEXT(YEAR($B346),"0000")&amp;TEXT(MONTH($B346),"00")&amp;$I346&amp;"@"&amp;LEFT($E$2,SEARCH("　",$E$2,1)-1)&amp;"@"&amp;L346,"@"),"")</f>
        <v/>
      </c>
      <c r="R346" s="256" t="str">
        <f t="shared" si="106"/>
        <v/>
      </c>
      <c r="S346" s="257" t="str">
        <f t="shared" ref="S346:S409" si="110">IF($B346&lt;&gt;"",TEXT(YEAR($B346),"0000")&amp;TEXT(MONTH($B346),"00")&amp;$J346&amp;"@"&amp;LEFT($E$2,SEARCH("　",$E$2,1)-1)&amp;"@"&amp;L346,"")</f>
        <v/>
      </c>
      <c r="T346" s="219" t="str">
        <f t="shared" si="107"/>
        <v/>
      </c>
      <c r="U346" s="258"/>
    </row>
    <row r="347" spans="2:21" x14ac:dyDescent="0.15">
      <c r="B347" s="249"/>
      <c r="C347" s="314"/>
      <c r="D347" s="250"/>
      <c r="E347" s="251"/>
      <c r="F347" s="335"/>
      <c r="G347" s="336"/>
      <c r="H347" s="337"/>
      <c r="I347" s="252" t="str">
        <f t="shared" si="103"/>
        <v/>
      </c>
      <c r="J347" s="248" t="str">
        <f>IF(I347="","",VLOOKUP($I347,Master!$K$4:$N$607,4,FALSE))</f>
        <v/>
      </c>
      <c r="K347" s="253" t="str">
        <f t="shared" si="108"/>
        <v/>
      </c>
      <c r="L347" s="254"/>
      <c r="M347" s="341" t="str">
        <f t="shared" si="104"/>
        <v/>
      </c>
      <c r="N347" s="341"/>
      <c r="O347" s="342"/>
      <c r="P347" s="255" t="str">
        <f t="shared" si="105"/>
        <v/>
      </c>
      <c r="Q347" s="256" t="str">
        <f t="shared" si="109"/>
        <v/>
      </c>
      <c r="R347" s="256" t="str">
        <f t="shared" si="106"/>
        <v/>
      </c>
      <c r="S347" s="257" t="str">
        <f t="shared" si="110"/>
        <v/>
      </c>
      <c r="T347" s="219" t="str">
        <f t="shared" si="107"/>
        <v/>
      </c>
      <c r="U347" s="258"/>
    </row>
    <row r="348" spans="2:21" x14ac:dyDescent="0.15">
      <c r="B348" s="249"/>
      <c r="C348" s="314"/>
      <c r="D348" s="250"/>
      <c r="E348" s="251"/>
      <c r="F348" s="335"/>
      <c r="G348" s="336"/>
      <c r="H348" s="337"/>
      <c r="I348" s="252" t="str">
        <f t="shared" si="103"/>
        <v/>
      </c>
      <c r="J348" s="248" t="str">
        <f>IF(I348="","",VLOOKUP($I348,Master!$K$4:$N$607,4,FALSE))</f>
        <v/>
      </c>
      <c r="K348" s="253" t="str">
        <f t="shared" si="108"/>
        <v/>
      </c>
      <c r="L348" s="254"/>
      <c r="M348" s="341" t="str">
        <f t="shared" si="104"/>
        <v/>
      </c>
      <c r="N348" s="341"/>
      <c r="O348" s="342"/>
      <c r="P348" s="255" t="str">
        <f t="shared" si="105"/>
        <v/>
      </c>
      <c r="Q348" s="256" t="str">
        <f t="shared" si="109"/>
        <v/>
      </c>
      <c r="R348" s="256" t="str">
        <f t="shared" si="106"/>
        <v/>
      </c>
      <c r="S348" s="257" t="str">
        <f t="shared" si="110"/>
        <v/>
      </c>
      <c r="T348" s="219" t="str">
        <f t="shared" si="107"/>
        <v/>
      </c>
      <c r="U348" s="258"/>
    </row>
    <row r="349" spans="2:21" x14ac:dyDescent="0.15">
      <c r="B349" s="249"/>
      <c r="C349" s="314"/>
      <c r="D349" s="250"/>
      <c r="E349" s="251"/>
      <c r="F349" s="335"/>
      <c r="G349" s="336"/>
      <c r="H349" s="337"/>
      <c r="I349" s="252" t="str">
        <f t="shared" si="103"/>
        <v/>
      </c>
      <c r="J349" s="248" t="str">
        <f>IF(I349="","",VLOOKUP($I349,Master!$K$4:$N$607,4,FALSE))</f>
        <v/>
      </c>
      <c r="K349" s="253" t="str">
        <f t="shared" si="108"/>
        <v/>
      </c>
      <c r="L349" s="254"/>
      <c r="M349" s="341" t="str">
        <f t="shared" si="104"/>
        <v/>
      </c>
      <c r="N349" s="341"/>
      <c r="O349" s="342"/>
      <c r="P349" s="255" t="str">
        <f t="shared" si="105"/>
        <v/>
      </c>
      <c r="Q349" s="256" t="str">
        <f t="shared" si="109"/>
        <v/>
      </c>
      <c r="R349" s="256" t="str">
        <f t="shared" si="106"/>
        <v/>
      </c>
      <c r="S349" s="257" t="str">
        <f t="shared" si="110"/>
        <v/>
      </c>
      <c r="T349" s="219" t="str">
        <f t="shared" si="107"/>
        <v/>
      </c>
      <c r="U349" s="258"/>
    </row>
    <row r="350" spans="2:21" x14ac:dyDescent="0.15">
      <c r="B350" s="249"/>
      <c r="C350" s="314"/>
      <c r="D350" s="250"/>
      <c r="E350" s="251"/>
      <c r="F350" s="335"/>
      <c r="G350" s="336"/>
      <c r="H350" s="337"/>
      <c r="I350" s="252" t="str">
        <f t="shared" si="103"/>
        <v/>
      </c>
      <c r="J350" s="248" t="str">
        <f>IF(I350="","",VLOOKUP($I350,Master!$K$4:$N$607,4,FALSE))</f>
        <v/>
      </c>
      <c r="K350" s="253" t="str">
        <f t="shared" si="108"/>
        <v/>
      </c>
      <c r="L350" s="254"/>
      <c r="M350" s="341" t="str">
        <f t="shared" si="104"/>
        <v/>
      </c>
      <c r="N350" s="341"/>
      <c r="O350" s="342"/>
      <c r="P350" s="255" t="str">
        <f t="shared" si="105"/>
        <v/>
      </c>
      <c r="Q350" s="256" t="str">
        <f t="shared" si="109"/>
        <v/>
      </c>
      <c r="R350" s="256" t="str">
        <f t="shared" si="106"/>
        <v/>
      </c>
      <c r="S350" s="257" t="str">
        <f t="shared" si="110"/>
        <v/>
      </c>
      <c r="T350" s="219" t="str">
        <f t="shared" si="107"/>
        <v/>
      </c>
      <c r="U350" s="258"/>
    </row>
    <row r="351" spans="2:21" x14ac:dyDescent="0.15">
      <c r="B351" s="249"/>
      <c r="C351" s="314"/>
      <c r="D351" s="250"/>
      <c r="E351" s="251"/>
      <c r="F351" s="335"/>
      <c r="G351" s="336"/>
      <c r="H351" s="337"/>
      <c r="I351" s="252" t="str">
        <f t="shared" si="103"/>
        <v/>
      </c>
      <c r="J351" s="248" t="str">
        <f>IF(I351="","",VLOOKUP($I351,Master!$K$4:$N$607,4,FALSE))</f>
        <v/>
      </c>
      <c r="K351" s="253" t="str">
        <f t="shared" si="108"/>
        <v/>
      </c>
      <c r="L351" s="254"/>
      <c r="M351" s="341" t="str">
        <f t="shared" si="104"/>
        <v/>
      </c>
      <c r="N351" s="341"/>
      <c r="O351" s="342"/>
      <c r="P351" s="255" t="str">
        <f t="shared" si="105"/>
        <v/>
      </c>
      <c r="Q351" s="256" t="str">
        <f t="shared" si="109"/>
        <v/>
      </c>
      <c r="R351" s="256" t="str">
        <f t="shared" si="106"/>
        <v/>
      </c>
      <c r="S351" s="257" t="str">
        <f t="shared" si="110"/>
        <v/>
      </c>
      <c r="T351" s="219" t="str">
        <f t="shared" si="107"/>
        <v/>
      </c>
      <c r="U351" s="258"/>
    </row>
    <row r="352" spans="2:21" x14ac:dyDescent="0.15">
      <c r="B352" s="249"/>
      <c r="C352" s="314"/>
      <c r="D352" s="250"/>
      <c r="E352" s="251"/>
      <c r="F352" s="335"/>
      <c r="G352" s="336"/>
      <c r="H352" s="337"/>
      <c r="I352" s="252" t="str">
        <f t="shared" si="103"/>
        <v/>
      </c>
      <c r="J352" s="248" t="str">
        <f>IF(I352="","",VLOOKUP($I352,Master!$K$4:$N$607,4,FALSE))</f>
        <v/>
      </c>
      <c r="K352" s="253" t="str">
        <f t="shared" si="108"/>
        <v/>
      </c>
      <c r="L352" s="254"/>
      <c r="M352" s="341" t="str">
        <f t="shared" si="104"/>
        <v/>
      </c>
      <c r="N352" s="341"/>
      <c r="O352" s="342"/>
      <c r="P352" s="255" t="str">
        <f t="shared" si="105"/>
        <v/>
      </c>
      <c r="Q352" s="256" t="str">
        <f t="shared" si="109"/>
        <v/>
      </c>
      <c r="R352" s="256" t="str">
        <f t="shared" si="106"/>
        <v/>
      </c>
      <c r="S352" s="257" t="str">
        <f t="shared" si="110"/>
        <v/>
      </c>
      <c r="T352" s="219" t="str">
        <f t="shared" si="107"/>
        <v/>
      </c>
      <c r="U352" s="258"/>
    </row>
    <row r="353" spans="2:21" x14ac:dyDescent="0.15">
      <c r="B353" s="249"/>
      <c r="C353" s="314"/>
      <c r="D353" s="250"/>
      <c r="E353" s="251"/>
      <c r="F353" s="335"/>
      <c r="G353" s="336"/>
      <c r="H353" s="337"/>
      <c r="I353" s="252" t="str">
        <f t="shared" si="103"/>
        <v/>
      </c>
      <c r="J353" s="248" t="str">
        <f>IF(I353="","",VLOOKUP($I353,Master!$K$4:$N$607,4,FALSE))</f>
        <v/>
      </c>
      <c r="K353" s="253" t="str">
        <f t="shared" si="108"/>
        <v/>
      </c>
      <c r="L353" s="254"/>
      <c r="M353" s="341" t="str">
        <f t="shared" si="104"/>
        <v/>
      </c>
      <c r="N353" s="341"/>
      <c r="O353" s="342"/>
      <c r="P353" s="255" t="str">
        <f t="shared" si="105"/>
        <v/>
      </c>
      <c r="Q353" s="256" t="str">
        <f t="shared" si="109"/>
        <v/>
      </c>
      <c r="R353" s="256" t="str">
        <f t="shared" si="106"/>
        <v/>
      </c>
      <c r="S353" s="257" t="str">
        <f t="shared" si="110"/>
        <v/>
      </c>
      <c r="T353" s="219" t="str">
        <f t="shared" si="107"/>
        <v/>
      </c>
      <c r="U353" s="258"/>
    </row>
    <row r="354" spans="2:21" x14ac:dyDescent="0.15">
      <c r="B354" s="249"/>
      <c r="C354" s="314"/>
      <c r="D354" s="250"/>
      <c r="E354" s="251"/>
      <c r="F354" s="335"/>
      <c r="G354" s="336"/>
      <c r="H354" s="337"/>
      <c r="I354" s="252" t="str">
        <f t="shared" si="103"/>
        <v/>
      </c>
      <c r="J354" s="248" t="str">
        <f>IF(I354="","",VLOOKUP($I354,Master!$K$4:$N$607,4,FALSE))</f>
        <v/>
      </c>
      <c r="K354" s="253" t="str">
        <f t="shared" si="108"/>
        <v/>
      </c>
      <c r="L354" s="254"/>
      <c r="M354" s="341" t="str">
        <f t="shared" si="104"/>
        <v/>
      </c>
      <c r="N354" s="341"/>
      <c r="O354" s="342"/>
      <c r="P354" s="255" t="str">
        <f t="shared" si="105"/>
        <v/>
      </c>
      <c r="Q354" s="256" t="str">
        <f t="shared" si="109"/>
        <v/>
      </c>
      <c r="R354" s="256" t="str">
        <f t="shared" si="106"/>
        <v/>
      </c>
      <c r="S354" s="257" t="str">
        <f t="shared" si="110"/>
        <v/>
      </c>
      <c r="T354" s="219" t="str">
        <f t="shared" si="107"/>
        <v/>
      </c>
      <c r="U354" s="258"/>
    </row>
    <row r="355" spans="2:21" x14ac:dyDescent="0.15">
      <c r="B355" s="249"/>
      <c r="C355" s="314"/>
      <c r="D355" s="250"/>
      <c r="E355" s="251"/>
      <c r="F355" s="335"/>
      <c r="G355" s="336"/>
      <c r="H355" s="337"/>
      <c r="I355" s="252" t="str">
        <f t="shared" si="103"/>
        <v/>
      </c>
      <c r="J355" s="248" t="str">
        <f>IF(I355="","",VLOOKUP($I355,Master!$K$4:$N$607,4,FALSE))</f>
        <v/>
      </c>
      <c r="K355" s="253" t="str">
        <f t="shared" si="108"/>
        <v/>
      </c>
      <c r="L355" s="254"/>
      <c r="M355" s="341" t="str">
        <f t="shared" si="104"/>
        <v/>
      </c>
      <c r="N355" s="341"/>
      <c r="O355" s="342"/>
      <c r="P355" s="255" t="str">
        <f t="shared" si="105"/>
        <v/>
      </c>
      <c r="Q355" s="256" t="str">
        <f t="shared" si="109"/>
        <v/>
      </c>
      <c r="R355" s="256" t="str">
        <f t="shared" si="106"/>
        <v/>
      </c>
      <c r="S355" s="257" t="str">
        <f t="shared" si="110"/>
        <v/>
      </c>
      <c r="T355" s="219" t="str">
        <f t="shared" si="107"/>
        <v/>
      </c>
      <c r="U355" s="258"/>
    </row>
    <row r="356" spans="2:21" x14ac:dyDescent="0.15">
      <c r="B356" s="249"/>
      <c r="C356" s="314"/>
      <c r="D356" s="250"/>
      <c r="E356" s="251"/>
      <c r="F356" s="335"/>
      <c r="G356" s="336"/>
      <c r="H356" s="337"/>
      <c r="I356" s="252" t="str">
        <f t="shared" si="103"/>
        <v/>
      </c>
      <c r="J356" s="248" t="str">
        <f>IF(I356="","",VLOOKUP($I356,Master!$K$4:$N$607,4,FALSE))</f>
        <v/>
      </c>
      <c r="K356" s="253" t="str">
        <f t="shared" si="108"/>
        <v/>
      </c>
      <c r="L356" s="254"/>
      <c r="M356" s="341" t="str">
        <f t="shared" si="104"/>
        <v/>
      </c>
      <c r="N356" s="341"/>
      <c r="O356" s="342"/>
      <c r="P356" s="255" t="str">
        <f t="shared" si="105"/>
        <v/>
      </c>
      <c r="Q356" s="256" t="str">
        <f t="shared" si="109"/>
        <v/>
      </c>
      <c r="R356" s="256" t="str">
        <f t="shared" si="106"/>
        <v/>
      </c>
      <c r="S356" s="257" t="str">
        <f t="shared" si="110"/>
        <v/>
      </c>
      <c r="T356" s="219" t="str">
        <f t="shared" si="107"/>
        <v/>
      </c>
      <c r="U356" s="258"/>
    </row>
    <row r="357" spans="2:21" x14ac:dyDescent="0.15">
      <c r="B357" s="249"/>
      <c r="C357" s="314"/>
      <c r="D357" s="250"/>
      <c r="E357" s="251"/>
      <c r="F357" s="335"/>
      <c r="G357" s="336"/>
      <c r="H357" s="337"/>
      <c r="I357" s="252" t="str">
        <f t="shared" si="103"/>
        <v/>
      </c>
      <c r="J357" s="248" t="str">
        <f>IF(I357="","",VLOOKUP($I357,Master!$K$4:$N$607,4,FALSE))</f>
        <v/>
      </c>
      <c r="K357" s="253" t="str">
        <f t="shared" si="108"/>
        <v/>
      </c>
      <c r="L357" s="254"/>
      <c r="M357" s="341" t="str">
        <f t="shared" si="104"/>
        <v/>
      </c>
      <c r="N357" s="341"/>
      <c r="O357" s="342"/>
      <c r="P357" s="255" t="str">
        <f t="shared" si="105"/>
        <v/>
      </c>
      <c r="Q357" s="256" t="str">
        <f t="shared" si="109"/>
        <v/>
      </c>
      <c r="R357" s="256" t="str">
        <f t="shared" si="106"/>
        <v/>
      </c>
      <c r="S357" s="257" t="str">
        <f t="shared" si="110"/>
        <v/>
      </c>
      <c r="T357" s="219" t="str">
        <f t="shared" si="107"/>
        <v/>
      </c>
      <c r="U357" s="258"/>
    </row>
    <row r="358" spans="2:21" x14ac:dyDescent="0.15">
      <c r="B358" s="249"/>
      <c r="C358" s="314"/>
      <c r="D358" s="250"/>
      <c r="E358" s="251"/>
      <c r="F358" s="335"/>
      <c r="G358" s="336"/>
      <c r="H358" s="337"/>
      <c r="I358" s="252" t="str">
        <f t="shared" si="103"/>
        <v/>
      </c>
      <c r="J358" s="248" t="str">
        <f>IF(I358="","",VLOOKUP($I358,Master!$K$4:$N$607,4,FALSE))</f>
        <v/>
      </c>
      <c r="K358" s="253" t="str">
        <f t="shared" si="108"/>
        <v/>
      </c>
      <c r="L358" s="254"/>
      <c r="M358" s="341" t="str">
        <f t="shared" si="104"/>
        <v/>
      </c>
      <c r="N358" s="341"/>
      <c r="O358" s="342"/>
      <c r="P358" s="255" t="str">
        <f t="shared" si="105"/>
        <v/>
      </c>
      <c r="Q358" s="256" t="str">
        <f t="shared" si="109"/>
        <v/>
      </c>
      <c r="R358" s="256" t="str">
        <f t="shared" si="106"/>
        <v/>
      </c>
      <c r="S358" s="257" t="str">
        <f t="shared" si="110"/>
        <v/>
      </c>
      <c r="T358" s="219" t="str">
        <f t="shared" si="107"/>
        <v/>
      </c>
      <c r="U358" s="258"/>
    </row>
    <row r="359" spans="2:21" x14ac:dyDescent="0.15">
      <c r="B359" s="249"/>
      <c r="C359" s="314"/>
      <c r="D359" s="250"/>
      <c r="E359" s="251"/>
      <c r="F359" s="335"/>
      <c r="G359" s="336"/>
      <c r="H359" s="337"/>
      <c r="I359" s="252" t="str">
        <f t="shared" si="103"/>
        <v/>
      </c>
      <c r="J359" s="248" t="str">
        <f>IF(I359="","",VLOOKUP($I359,Master!$K$4:$N$607,4,FALSE))</f>
        <v/>
      </c>
      <c r="K359" s="253" t="str">
        <f t="shared" si="108"/>
        <v/>
      </c>
      <c r="L359" s="254"/>
      <c r="M359" s="341" t="str">
        <f t="shared" si="104"/>
        <v/>
      </c>
      <c r="N359" s="341"/>
      <c r="O359" s="342"/>
      <c r="P359" s="255" t="str">
        <f t="shared" si="105"/>
        <v/>
      </c>
      <c r="Q359" s="256" t="str">
        <f t="shared" si="109"/>
        <v/>
      </c>
      <c r="R359" s="256" t="str">
        <f t="shared" si="106"/>
        <v/>
      </c>
      <c r="S359" s="257" t="str">
        <f t="shared" si="110"/>
        <v/>
      </c>
      <c r="T359" s="219" t="str">
        <f t="shared" si="107"/>
        <v/>
      </c>
      <c r="U359" s="258"/>
    </row>
    <row r="360" spans="2:21" x14ac:dyDescent="0.15">
      <c r="B360" s="249"/>
      <c r="C360" s="314"/>
      <c r="D360" s="250"/>
      <c r="E360" s="251"/>
      <c r="F360" s="335"/>
      <c r="G360" s="336"/>
      <c r="H360" s="337"/>
      <c r="I360" s="252" t="str">
        <f t="shared" si="103"/>
        <v/>
      </c>
      <c r="J360" s="248" t="str">
        <f>IF(I360="","",VLOOKUP($I360,Master!$K$4:$N$607,4,FALSE))</f>
        <v/>
      </c>
      <c r="K360" s="253" t="str">
        <f t="shared" si="108"/>
        <v/>
      </c>
      <c r="L360" s="254"/>
      <c r="M360" s="341" t="str">
        <f t="shared" si="104"/>
        <v/>
      </c>
      <c r="N360" s="341"/>
      <c r="O360" s="342"/>
      <c r="P360" s="255" t="str">
        <f t="shared" si="105"/>
        <v/>
      </c>
      <c r="Q360" s="256" t="str">
        <f t="shared" si="109"/>
        <v/>
      </c>
      <c r="R360" s="256" t="str">
        <f t="shared" si="106"/>
        <v/>
      </c>
      <c r="S360" s="257" t="str">
        <f t="shared" si="110"/>
        <v/>
      </c>
      <c r="T360" s="219" t="str">
        <f t="shared" si="107"/>
        <v/>
      </c>
      <c r="U360" s="258"/>
    </row>
    <row r="361" spans="2:21" x14ac:dyDescent="0.15">
      <c r="B361" s="249"/>
      <c r="C361" s="314"/>
      <c r="D361" s="250"/>
      <c r="E361" s="251"/>
      <c r="F361" s="335"/>
      <c r="G361" s="336"/>
      <c r="H361" s="337"/>
      <c r="I361" s="252" t="str">
        <f t="shared" si="103"/>
        <v/>
      </c>
      <c r="J361" s="248" t="str">
        <f>IF(I361="","",VLOOKUP($I361,Master!$K$4:$N$607,4,FALSE))</f>
        <v/>
      </c>
      <c r="K361" s="253" t="str">
        <f t="shared" si="108"/>
        <v/>
      </c>
      <c r="L361" s="254"/>
      <c r="M361" s="341" t="str">
        <f t="shared" si="104"/>
        <v/>
      </c>
      <c r="N361" s="341"/>
      <c r="O361" s="342"/>
      <c r="P361" s="255" t="str">
        <f t="shared" si="105"/>
        <v/>
      </c>
      <c r="Q361" s="256" t="str">
        <f t="shared" si="109"/>
        <v/>
      </c>
      <c r="R361" s="256" t="str">
        <f t="shared" si="106"/>
        <v/>
      </c>
      <c r="S361" s="257" t="str">
        <f t="shared" si="110"/>
        <v/>
      </c>
      <c r="T361" s="219" t="str">
        <f t="shared" si="107"/>
        <v/>
      </c>
      <c r="U361" s="258"/>
    </row>
    <row r="362" spans="2:21" x14ac:dyDescent="0.15">
      <c r="B362" s="249"/>
      <c r="C362" s="314"/>
      <c r="D362" s="250"/>
      <c r="E362" s="251"/>
      <c r="F362" s="335"/>
      <c r="G362" s="336"/>
      <c r="H362" s="337"/>
      <c r="I362" s="252" t="str">
        <f t="shared" si="103"/>
        <v/>
      </c>
      <c r="J362" s="248" t="str">
        <f>IF(I362="","",VLOOKUP($I362,Master!$K$4:$N$607,4,FALSE))</f>
        <v/>
      </c>
      <c r="K362" s="253" t="str">
        <f t="shared" si="108"/>
        <v/>
      </c>
      <c r="L362" s="254"/>
      <c r="M362" s="341" t="str">
        <f t="shared" si="104"/>
        <v/>
      </c>
      <c r="N362" s="341"/>
      <c r="O362" s="342"/>
      <c r="P362" s="255" t="str">
        <f t="shared" si="105"/>
        <v/>
      </c>
      <c r="Q362" s="256" t="str">
        <f t="shared" si="109"/>
        <v/>
      </c>
      <c r="R362" s="256" t="str">
        <f t="shared" si="106"/>
        <v/>
      </c>
      <c r="S362" s="257" t="str">
        <f t="shared" si="110"/>
        <v/>
      </c>
      <c r="T362" s="219" t="str">
        <f t="shared" si="107"/>
        <v/>
      </c>
      <c r="U362" s="258"/>
    </row>
    <row r="363" spans="2:21" x14ac:dyDescent="0.15">
      <c r="B363" s="249"/>
      <c r="C363" s="314"/>
      <c r="D363" s="250"/>
      <c r="E363" s="251"/>
      <c r="F363" s="335"/>
      <c r="G363" s="336"/>
      <c r="H363" s="337"/>
      <c r="I363" s="252" t="str">
        <f t="shared" si="103"/>
        <v/>
      </c>
      <c r="J363" s="248" t="str">
        <f>IF(I363="","",VLOOKUP($I363,Master!$K$4:$N$607,4,FALSE))</f>
        <v/>
      </c>
      <c r="K363" s="253" t="str">
        <f t="shared" si="108"/>
        <v/>
      </c>
      <c r="L363" s="254"/>
      <c r="M363" s="341" t="str">
        <f t="shared" si="104"/>
        <v/>
      </c>
      <c r="N363" s="341"/>
      <c r="O363" s="342"/>
      <c r="P363" s="255" t="str">
        <f t="shared" si="105"/>
        <v/>
      </c>
      <c r="Q363" s="256" t="str">
        <f t="shared" si="109"/>
        <v/>
      </c>
      <c r="R363" s="256" t="str">
        <f t="shared" si="106"/>
        <v/>
      </c>
      <c r="S363" s="257" t="str">
        <f t="shared" si="110"/>
        <v/>
      </c>
      <c r="T363" s="219" t="str">
        <f t="shared" si="107"/>
        <v/>
      </c>
      <c r="U363" s="258"/>
    </row>
    <row r="364" spans="2:21" x14ac:dyDescent="0.15">
      <c r="B364" s="249"/>
      <c r="C364" s="314"/>
      <c r="D364" s="250"/>
      <c r="E364" s="251"/>
      <c r="F364" s="335"/>
      <c r="G364" s="336"/>
      <c r="H364" s="337"/>
      <c r="I364" s="252" t="str">
        <f t="shared" si="103"/>
        <v/>
      </c>
      <c r="J364" s="248" t="str">
        <f>IF(I364="","",VLOOKUP($I364,Master!$K$4:$N$607,4,FALSE))</f>
        <v/>
      </c>
      <c r="K364" s="253" t="str">
        <f t="shared" si="108"/>
        <v/>
      </c>
      <c r="L364" s="254"/>
      <c r="M364" s="341" t="str">
        <f t="shared" si="104"/>
        <v/>
      </c>
      <c r="N364" s="341"/>
      <c r="O364" s="342"/>
      <c r="P364" s="255" t="str">
        <f t="shared" si="105"/>
        <v/>
      </c>
      <c r="Q364" s="256" t="str">
        <f t="shared" si="109"/>
        <v/>
      </c>
      <c r="R364" s="256" t="str">
        <f t="shared" si="106"/>
        <v/>
      </c>
      <c r="S364" s="257" t="str">
        <f t="shared" si="110"/>
        <v/>
      </c>
      <c r="T364" s="219" t="str">
        <f t="shared" si="107"/>
        <v/>
      </c>
      <c r="U364" s="258"/>
    </row>
    <row r="365" spans="2:21" x14ac:dyDescent="0.15">
      <c r="B365" s="249"/>
      <c r="C365" s="314"/>
      <c r="D365" s="250"/>
      <c r="E365" s="251"/>
      <c r="F365" s="335"/>
      <c r="G365" s="336"/>
      <c r="H365" s="337"/>
      <c r="I365" s="252" t="str">
        <f t="shared" si="103"/>
        <v/>
      </c>
      <c r="J365" s="248" t="str">
        <f>IF(I365="","",VLOOKUP($I365,Master!$K$4:$N$607,4,FALSE))</f>
        <v/>
      </c>
      <c r="K365" s="253" t="str">
        <f t="shared" si="108"/>
        <v/>
      </c>
      <c r="L365" s="254"/>
      <c r="M365" s="341" t="str">
        <f t="shared" si="104"/>
        <v/>
      </c>
      <c r="N365" s="341"/>
      <c r="O365" s="342"/>
      <c r="P365" s="255" t="str">
        <f t="shared" si="105"/>
        <v/>
      </c>
      <c r="Q365" s="256" t="str">
        <f t="shared" si="109"/>
        <v/>
      </c>
      <c r="R365" s="256" t="str">
        <f t="shared" si="106"/>
        <v/>
      </c>
      <c r="S365" s="257" t="str">
        <f t="shared" si="110"/>
        <v/>
      </c>
      <c r="T365" s="219" t="str">
        <f t="shared" si="107"/>
        <v/>
      </c>
      <c r="U365" s="258"/>
    </row>
    <row r="366" spans="2:21" x14ac:dyDescent="0.15">
      <c r="B366" s="249"/>
      <c r="C366" s="314"/>
      <c r="D366" s="250"/>
      <c r="E366" s="251"/>
      <c r="F366" s="335"/>
      <c r="G366" s="336"/>
      <c r="H366" s="337"/>
      <c r="I366" s="252" t="str">
        <f t="shared" si="103"/>
        <v/>
      </c>
      <c r="J366" s="248" t="str">
        <f>IF(I366="","",VLOOKUP($I366,Master!$K$4:$N$607,4,FALSE))</f>
        <v/>
      </c>
      <c r="K366" s="253" t="str">
        <f t="shared" si="108"/>
        <v/>
      </c>
      <c r="L366" s="254"/>
      <c r="M366" s="341" t="str">
        <f t="shared" si="104"/>
        <v/>
      </c>
      <c r="N366" s="341"/>
      <c r="O366" s="342"/>
      <c r="P366" s="255" t="str">
        <f t="shared" si="105"/>
        <v/>
      </c>
      <c r="Q366" s="256" t="str">
        <f t="shared" si="109"/>
        <v/>
      </c>
      <c r="R366" s="256" t="str">
        <f t="shared" si="106"/>
        <v/>
      </c>
      <c r="S366" s="257" t="str">
        <f t="shared" si="110"/>
        <v/>
      </c>
      <c r="T366" s="219" t="str">
        <f t="shared" si="107"/>
        <v/>
      </c>
      <c r="U366" s="258"/>
    </row>
    <row r="367" spans="2:21" x14ac:dyDescent="0.15">
      <c r="B367" s="249"/>
      <c r="C367" s="314"/>
      <c r="D367" s="250"/>
      <c r="E367" s="251"/>
      <c r="F367" s="335"/>
      <c r="G367" s="336"/>
      <c r="H367" s="337"/>
      <c r="I367" s="252" t="str">
        <f t="shared" si="103"/>
        <v/>
      </c>
      <c r="J367" s="248" t="str">
        <f>IF(I367="","",VLOOKUP($I367,Master!$K$4:$N$607,4,FALSE))</f>
        <v/>
      </c>
      <c r="K367" s="253" t="str">
        <f t="shared" si="108"/>
        <v/>
      </c>
      <c r="L367" s="254"/>
      <c r="M367" s="341" t="str">
        <f t="shared" si="104"/>
        <v/>
      </c>
      <c r="N367" s="341"/>
      <c r="O367" s="342"/>
      <c r="P367" s="255" t="str">
        <f t="shared" si="105"/>
        <v/>
      </c>
      <c r="Q367" s="256" t="str">
        <f t="shared" si="109"/>
        <v/>
      </c>
      <c r="R367" s="256" t="str">
        <f t="shared" si="106"/>
        <v/>
      </c>
      <c r="S367" s="257" t="str">
        <f t="shared" si="110"/>
        <v/>
      </c>
      <c r="T367" s="219" t="str">
        <f t="shared" si="107"/>
        <v/>
      </c>
      <c r="U367" s="258"/>
    </row>
    <row r="368" spans="2:21" x14ac:dyDescent="0.15">
      <c r="B368" s="249"/>
      <c r="C368" s="314"/>
      <c r="D368" s="250"/>
      <c r="E368" s="251"/>
      <c r="F368" s="335"/>
      <c r="G368" s="336"/>
      <c r="H368" s="337"/>
      <c r="I368" s="252" t="str">
        <f t="shared" si="103"/>
        <v/>
      </c>
      <c r="J368" s="248" t="str">
        <f>IF(I368="","",VLOOKUP($I368,Master!$K$4:$N$607,4,FALSE))</f>
        <v/>
      </c>
      <c r="K368" s="253" t="str">
        <f t="shared" si="108"/>
        <v/>
      </c>
      <c r="L368" s="254"/>
      <c r="M368" s="341" t="str">
        <f t="shared" si="104"/>
        <v/>
      </c>
      <c r="N368" s="341"/>
      <c r="O368" s="342"/>
      <c r="P368" s="255" t="str">
        <f t="shared" si="105"/>
        <v/>
      </c>
      <c r="Q368" s="256" t="str">
        <f t="shared" si="109"/>
        <v/>
      </c>
      <c r="R368" s="256" t="str">
        <f t="shared" si="106"/>
        <v/>
      </c>
      <c r="S368" s="257" t="str">
        <f t="shared" si="110"/>
        <v/>
      </c>
      <c r="T368" s="219" t="str">
        <f t="shared" si="107"/>
        <v/>
      </c>
      <c r="U368" s="258"/>
    </row>
    <row r="369" spans="2:21" x14ac:dyDescent="0.15">
      <c r="B369" s="249"/>
      <c r="C369" s="314"/>
      <c r="D369" s="250"/>
      <c r="E369" s="251"/>
      <c r="F369" s="335"/>
      <c r="G369" s="336"/>
      <c r="H369" s="337"/>
      <c r="I369" s="252" t="str">
        <f t="shared" si="103"/>
        <v/>
      </c>
      <c r="J369" s="248" t="str">
        <f>IF(I369="","",VLOOKUP($I369,Master!$K$4:$N$607,4,FALSE))</f>
        <v/>
      </c>
      <c r="K369" s="253" t="str">
        <f t="shared" si="108"/>
        <v/>
      </c>
      <c r="L369" s="254"/>
      <c r="M369" s="341" t="str">
        <f t="shared" si="104"/>
        <v/>
      </c>
      <c r="N369" s="341"/>
      <c r="O369" s="342"/>
      <c r="P369" s="255" t="str">
        <f t="shared" si="105"/>
        <v/>
      </c>
      <c r="Q369" s="256" t="str">
        <f t="shared" si="109"/>
        <v/>
      </c>
      <c r="R369" s="256" t="str">
        <f t="shared" si="106"/>
        <v/>
      </c>
      <c r="S369" s="257" t="str">
        <f t="shared" si="110"/>
        <v/>
      </c>
      <c r="T369" s="219" t="str">
        <f t="shared" si="107"/>
        <v/>
      </c>
      <c r="U369" s="258"/>
    </row>
    <row r="370" spans="2:21" x14ac:dyDescent="0.15">
      <c r="B370" s="249"/>
      <c r="C370" s="314"/>
      <c r="D370" s="250"/>
      <c r="E370" s="251"/>
      <c r="F370" s="335"/>
      <c r="G370" s="336"/>
      <c r="H370" s="337"/>
      <c r="I370" s="252" t="str">
        <f t="shared" si="103"/>
        <v/>
      </c>
      <c r="J370" s="248" t="str">
        <f>IF(I370="","",VLOOKUP($I370,Master!$K$4:$N$607,4,FALSE))</f>
        <v/>
      </c>
      <c r="K370" s="253" t="str">
        <f t="shared" si="108"/>
        <v/>
      </c>
      <c r="L370" s="254"/>
      <c r="M370" s="341" t="str">
        <f t="shared" si="104"/>
        <v/>
      </c>
      <c r="N370" s="341"/>
      <c r="O370" s="342"/>
      <c r="P370" s="255" t="str">
        <f t="shared" si="105"/>
        <v/>
      </c>
      <c r="Q370" s="256" t="str">
        <f t="shared" si="109"/>
        <v/>
      </c>
      <c r="R370" s="256" t="str">
        <f t="shared" si="106"/>
        <v/>
      </c>
      <c r="S370" s="257" t="str">
        <f t="shared" si="110"/>
        <v/>
      </c>
      <c r="T370" s="219" t="str">
        <f t="shared" si="107"/>
        <v/>
      </c>
      <c r="U370" s="258"/>
    </row>
    <row r="371" spans="2:21" x14ac:dyDescent="0.15">
      <c r="B371" s="249"/>
      <c r="C371" s="314"/>
      <c r="D371" s="250"/>
      <c r="E371" s="251"/>
      <c r="F371" s="335"/>
      <c r="G371" s="336"/>
      <c r="H371" s="337"/>
      <c r="I371" s="252" t="str">
        <f t="shared" si="103"/>
        <v/>
      </c>
      <c r="J371" s="248" t="str">
        <f>IF(I371="","",VLOOKUP($I371,Master!$K$4:$N$607,4,FALSE))</f>
        <v/>
      </c>
      <c r="K371" s="253" t="str">
        <f t="shared" si="108"/>
        <v/>
      </c>
      <c r="L371" s="254"/>
      <c r="M371" s="341" t="str">
        <f t="shared" si="104"/>
        <v/>
      </c>
      <c r="N371" s="341"/>
      <c r="O371" s="342"/>
      <c r="P371" s="255" t="str">
        <f t="shared" si="105"/>
        <v/>
      </c>
      <c r="Q371" s="256" t="str">
        <f t="shared" si="109"/>
        <v/>
      </c>
      <c r="R371" s="256" t="str">
        <f t="shared" si="106"/>
        <v/>
      </c>
      <c r="S371" s="257" t="str">
        <f t="shared" si="110"/>
        <v/>
      </c>
      <c r="T371" s="219" t="str">
        <f t="shared" si="107"/>
        <v/>
      </c>
      <c r="U371" s="258"/>
    </row>
    <row r="372" spans="2:21" x14ac:dyDescent="0.15">
      <c r="B372" s="249"/>
      <c r="C372" s="314"/>
      <c r="D372" s="250"/>
      <c r="E372" s="251"/>
      <c r="F372" s="335"/>
      <c r="G372" s="336"/>
      <c r="H372" s="337"/>
      <c r="I372" s="252" t="str">
        <f t="shared" si="103"/>
        <v/>
      </c>
      <c r="J372" s="248" t="str">
        <f>IF(I372="","",VLOOKUP($I372,Master!$K$4:$N$607,4,FALSE))</f>
        <v/>
      </c>
      <c r="K372" s="253" t="str">
        <f t="shared" si="108"/>
        <v/>
      </c>
      <c r="L372" s="254"/>
      <c r="M372" s="341" t="str">
        <f t="shared" si="104"/>
        <v/>
      </c>
      <c r="N372" s="341"/>
      <c r="O372" s="342"/>
      <c r="P372" s="255" t="str">
        <f t="shared" si="105"/>
        <v/>
      </c>
      <c r="Q372" s="256" t="str">
        <f t="shared" si="109"/>
        <v/>
      </c>
      <c r="R372" s="256" t="str">
        <f t="shared" si="106"/>
        <v/>
      </c>
      <c r="S372" s="257" t="str">
        <f t="shared" si="110"/>
        <v/>
      </c>
      <c r="T372" s="219" t="str">
        <f t="shared" si="107"/>
        <v/>
      </c>
      <c r="U372" s="258"/>
    </row>
    <row r="373" spans="2:21" x14ac:dyDescent="0.15">
      <c r="B373" s="249"/>
      <c r="C373" s="314"/>
      <c r="D373" s="250"/>
      <c r="E373" s="251"/>
      <c r="F373" s="335"/>
      <c r="G373" s="336"/>
      <c r="H373" s="337"/>
      <c r="I373" s="252" t="str">
        <f t="shared" si="103"/>
        <v/>
      </c>
      <c r="J373" s="248" t="str">
        <f>IF(I373="","",VLOOKUP($I373,Master!$K$4:$N$607,4,FALSE))</f>
        <v/>
      </c>
      <c r="K373" s="253" t="str">
        <f t="shared" si="108"/>
        <v/>
      </c>
      <c r="L373" s="254"/>
      <c r="M373" s="341" t="str">
        <f t="shared" si="104"/>
        <v/>
      </c>
      <c r="N373" s="341"/>
      <c r="O373" s="342"/>
      <c r="P373" s="255" t="str">
        <f t="shared" si="105"/>
        <v/>
      </c>
      <c r="Q373" s="256" t="str">
        <f t="shared" si="109"/>
        <v/>
      </c>
      <c r="R373" s="256" t="str">
        <f t="shared" si="106"/>
        <v/>
      </c>
      <c r="S373" s="257" t="str">
        <f t="shared" si="110"/>
        <v/>
      </c>
      <c r="T373" s="219" t="str">
        <f t="shared" si="107"/>
        <v/>
      </c>
      <c r="U373" s="258"/>
    </row>
    <row r="374" spans="2:21" x14ac:dyDescent="0.15">
      <c r="B374" s="249"/>
      <c r="C374" s="314"/>
      <c r="D374" s="250"/>
      <c r="E374" s="251"/>
      <c r="F374" s="335"/>
      <c r="G374" s="336"/>
      <c r="H374" s="337"/>
      <c r="I374" s="252" t="str">
        <f t="shared" si="103"/>
        <v/>
      </c>
      <c r="J374" s="248" t="str">
        <f>IF(I374="","",VLOOKUP($I374,Master!$K$4:$N$607,4,FALSE))</f>
        <v/>
      </c>
      <c r="K374" s="253" t="str">
        <f t="shared" si="108"/>
        <v/>
      </c>
      <c r="L374" s="254"/>
      <c r="M374" s="341" t="str">
        <f t="shared" si="104"/>
        <v/>
      </c>
      <c r="N374" s="341"/>
      <c r="O374" s="342"/>
      <c r="P374" s="255" t="str">
        <f t="shared" si="105"/>
        <v/>
      </c>
      <c r="Q374" s="256" t="str">
        <f t="shared" si="109"/>
        <v/>
      </c>
      <c r="R374" s="256" t="str">
        <f t="shared" si="106"/>
        <v/>
      </c>
      <c r="S374" s="257" t="str">
        <f t="shared" si="110"/>
        <v/>
      </c>
      <c r="T374" s="219" t="str">
        <f t="shared" si="107"/>
        <v/>
      </c>
      <c r="U374" s="258"/>
    </row>
    <row r="375" spans="2:21" x14ac:dyDescent="0.15">
      <c r="B375" s="249"/>
      <c r="C375" s="314"/>
      <c r="D375" s="250"/>
      <c r="E375" s="251"/>
      <c r="F375" s="335"/>
      <c r="G375" s="336"/>
      <c r="H375" s="337"/>
      <c r="I375" s="252" t="str">
        <f t="shared" si="103"/>
        <v/>
      </c>
      <c r="J375" s="248" t="str">
        <f>IF(I375="","",VLOOKUP($I375,Master!$K$4:$N$607,4,FALSE))</f>
        <v/>
      </c>
      <c r="K375" s="253" t="str">
        <f t="shared" si="108"/>
        <v/>
      </c>
      <c r="L375" s="254"/>
      <c r="M375" s="341" t="str">
        <f t="shared" si="104"/>
        <v/>
      </c>
      <c r="N375" s="341"/>
      <c r="O375" s="342"/>
      <c r="P375" s="255" t="str">
        <f t="shared" si="105"/>
        <v/>
      </c>
      <c r="Q375" s="256" t="str">
        <f t="shared" si="109"/>
        <v/>
      </c>
      <c r="R375" s="256" t="str">
        <f t="shared" si="106"/>
        <v/>
      </c>
      <c r="S375" s="257" t="str">
        <f t="shared" si="110"/>
        <v/>
      </c>
      <c r="T375" s="219" t="str">
        <f t="shared" si="107"/>
        <v/>
      </c>
      <c r="U375" s="258"/>
    </row>
    <row r="376" spans="2:21" x14ac:dyDescent="0.15">
      <c r="B376" s="249"/>
      <c r="C376" s="314"/>
      <c r="D376" s="250"/>
      <c r="E376" s="251"/>
      <c r="F376" s="335"/>
      <c r="G376" s="336"/>
      <c r="H376" s="337"/>
      <c r="I376" s="252" t="str">
        <f t="shared" si="103"/>
        <v/>
      </c>
      <c r="J376" s="248" t="str">
        <f>IF(I376="","",VLOOKUP($I376,Master!$K$4:$N$607,4,FALSE))</f>
        <v/>
      </c>
      <c r="K376" s="253" t="str">
        <f t="shared" si="108"/>
        <v/>
      </c>
      <c r="L376" s="254"/>
      <c r="M376" s="341" t="str">
        <f t="shared" si="104"/>
        <v/>
      </c>
      <c r="N376" s="341"/>
      <c r="O376" s="342"/>
      <c r="P376" s="255" t="str">
        <f t="shared" si="105"/>
        <v/>
      </c>
      <c r="Q376" s="256" t="str">
        <f t="shared" si="109"/>
        <v/>
      </c>
      <c r="R376" s="256" t="str">
        <f t="shared" si="106"/>
        <v/>
      </c>
      <c r="S376" s="257" t="str">
        <f t="shared" si="110"/>
        <v/>
      </c>
      <c r="T376" s="219" t="str">
        <f t="shared" si="107"/>
        <v/>
      </c>
      <c r="U376" s="258"/>
    </row>
    <row r="377" spans="2:21" x14ac:dyDescent="0.15">
      <c r="B377" s="249"/>
      <c r="C377" s="314"/>
      <c r="D377" s="250"/>
      <c r="E377" s="251"/>
      <c r="F377" s="335"/>
      <c r="G377" s="336"/>
      <c r="H377" s="337"/>
      <c r="I377" s="252" t="str">
        <f t="shared" si="103"/>
        <v/>
      </c>
      <c r="J377" s="248" t="str">
        <f>IF(I377="","",VLOOKUP($I377,Master!$K$4:$N$607,4,FALSE))</f>
        <v/>
      </c>
      <c r="K377" s="253" t="str">
        <f t="shared" si="108"/>
        <v/>
      </c>
      <c r="L377" s="254"/>
      <c r="M377" s="341" t="str">
        <f t="shared" si="104"/>
        <v/>
      </c>
      <c r="N377" s="341"/>
      <c r="O377" s="342"/>
      <c r="P377" s="255" t="str">
        <f t="shared" si="105"/>
        <v/>
      </c>
      <c r="Q377" s="256" t="str">
        <f t="shared" si="109"/>
        <v/>
      </c>
      <c r="R377" s="256" t="str">
        <f t="shared" si="106"/>
        <v/>
      </c>
      <c r="S377" s="257" t="str">
        <f t="shared" si="110"/>
        <v/>
      </c>
      <c r="T377" s="219" t="str">
        <f t="shared" si="107"/>
        <v/>
      </c>
      <c r="U377" s="258"/>
    </row>
    <row r="378" spans="2:21" x14ac:dyDescent="0.15">
      <c r="B378" s="249"/>
      <c r="C378" s="314"/>
      <c r="D378" s="250"/>
      <c r="E378" s="251"/>
      <c r="F378" s="335"/>
      <c r="G378" s="336"/>
      <c r="H378" s="337"/>
      <c r="I378" s="252" t="str">
        <f t="shared" si="103"/>
        <v/>
      </c>
      <c r="J378" s="248" t="str">
        <f>IF(I378="","",VLOOKUP($I378,Master!$K$4:$N$607,4,FALSE))</f>
        <v/>
      </c>
      <c r="K378" s="253" t="str">
        <f t="shared" si="108"/>
        <v/>
      </c>
      <c r="L378" s="254"/>
      <c r="M378" s="341" t="str">
        <f t="shared" si="104"/>
        <v/>
      </c>
      <c r="N378" s="341"/>
      <c r="O378" s="342"/>
      <c r="P378" s="255" t="str">
        <f t="shared" si="105"/>
        <v/>
      </c>
      <c r="Q378" s="256" t="str">
        <f t="shared" si="109"/>
        <v/>
      </c>
      <c r="R378" s="256" t="str">
        <f t="shared" si="106"/>
        <v/>
      </c>
      <c r="S378" s="257" t="str">
        <f t="shared" si="110"/>
        <v/>
      </c>
      <c r="T378" s="219" t="str">
        <f t="shared" si="107"/>
        <v/>
      </c>
      <c r="U378" s="258"/>
    </row>
    <row r="379" spans="2:21" x14ac:dyDescent="0.15">
      <c r="B379" s="249"/>
      <c r="C379" s="314"/>
      <c r="D379" s="250"/>
      <c r="E379" s="251"/>
      <c r="F379" s="335"/>
      <c r="G379" s="336"/>
      <c r="H379" s="337"/>
      <c r="I379" s="252" t="str">
        <f t="shared" si="103"/>
        <v/>
      </c>
      <c r="J379" s="248" t="str">
        <f>IF(I379="","",VLOOKUP($I379,Master!$K$4:$N$607,4,FALSE))</f>
        <v/>
      </c>
      <c r="K379" s="253" t="str">
        <f t="shared" si="108"/>
        <v/>
      </c>
      <c r="L379" s="254"/>
      <c r="M379" s="341" t="str">
        <f t="shared" si="104"/>
        <v/>
      </c>
      <c r="N379" s="341"/>
      <c r="O379" s="342"/>
      <c r="P379" s="255" t="str">
        <f t="shared" si="105"/>
        <v/>
      </c>
      <c r="Q379" s="256" t="str">
        <f t="shared" si="109"/>
        <v/>
      </c>
      <c r="R379" s="256" t="str">
        <f t="shared" si="106"/>
        <v/>
      </c>
      <c r="S379" s="257" t="str">
        <f t="shared" si="110"/>
        <v/>
      </c>
      <c r="T379" s="219" t="str">
        <f t="shared" si="107"/>
        <v/>
      </c>
      <c r="U379" s="258"/>
    </row>
    <row r="380" spans="2:21" x14ac:dyDescent="0.15">
      <c r="B380" s="249"/>
      <c r="C380" s="314"/>
      <c r="D380" s="250"/>
      <c r="E380" s="251"/>
      <c r="F380" s="335"/>
      <c r="G380" s="336"/>
      <c r="H380" s="337"/>
      <c r="I380" s="252" t="str">
        <f t="shared" si="103"/>
        <v/>
      </c>
      <c r="J380" s="248" t="str">
        <f>IF(I380="","",VLOOKUP($I380,Master!$K$4:$N$607,4,FALSE))</f>
        <v/>
      </c>
      <c r="K380" s="253" t="str">
        <f t="shared" si="108"/>
        <v/>
      </c>
      <c r="L380" s="254"/>
      <c r="M380" s="341" t="str">
        <f t="shared" si="104"/>
        <v/>
      </c>
      <c r="N380" s="341"/>
      <c r="O380" s="342"/>
      <c r="P380" s="255" t="str">
        <f t="shared" si="105"/>
        <v/>
      </c>
      <c r="Q380" s="256" t="str">
        <f t="shared" si="109"/>
        <v/>
      </c>
      <c r="R380" s="256" t="str">
        <f t="shared" si="106"/>
        <v/>
      </c>
      <c r="S380" s="257" t="str">
        <f t="shared" si="110"/>
        <v/>
      </c>
      <c r="T380" s="219" t="str">
        <f t="shared" si="107"/>
        <v/>
      </c>
      <c r="U380" s="258"/>
    </row>
    <row r="381" spans="2:21" x14ac:dyDescent="0.15">
      <c r="B381" s="249"/>
      <c r="C381" s="314"/>
      <c r="D381" s="250"/>
      <c r="E381" s="251"/>
      <c r="F381" s="335"/>
      <c r="G381" s="336"/>
      <c r="H381" s="337"/>
      <c r="I381" s="252" t="str">
        <f t="shared" si="103"/>
        <v/>
      </c>
      <c r="J381" s="248" t="str">
        <f>IF(I381="","",VLOOKUP($I381,Master!$K$4:$N$607,4,FALSE))</f>
        <v/>
      </c>
      <c r="K381" s="253" t="str">
        <f t="shared" si="108"/>
        <v/>
      </c>
      <c r="L381" s="254"/>
      <c r="M381" s="341" t="str">
        <f t="shared" si="104"/>
        <v/>
      </c>
      <c r="N381" s="341"/>
      <c r="O381" s="342"/>
      <c r="P381" s="255" t="str">
        <f t="shared" si="105"/>
        <v/>
      </c>
      <c r="Q381" s="256" t="str">
        <f t="shared" si="109"/>
        <v/>
      </c>
      <c r="R381" s="256" t="str">
        <f t="shared" si="106"/>
        <v/>
      </c>
      <c r="S381" s="257" t="str">
        <f t="shared" si="110"/>
        <v/>
      </c>
      <c r="T381" s="219" t="str">
        <f t="shared" si="107"/>
        <v/>
      </c>
      <c r="U381" s="258"/>
    </row>
    <row r="382" spans="2:21" x14ac:dyDescent="0.15">
      <c r="B382" s="249"/>
      <c r="C382" s="314"/>
      <c r="D382" s="250"/>
      <c r="E382" s="251"/>
      <c r="F382" s="335"/>
      <c r="G382" s="336"/>
      <c r="H382" s="337"/>
      <c r="I382" s="252" t="str">
        <f t="shared" si="103"/>
        <v/>
      </c>
      <c r="J382" s="248" t="str">
        <f>IF(I382="","",VLOOKUP($I382,Master!$K$4:$N$607,4,FALSE))</f>
        <v/>
      </c>
      <c r="K382" s="253" t="str">
        <f t="shared" si="108"/>
        <v/>
      </c>
      <c r="L382" s="254"/>
      <c r="M382" s="341" t="str">
        <f t="shared" si="104"/>
        <v/>
      </c>
      <c r="N382" s="341"/>
      <c r="O382" s="342"/>
      <c r="P382" s="255" t="str">
        <f t="shared" si="105"/>
        <v/>
      </c>
      <c r="Q382" s="256" t="str">
        <f t="shared" si="109"/>
        <v/>
      </c>
      <c r="R382" s="256" t="str">
        <f t="shared" si="106"/>
        <v/>
      </c>
      <c r="S382" s="257" t="str">
        <f t="shared" si="110"/>
        <v/>
      </c>
      <c r="T382" s="219" t="str">
        <f t="shared" si="107"/>
        <v/>
      </c>
      <c r="U382" s="258"/>
    </row>
    <row r="383" spans="2:21" x14ac:dyDescent="0.15">
      <c r="B383" s="249"/>
      <c r="C383" s="314"/>
      <c r="D383" s="250"/>
      <c r="E383" s="251"/>
      <c r="F383" s="335"/>
      <c r="G383" s="336"/>
      <c r="H383" s="337"/>
      <c r="I383" s="252" t="str">
        <f t="shared" si="103"/>
        <v/>
      </c>
      <c r="J383" s="248" t="str">
        <f>IF(I383="","",VLOOKUP($I383,Master!$K$4:$N$607,4,FALSE))</f>
        <v/>
      </c>
      <c r="K383" s="253" t="str">
        <f t="shared" si="108"/>
        <v/>
      </c>
      <c r="L383" s="254"/>
      <c r="M383" s="341" t="str">
        <f t="shared" si="104"/>
        <v/>
      </c>
      <c r="N383" s="341"/>
      <c r="O383" s="342"/>
      <c r="P383" s="255" t="str">
        <f t="shared" si="105"/>
        <v/>
      </c>
      <c r="Q383" s="256" t="str">
        <f t="shared" si="109"/>
        <v/>
      </c>
      <c r="R383" s="256" t="str">
        <f t="shared" si="106"/>
        <v/>
      </c>
      <c r="S383" s="257" t="str">
        <f t="shared" si="110"/>
        <v/>
      </c>
      <c r="T383" s="219" t="str">
        <f t="shared" si="107"/>
        <v/>
      </c>
      <c r="U383" s="258"/>
    </row>
    <row r="384" spans="2:21" x14ac:dyDescent="0.15">
      <c r="B384" s="249"/>
      <c r="C384" s="314"/>
      <c r="D384" s="250"/>
      <c r="E384" s="251"/>
      <c r="F384" s="335"/>
      <c r="G384" s="336"/>
      <c r="H384" s="337"/>
      <c r="I384" s="252" t="str">
        <f t="shared" si="103"/>
        <v/>
      </c>
      <c r="J384" s="248" t="str">
        <f>IF(I384="","",VLOOKUP($I384,Master!$K$4:$N$607,4,FALSE))</f>
        <v/>
      </c>
      <c r="K384" s="253" t="str">
        <f t="shared" si="108"/>
        <v/>
      </c>
      <c r="L384" s="254"/>
      <c r="M384" s="341" t="str">
        <f t="shared" si="104"/>
        <v/>
      </c>
      <c r="N384" s="341"/>
      <c r="O384" s="342"/>
      <c r="P384" s="255" t="str">
        <f t="shared" si="105"/>
        <v/>
      </c>
      <c r="Q384" s="256" t="str">
        <f t="shared" si="109"/>
        <v/>
      </c>
      <c r="R384" s="256" t="str">
        <f t="shared" si="106"/>
        <v/>
      </c>
      <c r="S384" s="257" t="str">
        <f t="shared" si="110"/>
        <v/>
      </c>
      <c r="T384" s="219" t="str">
        <f t="shared" si="107"/>
        <v/>
      </c>
      <c r="U384" s="258"/>
    </row>
    <row r="385" spans="2:21" x14ac:dyDescent="0.15">
      <c r="B385" s="249"/>
      <c r="C385" s="314"/>
      <c r="D385" s="250"/>
      <c r="E385" s="251"/>
      <c r="F385" s="335"/>
      <c r="G385" s="336"/>
      <c r="H385" s="337"/>
      <c r="I385" s="252" t="str">
        <f t="shared" si="103"/>
        <v/>
      </c>
      <c r="J385" s="248" t="str">
        <f>IF(I385="","",VLOOKUP($I385,Master!$K$4:$N$607,4,FALSE))</f>
        <v/>
      </c>
      <c r="K385" s="253" t="str">
        <f t="shared" si="108"/>
        <v/>
      </c>
      <c r="L385" s="254"/>
      <c r="M385" s="341" t="str">
        <f t="shared" si="104"/>
        <v/>
      </c>
      <c r="N385" s="341"/>
      <c r="O385" s="342"/>
      <c r="P385" s="255" t="str">
        <f t="shared" si="105"/>
        <v/>
      </c>
      <c r="Q385" s="256" t="str">
        <f t="shared" si="109"/>
        <v/>
      </c>
      <c r="R385" s="256" t="str">
        <f t="shared" si="106"/>
        <v/>
      </c>
      <c r="S385" s="257" t="str">
        <f t="shared" si="110"/>
        <v/>
      </c>
      <c r="T385" s="219" t="str">
        <f t="shared" si="107"/>
        <v/>
      </c>
      <c r="U385" s="258"/>
    </row>
    <row r="386" spans="2:21" x14ac:dyDescent="0.15">
      <c r="B386" s="249"/>
      <c r="C386" s="314"/>
      <c r="D386" s="250"/>
      <c r="E386" s="251"/>
      <c r="F386" s="335"/>
      <c r="G386" s="336"/>
      <c r="H386" s="337"/>
      <c r="I386" s="252" t="str">
        <f t="shared" si="103"/>
        <v/>
      </c>
      <c r="J386" s="248" t="str">
        <f>IF(I386="","",VLOOKUP($I386,Master!$K$4:$N$607,4,FALSE))</f>
        <v/>
      </c>
      <c r="K386" s="253" t="str">
        <f t="shared" si="108"/>
        <v/>
      </c>
      <c r="L386" s="254"/>
      <c r="M386" s="341" t="str">
        <f t="shared" si="104"/>
        <v/>
      </c>
      <c r="N386" s="341"/>
      <c r="O386" s="342"/>
      <c r="P386" s="255" t="str">
        <f t="shared" si="105"/>
        <v/>
      </c>
      <c r="Q386" s="256" t="str">
        <f t="shared" si="109"/>
        <v/>
      </c>
      <c r="R386" s="256" t="str">
        <f t="shared" si="106"/>
        <v/>
      </c>
      <c r="S386" s="257" t="str">
        <f t="shared" si="110"/>
        <v/>
      </c>
      <c r="T386" s="219" t="str">
        <f t="shared" si="107"/>
        <v/>
      </c>
      <c r="U386" s="258"/>
    </row>
    <row r="387" spans="2:21" x14ac:dyDescent="0.15">
      <c r="B387" s="249"/>
      <c r="C387" s="314"/>
      <c r="D387" s="250"/>
      <c r="E387" s="251"/>
      <c r="F387" s="335"/>
      <c r="G387" s="336"/>
      <c r="H387" s="337"/>
      <c r="I387" s="252" t="str">
        <f t="shared" si="103"/>
        <v/>
      </c>
      <c r="J387" s="248" t="str">
        <f>IF(I387="","",VLOOKUP($I387,Master!$K$4:$N$607,4,FALSE))</f>
        <v/>
      </c>
      <c r="K387" s="253" t="str">
        <f t="shared" si="108"/>
        <v/>
      </c>
      <c r="L387" s="254"/>
      <c r="M387" s="341" t="str">
        <f t="shared" si="104"/>
        <v/>
      </c>
      <c r="N387" s="341"/>
      <c r="O387" s="342"/>
      <c r="P387" s="255" t="str">
        <f t="shared" si="105"/>
        <v/>
      </c>
      <c r="Q387" s="256" t="str">
        <f t="shared" si="109"/>
        <v/>
      </c>
      <c r="R387" s="256" t="str">
        <f t="shared" si="106"/>
        <v/>
      </c>
      <c r="S387" s="257" t="str">
        <f t="shared" si="110"/>
        <v/>
      </c>
      <c r="T387" s="219" t="str">
        <f t="shared" si="107"/>
        <v/>
      </c>
      <c r="U387" s="258"/>
    </row>
    <row r="388" spans="2:21" x14ac:dyDescent="0.15">
      <c r="B388" s="249"/>
      <c r="C388" s="314"/>
      <c r="D388" s="250"/>
      <c r="E388" s="251"/>
      <c r="F388" s="335"/>
      <c r="G388" s="336"/>
      <c r="H388" s="337"/>
      <c r="I388" s="252" t="str">
        <f t="shared" ref="I388:I451" si="111">IF($F388="","",IF(ISERR(VLOOKUP($C388&amp;$D388&amp;$E388&amp;$F388,SOW,2,FALSE)),"-",VLOOKUP($C388&amp;$D388&amp;$E388&amp;$F388,SOW,2,FALSE)))</f>
        <v/>
      </c>
      <c r="J388" s="248" t="str">
        <f>IF(I388="","",VLOOKUP($I388,Master!$K$4:$N$607,4,FALSE))</f>
        <v/>
      </c>
      <c r="K388" s="253" t="str">
        <f t="shared" si="108"/>
        <v/>
      </c>
      <c r="L388" s="254"/>
      <c r="M388" s="341" t="str">
        <f t="shared" ref="M388:M451" si="112">IF($F388&lt;&gt;"",IF($J388&lt;&gt;"-",IF($J388="要選択","REQ_IDを選択して下さい。",IF($J388="","REQ_IDを選択して下さい。",VLOOKUP($J388,REQUEST,2,FALSE))),$F388),"")</f>
        <v/>
      </c>
      <c r="N388" s="341"/>
      <c r="O388" s="342"/>
      <c r="P388" s="255" t="str">
        <f t="shared" ref="P388:P451" si="113">IF($B388&lt;&gt;"",TEXT(TEXT(YEAR($B388),"0000")&amp;TEXT(MONTH($B388),"00")&amp;$I388,"@"),"")</f>
        <v/>
      </c>
      <c r="Q388" s="256" t="str">
        <f t="shared" si="109"/>
        <v/>
      </c>
      <c r="R388" s="256" t="str">
        <f t="shared" ref="R388:R451" si="114">IF($B388&lt;&gt;"",TEXT(TEXT(YEAR($B388),"0000")&amp;TEXT(MONTH($B388),"00")&amp;$J388,"@"),"")</f>
        <v/>
      </c>
      <c r="S388" s="257" t="str">
        <f t="shared" si="110"/>
        <v/>
      </c>
      <c r="T388" s="219" t="str">
        <f t="shared" si="107"/>
        <v/>
      </c>
      <c r="U388" s="258"/>
    </row>
    <row r="389" spans="2:21" x14ac:dyDescent="0.15">
      <c r="B389" s="249"/>
      <c r="C389" s="314"/>
      <c r="D389" s="250"/>
      <c r="E389" s="251"/>
      <c r="F389" s="335"/>
      <c r="G389" s="336"/>
      <c r="H389" s="337"/>
      <c r="I389" s="252" t="str">
        <f t="shared" si="111"/>
        <v/>
      </c>
      <c r="J389" s="248" t="str">
        <f>IF(I389="","",VLOOKUP($I389,Master!$K$4:$N$607,4,FALSE))</f>
        <v/>
      </c>
      <c r="K389" s="253" t="str">
        <f t="shared" si="108"/>
        <v/>
      </c>
      <c r="L389" s="254"/>
      <c r="M389" s="341" t="str">
        <f t="shared" si="112"/>
        <v/>
      </c>
      <c r="N389" s="341"/>
      <c r="O389" s="342"/>
      <c r="P389" s="255" t="str">
        <f t="shared" si="113"/>
        <v/>
      </c>
      <c r="Q389" s="256" t="str">
        <f t="shared" si="109"/>
        <v/>
      </c>
      <c r="R389" s="256" t="str">
        <f t="shared" si="114"/>
        <v/>
      </c>
      <c r="S389" s="257" t="str">
        <f t="shared" si="110"/>
        <v/>
      </c>
      <c r="T389" s="219" t="str">
        <f t="shared" ref="T389:T452" si="115">IF($B389&lt;&gt;"",TEXT(TEXT(YEAR($B389),"0000")&amp;TEXT(MONTH($B389),"00")&amp;TEXT(DAY($B389),"00")&amp;$C389,"@"),"")</f>
        <v/>
      </c>
      <c r="U389" s="258"/>
    </row>
    <row r="390" spans="2:21" x14ac:dyDescent="0.15">
      <c r="B390" s="249"/>
      <c r="C390" s="314"/>
      <c r="D390" s="250"/>
      <c r="E390" s="251"/>
      <c r="F390" s="335"/>
      <c r="G390" s="336"/>
      <c r="H390" s="337"/>
      <c r="I390" s="252" t="str">
        <f t="shared" si="111"/>
        <v/>
      </c>
      <c r="J390" s="248" t="str">
        <f>IF(I390="","",VLOOKUP($I390,Master!$K$4:$N$607,4,FALSE))</f>
        <v/>
      </c>
      <c r="K390" s="253" t="str">
        <f t="shared" si="108"/>
        <v/>
      </c>
      <c r="L390" s="254"/>
      <c r="M390" s="341" t="str">
        <f t="shared" si="112"/>
        <v/>
      </c>
      <c r="N390" s="341"/>
      <c r="O390" s="342"/>
      <c r="P390" s="255" t="str">
        <f t="shared" si="113"/>
        <v/>
      </c>
      <c r="Q390" s="256" t="str">
        <f t="shared" si="109"/>
        <v/>
      </c>
      <c r="R390" s="256" t="str">
        <f t="shared" si="114"/>
        <v/>
      </c>
      <c r="S390" s="257" t="str">
        <f t="shared" si="110"/>
        <v/>
      </c>
      <c r="T390" s="219" t="str">
        <f t="shared" si="115"/>
        <v/>
      </c>
      <c r="U390" s="258"/>
    </row>
    <row r="391" spans="2:21" x14ac:dyDescent="0.15">
      <c r="B391" s="249"/>
      <c r="C391" s="314"/>
      <c r="D391" s="250"/>
      <c r="E391" s="251"/>
      <c r="F391" s="335"/>
      <c r="G391" s="336"/>
      <c r="H391" s="337"/>
      <c r="I391" s="252" t="str">
        <f t="shared" si="111"/>
        <v/>
      </c>
      <c r="J391" s="248" t="str">
        <f>IF(I391="","",VLOOKUP($I391,Master!$K$4:$N$607,4,FALSE))</f>
        <v/>
      </c>
      <c r="K391" s="253" t="str">
        <f t="shared" si="108"/>
        <v/>
      </c>
      <c r="L391" s="254"/>
      <c r="M391" s="341" t="str">
        <f t="shared" si="112"/>
        <v/>
      </c>
      <c r="N391" s="341"/>
      <c r="O391" s="342"/>
      <c r="P391" s="255" t="str">
        <f t="shared" si="113"/>
        <v/>
      </c>
      <c r="Q391" s="256" t="str">
        <f t="shared" si="109"/>
        <v/>
      </c>
      <c r="R391" s="256" t="str">
        <f t="shared" si="114"/>
        <v/>
      </c>
      <c r="S391" s="257" t="str">
        <f t="shared" si="110"/>
        <v/>
      </c>
      <c r="T391" s="219" t="str">
        <f t="shared" si="115"/>
        <v/>
      </c>
      <c r="U391" s="258"/>
    </row>
    <row r="392" spans="2:21" x14ac:dyDescent="0.15">
      <c r="B392" s="249"/>
      <c r="C392" s="314"/>
      <c r="D392" s="250"/>
      <c r="E392" s="251"/>
      <c r="F392" s="335"/>
      <c r="G392" s="336"/>
      <c r="H392" s="337"/>
      <c r="I392" s="252" t="str">
        <f t="shared" si="111"/>
        <v/>
      </c>
      <c r="J392" s="248" t="str">
        <f>IF(I392="","",VLOOKUP($I392,Master!$K$4:$N$607,4,FALSE))</f>
        <v/>
      </c>
      <c r="K392" s="253" t="str">
        <f t="shared" si="108"/>
        <v/>
      </c>
      <c r="L392" s="254"/>
      <c r="M392" s="341" t="str">
        <f t="shared" si="112"/>
        <v/>
      </c>
      <c r="N392" s="341"/>
      <c r="O392" s="342"/>
      <c r="P392" s="255" t="str">
        <f t="shared" si="113"/>
        <v/>
      </c>
      <c r="Q392" s="256" t="str">
        <f t="shared" si="109"/>
        <v/>
      </c>
      <c r="R392" s="256" t="str">
        <f t="shared" si="114"/>
        <v/>
      </c>
      <c r="S392" s="257" t="str">
        <f t="shared" si="110"/>
        <v/>
      </c>
      <c r="T392" s="219" t="str">
        <f t="shared" si="115"/>
        <v/>
      </c>
      <c r="U392" s="258"/>
    </row>
    <row r="393" spans="2:21" x14ac:dyDescent="0.15">
      <c r="B393" s="249"/>
      <c r="C393" s="314"/>
      <c r="D393" s="250"/>
      <c r="E393" s="251"/>
      <c r="F393" s="335"/>
      <c r="G393" s="336"/>
      <c r="H393" s="337"/>
      <c r="I393" s="252" t="str">
        <f t="shared" si="111"/>
        <v/>
      </c>
      <c r="J393" s="248" t="str">
        <f>IF(I393="","",VLOOKUP($I393,Master!$K$4:$N$607,4,FALSE))</f>
        <v/>
      </c>
      <c r="K393" s="253" t="str">
        <f t="shared" si="108"/>
        <v/>
      </c>
      <c r="L393" s="254"/>
      <c r="M393" s="341" t="str">
        <f t="shared" si="112"/>
        <v/>
      </c>
      <c r="N393" s="341"/>
      <c r="O393" s="342"/>
      <c r="P393" s="255" t="str">
        <f t="shared" si="113"/>
        <v/>
      </c>
      <c r="Q393" s="256" t="str">
        <f t="shared" si="109"/>
        <v/>
      </c>
      <c r="R393" s="256" t="str">
        <f t="shared" si="114"/>
        <v/>
      </c>
      <c r="S393" s="257" t="str">
        <f t="shared" si="110"/>
        <v/>
      </c>
      <c r="T393" s="219" t="str">
        <f t="shared" si="115"/>
        <v/>
      </c>
      <c r="U393" s="258"/>
    </row>
    <row r="394" spans="2:21" x14ac:dyDescent="0.15">
      <c r="B394" s="249"/>
      <c r="C394" s="314"/>
      <c r="D394" s="250"/>
      <c r="E394" s="251"/>
      <c r="F394" s="335"/>
      <c r="G394" s="336"/>
      <c r="H394" s="337"/>
      <c r="I394" s="252" t="str">
        <f t="shared" si="111"/>
        <v/>
      </c>
      <c r="J394" s="248" t="str">
        <f>IF(I394="","",VLOOKUP($I394,Master!$K$4:$N$607,4,FALSE))</f>
        <v/>
      </c>
      <c r="K394" s="253" t="str">
        <f t="shared" si="108"/>
        <v/>
      </c>
      <c r="L394" s="254"/>
      <c r="M394" s="341" t="str">
        <f t="shared" si="112"/>
        <v/>
      </c>
      <c r="N394" s="341"/>
      <c r="O394" s="342"/>
      <c r="P394" s="255" t="str">
        <f t="shared" si="113"/>
        <v/>
      </c>
      <c r="Q394" s="256" t="str">
        <f t="shared" si="109"/>
        <v/>
      </c>
      <c r="R394" s="256" t="str">
        <f t="shared" si="114"/>
        <v/>
      </c>
      <c r="S394" s="257" t="str">
        <f t="shared" si="110"/>
        <v/>
      </c>
      <c r="T394" s="219" t="str">
        <f t="shared" si="115"/>
        <v/>
      </c>
      <c r="U394" s="258"/>
    </row>
    <row r="395" spans="2:21" x14ac:dyDescent="0.15">
      <c r="B395" s="249"/>
      <c r="C395" s="314"/>
      <c r="D395" s="250"/>
      <c r="E395" s="251"/>
      <c r="F395" s="335"/>
      <c r="G395" s="336"/>
      <c r="H395" s="337"/>
      <c r="I395" s="252" t="str">
        <f t="shared" si="111"/>
        <v/>
      </c>
      <c r="J395" s="248" t="str">
        <f>IF(I395="","",VLOOKUP($I395,Master!$K$4:$N$607,4,FALSE))</f>
        <v/>
      </c>
      <c r="K395" s="253" t="str">
        <f t="shared" si="108"/>
        <v/>
      </c>
      <c r="L395" s="254"/>
      <c r="M395" s="341" t="str">
        <f t="shared" si="112"/>
        <v/>
      </c>
      <c r="N395" s="341"/>
      <c r="O395" s="342"/>
      <c r="P395" s="255" t="str">
        <f t="shared" si="113"/>
        <v/>
      </c>
      <c r="Q395" s="256" t="str">
        <f t="shared" si="109"/>
        <v/>
      </c>
      <c r="R395" s="256" t="str">
        <f t="shared" si="114"/>
        <v/>
      </c>
      <c r="S395" s="257" t="str">
        <f t="shared" si="110"/>
        <v/>
      </c>
      <c r="T395" s="219" t="str">
        <f t="shared" si="115"/>
        <v/>
      </c>
      <c r="U395" s="258"/>
    </row>
    <row r="396" spans="2:21" x14ac:dyDescent="0.15">
      <c r="B396" s="249"/>
      <c r="C396" s="314"/>
      <c r="D396" s="250"/>
      <c r="E396" s="251"/>
      <c r="F396" s="335"/>
      <c r="G396" s="336"/>
      <c r="H396" s="337"/>
      <c r="I396" s="252" t="str">
        <f t="shared" si="111"/>
        <v/>
      </c>
      <c r="J396" s="248" t="str">
        <f>IF(I396="","",VLOOKUP($I396,Master!$K$4:$N$607,4,FALSE))</f>
        <v/>
      </c>
      <c r="K396" s="253" t="str">
        <f t="shared" si="108"/>
        <v/>
      </c>
      <c r="L396" s="254"/>
      <c r="M396" s="341" t="str">
        <f t="shared" si="112"/>
        <v/>
      </c>
      <c r="N396" s="341"/>
      <c r="O396" s="342"/>
      <c r="P396" s="255" t="str">
        <f t="shared" si="113"/>
        <v/>
      </c>
      <c r="Q396" s="256" t="str">
        <f t="shared" si="109"/>
        <v/>
      </c>
      <c r="R396" s="256" t="str">
        <f t="shared" si="114"/>
        <v/>
      </c>
      <c r="S396" s="257" t="str">
        <f t="shared" si="110"/>
        <v/>
      </c>
      <c r="T396" s="219" t="str">
        <f t="shared" si="115"/>
        <v/>
      </c>
      <c r="U396" s="258"/>
    </row>
    <row r="397" spans="2:21" x14ac:dyDescent="0.15">
      <c r="B397" s="249"/>
      <c r="C397" s="314"/>
      <c r="D397" s="250"/>
      <c r="E397" s="251"/>
      <c r="F397" s="335"/>
      <c r="G397" s="336"/>
      <c r="H397" s="337"/>
      <c r="I397" s="252" t="str">
        <f t="shared" si="111"/>
        <v/>
      </c>
      <c r="J397" s="248" t="str">
        <f>IF(I397="","",VLOOKUP($I397,Master!$K$4:$N$607,4,FALSE))</f>
        <v/>
      </c>
      <c r="K397" s="253" t="str">
        <f t="shared" si="108"/>
        <v/>
      </c>
      <c r="L397" s="254"/>
      <c r="M397" s="341" t="str">
        <f t="shared" si="112"/>
        <v/>
      </c>
      <c r="N397" s="341"/>
      <c r="O397" s="342"/>
      <c r="P397" s="255" t="str">
        <f t="shared" si="113"/>
        <v/>
      </c>
      <c r="Q397" s="256" t="str">
        <f t="shared" si="109"/>
        <v/>
      </c>
      <c r="R397" s="256" t="str">
        <f t="shared" si="114"/>
        <v/>
      </c>
      <c r="S397" s="257" t="str">
        <f t="shared" si="110"/>
        <v/>
      </c>
      <c r="T397" s="219" t="str">
        <f t="shared" si="115"/>
        <v/>
      </c>
      <c r="U397" s="258"/>
    </row>
    <row r="398" spans="2:21" x14ac:dyDescent="0.15">
      <c r="B398" s="249"/>
      <c r="C398" s="314"/>
      <c r="D398" s="250"/>
      <c r="E398" s="251"/>
      <c r="F398" s="335"/>
      <c r="G398" s="336"/>
      <c r="H398" s="337"/>
      <c r="I398" s="252" t="str">
        <f t="shared" si="111"/>
        <v/>
      </c>
      <c r="J398" s="248" t="str">
        <f>IF(I398="","",VLOOKUP($I398,Master!$K$4:$N$607,4,FALSE))</f>
        <v/>
      </c>
      <c r="K398" s="253" t="str">
        <f t="shared" si="108"/>
        <v/>
      </c>
      <c r="L398" s="254"/>
      <c r="M398" s="341" t="str">
        <f t="shared" si="112"/>
        <v/>
      </c>
      <c r="N398" s="341"/>
      <c r="O398" s="342"/>
      <c r="P398" s="255" t="str">
        <f t="shared" si="113"/>
        <v/>
      </c>
      <c r="Q398" s="256" t="str">
        <f t="shared" si="109"/>
        <v/>
      </c>
      <c r="R398" s="256" t="str">
        <f t="shared" si="114"/>
        <v/>
      </c>
      <c r="S398" s="257" t="str">
        <f t="shared" si="110"/>
        <v/>
      </c>
      <c r="T398" s="219" t="str">
        <f t="shared" si="115"/>
        <v/>
      </c>
      <c r="U398" s="258"/>
    </row>
    <row r="399" spans="2:21" x14ac:dyDescent="0.15">
      <c r="B399" s="249"/>
      <c r="C399" s="314"/>
      <c r="D399" s="250"/>
      <c r="E399" s="251"/>
      <c r="F399" s="335"/>
      <c r="G399" s="336"/>
      <c r="H399" s="337"/>
      <c r="I399" s="252" t="str">
        <f t="shared" si="111"/>
        <v/>
      </c>
      <c r="J399" s="248" t="str">
        <f>IF(I399="","",VLOOKUP($I399,Master!$K$4:$N$607,4,FALSE))</f>
        <v/>
      </c>
      <c r="K399" s="253" t="str">
        <f t="shared" si="108"/>
        <v/>
      </c>
      <c r="L399" s="254"/>
      <c r="M399" s="341" t="str">
        <f t="shared" si="112"/>
        <v/>
      </c>
      <c r="N399" s="341"/>
      <c r="O399" s="342"/>
      <c r="P399" s="255" t="str">
        <f t="shared" si="113"/>
        <v/>
      </c>
      <c r="Q399" s="256" t="str">
        <f t="shared" si="109"/>
        <v/>
      </c>
      <c r="R399" s="256" t="str">
        <f t="shared" si="114"/>
        <v/>
      </c>
      <c r="S399" s="257" t="str">
        <f t="shared" si="110"/>
        <v/>
      </c>
      <c r="T399" s="219" t="str">
        <f t="shared" si="115"/>
        <v/>
      </c>
      <c r="U399" s="258"/>
    </row>
    <row r="400" spans="2:21" x14ac:dyDescent="0.15">
      <c r="B400" s="249"/>
      <c r="C400" s="314"/>
      <c r="D400" s="250"/>
      <c r="E400" s="251"/>
      <c r="F400" s="335"/>
      <c r="G400" s="336"/>
      <c r="H400" s="337"/>
      <c r="I400" s="252" t="str">
        <f t="shared" si="111"/>
        <v/>
      </c>
      <c r="J400" s="248" t="str">
        <f>IF(I400="","",VLOOKUP($I400,Master!$K$4:$N$607,4,FALSE))</f>
        <v/>
      </c>
      <c r="K400" s="253" t="str">
        <f t="shared" si="108"/>
        <v/>
      </c>
      <c r="L400" s="254"/>
      <c r="M400" s="341" t="str">
        <f t="shared" si="112"/>
        <v/>
      </c>
      <c r="N400" s="341"/>
      <c r="O400" s="342"/>
      <c r="P400" s="255" t="str">
        <f t="shared" si="113"/>
        <v/>
      </c>
      <c r="Q400" s="256" t="str">
        <f t="shared" si="109"/>
        <v/>
      </c>
      <c r="R400" s="256" t="str">
        <f t="shared" si="114"/>
        <v/>
      </c>
      <c r="S400" s="257" t="str">
        <f t="shared" si="110"/>
        <v/>
      </c>
      <c r="T400" s="219" t="str">
        <f t="shared" si="115"/>
        <v/>
      </c>
      <c r="U400" s="258"/>
    </row>
    <row r="401" spans="2:21" x14ac:dyDescent="0.15">
      <c r="B401" s="249"/>
      <c r="C401" s="314"/>
      <c r="D401" s="250"/>
      <c r="E401" s="251"/>
      <c r="F401" s="335"/>
      <c r="G401" s="336"/>
      <c r="H401" s="337"/>
      <c r="I401" s="252" t="str">
        <f t="shared" si="111"/>
        <v/>
      </c>
      <c r="J401" s="248" t="str">
        <f>IF(I401="","",VLOOKUP($I401,Master!$K$4:$N$607,4,FALSE))</f>
        <v/>
      </c>
      <c r="K401" s="253" t="str">
        <f t="shared" si="108"/>
        <v/>
      </c>
      <c r="L401" s="254"/>
      <c r="M401" s="341" t="str">
        <f t="shared" si="112"/>
        <v/>
      </c>
      <c r="N401" s="341"/>
      <c r="O401" s="342"/>
      <c r="P401" s="255" t="str">
        <f t="shared" si="113"/>
        <v/>
      </c>
      <c r="Q401" s="256" t="str">
        <f t="shared" si="109"/>
        <v/>
      </c>
      <c r="R401" s="256" t="str">
        <f t="shared" si="114"/>
        <v/>
      </c>
      <c r="S401" s="257" t="str">
        <f t="shared" si="110"/>
        <v/>
      </c>
      <c r="T401" s="219" t="str">
        <f t="shared" si="115"/>
        <v/>
      </c>
      <c r="U401" s="258"/>
    </row>
    <row r="402" spans="2:21" x14ac:dyDescent="0.15">
      <c r="B402" s="249"/>
      <c r="C402" s="314"/>
      <c r="D402" s="250"/>
      <c r="E402" s="251"/>
      <c r="F402" s="335"/>
      <c r="G402" s="336"/>
      <c r="H402" s="337"/>
      <c r="I402" s="252" t="str">
        <f t="shared" si="111"/>
        <v/>
      </c>
      <c r="J402" s="248" t="str">
        <f>IF(I402="","",VLOOKUP($I402,Master!$K$4:$N$607,4,FALSE))</f>
        <v/>
      </c>
      <c r="K402" s="253" t="str">
        <f t="shared" si="108"/>
        <v/>
      </c>
      <c r="L402" s="254"/>
      <c r="M402" s="341" t="str">
        <f t="shared" si="112"/>
        <v/>
      </c>
      <c r="N402" s="341"/>
      <c r="O402" s="342"/>
      <c r="P402" s="255" t="str">
        <f t="shared" si="113"/>
        <v/>
      </c>
      <c r="Q402" s="256" t="str">
        <f t="shared" si="109"/>
        <v/>
      </c>
      <c r="R402" s="256" t="str">
        <f t="shared" si="114"/>
        <v/>
      </c>
      <c r="S402" s="257" t="str">
        <f t="shared" si="110"/>
        <v/>
      </c>
      <c r="T402" s="219" t="str">
        <f t="shared" si="115"/>
        <v/>
      </c>
      <c r="U402" s="258"/>
    </row>
    <row r="403" spans="2:21" x14ac:dyDescent="0.15">
      <c r="B403" s="249"/>
      <c r="C403" s="314"/>
      <c r="D403" s="250"/>
      <c r="E403" s="251"/>
      <c r="F403" s="335"/>
      <c r="G403" s="336"/>
      <c r="H403" s="337"/>
      <c r="I403" s="252" t="str">
        <f t="shared" si="111"/>
        <v/>
      </c>
      <c r="J403" s="248" t="str">
        <f>IF(I403="","",VLOOKUP($I403,Master!$K$4:$N$607,4,FALSE))</f>
        <v/>
      </c>
      <c r="K403" s="253" t="str">
        <f t="shared" si="108"/>
        <v/>
      </c>
      <c r="L403" s="254"/>
      <c r="M403" s="341" t="str">
        <f t="shared" si="112"/>
        <v/>
      </c>
      <c r="N403" s="341"/>
      <c r="O403" s="342"/>
      <c r="P403" s="255" t="str">
        <f t="shared" si="113"/>
        <v/>
      </c>
      <c r="Q403" s="256" t="str">
        <f t="shared" si="109"/>
        <v/>
      </c>
      <c r="R403" s="256" t="str">
        <f t="shared" si="114"/>
        <v/>
      </c>
      <c r="S403" s="257" t="str">
        <f t="shared" si="110"/>
        <v/>
      </c>
      <c r="T403" s="219" t="str">
        <f t="shared" si="115"/>
        <v/>
      </c>
      <c r="U403" s="258"/>
    </row>
    <row r="404" spans="2:21" x14ac:dyDescent="0.15">
      <c r="B404" s="249"/>
      <c r="C404" s="314"/>
      <c r="D404" s="250"/>
      <c r="E404" s="251"/>
      <c r="F404" s="335"/>
      <c r="G404" s="336"/>
      <c r="H404" s="337"/>
      <c r="I404" s="252" t="str">
        <f t="shared" si="111"/>
        <v/>
      </c>
      <c r="J404" s="248" t="str">
        <f>IF(I404="","",VLOOKUP($I404,Master!$K$4:$N$607,4,FALSE))</f>
        <v/>
      </c>
      <c r="K404" s="253" t="str">
        <f t="shared" si="108"/>
        <v/>
      </c>
      <c r="L404" s="254"/>
      <c r="M404" s="341" t="str">
        <f t="shared" si="112"/>
        <v/>
      </c>
      <c r="N404" s="341"/>
      <c r="O404" s="342"/>
      <c r="P404" s="255" t="str">
        <f t="shared" si="113"/>
        <v/>
      </c>
      <c r="Q404" s="256" t="str">
        <f t="shared" si="109"/>
        <v/>
      </c>
      <c r="R404" s="256" t="str">
        <f t="shared" si="114"/>
        <v/>
      </c>
      <c r="S404" s="257" t="str">
        <f t="shared" si="110"/>
        <v/>
      </c>
      <c r="T404" s="219" t="str">
        <f t="shared" si="115"/>
        <v/>
      </c>
      <c r="U404" s="258"/>
    </row>
    <row r="405" spans="2:21" x14ac:dyDescent="0.15">
      <c r="B405" s="249"/>
      <c r="C405" s="314"/>
      <c r="D405" s="250"/>
      <c r="E405" s="251"/>
      <c r="F405" s="335"/>
      <c r="G405" s="336"/>
      <c r="H405" s="337"/>
      <c r="I405" s="252" t="str">
        <f t="shared" si="111"/>
        <v/>
      </c>
      <c r="J405" s="248" t="str">
        <f>IF(I405="","",VLOOKUP($I405,Master!$K$4:$N$607,4,FALSE))</f>
        <v/>
      </c>
      <c r="K405" s="253" t="str">
        <f t="shared" si="108"/>
        <v/>
      </c>
      <c r="L405" s="254"/>
      <c r="M405" s="341" t="str">
        <f t="shared" si="112"/>
        <v/>
      </c>
      <c r="N405" s="341"/>
      <c r="O405" s="342"/>
      <c r="P405" s="255" t="str">
        <f t="shared" si="113"/>
        <v/>
      </c>
      <c r="Q405" s="256" t="str">
        <f t="shared" si="109"/>
        <v/>
      </c>
      <c r="R405" s="256" t="str">
        <f t="shared" si="114"/>
        <v/>
      </c>
      <c r="S405" s="257" t="str">
        <f t="shared" si="110"/>
        <v/>
      </c>
      <c r="T405" s="219" t="str">
        <f t="shared" si="115"/>
        <v/>
      </c>
      <c r="U405" s="258"/>
    </row>
    <row r="406" spans="2:21" x14ac:dyDescent="0.15">
      <c r="B406" s="249"/>
      <c r="C406" s="314"/>
      <c r="D406" s="250"/>
      <c r="E406" s="251"/>
      <c r="F406" s="335"/>
      <c r="G406" s="336"/>
      <c r="H406" s="337"/>
      <c r="I406" s="252" t="str">
        <f t="shared" si="111"/>
        <v/>
      </c>
      <c r="J406" s="248" t="str">
        <f>IF(I406="","",VLOOKUP($I406,Master!$K$4:$N$607,4,FALSE))</f>
        <v/>
      </c>
      <c r="K406" s="253" t="str">
        <f t="shared" si="108"/>
        <v/>
      </c>
      <c r="L406" s="254"/>
      <c r="M406" s="341" t="str">
        <f t="shared" si="112"/>
        <v/>
      </c>
      <c r="N406" s="341"/>
      <c r="O406" s="342"/>
      <c r="P406" s="255" t="str">
        <f t="shared" si="113"/>
        <v/>
      </c>
      <c r="Q406" s="256" t="str">
        <f t="shared" si="109"/>
        <v/>
      </c>
      <c r="R406" s="256" t="str">
        <f t="shared" si="114"/>
        <v/>
      </c>
      <c r="S406" s="257" t="str">
        <f t="shared" si="110"/>
        <v/>
      </c>
      <c r="T406" s="219" t="str">
        <f t="shared" si="115"/>
        <v/>
      </c>
      <c r="U406" s="258"/>
    </row>
    <row r="407" spans="2:21" x14ac:dyDescent="0.15">
      <c r="B407" s="249"/>
      <c r="C407" s="314"/>
      <c r="D407" s="250"/>
      <c r="E407" s="251"/>
      <c r="F407" s="335"/>
      <c r="G407" s="336"/>
      <c r="H407" s="337"/>
      <c r="I407" s="252" t="str">
        <f t="shared" si="111"/>
        <v/>
      </c>
      <c r="J407" s="248" t="str">
        <f>IF(I407="","",VLOOKUP($I407,Master!$K$4:$N$607,4,FALSE))</f>
        <v/>
      </c>
      <c r="K407" s="253" t="str">
        <f t="shared" si="108"/>
        <v/>
      </c>
      <c r="L407" s="254"/>
      <c r="M407" s="341" t="str">
        <f t="shared" si="112"/>
        <v/>
      </c>
      <c r="N407" s="341"/>
      <c r="O407" s="342"/>
      <c r="P407" s="255" t="str">
        <f t="shared" si="113"/>
        <v/>
      </c>
      <c r="Q407" s="256" t="str">
        <f t="shared" si="109"/>
        <v/>
      </c>
      <c r="R407" s="256" t="str">
        <f t="shared" si="114"/>
        <v/>
      </c>
      <c r="S407" s="257" t="str">
        <f t="shared" si="110"/>
        <v/>
      </c>
      <c r="T407" s="219" t="str">
        <f t="shared" si="115"/>
        <v/>
      </c>
      <c r="U407" s="258"/>
    </row>
    <row r="408" spans="2:21" x14ac:dyDescent="0.15">
      <c r="B408" s="249"/>
      <c r="C408" s="314"/>
      <c r="D408" s="250"/>
      <c r="E408" s="251"/>
      <c r="F408" s="335"/>
      <c r="G408" s="336"/>
      <c r="H408" s="337"/>
      <c r="I408" s="252" t="str">
        <f t="shared" si="111"/>
        <v/>
      </c>
      <c r="J408" s="248" t="str">
        <f>IF(I408="","",VLOOKUP($I408,Master!$K$4:$N$607,4,FALSE))</f>
        <v/>
      </c>
      <c r="K408" s="253" t="str">
        <f t="shared" si="108"/>
        <v/>
      </c>
      <c r="L408" s="254"/>
      <c r="M408" s="341" t="str">
        <f t="shared" si="112"/>
        <v/>
      </c>
      <c r="N408" s="341"/>
      <c r="O408" s="342"/>
      <c r="P408" s="255" t="str">
        <f t="shared" si="113"/>
        <v/>
      </c>
      <c r="Q408" s="256" t="str">
        <f t="shared" si="109"/>
        <v/>
      </c>
      <c r="R408" s="256" t="str">
        <f t="shared" si="114"/>
        <v/>
      </c>
      <c r="S408" s="257" t="str">
        <f t="shared" si="110"/>
        <v/>
      </c>
      <c r="T408" s="219" t="str">
        <f t="shared" si="115"/>
        <v/>
      </c>
      <c r="U408" s="258"/>
    </row>
    <row r="409" spans="2:21" x14ac:dyDescent="0.15">
      <c r="B409" s="249"/>
      <c r="C409" s="314"/>
      <c r="D409" s="250"/>
      <c r="E409" s="251"/>
      <c r="F409" s="335"/>
      <c r="G409" s="336"/>
      <c r="H409" s="337"/>
      <c r="I409" s="252" t="str">
        <f t="shared" si="111"/>
        <v/>
      </c>
      <c r="J409" s="248" t="str">
        <f>IF(I409="","",VLOOKUP($I409,Master!$K$4:$N$607,4,FALSE))</f>
        <v/>
      </c>
      <c r="K409" s="253" t="str">
        <f t="shared" si="108"/>
        <v/>
      </c>
      <c r="L409" s="254"/>
      <c r="M409" s="341" t="str">
        <f t="shared" si="112"/>
        <v/>
      </c>
      <c r="N409" s="341"/>
      <c r="O409" s="342"/>
      <c r="P409" s="255" t="str">
        <f t="shared" si="113"/>
        <v/>
      </c>
      <c r="Q409" s="256" t="str">
        <f t="shared" si="109"/>
        <v/>
      </c>
      <c r="R409" s="256" t="str">
        <f t="shared" si="114"/>
        <v/>
      </c>
      <c r="S409" s="257" t="str">
        <f t="shared" si="110"/>
        <v/>
      </c>
      <c r="T409" s="219" t="str">
        <f t="shared" si="115"/>
        <v/>
      </c>
      <c r="U409" s="258"/>
    </row>
    <row r="410" spans="2:21" x14ac:dyDescent="0.15">
      <c r="B410" s="249"/>
      <c r="C410" s="314"/>
      <c r="D410" s="250"/>
      <c r="E410" s="251"/>
      <c r="F410" s="335"/>
      <c r="G410" s="336"/>
      <c r="H410" s="337"/>
      <c r="I410" s="252" t="str">
        <f t="shared" si="111"/>
        <v/>
      </c>
      <c r="J410" s="248" t="str">
        <f>IF(I410="","",VLOOKUP($I410,Master!$K$4:$N$607,4,FALSE))</f>
        <v/>
      </c>
      <c r="K410" s="253" t="str">
        <f t="shared" ref="K410:K473" si="116">IF(F410="","",IF(ISERROR(VLOOKUP($F410,SOW,3,FALSE)),0,VLOOKUP($F410,SOW,3,FALSE)*24))</f>
        <v/>
      </c>
      <c r="L410" s="254"/>
      <c r="M410" s="341" t="str">
        <f t="shared" si="112"/>
        <v/>
      </c>
      <c r="N410" s="341"/>
      <c r="O410" s="342"/>
      <c r="P410" s="255" t="str">
        <f t="shared" si="113"/>
        <v/>
      </c>
      <c r="Q410" s="256" t="str">
        <f t="shared" ref="Q410:Q473" si="117">IF($B410&lt;&gt;"",TEXT(TEXT(YEAR($B410),"0000")&amp;TEXT(MONTH($B410),"00")&amp;$I410&amp;"@"&amp;LEFT($E$2,SEARCH("　",$E$2,1)-1)&amp;"@"&amp;L410,"@"),"")</f>
        <v/>
      </c>
      <c r="R410" s="256" t="str">
        <f t="shared" si="114"/>
        <v/>
      </c>
      <c r="S410" s="257" t="str">
        <f t="shared" ref="S410:S473" si="118">IF($B410&lt;&gt;"",TEXT(YEAR($B410),"0000")&amp;TEXT(MONTH($B410),"00")&amp;$J410&amp;"@"&amp;LEFT($E$2,SEARCH("　",$E$2,1)-1)&amp;"@"&amp;L410,"")</f>
        <v/>
      </c>
      <c r="T410" s="219" t="str">
        <f t="shared" si="115"/>
        <v/>
      </c>
      <c r="U410" s="258"/>
    </row>
    <row r="411" spans="2:21" x14ac:dyDescent="0.15">
      <c r="B411" s="249"/>
      <c r="C411" s="314"/>
      <c r="D411" s="250"/>
      <c r="E411" s="251"/>
      <c r="F411" s="335"/>
      <c r="G411" s="336"/>
      <c r="H411" s="337"/>
      <c r="I411" s="252" t="str">
        <f t="shared" si="111"/>
        <v/>
      </c>
      <c r="J411" s="248" t="str">
        <f>IF(I411="","",VLOOKUP($I411,Master!$K$4:$N$607,4,FALSE))</f>
        <v/>
      </c>
      <c r="K411" s="253" t="str">
        <f t="shared" si="116"/>
        <v/>
      </c>
      <c r="L411" s="254"/>
      <c r="M411" s="341" t="str">
        <f t="shared" si="112"/>
        <v/>
      </c>
      <c r="N411" s="341"/>
      <c r="O411" s="342"/>
      <c r="P411" s="255" t="str">
        <f t="shared" si="113"/>
        <v/>
      </c>
      <c r="Q411" s="256" t="str">
        <f t="shared" si="117"/>
        <v/>
      </c>
      <c r="R411" s="256" t="str">
        <f t="shared" si="114"/>
        <v/>
      </c>
      <c r="S411" s="257" t="str">
        <f t="shared" si="118"/>
        <v/>
      </c>
      <c r="T411" s="219" t="str">
        <f t="shared" si="115"/>
        <v/>
      </c>
      <c r="U411" s="258"/>
    </row>
    <row r="412" spans="2:21" x14ac:dyDescent="0.15">
      <c r="B412" s="249"/>
      <c r="C412" s="314"/>
      <c r="D412" s="250"/>
      <c r="E412" s="251"/>
      <c r="F412" s="335"/>
      <c r="G412" s="336"/>
      <c r="H412" s="337"/>
      <c r="I412" s="252" t="str">
        <f t="shared" si="111"/>
        <v/>
      </c>
      <c r="J412" s="248" t="str">
        <f>IF(I412="","",VLOOKUP($I412,Master!$K$4:$N$607,4,FALSE))</f>
        <v/>
      </c>
      <c r="K412" s="253" t="str">
        <f t="shared" si="116"/>
        <v/>
      </c>
      <c r="L412" s="254"/>
      <c r="M412" s="341" t="str">
        <f t="shared" si="112"/>
        <v/>
      </c>
      <c r="N412" s="341"/>
      <c r="O412" s="342"/>
      <c r="P412" s="255" t="str">
        <f t="shared" si="113"/>
        <v/>
      </c>
      <c r="Q412" s="256" t="str">
        <f t="shared" si="117"/>
        <v/>
      </c>
      <c r="R412" s="256" t="str">
        <f t="shared" si="114"/>
        <v/>
      </c>
      <c r="S412" s="257" t="str">
        <f t="shared" si="118"/>
        <v/>
      </c>
      <c r="T412" s="219" t="str">
        <f t="shared" si="115"/>
        <v/>
      </c>
      <c r="U412" s="258"/>
    </row>
    <row r="413" spans="2:21" x14ac:dyDescent="0.15">
      <c r="B413" s="249"/>
      <c r="C413" s="314"/>
      <c r="D413" s="250"/>
      <c r="E413" s="251"/>
      <c r="F413" s="335"/>
      <c r="G413" s="336"/>
      <c r="H413" s="337"/>
      <c r="I413" s="252" t="str">
        <f t="shared" si="111"/>
        <v/>
      </c>
      <c r="J413" s="248" t="str">
        <f>IF(I413="","",VLOOKUP($I413,Master!$K$4:$N$607,4,FALSE))</f>
        <v/>
      </c>
      <c r="K413" s="253" t="str">
        <f t="shared" si="116"/>
        <v/>
      </c>
      <c r="L413" s="254"/>
      <c r="M413" s="341" t="str">
        <f t="shared" si="112"/>
        <v/>
      </c>
      <c r="N413" s="341"/>
      <c r="O413" s="342"/>
      <c r="P413" s="255" t="str">
        <f t="shared" si="113"/>
        <v/>
      </c>
      <c r="Q413" s="256" t="str">
        <f t="shared" si="117"/>
        <v/>
      </c>
      <c r="R413" s="256" t="str">
        <f t="shared" si="114"/>
        <v/>
      </c>
      <c r="S413" s="257" t="str">
        <f t="shared" si="118"/>
        <v/>
      </c>
      <c r="T413" s="219" t="str">
        <f t="shared" si="115"/>
        <v/>
      </c>
      <c r="U413" s="258"/>
    </row>
    <row r="414" spans="2:21" x14ac:dyDescent="0.15">
      <c r="B414" s="249"/>
      <c r="C414" s="314"/>
      <c r="D414" s="250"/>
      <c r="E414" s="251"/>
      <c r="F414" s="335"/>
      <c r="G414" s="336"/>
      <c r="H414" s="337"/>
      <c r="I414" s="252" t="str">
        <f t="shared" si="111"/>
        <v/>
      </c>
      <c r="J414" s="248" t="str">
        <f>IF(I414="","",VLOOKUP($I414,Master!$K$4:$N$607,4,FALSE))</f>
        <v/>
      </c>
      <c r="K414" s="253" t="str">
        <f t="shared" si="116"/>
        <v/>
      </c>
      <c r="L414" s="254"/>
      <c r="M414" s="341" t="str">
        <f t="shared" si="112"/>
        <v/>
      </c>
      <c r="N414" s="341"/>
      <c r="O414" s="342"/>
      <c r="P414" s="255" t="str">
        <f t="shared" si="113"/>
        <v/>
      </c>
      <c r="Q414" s="256" t="str">
        <f t="shared" si="117"/>
        <v/>
      </c>
      <c r="R414" s="256" t="str">
        <f t="shared" si="114"/>
        <v/>
      </c>
      <c r="S414" s="257" t="str">
        <f t="shared" si="118"/>
        <v/>
      </c>
      <c r="T414" s="219" t="str">
        <f t="shared" si="115"/>
        <v/>
      </c>
      <c r="U414" s="258"/>
    </row>
    <row r="415" spans="2:21" x14ac:dyDescent="0.15">
      <c r="B415" s="249"/>
      <c r="C415" s="314"/>
      <c r="D415" s="250"/>
      <c r="E415" s="251"/>
      <c r="F415" s="335"/>
      <c r="G415" s="336"/>
      <c r="H415" s="337"/>
      <c r="I415" s="252" t="str">
        <f t="shared" si="111"/>
        <v/>
      </c>
      <c r="J415" s="248" t="str">
        <f>IF(I415="","",VLOOKUP($I415,Master!$K$4:$N$607,4,FALSE))</f>
        <v/>
      </c>
      <c r="K415" s="253" t="str">
        <f t="shared" si="116"/>
        <v/>
      </c>
      <c r="L415" s="254"/>
      <c r="M415" s="341" t="str">
        <f t="shared" si="112"/>
        <v/>
      </c>
      <c r="N415" s="341"/>
      <c r="O415" s="342"/>
      <c r="P415" s="255" t="str">
        <f t="shared" si="113"/>
        <v/>
      </c>
      <c r="Q415" s="256" t="str">
        <f t="shared" si="117"/>
        <v/>
      </c>
      <c r="R415" s="256" t="str">
        <f t="shared" si="114"/>
        <v/>
      </c>
      <c r="S415" s="257" t="str">
        <f t="shared" si="118"/>
        <v/>
      </c>
      <c r="T415" s="219" t="str">
        <f t="shared" si="115"/>
        <v/>
      </c>
      <c r="U415" s="258"/>
    </row>
    <row r="416" spans="2:21" x14ac:dyDescent="0.15">
      <c r="B416" s="249"/>
      <c r="C416" s="314"/>
      <c r="D416" s="250"/>
      <c r="E416" s="251"/>
      <c r="F416" s="335"/>
      <c r="G416" s="336"/>
      <c r="H416" s="337"/>
      <c r="I416" s="252" t="str">
        <f t="shared" si="111"/>
        <v/>
      </c>
      <c r="J416" s="248" t="str">
        <f>IF(I416="","",VLOOKUP($I416,Master!$K$4:$N$607,4,FALSE))</f>
        <v/>
      </c>
      <c r="K416" s="253" t="str">
        <f t="shared" si="116"/>
        <v/>
      </c>
      <c r="L416" s="254"/>
      <c r="M416" s="341" t="str">
        <f t="shared" si="112"/>
        <v/>
      </c>
      <c r="N416" s="341"/>
      <c r="O416" s="342"/>
      <c r="P416" s="255" t="str">
        <f t="shared" si="113"/>
        <v/>
      </c>
      <c r="Q416" s="256" t="str">
        <f t="shared" si="117"/>
        <v/>
      </c>
      <c r="R416" s="256" t="str">
        <f t="shared" si="114"/>
        <v/>
      </c>
      <c r="S416" s="257" t="str">
        <f t="shared" si="118"/>
        <v/>
      </c>
      <c r="T416" s="219" t="str">
        <f t="shared" si="115"/>
        <v/>
      </c>
      <c r="U416" s="258"/>
    </row>
    <row r="417" spans="2:21" x14ac:dyDescent="0.15">
      <c r="B417" s="249"/>
      <c r="C417" s="314"/>
      <c r="D417" s="250"/>
      <c r="E417" s="251"/>
      <c r="F417" s="335"/>
      <c r="G417" s="336"/>
      <c r="H417" s="337"/>
      <c r="I417" s="252" t="str">
        <f t="shared" si="111"/>
        <v/>
      </c>
      <c r="J417" s="248" t="str">
        <f>IF(I417="","",VLOOKUP($I417,Master!$K$4:$N$607,4,FALSE))</f>
        <v/>
      </c>
      <c r="K417" s="253" t="str">
        <f t="shared" si="116"/>
        <v/>
      </c>
      <c r="L417" s="254"/>
      <c r="M417" s="341" t="str">
        <f t="shared" si="112"/>
        <v/>
      </c>
      <c r="N417" s="341"/>
      <c r="O417" s="342"/>
      <c r="P417" s="255" t="str">
        <f t="shared" si="113"/>
        <v/>
      </c>
      <c r="Q417" s="256" t="str">
        <f t="shared" si="117"/>
        <v/>
      </c>
      <c r="R417" s="256" t="str">
        <f t="shared" si="114"/>
        <v/>
      </c>
      <c r="S417" s="257" t="str">
        <f t="shared" si="118"/>
        <v/>
      </c>
      <c r="T417" s="219" t="str">
        <f t="shared" si="115"/>
        <v/>
      </c>
      <c r="U417" s="258"/>
    </row>
    <row r="418" spans="2:21" x14ac:dyDescent="0.15">
      <c r="B418" s="249"/>
      <c r="C418" s="314"/>
      <c r="D418" s="250"/>
      <c r="E418" s="251"/>
      <c r="F418" s="335"/>
      <c r="G418" s="336"/>
      <c r="H418" s="337"/>
      <c r="I418" s="252" t="str">
        <f t="shared" si="111"/>
        <v/>
      </c>
      <c r="J418" s="248" t="str">
        <f>IF(I418="","",VLOOKUP($I418,Master!$K$4:$N$607,4,FALSE))</f>
        <v/>
      </c>
      <c r="K418" s="253" t="str">
        <f t="shared" si="116"/>
        <v/>
      </c>
      <c r="L418" s="254"/>
      <c r="M418" s="341" t="str">
        <f t="shared" si="112"/>
        <v/>
      </c>
      <c r="N418" s="341"/>
      <c r="O418" s="342"/>
      <c r="P418" s="255" t="str">
        <f t="shared" si="113"/>
        <v/>
      </c>
      <c r="Q418" s="256" t="str">
        <f t="shared" si="117"/>
        <v/>
      </c>
      <c r="R418" s="256" t="str">
        <f t="shared" si="114"/>
        <v/>
      </c>
      <c r="S418" s="257" t="str">
        <f t="shared" si="118"/>
        <v/>
      </c>
      <c r="T418" s="219" t="str">
        <f t="shared" si="115"/>
        <v/>
      </c>
      <c r="U418" s="258"/>
    </row>
    <row r="419" spans="2:21" x14ac:dyDescent="0.15">
      <c r="B419" s="249"/>
      <c r="C419" s="314"/>
      <c r="D419" s="250"/>
      <c r="E419" s="251"/>
      <c r="F419" s="335"/>
      <c r="G419" s="336"/>
      <c r="H419" s="337"/>
      <c r="I419" s="252" t="str">
        <f t="shared" si="111"/>
        <v/>
      </c>
      <c r="J419" s="248" t="str">
        <f>IF(I419="","",VLOOKUP($I419,Master!$K$4:$N$607,4,FALSE))</f>
        <v/>
      </c>
      <c r="K419" s="253" t="str">
        <f t="shared" si="116"/>
        <v/>
      </c>
      <c r="L419" s="254"/>
      <c r="M419" s="341" t="str">
        <f t="shared" si="112"/>
        <v/>
      </c>
      <c r="N419" s="341"/>
      <c r="O419" s="342"/>
      <c r="P419" s="255" t="str">
        <f t="shared" si="113"/>
        <v/>
      </c>
      <c r="Q419" s="256" t="str">
        <f t="shared" si="117"/>
        <v/>
      </c>
      <c r="R419" s="256" t="str">
        <f t="shared" si="114"/>
        <v/>
      </c>
      <c r="S419" s="257" t="str">
        <f t="shared" si="118"/>
        <v/>
      </c>
      <c r="T419" s="219" t="str">
        <f t="shared" si="115"/>
        <v/>
      </c>
      <c r="U419" s="258"/>
    </row>
    <row r="420" spans="2:21" x14ac:dyDescent="0.15">
      <c r="B420" s="249"/>
      <c r="C420" s="314"/>
      <c r="D420" s="250"/>
      <c r="E420" s="251"/>
      <c r="F420" s="335"/>
      <c r="G420" s="336"/>
      <c r="H420" s="337"/>
      <c r="I420" s="252" t="str">
        <f t="shared" si="111"/>
        <v/>
      </c>
      <c r="J420" s="248" t="str">
        <f>IF(I420="","",VLOOKUP($I420,Master!$K$4:$N$607,4,FALSE))</f>
        <v/>
      </c>
      <c r="K420" s="253" t="str">
        <f t="shared" si="116"/>
        <v/>
      </c>
      <c r="L420" s="254"/>
      <c r="M420" s="341" t="str">
        <f t="shared" si="112"/>
        <v/>
      </c>
      <c r="N420" s="341"/>
      <c r="O420" s="342"/>
      <c r="P420" s="255" t="str">
        <f t="shared" si="113"/>
        <v/>
      </c>
      <c r="Q420" s="256" t="str">
        <f t="shared" si="117"/>
        <v/>
      </c>
      <c r="R420" s="256" t="str">
        <f t="shared" si="114"/>
        <v/>
      </c>
      <c r="S420" s="257" t="str">
        <f t="shared" si="118"/>
        <v/>
      </c>
      <c r="T420" s="219" t="str">
        <f t="shared" si="115"/>
        <v/>
      </c>
      <c r="U420" s="258"/>
    </row>
    <row r="421" spans="2:21" x14ac:dyDescent="0.15">
      <c r="B421" s="249"/>
      <c r="C421" s="314"/>
      <c r="D421" s="250"/>
      <c r="E421" s="251"/>
      <c r="F421" s="335"/>
      <c r="G421" s="336"/>
      <c r="H421" s="337"/>
      <c r="I421" s="252" t="str">
        <f t="shared" si="111"/>
        <v/>
      </c>
      <c r="J421" s="248" t="str">
        <f>IF(I421="","",VLOOKUP($I421,Master!$K$4:$N$607,4,FALSE))</f>
        <v/>
      </c>
      <c r="K421" s="253" t="str">
        <f t="shared" si="116"/>
        <v/>
      </c>
      <c r="L421" s="254"/>
      <c r="M421" s="341" t="str">
        <f t="shared" si="112"/>
        <v/>
      </c>
      <c r="N421" s="341"/>
      <c r="O421" s="342"/>
      <c r="P421" s="255" t="str">
        <f t="shared" si="113"/>
        <v/>
      </c>
      <c r="Q421" s="256" t="str">
        <f t="shared" si="117"/>
        <v/>
      </c>
      <c r="R421" s="256" t="str">
        <f t="shared" si="114"/>
        <v/>
      </c>
      <c r="S421" s="257" t="str">
        <f t="shared" si="118"/>
        <v/>
      </c>
      <c r="T421" s="219" t="str">
        <f t="shared" si="115"/>
        <v/>
      </c>
      <c r="U421" s="258"/>
    </row>
    <row r="422" spans="2:21" x14ac:dyDescent="0.15">
      <c r="B422" s="249"/>
      <c r="C422" s="314"/>
      <c r="D422" s="250"/>
      <c r="E422" s="251"/>
      <c r="F422" s="335"/>
      <c r="G422" s="336"/>
      <c r="H422" s="337"/>
      <c r="I422" s="252" t="str">
        <f t="shared" si="111"/>
        <v/>
      </c>
      <c r="J422" s="248" t="str">
        <f>IF(I422="","",VLOOKUP($I422,Master!$K$4:$N$607,4,FALSE))</f>
        <v/>
      </c>
      <c r="K422" s="253" t="str">
        <f t="shared" si="116"/>
        <v/>
      </c>
      <c r="L422" s="254"/>
      <c r="M422" s="341" t="str">
        <f t="shared" si="112"/>
        <v/>
      </c>
      <c r="N422" s="341"/>
      <c r="O422" s="342"/>
      <c r="P422" s="255" t="str">
        <f t="shared" si="113"/>
        <v/>
      </c>
      <c r="Q422" s="256" t="str">
        <f t="shared" si="117"/>
        <v/>
      </c>
      <c r="R422" s="256" t="str">
        <f t="shared" si="114"/>
        <v/>
      </c>
      <c r="S422" s="257" t="str">
        <f t="shared" si="118"/>
        <v/>
      </c>
      <c r="T422" s="219" t="str">
        <f t="shared" si="115"/>
        <v/>
      </c>
      <c r="U422" s="258"/>
    </row>
    <row r="423" spans="2:21" x14ac:dyDescent="0.15">
      <c r="B423" s="249"/>
      <c r="C423" s="314"/>
      <c r="D423" s="250"/>
      <c r="E423" s="251"/>
      <c r="F423" s="335"/>
      <c r="G423" s="336"/>
      <c r="H423" s="337"/>
      <c r="I423" s="252" t="str">
        <f t="shared" si="111"/>
        <v/>
      </c>
      <c r="J423" s="248" t="str">
        <f>IF(I423="","",VLOOKUP($I423,Master!$K$4:$N$607,4,FALSE))</f>
        <v/>
      </c>
      <c r="K423" s="253" t="str">
        <f t="shared" si="116"/>
        <v/>
      </c>
      <c r="L423" s="254"/>
      <c r="M423" s="341" t="str">
        <f t="shared" si="112"/>
        <v/>
      </c>
      <c r="N423" s="341"/>
      <c r="O423" s="342"/>
      <c r="P423" s="255" t="str">
        <f t="shared" si="113"/>
        <v/>
      </c>
      <c r="Q423" s="256" t="str">
        <f t="shared" si="117"/>
        <v/>
      </c>
      <c r="R423" s="256" t="str">
        <f t="shared" si="114"/>
        <v/>
      </c>
      <c r="S423" s="257" t="str">
        <f t="shared" si="118"/>
        <v/>
      </c>
      <c r="T423" s="219" t="str">
        <f t="shared" si="115"/>
        <v/>
      </c>
      <c r="U423" s="258"/>
    </row>
    <row r="424" spans="2:21" x14ac:dyDescent="0.15">
      <c r="B424" s="249"/>
      <c r="C424" s="314"/>
      <c r="D424" s="250"/>
      <c r="E424" s="251"/>
      <c r="F424" s="335"/>
      <c r="G424" s="336"/>
      <c r="H424" s="337"/>
      <c r="I424" s="252" t="str">
        <f t="shared" si="111"/>
        <v/>
      </c>
      <c r="J424" s="248" t="str">
        <f>IF(I424="","",VLOOKUP($I424,Master!$K$4:$N$607,4,FALSE))</f>
        <v/>
      </c>
      <c r="K424" s="253" t="str">
        <f t="shared" si="116"/>
        <v/>
      </c>
      <c r="L424" s="254"/>
      <c r="M424" s="341" t="str">
        <f t="shared" si="112"/>
        <v/>
      </c>
      <c r="N424" s="341"/>
      <c r="O424" s="342"/>
      <c r="P424" s="255" t="str">
        <f t="shared" si="113"/>
        <v/>
      </c>
      <c r="Q424" s="256" t="str">
        <f t="shared" si="117"/>
        <v/>
      </c>
      <c r="R424" s="256" t="str">
        <f t="shared" si="114"/>
        <v/>
      </c>
      <c r="S424" s="257" t="str">
        <f t="shared" si="118"/>
        <v/>
      </c>
      <c r="T424" s="219" t="str">
        <f t="shared" si="115"/>
        <v/>
      </c>
      <c r="U424" s="258"/>
    </row>
    <row r="425" spans="2:21" x14ac:dyDescent="0.15">
      <c r="B425" s="249"/>
      <c r="C425" s="314"/>
      <c r="D425" s="250"/>
      <c r="E425" s="251"/>
      <c r="F425" s="335"/>
      <c r="G425" s="336"/>
      <c r="H425" s="337"/>
      <c r="I425" s="252" t="str">
        <f t="shared" si="111"/>
        <v/>
      </c>
      <c r="J425" s="248" t="str">
        <f>IF(I425="","",VLOOKUP($I425,Master!$K$4:$N$607,4,FALSE))</f>
        <v/>
      </c>
      <c r="K425" s="253" t="str">
        <f t="shared" si="116"/>
        <v/>
      </c>
      <c r="L425" s="254"/>
      <c r="M425" s="341" t="str">
        <f t="shared" si="112"/>
        <v/>
      </c>
      <c r="N425" s="341"/>
      <c r="O425" s="342"/>
      <c r="P425" s="255" t="str">
        <f t="shared" si="113"/>
        <v/>
      </c>
      <c r="Q425" s="256" t="str">
        <f t="shared" si="117"/>
        <v/>
      </c>
      <c r="R425" s="256" t="str">
        <f t="shared" si="114"/>
        <v/>
      </c>
      <c r="S425" s="257" t="str">
        <f t="shared" si="118"/>
        <v/>
      </c>
      <c r="T425" s="219" t="str">
        <f t="shared" si="115"/>
        <v/>
      </c>
      <c r="U425" s="258"/>
    </row>
    <row r="426" spans="2:21" x14ac:dyDescent="0.15">
      <c r="B426" s="249"/>
      <c r="C426" s="314"/>
      <c r="D426" s="250"/>
      <c r="E426" s="251"/>
      <c r="F426" s="335"/>
      <c r="G426" s="336"/>
      <c r="H426" s="337"/>
      <c r="I426" s="252" t="str">
        <f t="shared" si="111"/>
        <v/>
      </c>
      <c r="J426" s="248" t="str">
        <f>IF(I426="","",VLOOKUP($I426,Master!$K$4:$N$607,4,FALSE))</f>
        <v/>
      </c>
      <c r="K426" s="253" t="str">
        <f t="shared" si="116"/>
        <v/>
      </c>
      <c r="L426" s="254"/>
      <c r="M426" s="341" t="str">
        <f t="shared" si="112"/>
        <v/>
      </c>
      <c r="N426" s="341"/>
      <c r="O426" s="342"/>
      <c r="P426" s="255" t="str">
        <f t="shared" si="113"/>
        <v/>
      </c>
      <c r="Q426" s="256" t="str">
        <f t="shared" si="117"/>
        <v/>
      </c>
      <c r="R426" s="256" t="str">
        <f t="shared" si="114"/>
        <v/>
      </c>
      <c r="S426" s="257" t="str">
        <f t="shared" si="118"/>
        <v/>
      </c>
      <c r="T426" s="219" t="str">
        <f t="shared" si="115"/>
        <v/>
      </c>
      <c r="U426" s="258"/>
    </row>
    <row r="427" spans="2:21" x14ac:dyDescent="0.15">
      <c r="B427" s="249"/>
      <c r="C427" s="314"/>
      <c r="D427" s="250"/>
      <c r="E427" s="251"/>
      <c r="F427" s="335"/>
      <c r="G427" s="336"/>
      <c r="H427" s="337"/>
      <c r="I427" s="252" t="str">
        <f t="shared" si="111"/>
        <v/>
      </c>
      <c r="J427" s="248" t="str">
        <f>IF(I427="","",VLOOKUP($I427,Master!$K$4:$N$607,4,FALSE))</f>
        <v/>
      </c>
      <c r="K427" s="253" t="str">
        <f t="shared" si="116"/>
        <v/>
      </c>
      <c r="L427" s="254"/>
      <c r="M427" s="341" t="str">
        <f t="shared" si="112"/>
        <v/>
      </c>
      <c r="N427" s="341"/>
      <c r="O427" s="342"/>
      <c r="P427" s="255" t="str">
        <f t="shared" si="113"/>
        <v/>
      </c>
      <c r="Q427" s="256" t="str">
        <f t="shared" si="117"/>
        <v/>
      </c>
      <c r="R427" s="256" t="str">
        <f t="shared" si="114"/>
        <v/>
      </c>
      <c r="S427" s="257" t="str">
        <f t="shared" si="118"/>
        <v/>
      </c>
      <c r="T427" s="219" t="str">
        <f t="shared" si="115"/>
        <v/>
      </c>
      <c r="U427" s="258"/>
    </row>
    <row r="428" spans="2:21" x14ac:dyDescent="0.15">
      <c r="B428" s="249"/>
      <c r="C428" s="314"/>
      <c r="D428" s="250"/>
      <c r="E428" s="251"/>
      <c r="F428" s="335"/>
      <c r="G428" s="336"/>
      <c r="H428" s="337"/>
      <c r="I428" s="252" t="str">
        <f t="shared" si="111"/>
        <v/>
      </c>
      <c r="J428" s="248" t="str">
        <f>IF(I428="","",VLOOKUP($I428,Master!$K$4:$N$607,4,FALSE))</f>
        <v/>
      </c>
      <c r="K428" s="253" t="str">
        <f t="shared" si="116"/>
        <v/>
      </c>
      <c r="L428" s="254"/>
      <c r="M428" s="341" t="str">
        <f t="shared" si="112"/>
        <v/>
      </c>
      <c r="N428" s="341"/>
      <c r="O428" s="342"/>
      <c r="P428" s="255" t="str">
        <f t="shared" si="113"/>
        <v/>
      </c>
      <c r="Q428" s="256" t="str">
        <f t="shared" si="117"/>
        <v/>
      </c>
      <c r="R428" s="256" t="str">
        <f t="shared" si="114"/>
        <v/>
      </c>
      <c r="S428" s="257" t="str">
        <f t="shared" si="118"/>
        <v/>
      </c>
      <c r="T428" s="219" t="str">
        <f t="shared" si="115"/>
        <v/>
      </c>
      <c r="U428" s="258"/>
    </row>
    <row r="429" spans="2:21" x14ac:dyDescent="0.15">
      <c r="B429" s="249"/>
      <c r="C429" s="314"/>
      <c r="D429" s="250"/>
      <c r="E429" s="251"/>
      <c r="F429" s="335"/>
      <c r="G429" s="336"/>
      <c r="H429" s="337"/>
      <c r="I429" s="252" t="str">
        <f t="shared" si="111"/>
        <v/>
      </c>
      <c r="J429" s="248" t="str">
        <f>IF(I429="","",VLOOKUP($I429,Master!$K$4:$N$607,4,FALSE))</f>
        <v/>
      </c>
      <c r="K429" s="253" t="str">
        <f t="shared" si="116"/>
        <v/>
      </c>
      <c r="L429" s="254"/>
      <c r="M429" s="341" t="str">
        <f t="shared" si="112"/>
        <v/>
      </c>
      <c r="N429" s="341"/>
      <c r="O429" s="342"/>
      <c r="P429" s="255" t="str">
        <f t="shared" si="113"/>
        <v/>
      </c>
      <c r="Q429" s="256" t="str">
        <f t="shared" si="117"/>
        <v/>
      </c>
      <c r="R429" s="256" t="str">
        <f t="shared" si="114"/>
        <v/>
      </c>
      <c r="S429" s="257" t="str">
        <f t="shared" si="118"/>
        <v/>
      </c>
      <c r="T429" s="219" t="str">
        <f t="shared" si="115"/>
        <v/>
      </c>
      <c r="U429" s="258"/>
    </row>
    <row r="430" spans="2:21" x14ac:dyDescent="0.15">
      <c r="B430" s="249"/>
      <c r="C430" s="314"/>
      <c r="D430" s="250"/>
      <c r="E430" s="251"/>
      <c r="F430" s="335"/>
      <c r="G430" s="336"/>
      <c r="H430" s="337"/>
      <c r="I430" s="252" t="str">
        <f t="shared" si="111"/>
        <v/>
      </c>
      <c r="J430" s="248" t="str">
        <f>IF(I430="","",VLOOKUP($I430,Master!$K$4:$N$607,4,FALSE))</f>
        <v/>
      </c>
      <c r="K430" s="253" t="str">
        <f t="shared" si="116"/>
        <v/>
      </c>
      <c r="L430" s="254"/>
      <c r="M430" s="341" t="str">
        <f t="shared" si="112"/>
        <v/>
      </c>
      <c r="N430" s="341"/>
      <c r="O430" s="342"/>
      <c r="P430" s="255" t="str">
        <f t="shared" si="113"/>
        <v/>
      </c>
      <c r="Q430" s="256" t="str">
        <f t="shared" si="117"/>
        <v/>
      </c>
      <c r="R430" s="256" t="str">
        <f t="shared" si="114"/>
        <v/>
      </c>
      <c r="S430" s="257" t="str">
        <f t="shared" si="118"/>
        <v/>
      </c>
      <c r="T430" s="219" t="str">
        <f t="shared" si="115"/>
        <v/>
      </c>
      <c r="U430" s="258"/>
    </row>
    <row r="431" spans="2:21" x14ac:dyDescent="0.15">
      <c r="B431" s="249"/>
      <c r="C431" s="314"/>
      <c r="D431" s="250"/>
      <c r="E431" s="251"/>
      <c r="F431" s="335"/>
      <c r="G431" s="336"/>
      <c r="H431" s="337"/>
      <c r="I431" s="252" t="str">
        <f t="shared" si="111"/>
        <v/>
      </c>
      <c r="J431" s="248" t="str">
        <f>IF(I431="","",VLOOKUP($I431,Master!$K$4:$N$607,4,FALSE))</f>
        <v/>
      </c>
      <c r="K431" s="253" t="str">
        <f t="shared" si="116"/>
        <v/>
      </c>
      <c r="L431" s="254"/>
      <c r="M431" s="341" t="str">
        <f t="shared" si="112"/>
        <v/>
      </c>
      <c r="N431" s="341"/>
      <c r="O431" s="342"/>
      <c r="P431" s="255" t="str">
        <f t="shared" si="113"/>
        <v/>
      </c>
      <c r="Q431" s="256" t="str">
        <f t="shared" si="117"/>
        <v/>
      </c>
      <c r="R431" s="256" t="str">
        <f t="shared" si="114"/>
        <v/>
      </c>
      <c r="S431" s="257" t="str">
        <f t="shared" si="118"/>
        <v/>
      </c>
      <c r="T431" s="219" t="str">
        <f t="shared" si="115"/>
        <v/>
      </c>
      <c r="U431" s="258"/>
    </row>
    <row r="432" spans="2:21" x14ac:dyDescent="0.15">
      <c r="B432" s="249"/>
      <c r="C432" s="314"/>
      <c r="D432" s="250"/>
      <c r="E432" s="251"/>
      <c r="F432" s="335"/>
      <c r="G432" s="336"/>
      <c r="H432" s="337"/>
      <c r="I432" s="252" t="str">
        <f t="shared" si="111"/>
        <v/>
      </c>
      <c r="J432" s="248" t="str">
        <f>IF(I432="","",VLOOKUP($I432,Master!$K$4:$N$607,4,FALSE))</f>
        <v/>
      </c>
      <c r="K432" s="253" t="str">
        <f t="shared" si="116"/>
        <v/>
      </c>
      <c r="L432" s="254"/>
      <c r="M432" s="341" t="str">
        <f t="shared" si="112"/>
        <v/>
      </c>
      <c r="N432" s="341"/>
      <c r="O432" s="342"/>
      <c r="P432" s="255" t="str">
        <f t="shared" si="113"/>
        <v/>
      </c>
      <c r="Q432" s="256" t="str">
        <f t="shared" si="117"/>
        <v/>
      </c>
      <c r="R432" s="256" t="str">
        <f t="shared" si="114"/>
        <v/>
      </c>
      <c r="S432" s="257" t="str">
        <f t="shared" si="118"/>
        <v/>
      </c>
      <c r="T432" s="219" t="str">
        <f t="shared" si="115"/>
        <v/>
      </c>
      <c r="U432" s="258"/>
    </row>
    <row r="433" spans="2:21" x14ac:dyDescent="0.15">
      <c r="B433" s="249"/>
      <c r="C433" s="314"/>
      <c r="D433" s="250"/>
      <c r="E433" s="251"/>
      <c r="F433" s="335"/>
      <c r="G433" s="336"/>
      <c r="H433" s="337"/>
      <c r="I433" s="252" t="str">
        <f t="shared" si="111"/>
        <v/>
      </c>
      <c r="J433" s="248" t="str">
        <f>IF(I433="","",VLOOKUP($I433,Master!$K$4:$N$607,4,FALSE))</f>
        <v/>
      </c>
      <c r="K433" s="253" t="str">
        <f t="shared" si="116"/>
        <v/>
      </c>
      <c r="L433" s="254"/>
      <c r="M433" s="341" t="str">
        <f t="shared" si="112"/>
        <v/>
      </c>
      <c r="N433" s="341"/>
      <c r="O433" s="342"/>
      <c r="P433" s="255" t="str">
        <f t="shared" si="113"/>
        <v/>
      </c>
      <c r="Q433" s="256" t="str">
        <f t="shared" si="117"/>
        <v/>
      </c>
      <c r="R433" s="256" t="str">
        <f t="shared" si="114"/>
        <v/>
      </c>
      <c r="S433" s="257" t="str">
        <f t="shared" si="118"/>
        <v/>
      </c>
      <c r="T433" s="219" t="str">
        <f t="shared" si="115"/>
        <v/>
      </c>
      <c r="U433" s="258"/>
    </row>
    <row r="434" spans="2:21" x14ac:dyDescent="0.15">
      <c r="B434" s="249"/>
      <c r="C434" s="314"/>
      <c r="D434" s="250"/>
      <c r="E434" s="251"/>
      <c r="F434" s="335"/>
      <c r="G434" s="336"/>
      <c r="H434" s="337"/>
      <c r="I434" s="252" t="str">
        <f t="shared" si="111"/>
        <v/>
      </c>
      <c r="J434" s="248" t="str">
        <f>IF(I434="","",VLOOKUP($I434,Master!$K$4:$N$607,4,FALSE))</f>
        <v/>
      </c>
      <c r="K434" s="253" t="str">
        <f t="shared" si="116"/>
        <v/>
      </c>
      <c r="L434" s="254"/>
      <c r="M434" s="341" t="str">
        <f t="shared" si="112"/>
        <v/>
      </c>
      <c r="N434" s="341"/>
      <c r="O434" s="342"/>
      <c r="P434" s="255" t="str">
        <f t="shared" si="113"/>
        <v/>
      </c>
      <c r="Q434" s="256" t="str">
        <f t="shared" si="117"/>
        <v/>
      </c>
      <c r="R434" s="256" t="str">
        <f t="shared" si="114"/>
        <v/>
      </c>
      <c r="S434" s="257" t="str">
        <f t="shared" si="118"/>
        <v/>
      </c>
      <c r="T434" s="219" t="str">
        <f t="shared" si="115"/>
        <v/>
      </c>
      <c r="U434" s="258"/>
    </row>
    <row r="435" spans="2:21" x14ac:dyDescent="0.15">
      <c r="B435" s="249"/>
      <c r="C435" s="314"/>
      <c r="D435" s="250"/>
      <c r="E435" s="251"/>
      <c r="F435" s="335"/>
      <c r="G435" s="336"/>
      <c r="H435" s="337"/>
      <c r="I435" s="252" t="str">
        <f t="shared" si="111"/>
        <v/>
      </c>
      <c r="J435" s="248" t="str">
        <f>IF(I435="","",VLOOKUP($I435,Master!$K$4:$N$607,4,FALSE))</f>
        <v/>
      </c>
      <c r="K435" s="253" t="str">
        <f t="shared" si="116"/>
        <v/>
      </c>
      <c r="L435" s="254"/>
      <c r="M435" s="341" t="str">
        <f t="shared" si="112"/>
        <v/>
      </c>
      <c r="N435" s="341"/>
      <c r="O435" s="342"/>
      <c r="P435" s="255" t="str">
        <f t="shared" si="113"/>
        <v/>
      </c>
      <c r="Q435" s="256" t="str">
        <f t="shared" si="117"/>
        <v/>
      </c>
      <c r="R435" s="256" t="str">
        <f t="shared" si="114"/>
        <v/>
      </c>
      <c r="S435" s="257" t="str">
        <f t="shared" si="118"/>
        <v/>
      </c>
      <c r="T435" s="219" t="str">
        <f t="shared" si="115"/>
        <v/>
      </c>
      <c r="U435" s="258"/>
    </row>
    <row r="436" spans="2:21" x14ac:dyDescent="0.15">
      <c r="B436" s="249"/>
      <c r="C436" s="314"/>
      <c r="D436" s="250"/>
      <c r="E436" s="251"/>
      <c r="F436" s="335"/>
      <c r="G436" s="336"/>
      <c r="H436" s="337"/>
      <c r="I436" s="252" t="str">
        <f t="shared" si="111"/>
        <v/>
      </c>
      <c r="J436" s="248" t="str">
        <f>IF(I436="","",VLOOKUP($I436,Master!$K$4:$N$607,4,FALSE))</f>
        <v/>
      </c>
      <c r="K436" s="253" t="str">
        <f t="shared" si="116"/>
        <v/>
      </c>
      <c r="L436" s="254"/>
      <c r="M436" s="341" t="str">
        <f t="shared" si="112"/>
        <v/>
      </c>
      <c r="N436" s="341"/>
      <c r="O436" s="342"/>
      <c r="P436" s="255" t="str">
        <f t="shared" si="113"/>
        <v/>
      </c>
      <c r="Q436" s="256" t="str">
        <f t="shared" si="117"/>
        <v/>
      </c>
      <c r="R436" s="256" t="str">
        <f t="shared" si="114"/>
        <v/>
      </c>
      <c r="S436" s="257" t="str">
        <f t="shared" si="118"/>
        <v/>
      </c>
      <c r="T436" s="219" t="str">
        <f t="shared" si="115"/>
        <v/>
      </c>
      <c r="U436" s="258"/>
    </row>
    <row r="437" spans="2:21" x14ac:dyDescent="0.15">
      <c r="B437" s="249"/>
      <c r="C437" s="314"/>
      <c r="D437" s="250"/>
      <c r="E437" s="251"/>
      <c r="F437" s="335"/>
      <c r="G437" s="336"/>
      <c r="H437" s="337"/>
      <c r="I437" s="252" t="str">
        <f t="shared" si="111"/>
        <v/>
      </c>
      <c r="J437" s="248" t="str">
        <f>IF(I437="","",VLOOKUP($I437,Master!$K$4:$N$607,4,FALSE))</f>
        <v/>
      </c>
      <c r="K437" s="253" t="str">
        <f t="shared" si="116"/>
        <v/>
      </c>
      <c r="L437" s="254"/>
      <c r="M437" s="341" t="str">
        <f t="shared" si="112"/>
        <v/>
      </c>
      <c r="N437" s="341"/>
      <c r="O437" s="342"/>
      <c r="P437" s="255" t="str">
        <f t="shared" si="113"/>
        <v/>
      </c>
      <c r="Q437" s="256" t="str">
        <f t="shared" si="117"/>
        <v/>
      </c>
      <c r="R437" s="256" t="str">
        <f t="shared" si="114"/>
        <v/>
      </c>
      <c r="S437" s="257" t="str">
        <f t="shared" si="118"/>
        <v/>
      </c>
      <c r="T437" s="219" t="str">
        <f t="shared" si="115"/>
        <v/>
      </c>
      <c r="U437" s="258"/>
    </row>
    <row r="438" spans="2:21" x14ac:dyDescent="0.15">
      <c r="B438" s="249"/>
      <c r="C438" s="314"/>
      <c r="D438" s="250"/>
      <c r="E438" s="251"/>
      <c r="F438" s="335"/>
      <c r="G438" s="336"/>
      <c r="H438" s="337"/>
      <c r="I438" s="252" t="str">
        <f t="shared" si="111"/>
        <v/>
      </c>
      <c r="J438" s="248" t="str">
        <f>IF(I438="","",VLOOKUP($I438,Master!$K$4:$N$607,4,FALSE))</f>
        <v/>
      </c>
      <c r="K438" s="253" t="str">
        <f t="shared" si="116"/>
        <v/>
      </c>
      <c r="L438" s="254"/>
      <c r="M438" s="341" t="str">
        <f t="shared" si="112"/>
        <v/>
      </c>
      <c r="N438" s="341"/>
      <c r="O438" s="342"/>
      <c r="P438" s="255" t="str">
        <f t="shared" si="113"/>
        <v/>
      </c>
      <c r="Q438" s="256" t="str">
        <f t="shared" si="117"/>
        <v/>
      </c>
      <c r="R438" s="256" t="str">
        <f t="shared" si="114"/>
        <v/>
      </c>
      <c r="S438" s="257" t="str">
        <f t="shared" si="118"/>
        <v/>
      </c>
      <c r="T438" s="219" t="str">
        <f t="shared" si="115"/>
        <v/>
      </c>
      <c r="U438" s="258"/>
    </row>
    <row r="439" spans="2:21" x14ac:dyDescent="0.15">
      <c r="B439" s="249"/>
      <c r="C439" s="314"/>
      <c r="D439" s="250"/>
      <c r="E439" s="251"/>
      <c r="F439" s="335"/>
      <c r="G439" s="336"/>
      <c r="H439" s="337"/>
      <c r="I439" s="252" t="str">
        <f t="shared" si="111"/>
        <v/>
      </c>
      <c r="J439" s="248" t="str">
        <f>IF(I439="","",VLOOKUP($I439,Master!$K$4:$N$607,4,FALSE))</f>
        <v/>
      </c>
      <c r="K439" s="253" t="str">
        <f t="shared" si="116"/>
        <v/>
      </c>
      <c r="L439" s="254"/>
      <c r="M439" s="341" t="str">
        <f t="shared" si="112"/>
        <v/>
      </c>
      <c r="N439" s="341"/>
      <c r="O439" s="342"/>
      <c r="P439" s="255" t="str">
        <f t="shared" si="113"/>
        <v/>
      </c>
      <c r="Q439" s="256" t="str">
        <f t="shared" si="117"/>
        <v/>
      </c>
      <c r="R439" s="256" t="str">
        <f t="shared" si="114"/>
        <v/>
      </c>
      <c r="S439" s="257" t="str">
        <f t="shared" si="118"/>
        <v/>
      </c>
      <c r="T439" s="219" t="str">
        <f t="shared" si="115"/>
        <v/>
      </c>
      <c r="U439" s="258"/>
    </row>
    <row r="440" spans="2:21" x14ac:dyDescent="0.15">
      <c r="B440" s="249"/>
      <c r="C440" s="314"/>
      <c r="D440" s="250"/>
      <c r="E440" s="251"/>
      <c r="F440" s="335"/>
      <c r="G440" s="336"/>
      <c r="H440" s="337"/>
      <c r="I440" s="252" t="str">
        <f t="shared" si="111"/>
        <v/>
      </c>
      <c r="J440" s="248" t="str">
        <f>IF(I440="","",VLOOKUP($I440,Master!$K$4:$N$607,4,FALSE))</f>
        <v/>
      </c>
      <c r="K440" s="253" t="str">
        <f t="shared" si="116"/>
        <v/>
      </c>
      <c r="L440" s="254"/>
      <c r="M440" s="341" t="str">
        <f t="shared" si="112"/>
        <v/>
      </c>
      <c r="N440" s="341"/>
      <c r="O440" s="342"/>
      <c r="P440" s="255" t="str">
        <f t="shared" si="113"/>
        <v/>
      </c>
      <c r="Q440" s="256" t="str">
        <f t="shared" si="117"/>
        <v/>
      </c>
      <c r="R440" s="256" t="str">
        <f t="shared" si="114"/>
        <v/>
      </c>
      <c r="S440" s="257" t="str">
        <f t="shared" si="118"/>
        <v/>
      </c>
      <c r="T440" s="219" t="str">
        <f t="shared" si="115"/>
        <v/>
      </c>
      <c r="U440" s="258"/>
    </row>
    <row r="441" spans="2:21" x14ac:dyDescent="0.15">
      <c r="B441" s="249"/>
      <c r="C441" s="314"/>
      <c r="D441" s="250"/>
      <c r="E441" s="251"/>
      <c r="F441" s="335"/>
      <c r="G441" s="336"/>
      <c r="H441" s="337"/>
      <c r="I441" s="252" t="str">
        <f t="shared" si="111"/>
        <v/>
      </c>
      <c r="J441" s="248" t="str">
        <f>IF(I441="","",VLOOKUP($I441,Master!$K$4:$N$607,4,FALSE))</f>
        <v/>
      </c>
      <c r="K441" s="253" t="str">
        <f t="shared" si="116"/>
        <v/>
      </c>
      <c r="L441" s="254"/>
      <c r="M441" s="341" t="str">
        <f t="shared" si="112"/>
        <v/>
      </c>
      <c r="N441" s="341"/>
      <c r="O441" s="342"/>
      <c r="P441" s="255" t="str">
        <f t="shared" si="113"/>
        <v/>
      </c>
      <c r="Q441" s="256" t="str">
        <f t="shared" si="117"/>
        <v/>
      </c>
      <c r="R441" s="256" t="str">
        <f t="shared" si="114"/>
        <v/>
      </c>
      <c r="S441" s="257" t="str">
        <f t="shared" si="118"/>
        <v/>
      </c>
      <c r="T441" s="219" t="str">
        <f t="shared" si="115"/>
        <v/>
      </c>
      <c r="U441" s="258"/>
    </row>
    <row r="442" spans="2:21" x14ac:dyDescent="0.15">
      <c r="B442" s="249"/>
      <c r="C442" s="314"/>
      <c r="D442" s="250"/>
      <c r="E442" s="251"/>
      <c r="F442" s="335"/>
      <c r="G442" s="336"/>
      <c r="H442" s="337"/>
      <c r="I442" s="252" t="str">
        <f t="shared" si="111"/>
        <v/>
      </c>
      <c r="J442" s="248" t="str">
        <f>IF(I442="","",VLOOKUP($I442,Master!$K$4:$N$607,4,FALSE))</f>
        <v/>
      </c>
      <c r="K442" s="253" t="str">
        <f t="shared" si="116"/>
        <v/>
      </c>
      <c r="L442" s="254"/>
      <c r="M442" s="341" t="str">
        <f t="shared" si="112"/>
        <v/>
      </c>
      <c r="N442" s="341"/>
      <c r="O442" s="342"/>
      <c r="P442" s="255" t="str">
        <f t="shared" si="113"/>
        <v/>
      </c>
      <c r="Q442" s="256" t="str">
        <f t="shared" si="117"/>
        <v/>
      </c>
      <c r="R442" s="256" t="str">
        <f t="shared" si="114"/>
        <v/>
      </c>
      <c r="S442" s="257" t="str">
        <f t="shared" si="118"/>
        <v/>
      </c>
      <c r="T442" s="219" t="str">
        <f t="shared" si="115"/>
        <v/>
      </c>
      <c r="U442" s="258"/>
    </row>
    <row r="443" spans="2:21" x14ac:dyDescent="0.15">
      <c r="B443" s="249"/>
      <c r="C443" s="314"/>
      <c r="D443" s="250"/>
      <c r="E443" s="251"/>
      <c r="F443" s="335"/>
      <c r="G443" s="336"/>
      <c r="H443" s="337"/>
      <c r="I443" s="252" t="str">
        <f t="shared" si="111"/>
        <v/>
      </c>
      <c r="J443" s="248" t="str">
        <f>IF(I443="","",VLOOKUP($I443,Master!$K$4:$N$607,4,FALSE))</f>
        <v/>
      </c>
      <c r="K443" s="253" t="str">
        <f t="shared" si="116"/>
        <v/>
      </c>
      <c r="L443" s="254"/>
      <c r="M443" s="341" t="str">
        <f t="shared" si="112"/>
        <v/>
      </c>
      <c r="N443" s="341"/>
      <c r="O443" s="342"/>
      <c r="P443" s="255" t="str">
        <f t="shared" si="113"/>
        <v/>
      </c>
      <c r="Q443" s="256" t="str">
        <f t="shared" si="117"/>
        <v/>
      </c>
      <c r="R443" s="256" t="str">
        <f t="shared" si="114"/>
        <v/>
      </c>
      <c r="S443" s="257" t="str">
        <f t="shared" si="118"/>
        <v/>
      </c>
      <c r="T443" s="219" t="str">
        <f t="shared" si="115"/>
        <v/>
      </c>
      <c r="U443" s="258"/>
    </row>
    <row r="444" spans="2:21" x14ac:dyDescent="0.15">
      <c r="B444" s="249"/>
      <c r="C444" s="314"/>
      <c r="D444" s="250"/>
      <c r="E444" s="251"/>
      <c r="F444" s="335"/>
      <c r="G444" s="336"/>
      <c r="H444" s="337"/>
      <c r="I444" s="252" t="str">
        <f t="shared" si="111"/>
        <v/>
      </c>
      <c r="J444" s="248" t="str">
        <f>IF(I444="","",VLOOKUP($I444,Master!$K$4:$N$607,4,FALSE))</f>
        <v/>
      </c>
      <c r="K444" s="253" t="str">
        <f t="shared" si="116"/>
        <v/>
      </c>
      <c r="L444" s="254"/>
      <c r="M444" s="341" t="str">
        <f t="shared" si="112"/>
        <v/>
      </c>
      <c r="N444" s="341"/>
      <c r="O444" s="342"/>
      <c r="P444" s="255" t="str">
        <f t="shared" si="113"/>
        <v/>
      </c>
      <c r="Q444" s="256" t="str">
        <f t="shared" si="117"/>
        <v/>
      </c>
      <c r="R444" s="256" t="str">
        <f t="shared" si="114"/>
        <v/>
      </c>
      <c r="S444" s="257" t="str">
        <f t="shared" si="118"/>
        <v/>
      </c>
      <c r="T444" s="219" t="str">
        <f t="shared" si="115"/>
        <v/>
      </c>
      <c r="U444" s="258"/>
    </row>
    <row r="445" spans="2:21" x14ac:dyDescent="0.15">
      <c r="B445" s="249"/>
      <c r="C445" s="314"/>
      <c r="D445" s="250"/>
      <c r="E445" s="251"/>
      <c r="F445" s="335"/>
      <c r="G445" s="336"/>
      <c r="H445" s="337"/>
      <c r="I445" s="252" t="str">
        <f t="shared" si="111"/>
        <v/>
      </c>
      <c r="J445" s="248" t="str">
        <f>IF(I445="","",VLOOKUP($I445,Master!$K$4:$N$607,4,FALSE))</f>
        <v/>
      </c>
      <c r="K445" s="253" t="str">
        <f t="shared" si="116"/>
        <v/>
      </c>
      <c r="L445" s="254"/>
      <c r="M445" s="341" t="str">
        <f t="shared" si="112"/>
        <v/>
      </c>
      <c r="N445" s="341"/>
      <c r="O445" s="342"/>
      <c r="P445" s="255" t="str">
        <f t="shared" si="113"/>
        <v/>
      </c>
      <c r="Q445" s="256" t="str">
        <f t="shared" si="117"/>
        <v/>
      </c>
      <c r="R445" s="256" t="str">
        <f t="shared" si="114"/>
        <v/>
      </c>
      <c r="S445" s="257" t="str">
        <f t="shared" si="118"/>
        <v/>
      </c>
      <c r="T445" s="219" t="str">
        <f t="shared" si="115"/>
        <v/>
      </c>
      <c r="U445" s="258"/>
    </row>
    <row r="446" spans="2:21" x14ac:dyDescent="0.15">
      <c r="B446" s="249"/>
      <c r="C446" s="314"/>
      <c r="D446" s="250"/>
      <c r="E446" s="251"/>
      <c r="F446" s="335"/>
      <c r="G446" s="336"/>
      <c r="H446" s="337"/>
      <c r="I446" s="252" t="str">
        <f t="shared" si="111"/>
        <v/>
      </c>
      <c r="J446" s="248" t="str">
        <f>IF(I446="","",VLOOKUP($I446,Master!$K$4:$N$607,4,FALSE))</f>
        <v/>
      </c>
      <c r="K446" s="253" t="str">
        <f t="shared" si="116"/>
        <v/>
      </c>
      <c r="L446" s="254"/>
      <c r="M446" s="341" t="str">
        <f t="shared" si="112"/>
        <v/>
      </c>
      <c r="N446" s="341"/>
      <c r="O446" s="342"/>
      <c r="P446" s="255" t="str">
        <f t="shared" si="113"/>
        <v/>
      </c>
      <c r="Q446" s="256" t="str">
        <f t="shared" si="117"/>
        <v/>
      </c>
      <c r="R446" s="256" t="str">
        <f t="shared" si="114"/>
        <v/>
      </c>
      <c r="S446" s="257" t="str">
        <f t="shared" si="118"/>
        <v/>
      </c>
      <c r="T446" s="219" t="str">
        <f t="shared" si="115"/>
        <v/>
      </c>
      <c r="U446" s="258"/>
    </row>
    <row r="447" spans="2:21" x14ac:dyDescent="0.15">
      <c r="B447" s="249"/>
      <c r="C447" s="314"/>
      <c r="D447" s="250"/>
      <c r="E447" s="251"/>
      <c r="F447" s="335"/>
      <c r="G447" s="336"/>
      <c r="H447" s="337"/>
      <c r="I447" s="252" t="str">
        <f t="shared" si="111"/>
        <v/>
      </c>
      <c r="J447" s="248" t="str">
        <f>IF(I447="","",VLOOKUP($I447,Master!$K$4:$N$607,4,FALSE))</f>
        <v/>
      </c>
      <c r="K447" s="253" t="str">
        <f t="shared" si="116"/>
        <v/>
      </c>
      <c r="L447" s="254"/>
      <c r="M447" s="341" t="str">
        <f t="shared" si="112"/>
        <v/>
      </c>
      <c r="N447" s="341"/>
      <c r="O447" s="342"/>
      <c r="P447" s="255" t="str">
        <f t="shared" si="113"/>
        <v/>
      </c>
      <c r="Q447" s="256" t="str">
        <f t="shared" si="117"/>
        <v/>
      </c>
      <c r="R447" s="256" t="str">
        <f t="shared" si="114"/>
        <v/>
      </c>
      <c r="S447" s="257" t="str">
        <f t="shared" si="118"/>
        <v/>
      </c>
      <c r="T447" s="219" t="str">
        <f t="shared" si="115"/>
        <v/>
      </c>
      <c r="U447" s="258"/>
    </row>
    <row r="448" spans="2:21" x14ac:dyDescent="0.15">
      <c r="B448" s="249"/>
      <c r="C448" s="314"/>
      <c r="D448" s="250"/>
      <c r="E448" s="251"/>
      <c r="F448" s="335"/>
      <c r="G448" s="336"/>
      <c r="H448" s="337"/>
      <c r="I448" s="252" t="str">
        <f t="shared" si="111"/>
        <v/>
      </c>
      <c r="J448" s="248" t="str">
        <f>IF(I448="","",VLOOKUP($I448,Master!$K$4:$N$607,4,FALSE))</f>
        <v/>
      </c>
      <c r="K448" s="253" t="str">
        <f t="shared" si="116"/>
        <v/>
      </c>
      <c r="L448" s="254"/>
      <c r="M448" s="341" t="str">
        <f t="shared" si="112"/>
        <v/>
      </c>
      <c r="N448" s="341"/>
      <c r="O448" s="342"/>
      <c r="P448" s="255" t="str">
        <f t="shared" si="113"/>
        <v/>
      </c>
      <c r="Q448" s="256" t="str">
        <f t="shared" si="117"/>
        <v/>
      </c>
      <c r="R448" s="256" t="str">
        <f t="shared" si="114"/>
        <v/>
      </c>
      <c r="S448" s="257" t="str">
        <f t="shared" si="118"/>
        <v/>
      </c>
      <c r="T448" s="219" t="str">
        <f t="shared" si="115"/>
        <v/>
      </c>
      <c r="U448" s="258"/>
    </row>
    <row r="449" spans="2:21" x14ac:dyDescent="0.15">
      <c r="B449" s="249"/>
      <c r="C449" s="314"/>
      <c r="D449" s="250"/>
      <c r="E449" s="251"/>
      <c r="F449" s="335"/>
      <c r="G449" s="336"/>
      <c r="H449" s="337"/>
      <c r="I449" s="252" t="str">
        <f t="shared" si="111"/>
        <v/>
      </c>
      <c r="J449" s="248" t="str">
        <f>IF(I449="","",VLOOKUP($I449,Master!$K$4:$N$607,4,FALSE))</f>
        <v/>
      </c>
      <c r="K449" s="253" t="str">
        <f t="shared" si="116"/>
        <v/>
      </c>
      <c r="L449" s="254"/>
      <c r="M449" s="341" t="str">
        <f t="shared" si="112"/>
        <v/>
      </c>
      <c r="N449" s="341"/>
      <c r="O449" s="342"/>
      <c r="P449" s="255" t="str">
        <f t="shared" si="113"/>
        <v/>
      </c>
      <c r="Q449" s="256" t="str">
        <f t="shared" si="117"/>
        <v/>
      </c>
      <c r="R449" s="256" t="str">
        <f t="shared" si="114"/>
        <v/>
      </c>
      <c r="S449" s="257" t="str">
        <f t="shared" si="118"/>
        <v/>
      </c>
      <c r="T449" s="219" t="str">
        <f t="shared" si="115"/>
        <v/>
      </c>
      <c r="U449" s="258"/>
    </row>
    <row r="450" spans="2:21" x14ac:dyDescent="0.15">
      <c r="B450" s="249"/>
      <c r="C450" s="314"/>
      <c r="D450" s="250"/>
      <c r="E450" s="251"/>
      <c r="F450" s="335"/>
      <c r="G450" s="336"/>
      <c r="H450" s="337"/>
      <c r="I450" s="252" t="str">
        <f t="shared" si="111"/>
        <v/>
      </c>
      <c r="J450" s="248" t="str">
        <f>IF(I450="","",VLOOKUP($I450,Master!$K$4:$N$607,4,FALSE))</f>
        <v/>
      </c>
      <c r="K450" s="253" t="str">
        <f t="shared" si="116"/>
        <v/>
      </c>
      <c r="L450" s="254"/>
      <c r="M450" s="341" t="str">
        <f t="shared" si="112"/>
        <v/>
      </c>
      <c r="N450" s="341"/>
      <c r="O450" s="342"/>
      <c r="P450" s="255" t="str">
        <f t="shared" si="113"/>
        <v/>
      </c>
      <c r="Q450" s="256" t="str">
        <f t="shared" si="117"/>
        <v/>
      </c>
      <c r="R450" s="256" t="str">
        <f t="shared" si="114"/>
        <v/>
      </c>
      <c r="S450" s="257" t="str">
        <f t="shared" si="118"/>
        <v/>
      </c>
      <c r="T450" s="219" t="str">
        <f t="shared" si="115"/>
        <v/>
      </c>
      <c r="U450" s="258"/>
    </row>
    <row r="451" spans="2:21" x14ac:dyDescent="0.15">
      <c r="B451" s="249"/>
      <c r="C451" s="314"/>
      <c r="D451" s="250"/>
      <c r="E451" s="251"/>
      <c r="F451" s="335"/>
      <c r="G451" s="336"/>
      <c r="H451" s="337"/>
      <c r="I451" s="252" t="str">
        <f t="shared" si="111"/>
        <v/>
      </c>
      <c r="J451" s="248" t="str">
        <f>IF(I451="","",VLOOKUP($I451,Master!$K$4:$N$607,4,FALSE))</f>
        <v/>
      </c>
      <c r="K451" s="253" t="str">
        <f t="shared" si="116"/>
        <v/>
      </c>
      <c r="L451" s="254"/>
      <c r="M451" s="341" t="str">
        <f t="shared" si="112"/>
        <v/>
      </c>
      <c r="N451" s="341"/>
      <c r="O451" s="342"/>
      <c r="P451" s="255" t="str">
        <f t="shared" si="113"/>
        <v/>
      </c>
      <c r="Q451" s="256" t="str">
        <f t="shared" si="117"/>
        <v/>
      </c>
      <c r="R451" s="256" t="str">
        <f t="shared" si="114"/>
        <v/>
      </c>
      <c r="S451" s="257" t="str">
        <f t="shared" si="118"/>
        <v/>
      </c>
      <c r="T451" s="219" t="str">
        <f t="shared" si="115"/>
        <v/>
      </c>
      <c r="U451" s="258"/>
    </row>
    <row r="452" spans="2:21" x14ac:dyDescent="0.15">
      <c r="B452" s="249"/>
      <c r="C452" s="314"/>
      <c r="D452" s="250"/>
      <c r="E452" s="251"/>
      <c r="F452" s="335"/>
      <c r="G452" s="336"/>
      <c r="H452" s="337"/>
      <c r="I452" s="252" t="str">
        <f t="shared" ref="I452:I515" si="119">IF($F452="","",IF(ISERR(VLOOKUP($C452&amp;$D452&amp;$E452&amp;$F452,SOW,2,FALSE)),"-",VLOOKUP($C452&amp;$D452&amp;$E452&amp;$F452,SOW,2,FALSE)))</f>
        <v/>
      </c>
      <c r="J452" s="248" t="str">
        <f>IF(I452="","",VLOOKUP($I452,Master!$K$4:$N$607,4,FALSE))</f>
        <v/>
      </c>
      <c r="K452" s="253" t="str">
        <f t="shared" si="116"/>
        <v/>
      </c>
      <c r="L452" s="254"/>
      <c r="M452" s="341" t="str">
        <f t="shared" ref="M452:M515" si="120">IF($F452&lt;&gt;"",IF($J452&lt;&gt;"-",IF($J452="要選択","REQ_IDを選択して下さい。",IF($J452="","REQ_IDを選択して下さい。",VLOOKUP($J452,REQUEST,2,FALSE))),$F452),"")</f>
        <v/>
      </c>
      <c r="N452" s="341"/>
      <c r="O452" s="342"/>
      <c r="P452" s="255" t="str">
        <f t="shared" ref="P452:P515" si="121">IF($B452&lt;&gt;"",TEXT(TEXT(YEAR($B452),"0000")&amp;TEXT(MONTH($B452),"00")&amp;$I452,"@"),"")</f>
        <v/>
      </c>
      <c r="Q452" s="256" t="str">
        <f t="shared" si="117"/>
        <v/>
      </c>
      <c r="R452" s="256" t="str">
        <f t="shared" ref="R452:R515" si="122">IF($B452&lt;&gt;"",TEXT(TEXT(YEAR($B452),"0000")&amp;TEXT(MONTH($B452),"00")&amp;$J452,"@"),"")</f>
        <v/>
      </c>
      <c r="S452" s="257" t="str">
        <f t="shared" si="118"/>
        <v/>
      </c>
      <c r="T452" s="219" t="str">
        <f t="shared" si="115"/>
        <v/>
      </c>
      <c r="U452" s="258"/>
    </row>
    <row r="453" spans="2:21" x14ac:dyDescent="0.15">
      <c r="B453" s="249"/>
      <c r="C453" s="314"/>
      <c r="D453" s="250"/>
      <c r="E453" s="251"/>
      <c r="F453" s="335"/>
      <c r="G453" s="336"/>
      <c r="H453" s="337"/>
      <c r="I453" s="252" t="str">
        <f t="shared" si="119"/>
        <v/>
      </c>
      <c r="J453" s="248" t="str">
        <f>IF(I453="","",VLOOKUP($I453,Master!$K$4:$N$607,4,FALSE))</f>
        <v/>
      </c>
      <c r="K453" s="253" t="str">
        <f t="shared" si="116"/>
        <v/>
      </c>
      <c r="L453" s="254"/>
      <c r="M453" s="341" t="str">
        <f t="shared" si="120"/>
        <v/>
      </c>
      <c r="N453" s="341"/>
      <c r="O453" s="342"/>
      <c r="P453" s="255" t="str">
        <f t="shared" si="121"/>
        <v/>
      </c>
      <c r="Q453" s="256" t="str">
        <f t="shared" si="117"/>
        <v/>
      </c>
      <c r="R453" s="256" t="str">
        <f t="shared" si="122"/>
        <v/>
      </c>
      <c r="S453" s="257" t="str">
        <f t="shared" si="118"/>
        <v/>
      </c>
      <c r="T453" s="219" t="str">
        <f t="shared" ref="T453:T516" si="123">IF($B453&lt;&gt;"",TEXT(TEXT(YEAR($B453),"0000")&amp;TEXT(MONTH($B453),"00")&amp;TEXT(DAY($B453),"00")&amp;$C453,"@"),"")</f>
        <v/>
      </c>
      <c r="U453" s="258"/>
    </row>
    <row r="454" spans="2:21" x14ac:dyDescent="0.15">
      <c r="B454" s="249"/>
      <c r="C454" s="314"/>
      <c r="D454" s="250"/>
      <c r="E454" s="251"/>
      <c r="F454" s="335"/>
      <c r="G454" s="336"/>
      <c r="H454" s="337"/>
      <c r="I454" s="252" t="str">
        <f t="shared" si="119"/>
        <v/>
      </c>
      <c r="J454" s="248" t="str">
        <f>IF(I454="","",VLOOKUP($I454,Master!$K$4:$N$607,4,FALSE))</f>
        <v/>
      </c>
      <c r="K454" s="253" t="str">
        <f t="shared" si="116"/>
        <v/>
      </c>
      <c r="L454" s="254"/>
      <c r="M454" s="341" t="str">
        <f t="shared" si="120"/>
        <v/>
      </c>
      <c r="N454" s="341"/>
      <c r="O454" s="342"/>
      <c r="P454" s="255" t="str">
        <f t="shared" si="121"/>
        <v/>
      </c>
      <c r="Q454" s="256" t="str">
        <f t="shared" si="117"/>
        <v/>
      </c>
      <c r="R454" s="256" t="str">
        <f t="shared" si="122"/>
        <v/>
      </c>
      <c r="S454" s="257" t="str">
        <f t="shared" si="118"/>
        <v/>
      </c>
      <c r="T454" s="219" t="str">
        <f t="shared" si="123"/>
        <v/>
      </c>
      <c r="U454" s="258"/>
    </row>
    <row r="455" spans="2:21" x14ac:dyDescent="0.15">
      <c r="B455" s="249"/>
      <c r="C455" s="314"/>
      <c r="D455" s="250"/>
      <c r="E455" s="251"/>
      <c r="F455" s="335"/>
      <c r="G455" s="336"/>
      <c r="H455" s="337"/>
      <c r="I455" s="252" t="str">
        <f t="shared" si="119"/>
        <v/>
      </c>
      <c r="J455" s="248" t="str">
        <f>IF(I455="","",VLOOKUP($I455,Master!$K$4:$N$607,4,FALSE))</f>
        <v/>
      </c>
      <c r="K455" s="253" t="str">
        <f t="shared" si="116"/>
        <v/>
      </c>
      <c r="L455" s="254"/>
      <c r="M455" s="341" t="str">
        <f t="shared" si="120"/>
        <v/>
      </c>
      <c r="N455" s="341"/>
      <c r="O455" s="342"/>
      <c r="P455" s="255" t="str">
        <f t="shared" si="121"/>
        <v/>
      </c>
      <c r="Q455" s="256" t="str">
        <f t="shared" si="117"/>
        <v/>
      </c>
      <c r="R455" s="256" t="str">
        <f t="shared" si="122"/>
        <v/>
      </c>
      <c r="S455" s="257" t="str">
        <f t="shared" si="118"/>
        <v/>
      </c>
      <c r="T455" s="219" t="str">
        <f t="shared" si="123"/>
        <v/>
      </c>
      <c r="U455" s="258"/>
    </row>
    <row r="456" spans="2:21" x14ac:dyDescent="0.15">
      <c r="B456" s="249"/>
      <c r="C456" s="314"/>
      <c r="D456" s="250"/>
      <c r="E456" s="251"/>
      <c r="F456" s="335"/>
      <c r="G456" s="336"/>
      <c r="H456" s="337"/>
      <c r="I456" s="252" t="str">
        <f t="shared" si="119"/>
        <v/>
      </c>
      <c r="J456" s="248" t="str">
        <f>IF(I456="","",VLOOKUP($I456,Master!$K$4:$N$607,4,FALSE))</f>
        <v/>
      </c>
      <c r="K456" s="253" t="str">
        <f t="shared" si="116"/>
        <v/>
      </c>
      <c r="L456" s="254"/>
      <c r="M456" s="341" t="str">
        <f t="shared" si="120"/>
        <v/>
      </c>
      <c r="N456" s="341"/>
      <c r="O456" s="342"/>
      <c r="P456" s="255" t="str">
        <f t="shared" si="121"/>
        <v/>
      </c>
      <c r="Q456" s="256" t="str">
        <f t="shared" si="117"/>
        <v/>
      </c>
      <c r="R456" s="256" t="str">
        <f t="shared" si="122"/>
        <v/>
      </c>
      <c r="S456" s="257" t="str">
        <f t="shared" si="118"/>
        <v/>
      </c>
      <c r="T456" s="219" t="str">
        <f t="shared" si="123"/>
        <v/>
      </c>
      <c r="U456" s="258"/>
    </row>
    <row r="457" spans="2:21" x14ac:dyDescent="0.15">
      <c r="B457" s="249"/>
      <c r="C457" s="314"/>
      <c r="D457" s="250"/>
      <c r="E457" s="251"/>
      <c r="F457" s="335"/>
      <c r="G457" s="336"/>
      <c r="H457" s="337"/>
      <c r="I457" s="252" t="str">
        <f t="shared" si="119"/>
        <v/>
      </c>
      <c r="J457" s="248" t="str">
        <f>IF(I457="","",VLOOKUP($I457,Master!$K$4:$N$607,4,FALSE))</f>
        <v/>
      </c>
      <c r="K457" s="253" t="str">
        <f t="shared" si="116"/>
        <v/>
      </c>
      <c r="L457" s="254"/>
      <c r="M457" s="341" t="str">
        <f t="shared" si="120"/>
        <v/>
      </c>
      <c r="N457" s="341"/>
      <c r="O457" s="342"/>
      <c r="P457" s="255" t="str">
        <f t="shared" si="121"/>
        <v/>
      </c>
      <c r="Q457" s="256" t="str">
        <f t="shared" si="117"/>
        <v/>
      </c>
      <c r="R457" s="256" t="str">
        <f t="shared" si="122"/>
        <v/>
      </c>
      <c r="S457" s="257" t="str">
        <f t="shared" si="118"/>
        <v/>
      </c>
      <c r="T457" s="219" t="str">
        <f t="shared" si="123"/>
        <v/>
      </c>
      <c r="U457" s="258"/>
    </row>
    <row r="458" spans="2:21" x14ac:dyDescent="0.15">
      <c r="B458" s="249"/>
      <c r="C458" s="314"/>
      <c r="D458" s="250"/>
      <c r="E458" s="251"/>
      <c r="F458" s="335"/>
      <c r="G458" s="336"/>
      <c r="H458" s="337"/>
      <c r="I458" s="252" t="str">
        <f t="shared" si="119"/>
        <v/>
      </c>
      <c r="J458" s="248" t="str">
        <f>IF(I458="","",VLOOKUP($I458,Master!$K$4:$N$607,4,FALSE))</f>
        <v/>
      </c>
      <c r="K458" s="253" t="str">
        <f t="shared" si="116"/>
        <v/>
      </c>
      <c r="L458" s="254"/>
      <c r="M458" s="341" t="str">
        <f t="shared" si="120"/>
        <v/>
      </c>
      <c r="N458" s="341"/>
      <c r="O458" s="342"/>
      <c r="P458" s="255" t="str">
        <f t="shared" si="121"/>
        <v/>
      </c>
      <c r="Q458" s="256" t="str">
        <f t="shared" si="117"/>
        <v/>
      </c>
      <c r="R458" s="256" t="str">
        <f t="shared" si="122"/>
        <v/>
      </c>
      <c r="S458" s="257" t="str">
        <f t="shared" si="118"/>
        <v/>
      </c>
      <c r="T458" s="219" t="str">
        <f t="shared" si="123"/>
        <v/>
      </c>
      <c r="U458" s="258"/>
    </row>
    <row r="459" spans="2:21" x14ac:dyDescent="0.15">
      <c r="B459" s="249"/>
      <c r="C459" s="314"/>
      <c r="D459" s="250"/>
      <c r="E459" s="251"/>
      <c r="F459" s="335"/>
      <c r="G459" s="336"/>
      <c r="H459" s="337"/>
      <c r="I459" s="252" t="str">
        <f t="shared" si="119"/>
        <v/>
      </c>
      <c r="J459" s="248" t="str">
        <f>IF(I459="","",VLOOKUP($I459,Master!$K$4:$N$607,4,FALSE))</f>
        <v/>
      </c>
      <c r="K459" s="253" t="str">
        <f t="shared" si="116"/>
        <v/>
      </c>
      <c r="L459" s="254"/>
      <c r="M459" s="341" t="str">
        <f t="shared" si="120"/>
        <v/>
      </c>
      <c r="N459" s="341"/>
      <c r="O459" s="342"/>
      <c r="P459" s="255" t="str">
        <f t="shared" si="121"/>
        <v/>
      </c>
      <c r="Q459" s="256" t="str">
        <f t="shared" si="117"/>
        <v/>
      </c>
      <c r="R459" s="256" t="str">
        <f t="shared" si="122"/>
        <v/>
      </c>
      <c r="S459" s="257" t="str">
        <f t="shared" si="118"/>
        <v/>
      </c>
      <c r="T459" s="219" t="str">
        <f t="shared" si="123"/>
        <v/>
      </c>
      <c r="U459" s="258"/>
    </row>
    <row r="460" spans="2:21" x14ac:dyDescent="0.15">
      <c r="B460" s="249"/>
      <c r="C460" s="314"/>
      <c r="D460" s="250"/>
      <c r="E460" s="251"/>
      <c r="F460" s="335"/>
      <c r="G460" s="336"/>
      <c r="H460" s="337"/>
      <c r="I460" s="252" t="str">
        <f t="shared" si="119"/>
        <v/>
      </c>
      <c r="J460" s="248" t="str">
        <f>IF(I460="","",VLOOKUP($I460,Master!$K$4:$N$607,4,FALSE))</f>
        <v/>
      </c>
      <c r="K460" s="253" t="str">
        <f t="shared" si="116"/>
        <v/>
      </c>
      <c r="L460" s="254"/>
      <c r="M460" s="341" t="str">
        <f t="shared" si="120"/>
        <v/>
      </c>
      <c r="N460" s="341"/>
      <c r="O460" s="342"/>
      <c r="P460" s="255" t="str">
        <f t="shared" si="121"/>
        <v/>
      </c>
      <c r="Q460" s="256" t="str">
        <f t="shared" si="117"/>
        <v/>
      </c>
      <c r="R460" s="256" t="str">
        <f t="shared" si="122"/>
        <v/>
      </c>
      <c r="S460" s="257" t="str">
        <f t="shared" si="118"/>
        <v/>
      </c>
      <c r="T460" s="219" t="str">
        <f t="shared" si="123"/>
        <v/>
      </c>
      <c r="U460" s="258"/>
    </row>
    <row r="461" spans="2:21" x14ac:dyDescent="0.15">
      <c r="B461" s="249"/>
      <c r="C461" s="314"/>
      <c r="D461" s="250"/>
      <c r="E461" s="251"/>
      <c r="F461" s="335"/>
      <c r="G461" s="336"/>
      <c r="H461" s="337"/>
      <c r="I461" s="252" t="str">
        <f t="shared" si="119"/>
        <v/>
      </c>
      <c r="J461" s="248" t="str">
        <f>IF(I461="","",VLOOKUP($I461,Master!$K$4:$N$607,4,FALSE))</f>
        <v/>
      </c>
      <c r="K461" s="253" t="str">
        <f t="shared" si="116"/>
        <v/>
      </c>
      <c r="L461" s="254"/>
      <c r="M461" s="341" t="str">
        <f t="shared" si="120"/>
        <v/>
      </c>
      <c r="N461" s="341"/>
      <c r="O461" s="342"/>
      <c r="P461" s="255" t="str">
        <f t="shared" si="121"/>
        <v/>
      </c>
      <c r="Q461" s="256" t="str">
        <f t="shared" si="117"/>
        <v/>
      </c>
      <c r="R461" s="256" t="str">
        <f t="shared" si="122"/>
        <v/>
      </c>
      <c r="S461" s="257" t="str">
        <f t="shared" si="118"/>
        <v/>
      </c>
      <c r="T461" s="219" t="str">
        <f t="shared" si="123"/>
        <v/>
      </c>
      <c r="U461" s="258"/>
    </row>
    <row r="462" spans="2:21" x14ac:dyDescent="0.15">
      <c r="B462" s="249"/>
      <c r="C462" s="314"/>
      <c r="D462" s="250"/>
      <c r="E462" s="251"/>
      <c r="F462" s="335"/>
      <c r="G462" s="336"/>
      <c r="H462" s="337"/>
      <c r="I462" s="252" t="str">
        <f t="shared" si="119"/>
        <v/>
      </c>
      <c r="J462" s="248" t="str">
        <f>IF(I462="","",VLOOKUP($I462,Master!$K$4:$N$607,4,FALSE))</f>
        <v/>
      </c>
      <c r="K462" s="253" t="str">
        <f t="shared" si="116"/>
        <v/>
      </c>
      <c r="L462" s="254"/>
      <c r="M462" s="341" t="str">
        <f t="shared" si="120"/>
        <v/>
      </c>
      <c r="N462" s="341"/>
      <c r="O462" s="342"/>
      <c r="P462" s="255" t="str">
        <f t="shared" si="121"/>
        <v/>
      </c>
      <c r="Q462" s="256" t="str">
        <f t="shared" si="117"/>
        <v/>
      </c>
      <c r="R462" s="256" t="str">
        <f t="shared" si="122"/>
        <v/>
      </c>
      <c r="S462" s="257" t="str">
        <f t="shared" si="118"/>
        <v/>
      </c>
      <c r="T462" s="219" t="str">
        <f t="shared" si="123"/>
        <v/>
      </c>
      <c r="U462" s="258"/>
    </row>
    <row r="463" spans="2:21" x14ac:dyDescent="0.15">
      <c r="B463" s="249"/>
      <c r="C463" s="314"/>
      <c r="D463" s="250"/>
      <c r="E463" s="251"/>
      <c r="F463" s="335"/>
      <c r="G463" s="336"/>
      <c r="H463" s="337"/>
      <c r="I463" s="252" t="str">
        <f t="shared" si="119"/>
        <v/>
      </c>
      <c r="J463" s="248" t="str">
        <f>IF(I463="","",VLOOKUP($I463,Master!$K$4:$N$607,4,FALSE))</f>
        <v/>
      </c>
      <c r="K463" s="253" t="str">
        <f t="shared" si="116"/>
        <v/>
      </c>
      <c r="L463" s="254"/>
      <c r="M463" s="341" t="str">
        <f t="shared" si="120"/>
        <v/>
      </c>
      <c r="N463" s="341"/>
      <c r="O463" s="342"/>
      <c r="P463" s="255" t="str">
        <f t="shared" si="121"/>
        <v/>
      </c>
      <c r="Q463" s="256" t="str">
        <f t="shared" si="117"/>
        <v/>
      </c>
      <c r="R463" s="256" t="str">
        <f t="shared" si="122"/>
        <v/>
      </c>
      <c r="S463" s="257" t="str">
        <f t="shared" si="118"/>
        <v/>
      </c>
      <c r="T463" s="219" t="str">
        <f t="shared" si="123"/>
        <v/>
      </c>
      <c r="U463" s="258"/>
    </row>
    <row r="464" spans="2:21" x14ac:dyDescent="0.15">
      <c r="B464" s="249"/>
      <c r="C464" s="314"/>
      <c r="D464" s="250"/>
      <c r="E464" s="251"/>
      <c r="F464" s="335"/>
      <c r="G464" s="336"/>
      <c r="H464" s="337"/>
      <c r="I464" s="252" t="str">
        <f t="shared" si="119"/>
        <v/>
      </c>
      <c r="J464" s="248" t="str">
        <f>IF(I464="","",VLOOKUP($I464,Master!$K$4:$N$607,4,FALSE))</f>
        <v/>
      </c>
      <c r="K464" s="253" t="str">
        <f t="shared" si="116"/>
        <v/>
      </c>
      <c r="L464" s="254"/>
      <c r="M464" s="341" t="str">
        <f t="shared" si="120"/>
        <v/>
      </c>
      <c r="N464" s="341"/>
      <c r="O464" s="342"/>
      <c r="P464" s="255" t="str">
        <f t="shared" si="121"/>
        <v/>
      </c>
      <c r="Q464" s="256" t="str">
        <f t="shared" si="117"/>
        <v/>
      </c>
      <c r="R464" s="256" t="str">
        <f t="shared" si="122"/>
        <v/>
      </c>
      <c r="S464" s="257" t="str">
        <f t="shared" si="118"/>
        <v/>
      </c>
      <c r="T464" s="219" t="str">
        <f t="shared" si="123"/>
        <v/>
      </c>
      <c r="U464" s="258"/>
    </row>
    <row r="465" spans="2:21" x14ac:dyDescent="0.15">
      <c r="B465" s="249"/>
      <c r="C465" s="314"/>
      <c r="D465" s="250"/>
      <c r="E465" s="251"/>
      <c r="F465" s="335"/>
      <c r="G465" s="336"/>
      <c r="H465" s="337"/>
      <c r="I465" s="252" t="str">
        <f t="shared" si="119"/>
        <v/>
      </c>
      <c r="J465" s="248" t="str">
        <f>IF(I465="","",VLOOKUP($I465,Master!$K$4:$N$607,4,FALSE))</f>
        <v/>
      </c>
      <c r="K465" s="253" t="str">
        <f t="shared" si="116"/>
        <v/>
      </c>
      <c r="L465" s="254"/>
      <c r="M465" s="341" t="str">
        <f t="shared" si="120"/>
        <v/>
      </c>
      <c r="N465" s="341"/>
      <c r="O465" s="342"/>
      <c r="P465" s="255" t="str">
        <f t="shared" si="121"/>
        <v/>
      </c>
      <c r="Q465" s="256" t="str">
        <f t="shared" si="117"/>
        <v/>
      </c>
      <c r="R465" s="256" t="str">
        <f t="shared" si="122"/>
        <v/>
      </c>
      <c r="S465" s="257" t="str">
        <f t="shared" si="118"/>
        <v/>
      </c>
      <c r="T465" s="219" t="str">
        <f t="shared" si="123"/>
        <v/>
      </c>
      <c r="U465" s="258"/>
    </row>
    <row r="466" spans="2:21" x14ac:dyDescent="0.15">
      <c r="B466" s="249"/>
      <c r="C466" s="314"/>
      <c r="D466" s="250"/>
      <c r="E466" s="251"/>
      <c r="F466" s="335"/>
      <c r="G466" s="336"/>
      <c r="H466" s="337"/>
      <c r="I466" s="252" t="str">
        <f t="shared" si="119"/>
        <v/>
      </c>
      <c r="J466" s="248" t="str">
        <f>IF(I466="","",VLOOKUP($I466,Master!$K$4:$N$607,4,FALSE))</f>
        <v/>
      </c>
      <c r="K466" s="253" t="str">
        <f t="shared" si="116"/>
        <v/>
      </c>
      <c r="L466" s="254"/>
      <c r="M466" s="341" t="str">
        <f t="shared" si="120"/>
        <v/>
      </c>
      <c r="N466" s="341"/>
      <c r="O466" s="342"/>
      <c r="P466" s="255" t="str">
        <f t="shared" si="121"/>
        <v/>
      </c>
      <c r="Q466" s="256" t="str">
        <f t="shared" si="117"/>
        <v/>
      </c>
      <c r="R466" s="256" t="str">
        <f t="shared" si="122"/>
        <v/>
      </c>
      <c r="S466" s="257" t="str">
        <f t="shared" si="118"/>
        <v/>
      </c>
      <c r="T466" s="219" t="str">
        <f t="shared" si="123"/>
        <v/>
      </c>
      <c r="U466" s="258"/>
    </row>
    <row r="467" spans="2:21" x14ac:dyDescent="0.15">
      <c r="B467" s="249"/>
      <c r="C467" s="314"/>
      <c r="D467" s="250"/>
      <c r="E467" s="251"/>
      <c r="F467" s="335"/>
      <c r="G467" s="336"/>
      <c r="H467" s="337"/>
      <c r="I467" s="252" t="str">
        <f t="shared" si="119"/>
        <v/>
      </c>
      <c r="J467" s="248" t="str">
        <f>IF(I467="","",VLOOKUP($I467,Master!$K$4:$N$607,4,FALSE))</f>
        <v/>
      </c>
      <c r="K467" s="253" t="str">
        <f t="shared" si="116"/>
        <v/>
      </c>
      <c r="L467" s="254"/>
      <c r="M467" s="341" t="str">
        <f t="shared" si="120"/>
        <v/>
      </c>
      <c r="N467" s="341"/>
      <c r="O467" s="342"/>
      <c r="P467" s="255" t="str">
        <f t="shared" si="121"/>
        <v/>
      </c>
      <c r="Q467" s="256" t="str">
        <f t="shared" si="117"/>
        <v/>
      </c>
      <c r="R467" s="256" t="str">
        <f t="shared" si="122"/>
        <v/>
      </c>
      <c r="S467" s="257" t="str">
        <f t="shared" si="118"/>
        <v/>
      </c>
      <c r="T467" s="219" t="str">
        <f t="shared" si="123"/>
        <v/>
      </c>
      <c r="U467" s="258"/>
    </row>
    <row r="468" spans="2:21" x14ac:dyDescent="0.15">
      <c r="B468" s="249"/>
      <c r="C468" s="314"/>
      <c r="D468" s="250"/>
      <c r="E468" s="251"/>
      <c r="F468" s="335"/>
      <c r="G468" s="336"/>
      <c r="H468" s="337"/>
      <c r="I468" s="252" t="str">
        <f t="shared" si="119"/>
        <v/>
      </c>
      <c r="J468" s="248" t="str">
        <f>IF(I468="","",VLOOKUP($I468,Master!$K$4:$N$607,4,FALSE))</f>
        <v/>
      </c>
      <c r="K468" s="253" t="str">
        <f t="shared" si="116"/>
        <v/>
      </c>
      <c r="L468" s="254"/>
      <c r="M468" s="341" t="str">
        <f t="shared" si="120"/>
        <v/>
      </c>
      <c r="N468" s="341"/>
      <c r="O468" s="342"/>
      <c r="P468" s="255" t="str">
        <f t="shared" si="121"/>
        <v/>
      </c>
      <c r="Q468" s="256" t="str">
        <f t="shared" si="117"/>
        <v/>
      </c>
      <c r="R468" s="256" t="str">
        <f t="shared" si="122"/>
        <v/>
      </c>
      <c r="S468" s="257" t="str">
        <f t="shared" si="118"/>
        <v/>
      </c>
      <c r="T468" s="219" t="str">
        <f t="shared" si="123"/>
        <v/>
      </c>
      <c r="U468" s="258"/>
    </row>
    <row r="469" spans="2:21" x14ac:dyDescent="0.15">
      <c r="B469" s="249"/>
      <c r="C469" s="314"/>
      <c r="D469" s="250"/>
      <c r="E469" s="251"/>
      <c r="F469" s="335"/>
      <c r="G469" s="336"/>
      <c r="H469" s="337"/>
      <c r="I469" s="252" t="str">
        <f t="shared" si="119"/>
        <v/>
      </c>
      <c r="J469" s="248" t="str">
        <f>IF(I469="","",VLOOKUP($I469,Master!$K$4:$N$607,4,FALSE))</f>
        <v/>
      </c>
      <c r="K469" s="253" t="str">
        <f t="shared" si="116"/>
        <v/>
      </c>
      <c r="L469" s="254"/>
      <c r="M469" s="341" t="str">
        <f t="shared" si="120"/>
        <v/>
      </c>
      <c r="N469" s="341"/>
      <c r="O469" s="342"/>
      <c r="P469" s="255" t="str">
        <f t="shared" si="121"/>
        <v/>
      </c>
      <c r="Q469" s="256" t="str">
        <f t="shared" si="117"/>
        <v/>
      </c>
      <c r="R469" s="256" t="str">
        <f t="shared" si="122"/>
        <v/>
      </c>
      <c r="S469" s="257" t="str">
        <f t="shared" si="118"/>
        <v/>
      </c>
      <c r="T469" s="219" t="str">
        <f t="shared" si="123"/>
        <v/>
      </c>
      <c r="U469" s="258"/>
    </row>
    <row r="470" spans="2:21" x14ac:dyDescent="0.15">
      <c r="B470" s="249"/>
      <c r="C470" s="314"/>
      <c r="D470" s="250"/>
      <c r="E470" s="251"/>
      <c r="F470" s="335"/>
      <c r="G470" s="336"/>
      <c r="H470" s="337"/>
      <c r="I470" s="252" t="str">
        <f t="shared" si="119"/>
        <v/>
      </c>
      <c r="J470" s="248" t="str">
        <f>IF(I470="","",VLOOKUP($I470,Master!$K$4:$N$607,4,FALSE))</f>
        <v/>
      </c>
      <c r="K470" s="253" t="str">
        <f t="shared" si="116"/>
        <v/>
      </c>
      <c r="L470" s="254"/>
      <c r="M470" s="341" t="str">
        <f t="shared" si="120"/>
        <v/>
      </c>
      <c r="N470" s="341"/>
      <c r="O470" s="342"/>
      <c r="P470" s="255" t="str">
        <f t="shared" si="121"/>
        <v/>
      </c>
      <c r="Q470" s="256" t="str">
        <f t="shared" si="117"/>
        <v/>
      </c>
      <c r="R470" s="256" t="str">
        <f t="shared" si="122"/>
        <v/>
      </c>
      <c r="S470" s="257" t="str">
        <f t="shared" si="118"/>
        <v/>
      </c>
      <c r="T470" s="219" t="str">
        <f t="shared" si="123"/>
        <v/>
      </c>
      <c r="U470" s="258"/>
    </row>
    <row r="471" spans="2:21" x14ac:dyDescent="0.15">
      <c r="B471" s="249"/>
      <c r="C471" s="314"/>
      <c r="D471" s="250"/>
      <c r="E471" s="251"/>
      <c r="F471" s="335"/>
      <c r="G471" s="336"/>
      <c r="H471" s="337"/>
      <c r="I471" s="252" t="str">
        <f t="shared" si="119"/>
        <v/>
      </c>
      <c r="J471" s="248" t="str">
        <f>IF(I471="","",VLOOKUP($I471,Master!$K$4:$N$607,4,FALSE))</f>
        <v/>
      </c>
      <c r="K471" s="253" t="str">
        <f t="shared" si="116"/>
        <v/>
      </c>
      <c r="L471" s="254"/>
      <c r="M471" s="341" t="str">
        <f t="shared" si="120"/>
        <v/>
      </c>
      <c r="N471" s="341"/>
      <c r="O471" s="342"/>
      <c r="P471" s="255" t="str">
        <f t="shared" si="121"/>
        <v/>
      </c>
      <c r="Q471" s="256" t="str">
        <f t="shared" si="117"/>
        <v/>
      </c>
      <c r="R471" s="256" t="str">
        <f t="shared" si="122"/>
        <v/>
      </c>
      <c r="S471" s="257" t="str">
        <f t="shared" si="118"/>
        <v/>
      </c>
      <c r="T471" s="219" t="str">
        <f t="shared" si="123"/>
        <v/>
      </c>
      <c r="U471" s="258"/>
    </row>
    <row r="472" spans="2:21" x14ac:dyDescent="0.15">
      <c r="B472" s="249"/>
      <c r="C472" s="314"/>
      <c r="D472" s="250"/>
      <c r="E472" s="251"/>
      <c r="F472" s="335"/>
      <c r="G472" s="336"/>
      <c r="H472" s="337"/>
      <c r="I472" s="252" t="str">
        <f t="shared" si="119"/>
        <v/>
      </c>
      <c r="J472" s="248" t="str">
        <f>IF(I472="","",VLOOKUP($I472,Master!$K$4:$N$607,4,FALSE))</f>
        <v/>
      </c>
      <c r="K472" s="253" t="str">
        <f t="shared" si="116"/>
        <v/>
      </c>
      <c r="L472" s="254"/>
      <c r="M472" s="341" t="str">
        <f t="shared" si="120"/>
        <v/>
      </c>
      <c r="N472" s="341"/>
      <c r="O472" s="342"/>
      <c r="P472" s="255" t="str">
        <f t="shared" si="121"/>
        <v/>
      </c>
      <c r="Q472" s="256" t="str">
        <f t="shared" si="117"/>
        <v/>
      </c>
      <c r="R472" s="256" t="str">
        <f t="shared" si="122"/>
        <v/>
      </c>
      <c r="S472" s="257" t="str">
        <f t="shared" si="118"/>
        <v/>
      </c>
      <c r="T472" s="219" t="str">
        <f t="shared" si="123"/>
        <v/>
      </c>
      <c r="U472" s="258"/>
    </row>
    <row r="473" spans="2:21" x14ac:dyDescent="0.15">
      <c r="B473" s="249"/>
      <c r="C473" s="314"/>
      <c r="D473" s="250"/>
      <c r="E473" s="251"/>
      <c r="F473" s="335"/>
      <c r="G473" s="336"/>
      <c r="H473" s="337"/>
      <c r="I473" s="252" t="str">
        <f t="shared" si="119"/>
        <v/>
      </c>
      <c r="J473" s="248" t="str">
        <f>IF(I473="","",VLOOKUP($I473,Master!$K$4:$N$607,4,FALSE))</f>
        <v/>
      </c>
      <c r="K473" s="253" t="str">
        <f t="shared" si="116"/>
        <v/>
      </c>
      <c r="L473" s="254"/>
      <c r="M473" s="341" t="str">
        <f t="shared" si="120"/>
        <v/>
      </c>
      <c r="N473" s="341"/>
      <c r="O473" s="342"/>
      <c r="P473" s="255" t="str">
        <f t="shared" si="121"/>
        <v/>
      </c>
      <c r="Q473" s="256" t="str">
        <f t="shared" si="117"/>
        <v/>
      </c>
      <c r="R473" s="256" t="str">
        <f t="shared" si="122"/>
        <v/>
      </c>
      <c r="S473" s="257" t="str">
        <f t="shared" si="118"/>
        <v/>
      </c>
      <c r="T473" s="219" t="str">
        <f t="shared" si="123"/>
        <v/>
      </c>
      <c r="U473" s="258"/>
    </row>
    <row r="474" spans="2:21" x14ac:dyDescent="0.15">
      <c r="B474" s="249"/>
      <c r="C474" s="314"/>
      <c r="D474" s="250"/>
      <c r="E474" s="251"/>
      <c r="F474" s="335"/>
      <c r="G474" s="336"/>
      <c r="H474" s="337"/>
      <c r="I474" s="252" t="str">
        <f t="shared" si="119"/>
        <v/>
      </c>
      <c r="J474" s="248" t="str">
        <f>IF(I474="","",VLOOKUP($I474,Master!$K$4:$N$607,4,FALSE))</f>
        <v/>
      </c>
      <c r="K474" s="253" t="str">
        <f t="shared" ref="K474:K537" si="124">IF(F474="","",IF(ISERROR(VLOOKUP($F474,SOW,3,FALSE)),0,VLOOKUP($F474,SOW,3,FALSE)*24))</f>
        <v/>
      </c>
      <c r="L474" s="254"/>
      <c r="M474" s="341" t="str">
        <f t="shared" si="120"/>
        <v/>
      </c>
      <c r="N474" s="341"/>
      <c r="O474" s="342"/>
      <c r="P474" s="255" t="str">
        <f t="shared" si="121"/>
        <v/>
      </c>
      <c r="Q474" s="256" t="str">
        <f t="shared" ref="Q474:Q537" si="125">IF($B474&lt;&gt;"",TEXT(TEXT(YEAR($B474),"0000")&amp;TEXT(MONTH($B474),"00")&amp;$I474&amp;"@"&amp;LEFT($E$2,SEARCH("　",$E$2,1)-1)&amp;"@"&amp;L474,"@"),"")</f>
        <v/>
      </c>
      <c r="R474" s="256" t="str">
        <f t="shared" si="122"/>
        <v/>
      </c>
      <c r="S474" s="257" t="str">
        <f t="shared" ref="S474:S537" si="126">IF($B474&lt;&gt;"",TEXT(YEAR($B474),"0000")&amp;TEXT(MONTH($B474),"00")&amp;$J474&amp;"@"&amp;LEFT($E$2,SEARCH("　",$E$2,1)-1)&amp;"@"&amp;L474,"")</f>
        <v/>
      </c>
      <c r="T474" s="219" t="str">
        <f t="shared" si="123"/>
        <v/>
      </c>
      <c r="U474" s="258"/>
    </row>
    <row r="475" spans="2:21" x14ac:dyDescent="0.15">
      <c r="B475" s="249"/>
      <c r="C475" s="314"/>
      <c r="D475" s="250"/>
      <c r="E475" s="251"/>
      <c r="F475" s="335"/>
      <c r="G475" s="336"/>
      <c r="H475" s="337"/>
      <c r="I475" s="252" t="str">
        <f t="shared" si="119"/>
        <v/>
      </c>
      <c r="J475" s="248" t="str">
        <f>IF(I475="","",VLOOKUP($I475,Master!$K$4:$N$607,4,FALSE))</f>
        <v/>
      </c>
      <c r="K475" s="253" t="str">
        <f t="shared" si="124"/>
        <v/>
      </c>
      <c r="L475" s="254"/>
      <c r="M475" s="341" t="str">
        <f t="shared" si="120"/>
        <v/>
      </c>
      <c r="N475" s="341"/>
      <c r="O475" s="342"/>
      <c r="P475" s="255" t="str">
        <f t="shared" si="121"/>
        <v/>
      </c>
      <c r="Q475" s="256" t="str">
        <f t="shared" si="125"/>
        <v/>
      </c>
      <c r="R475" s="256" t="str">
        <f t="shared" si="122"/>
        <v/>
      </c>
      <c r="S475" s="257" t="str">
        <f t="shared" si="126"/>
        <v/>
      </c>
      <c r="T475" s="219" t="str">
        <f t="shared" si="123"/>
        <v/>
      </c>
      <c r="U475" s="258"/>
    </row>
    <row r="476" spans="2:21" x14ac:dyDescent="0.15">
      <c r="B476" s="249"/>
      <c r="C476" s="314"/>
      <c r="D476" s="250"/>
      <c r="E476" s="251"/>
      <c r="F476" s="335"/>
      <c r="G476" s="336"/>
      <c r="H476" s="337"/>
      <c r="I476" s="252" t="str">
        <f t="shared" si="119"/>
        <v/>
      </c>
      <c r="J476" s="248" t="str">
        <f>IF(I476="","",VLOOKUP($I476,Master!$K$4:$N$607,4,FALSE))</f>
        <v/>
      </c>
      <c r="K476" s="253" t="str">
        <f t="shared" si="124"/>
        <v/>
      </c>
      <c r="L476" s="254"/>
      <c r="M476" s="341" t="str">
        <f t="shared" si="120"/>
        <v/>
      </c>
      <c r="N476" s="341"/>
      <c r="O476" s="342"/>
      <c r="P476" s="255" t="str">
        <f t="shared" si="121"/>
        <v/>
      </c>
      <c r="Q476" s="256" t="str">
        <f t="shared" si="125"/>
        <v/>
      </c>
      <c r="R476" s="256" t="str">
        <f t="shared" si="122"/>
        <v/>
      </c>
      <c r="S476" s="257" t="str">
        <f t="shared" si="126"/>
        <v/>
      </c>
      <c r="T476" s="219" t="str">
        <f t="shared" si="123"/>
        <v/>
      </c>
      <c r="U476" s="258"/>
    </row>
    <row r="477" spans="2:21" x14ac:dyDescent="0.15">
      <c r="B477" s="249"/>
      <c r="C477" s="314"/>
      <c r="D477" s="250"/>
      <c r="E477" s="251"/>
      <c r="F477" s="335"/>
      <c r="G477" s="336"/>
      <c r="H477" s="337"/>
      <c r="I477" s="252" t="str">
        <f t="shared" si="119"/>
        <v/>
      </c>
      <c r="J477" s="248" t="str">
        <f>IF(I477="","",VLOOKUP($I477,Master!$K$4:$N$607,4,FALSE))</f>
        <v/>
      </c>
      <c r="K477" s="253" t="str">
        <f t="shared" si="124"/>
        <v/>
      </c>
      <c r="L477" s="254"/>
      <c r="M477" s="341" t="str">
        <f t="shared" si="120"/>
        <v/>
      </c>
      <c r="N477" s="341"/>
      <c r="O477" s="342"/>
      <c r="P477" s="255" t="str">
        <f t="shared" si="121"/>
        <v/>
      </c>
      <c r="Q477" s="256" t="str">
        <f t="shared" si="125"/>
        <v/>
      </c>
      <c r="R477" s="256" t="str">
        <f t="shared" si="122"/>
        <v/>
      </c>
      <c r="S477" s="257" t="str">
        <f t="shared" si="126"/>
        <v/>
      </c>
      <c r="T477" s="219" t="str">
        <f t="shared" si="123"/>
        <v/>
      </c>
      <c r="U477" s="258"/>
    </row>
    <row r="478" spans="2:21" x14ac:dyDescent="0.15">
      <c r="B478" s="249"/>
      <c r="C478" s="314"/>
      <c r="D478" s="250"/>
      <c r="E478" s="251"/>
      <c r="F478" s="335"/>
      <c r="G478" s="336"/>
      <c r="H478" s="337"/>
      <c r="I478" s="252" t="str">
        <f t="shared" si="119"/>
        <v/>
      </c>
      <c r="J478" s="248" t="str">
        <f>IF(I478="","",VLOOKUP($I478,Master!$K$4:$N$607,4,FALSE))</f>
        <v/>
      </c>
      <c r="K478" s="253" t="str">
        <f t="shared" si="124"/>
        <v/>
      </c>
      <c r="L478" s="254"/>
      <c r="M478" s="341" t="str">
        <f t="shared" si="120"/>
        <v/>
      </c>
      <c r="N478" s="341"/>
      <c r="O478" s="342"/>
      <c r="P478" s="255" t="str">
        <f t="shared" si="121"/>
        <v/>
      </c>
      <c r="Q478" s="256" t="str">
        <f t="shared" si="125"/>
        <v/>
      </c>
      <c r="R478" s="256" t="str">
        <f t="shared" si="122"/>
        <v/>
      </c>
      <c r="S478" s="257" t="str">
        <f t="shared" si="126"/>
        <v/>
      </c>
      <c r="T478" s="219" t="str">
        <f t="shared" si="123"/>
        <v/>
      </c>
      <c r="U478" s="258"/>
    </row>
    <row r="479" spans="2:21" x14ac:dyDescent="0.15">
      <c r="B479" s="249"/>
      <c r="C479" s="314"/>
      <c r="D479" s="250"/>
      <c r="E479" s="251"/>
      <c r="F479" s="335"/>
      <c r="G479" s="336"/>
      <c r="H479" s="337"/>
      <c r="I479" s="252" t="str">
        <f t="shared" si="119"/>
        <v/>
      </c>
      <c r="J479" s="248" t="str">
        <f>IF(I479="","",VLOOKUP($I479,Master!$K$4:$N$607,4,FALSE))</f>
        <v/>
      </c>
      <c r="K479" s="253" t="str">
        <f t="shared" si="124"/>
        <v/>
      </c>
      <c r="L479" s="254"/>
      <c r="M479" s="341" t="str">
        <f t="shared" si="120"/>
        <v/>
      </c>
      <c r="N479" s="341"/>
      <c r="O479" s="342"/>
      <c r="P479" s="255" t="str">
        <f t="shared" si="121"/>
        <v/>
      </c>
      <c r="Q479" s="256" t="str">
        <f t="shared" si="125"/>
        <v/>
      </c>
      <c r="R479" s="256" t="str">
        <f t="shared" si="122"/>
        <v/>
      </c>
      <c r="S479" s="257" t="str">
        <f t="shared" si="126"/>
        <v/>
      </c>
      <c r="T479" s="219" t="str">
        <f t="shared" si="123"/>
        <v/>
      </c>
      <c r="U479" s="258"/>
    </row>
    <row r="480" spans="2:21" x14ac:dyDescent="0.15">
      <c r="B480" s="249"/>
      <c r="C480" s="314"/>
      <c r="D480" s="250"/>
      <c r="E480" s="251"/>
      <c r="F480" s="335"/>
      <c r="G480" s="336"/>
      <c r="H480" s="337"/>
      <c r="I480" s="252" t="str">
        <f t="shared" si="119"/>
        <v/>
      </c>
      <c r="J480" s="248" t="str">
        <f>IF(I480="","",VLOOKUP($I480,Master!$K$4:$N$607,4,FALSE))</f>
        <v/>
      </c>
      <c r="K480" s="253" t="str">
        <f t="shared" si="124"/>
        <v/>
      </c>
      <c r="L480" s="254"/>
      <c r="M480" s="341" t="str">
        <f t="shared" si="120"/>
        <v/>
      </c>
      <c r="N480" s="341"/>
      <c r="O480" s="342"/>
      <c r="P480" s="255" t="str">
        <f t="shared" si="121"/>
        <v/>
      </c>
      <c r="Q480" s="256" t="str">
        <f t="shared" si="125"/>
        <v/>
      </c>
      <c r="R480" s="256" t="str">
        <f t="shared" si="122"/>
        <v/>
      </c>
      <c r="S480" s="257" t="str">
        <f t="shared" si="126"/>
        <v/>
      </c>
      <c r="T480" s="219" t="str">
        <f t="shared" si="123"/>
        <v/>
      </c>
      <c r="U480" s="258"/>
    </row>
    <row r="481" spans="2:21" x14ac:dyDescent="0.15">
      <c r="B481" s="249"/>
      <c r="C481" s="314"/>
      <c r="D481" s="250"/>
      <c r="E481" s="251"/>
      <c r="F481" s="335"/>
      <c r="G481" s="336"/>
      <c r="H481" s="337"/>
      <c r="I481" s="252" t="str">
        <f t="shared" si="119"/>
        <v/>
      </c>
      <c r="J481" s="248" t="str">
        <f>IF(I481="","",VLOOKUP($I481,Master!$K$4:$N$607,4,FALSE))</f>
        <v/>
      </c>
      <c r="K481" s="253" t="str">
        <f t="shared" si="124"/>
        <v/>
      </c>
      <c r="L481" s="254"/>
      <c r="M481" s="341" t="str">
        <f t="shared" si="120"/>
        <v/>
      </c>
      <c r="N481" s="341"/>
      <c r="O481" s="342"/>
      <c r="P481" s="255" t="str">
        <f t="shared" si="121"/>
        <v/>
      </c>
      <c r="Q481" s="256" t="str">
        <f t="shared" si="125"/>
        <v/>
      </c>
      <c r="R481" s="256" t="str">
        <f t="shared" si="122"/>
        <v/>
      </c>
      <c r="S481" s="257" t="str">
        <f t="shared" si="126"/>
        <v/>
      </c>
      <c r="T481" s="219" t="str">
        <f t="shared" si="123"/>
        <v/>
      </c>
      <c r="U481" s="258"/>
    </row>
    <row r="482" spans="2:21" x14ac:dyDescent="0.15">
      <c r="B482" s="249"/>
      <c r="C482" s="314"/>
      <c r="D482" s="250"/>
      <c r="E482" s="251"/>
      <c r="F482" s="335"/>
      <c r="G482" s="336"/>
      <c r="H482" s="337"/>
      <c r="I482" s="252" t="str">
        <f t="shared" si="119"/>
        <v/>
      </c>
      <c r="J482" s="248" t="str">
        <f>IF(I482="","",VLOOKUP($I482,Master!$K$4:$N$607,4,FALSE))</f>
        <v/>
      </c>
      <c r="K482" s="253" t="str">
        <f t="shared" si="124"/>
        <v/>
      </c>
      <c r="L482" s="254"/>
      <c r="M482" s="341" t="str">
        <f t="shared" si="120"/>
        <v/>
      </c>
      <c r="N482" s="341"/>
      <c r="O482" s="342"/>
      <c r="P482" s="255" t="str">
        <f t="shared" si="121"/>
        <v/>
      </c>
      <c r="Q482" s="256" t="str">
        <f t="shared" si="125"/>
        <v/>
      </c>
      <c r="R482" s="256" t="str">
        <f t="shared" si="122"/>
        <v/>
      </c>
      <c r="S482" s="257" t="str">
        <f t="shared" si="126"/>
        <v/>
      </c>
      <c r="T482" s="219" t="str">
        <f t="shared" si="123"/>
        <v/>
      </c>
      <c r="U482" s="258"/>
    </row>
    <row r="483" spans="2:21" x14ac:dyDescent="0.15">
      <c r="B483" s="249"/>
      <c r="C483" s="314"/>
      <c r="D483" s="250"/>
      <c r="E483" s="251"/>
      <c r="F483" s="335"/>
      <c r="G483" s="336"/>
      <c r="H483" s="337"/>
      <c r="I483" s="252" t="str">
        <f t="shared" si="119"/>
        <v/>
      </c>
      <c r="J483" s="248" t="str">
        <f>IF(I483="","",VLOOKUP($I483,Master!$K$4:$N$607,4,FALSE))</f>
        <v/>
      </c>
      <c r="K483" s="253" t="str">
        <f t="shared" si="124"/>
        <v/>
      </c>
      <c r="L483" s="254"/>
      <c r="M483" s="341" t="str">
        <f t="shared" si="120"/>
        <v/>
      </c>
      <c r="N483" s="341"/>
      <c r="O483" s="342"/>
      <c r="P483" s="255" t="str">
        <f t="shared" si="121"/>
        <v/>
      </c>
      <c r="Q483" s="256" t="str">
        <f t="shared" si="125"/>
        <v/>
      </c>
      <c r="R483" s="256" t="str">
        <f t="shared" si="122"/>
        <v/>
      </c>
      <c r="S483" s="257" t="str">
        <f t="shared" si="126"/>
        <v/>
      </c>
      <c r="T483" s="219" t="str">
        <f t="shared" si="123"/>
        <v/>
      </c>
      <c r="U483" s="258"/>
    </row>
    <row r="484" spans="2:21" x14ac:dyDescent="0.15">
      <c r="B484" s="249"/>
      <c r="C484" s="314"/>
      <c r="D484" s="250"/>
      <c r="E484" s="251"/>
      <c r="F484" s="335"/>
      <c r="G484" s="336"/>
      <c r="H484" s="337"/>
      <c r="I484" s="252" t="str">
        <f t="shared" si="119"/>
        <v/>
      </c>
      <c r="J484" s="248" t="str">
        <f>IF(I484="","",VLOOKUP($I484,Master!$K$4:$N$607,4,FALSE))</f>
        <v/>
      </c>
      <c r="K484" s="253" t="str">
        <f t="shared" si="124"/>
        <v/>
      </c>
      <c r="L484" s="254"/>
      <c r="M484" s="341" t="str">
        <f t="shared" si="120"/>
        <v/>
      </c>
      <c r="N484" s="341"/>
      <c r="O484" s="342"/>
      <c r="P484" s="255" t="str">
        <f t="shared" si="121"/>
        <v/>
      </c>
      <c r="Q484" s="256" t="str">
        <f t="shared" si="125"/>
        <v/>
      </c>
      <c r="R484" s="256" t="str">
        <f t="shared" si="122"/>
        <v/>
      </c>
      <c r="S484" s="257" t="str">
        <f t="shared" si="126"/>
        <v/>
      </c>
      <c r="T484" s="219" t="str">
        <f t="shared" si="123"/>
        <v/>
      </c>
      <c r="U484" s="258"/>
    </row>
    <row r="485" spans="2:21" x14ac:dyDescent="0.15">
      <c r="B485" s="249"/>
      <c r="C485" s="314"/>
      <c r="D485" s="250"/>
      <c r="E485" s="251"/>
      <c r="F485" s="335"/>
      <c r="G485" s="336"/>
      <c r="H485" s="337"/>
      <c r="I485" s="252" t="str">
        <f t="shared" si="119"/>
        <v/>
      </c>
      <c r="J485" s="248" t="str">
        <f>IF(I485="","",VLOOKUP($I485,Master!$K$4:$N$607,4,FALSE))</f>
        <v/>
      </c>
      <c r="K485" s="253" t="str">
        <f t="shared" si="124"/>
        <v/>
      </c>
      <c r="L485" s="254"/>
      <c r="M485" s="341" t="str">
        <f t="shared" si="120"/>
        <v/>
      </c>
      <c r="N485" s="341"/>
      <c r="O485" s="342"/>
      <c r="P485" s="255" t="str">
        <f t="shared" si="121"/>
        <v/>
      </c>
      <c r="Q485" s="256" t="str">
        <f t="shared" si="125"/>
        <v/>
      </c>
      <c r="R485" s="256" t="str">
        <f t="shared" si="122"/>
        <v/>
      </c>
      <c r="S485" s="257" t="str">
        <f t="shared" si="126"/>
        <v/>
      </c>
      <c r="T485" s="219" t="str">
        <f t="shared" si="123"/>
        <v/>
      </c>
      <c r="U485" s="258"/>
    </row>
    <row r="486" spans="2:21" x14ac:dyDescent="0.15">
      <c r="B486" s="249"/>
      <c r="C486" s="314"/>
      <c r="D486" s="250"/>
      <c r="E486" s="251"/>
      <c r="F486" s="335"/>
      <c r="G486" s="336"/>
      <c r="H486" s="337"/>
      <c r="I486" s="252" t="str">
        <f t="shared" si="119"/>
        <v/>
      </c>
      <c r="J486" s="248" t="str">
        <f>IF(I486="","",VLOOKUP($I486,Master!$K$4:$N$607,4,FALSE))</f>
        <v/>
      </c>
      <c r="K486" s="253" t="str">
        <f t="shared" si="124"/>
        <v/>
      </c>
      <c r="L486" s="254"/>
      <c r="M486" s="341" t="str">
        <f t="shared" si="120"/>
        <v/>
      </c>
      <c r="N486" s="341"/>
      <c r="O486" s="342"/>
      <c r="P486" s="255" t="str">
        <f t="shared" si="121"/>
        <v/>
      </c>
      <c r="Q486" s="256" t="str">
        <f t="shared" si="125"/>
        <v/>
      </c>
      <c r="R486" s="256" t="str">
        <f t="shared" si="122"/>
        <v/>
      </c>
      <c r="S486" s="257" t="str">
        <f t="shared" si="126"/>
        <v/>
      </c>
      <c r="T486" s="219" t="str">
        <f t="shared" si="123"/>
        <v/>
      </c>
      <c r="U486" s="258"/>
    </row>
    <row r="487" spans="2:21" x14ac:dyDescent="0.15">
      <c r="B487" s="249"/>
      <c r="C487" s="314"/>
      <c r="D487" s="250"/>
      <c r="E487" s="251"/>
      <c r="F487" s="335"/>
      <c r="G487" s="336"/>
      <c r="H487" s="337"/>
      <c r="I487" s="252" t="str">
        <f t="shared" si="119"/>
        <v/>
      </c>
      <c r="J487" s="248" t="str">
        <f>IF(I487="","",VLOOKUP($I487,Master!$K$4:$N$607,4,FALSE))</f>
        <v/>
      </c>
      <c r="K487" s="253" t="str">
        <f t="shared" si="124"/>
        <v/>
      </c>
      <c r="L487" s="254"/>
      <c r="M487" s="341" t="str">
        <f t="shared" si="120"/>
        <v/>
      </c>
      <c r="N487" s="341"/>
      <c r="O487" s="342"/>
      <c r="P487" s="255" t="str">
        <f t="shared" si="121"/>
        <v/>
      </c>
      <c r="Q487" s="256" t="str">
        <f t="shared" si="125"/>
        <v/>
      </c>
      <c r="R487" s="256" t="str">
        <f t="shared" si="122"/>
        <v/>
      </c>
      <c r="S487" s="257" t="str">
        <f t="shared" si="126"/>
        <v/>
      </c>
      <c r="T487" s="219" t="str">
        <f t="shared" si="123"/>
        <v/>
      </c>
      <c r="U487" s="258"/>
    </row>
    <row r="488" spans="2:21" x14ac:dyDescent="0.15">
      <c r="B488" s="249"/>
      <c r="C488" s="314"/>
      <c r="D488" s="250"/>
      <c r="E488" s="251"/>
      <c r="F488" s="335"/>
      <c r="G488" s="336"/>
      <c r="H488" s="337"/>
      <c r="I488" s="252" t="str">
        <f t="shared" si="119"/>
        <v/>
      </c>
      <c r="J488" s="248" t="str">
        <f>IF(I488="","",VLOOKUP($I488,Master!$K$4:$N$607,4,FALSE))</f>
        <v/>
      </c>
      <c r="K488" s="253" t="str">
        <f t="shared" si="124"/>
        <v/>
      </c>
      <c r="L488" s="254"/>
      <c r="M488" s="341" t="str">
        <f t="shared" si="120"/>
        <v/>
      </c>
      <c r="N488" s="341"/>
      <c r="O488" s="342"/>
      <c r="P488" s="255" t="str">
        <f t="shared" si="121"/>
        <v/>
      </c>
      <c r="Q488" s="256" t="str">
        <f t="shared" si="125"/>
        <v/>
      </c>
      <c r="R488" s="256" t="str">
        <f t="shared" si="122"/>
        <v/>
      </c>
      <c r="S488" s="257" t="str">
        <f t="shared" si="126"/>
        <v/>
      </c>
      <c r="T488" s="219" t="str">
        <f t="shared" si="123"/>
        <v/>
      </c>
      <c r="U488" s="258"/>
    </row>
    <row r="489" spans="2:21" x14ac:dyDescent="0.15">
      <c r="B489" s="249"/>
      <c r="C489" s="314"/>
      <c r="D489" s="250"/>
      <c r="E489" s="251"/>
      <c r="F489" s="335"/>
      <c r="G489" s="336"/>
      <c r="H489" s="337"/>
      <c r="I489" s="252" t="str">
        <f t="shared" si="119"/>
        <v/>
      </c>
      <c r="J489" s="248" t="str">
        <f>IF(I489="","",VLOOKUP($I489,Master!$K$4:$N$607,4,FALSE))</f>
        <v/>
      </c>
      <c r="K489" s="253" t="str">
        <f t="shared" si="124"/>
        <v/>
      </c>
      <c r="L489" s="254"/>
      <c r="M489" s="341" t="str">
        <f t="shared" si="120"/>
        <v/>
      </c>
      <c r="N489" s="341"/>
      <c r="O489" s="342"/>
      <c r="P489" s="255" t="str">
        <f t="shared" si="121"/>
        <v/>
      </c>
      <c r="Q489" s="256" t="str">
        <f t="shared" si="125"/>
        <v/>
      </c>
      <c r="R489" s="256" t="str">
        <f t="shared" si="122"/>
        <v/>
      </c>
      <c r="S489" s="257" t="str">
        <f t="shared" si="126"/>
        <v/>
      </c>
      <c r="T489" s="219" t="str">
        <f t="shared" si="123"/>
        <v/>
      </c>
      <c r="U489" s="258"/>
    </row>
    <row r="490" spans="2:21" x14ac:dyDescent="0.15">
      <c r="B490" s="249"/>
      <c r="C490" s="314"/>
      <c r="D490" s="250"/>
      <c r="E490" s="251"/>
      <c r="F490" s="335"/>
      <c r="G490" s="336"/>
      <c r="H490" s="337"/>
      <c r="I490" s="252" t="str">
        <f t="shared" si="119"/>
        <v/>
      </c>
      <c r="J490" s="248" t="str">
        <f>IF(I490="","",VLOOKUP($I490,Master!$K$4:$N$607,4,FALSE))</f>
        <v/>
      </c>
      <c r="K490" s="253" t="str">
        <f t="shared" si="124"/>
        <v/>
      </c>
      <c r="L490" s="254"/>
      <c r="M490" s="341" t="str">
        <f t="shared" si="120"/>
        <v/>
      </c>
      <c r="N490" s="341"/>
      <c r="O490" s="342"/>
      <c r="P490" s="255" t="str">
        <f t="shared" si="121"/>
        <v/>
      </c>
      <c r="Q490" s="256" t="str">
        <f t="shared" si="125"/>
        <v/>
      </c>
      <c r="R490" s="256" t="str">
        <f t="shared" si="122"/>
        <v/>
      </c>
      <c r="S490" s="257" t="str">
        <f t="shared" si="126"/>
        <v/>
      </c>
      <c r="T490" s="219" t="str">
        <f t="shared" si="123"/>
        <v/>
      </c>
      <c r="U490" s="258"/>
    </row>
    <row r="491" spans="2:21" x14ac:dyDescent="0.15">
      <c r="B491" s="249"/>
      <c r="C491" s="314"/>
      <c r="D491" s="250"/>
      <c r="E491" s="251"/>
      <c r="F491" s="335"/>
      <c r="G491" s="336"/>
      <c r="H491" s="337"/>
      <c r="I491" s="252" t="str">
        <f t="shared" si="119"/>
        <v/>
      </c>
      <c r="J491" s="248" t="str">
        <f>IF(I491="","",VLOOKUP($I491,Master!$K$4:$N$607,4,FALSE))</f>
        <v/>
      </c>
      <c r="K491" s="253" t="str">
        <f t="shared" si="124"/>
        <v/>
      </c>
      <c r="L491" s="254"/>
      <c r="M491" s="341" t="str">
        <f t="shared" si="120"/>
        <v/>
      </c>
      <c r="N491" s="341"/>
      <c r="O491" s="342"/>
      <c r="P491" s="255" t="str">
        <f t="shared" si="121"/>
        <v/>
      </c>
      <c r="Q491" s="256" t="str">
        <f t="shared" si="125"/>
        <v/>
      </c>
      <c r="R491" s="256" t="str">
        <f t="shared" si="122"/>
        <v/>
      </c>
      <c r="S491" s="257" t="str">
        <f t="shared" si="126"/>
        <v/>
      </c>
      <c r="T491" s="219" t="str">
        <f t="shared" si="123"/>
        <v/>
      </c>
      <c r="U491" s="258"/>
    </row>
    <row r="492" spans="2:21" x14ac:dyDescent="0.15">
      <c r="B492" s="249"/>
      <c r="C492" s="314"/>
      <c r="D492" s="250"/>
      <c r="E492" s="251"/>
      <c r="F492" s="335"/>
      <c r="G492" s="336"/>
      <c r="H492" s="337"/>
      <c r="I492" s="252" t="str">
        <f t="shared" si="119"/>
        <v/>
      </c>
      <c r="J492" s="248" t="str">
        <f>IF(I492="","",VLOOKUP($I492,Master!$K$4:$N$607,4,FALSE))</f>
        <v/>
      </c>
      <c r="K492" s="253" t="str">
        <f t="shared" si="124"/>
        <v/>
      </c>
      <c r="L492" s="254"/>
      <c r="M492" s="341" t="str">
        <f t="shared" si="120"/>
        <v/>
      </c>
      <c r="N492" s="341"/>
      <c r="O492" s="342"/>
      <c r="P492" s="255" t="str">
        <f t="shared" si="121"/>
        <v/>
      </c>
      <c r="Q492" s="256" t="str">
        <f t="shared" si="125"/>
        <v/>
      </c>
      <c r="R492" s="256" t="str">
        <f t="shared" si="122"/>
        <v/>
      </c>
      <c r="S492" s="257" t="str">
        <f t="shared" si="126"/>
        <v/>
      </c>
      <c r="T492" s="219" t="str">
        <f t="shared" si="123"/>
        <v/>
      </c>
      <c r="U492" s="258"/>
    </row>
    <row r="493" spans="2:21" x14ac:dyDescent="0.15">
      <c r="B493" s="249"/>
      <c r="C493" s="314"/>
      <c r="D493" s="250"/>
      <c r="E493" s="251"/>
      <c r="F493" s="335"/>
      <c r="G493" s="336"/>
      <c r="H493" s="337"/>
      <c r="I493" s="252" t="str">
        <f t="shared" si="119"/>
        <v/>
      </c>
      <c r="J493" s="248" t="str">
        <f>IF(I493="","",VLOOKUP($I493,Master!$K$4:$N$607,4,FALSE))</f>
        <v/>
      </c>
      <c r="K493" s="253" t="str">
        <f t="shared" si="124"/>
        <v/>
      </c>
      <c r="L493" s="254"/>
      <c r="M493" s="341" t="str">
        <f t="shared" si="120"/>
        <v/>
      </c>
      <c r="N493" s="341"/>
      <c r="O493" s="342"/>
      <c r="P493" s="255" t="str">
        <f t="shared" si="121"/>
        <v/>
      </c>
      <c r="Q493" s="256" t="str">
        <f t="shared" si="125"/>
        <v/>
      </c>
      <c r="R493" s="256" t="str">
        <f t="shared" si="122"/>
        <v/>
      </c>
      <c r="S493" s="257" t="str">
        <f t="shared" si="126"/>
        <v/>
      </c>
      <c r="T493" s="219" t="str">
        <f t="shared" si="123"/>
        <v/>
      </c>
      <c r="U493" s="258"/>
    </row>
    <row r="494" spans="2:21" x14ac:dyDescent="0.15">
      <c r="B494" s="249"/>
      <c r="C494" s="314"/>
      <c r="D494" s="250"/>
      <c r="E494" s="251"/>
      <c r="F494" s="335"/>
      <c r="G494" s="336"/>
      <c r="H494" s="337"/>
      <c r="I494" s="252" t="str">
        <f t="shared" si="119"/>
        <v/>
      </c>
      <c r="J494" s="248" t="str">
        <f>IF(I494="","",VLOOKUP($I494,Master!$K$4:$N$607,4,FALSE))</f>
        <v/>
      </c>
      <c r="K494" s="253" t="str">
        <f t="shared" si="124"/>
        <v/>
      </c>
      <c r="L494" s="254"/>
      <c r="M494" s="341" t="str">
        <f t="shared" si="120"/>
        <v/>
      </c>
      <c r="N494" s="341"/>
      <c r="O494" s="342"/>
      <c r="P494" s="255" t="str">
        <f t="shared" si="121"/>
        <v/>
      </c>
      <c r="Q494" s="256" t="str">
        <f t="shared" si="125"/>
        <v/>
      </c>
      <c r="R494" s="256" t="str">
        <f t="shared" si="122"/>
        <v/>
      </c>
      <c r="S494" s="257" t="str">
        <f t="shared" si="126"/>
        <v/>
      </c>
      <c r="T494" s="219" t="str">
        <f t="shared" si="123"/>
        <v/>
      </c>
      <c r="U494" s="258"/>
    </row>
    <row r="495" spans="2:21" x14ac:dyDescent="0.15">
      <c r="B495" s="249"/>
      <c r="C495" s="314"/>
      <c r="D495" s="250"/>
      <c r="E495" s="251"/>
      <c r="F495" s="335"/>
      <c r="G495" s="336"/>
      <c r="H495" s="337"/>
      <c r="I495" s="252" t="str">
        <f t="shared" si="119"/>
        <v/>
      </c>
      <c r="J495" s="248" t="str">
        <f>IF(I495="","",VLOOKUP($I495,Master!$K$4:$N$607,4,FALSE))</f>
        <v/>
      </c>
      <c r="K495" s="253" t="str">
        <f t="shared" si="124"/>
        <v/>
      </c>
      <c r="L495" s="254"/>
      <c r="M495" s="341" t="str">
        <f t="shared" si="120"/>
        <v/>
      </c>
      <c r="N495" s="341"/>
      <c r="O495" s="342"/>
      <c r="P495" s="255" t="str">
        <f t="shared" si="121"/>
        <v/>
      </c>
      <c r="Q495" s="256" t="str">
        <f t="shared" si="125"/>
        <v/>
      </c>
      <c r="R495" s="256" t="str">
        <f t="shared" si="122"/>
        <v/>
      </c>
      <c r="S495" s="257" t="str">
        <f t="shared" si="126"/>
        <v/>
      </c>
      <c r="T495" s="219" t="str">
        <f t="shared" si="123"/>
        <v/>
      </c>
      <c r="U495" s="258"/>
    </row>
    <row r="496" spans="2:21" x14ac:dyDescent="0.15">
      <c r="B496" s="249"/>
      <c r="C496" s="314"/>
      <c r="D496" s="250"/>
      <c r="E496" s="251"/>
      <c r="F496" s="335"/>
      <c r="G496" s="336"/>
      <c r="H496" s="337"/>
      <c r="I496" s="252" t="str">
        <f t="shared" si="119"/>
        <v/>
      </c>
      <c r="J496" s="248" t="str">
        <f>IF(I496="","",VLOOKUP($I496,Master!$K$4:$N$607,4,FALSE))</f>
        <v/>
      </c>
      <c r="K496" s="253" t="str">
        <f t="shared" si="124"/>
        <v/>
      </c>
      <c r="L496" s="254"/>
      <c r="M496" s="341" t="str">
        <f t="shared" si="120"/>
        <v/>
      </c>
      <c r="N496" s="341"/>
      <c r="O496" s="342"/>
      <c r="P496" s="255" t="str">
        <f t="shared" si="121"/>
        <v/>
      </c>
      <c r="Q496" s="256" t="str">
        <f t="shared" si="125"/>
        <v/>
      </c>
      <c r="R496" s="256" t="str">
        <f t="shared" si="122"/>
        <v/>
      </c>
      <c r="S496" s="257" t="str">
        <f t="shared" si="126"/>
        <v/>
      </c>
      <c r="T496" s="219" t="str">
        <f t="shared" si="123"/>
        <v/>
      </c>
      <c r="U496" s="258"/>
    </row>
    <row r="497" spans="2:21" x14ac:dyDescent="0.15">
      <c r="B497" s="249"/>
      <c r="C497" s="314"/>
      <c r="D497" s="250"/>
      <c r="E497" s="251"/>
      <c r="F497" s="335"/>
      <c r="G497" s="336"/>
      <c r="H497" s="337"/>
      <c r="I497" s="252" t="str">
        <f t="shared" si="119"/>
        <v/>
      </c>
      <c r="J497" s="248" t="str">
        <f>IF(I497="","",VLOOKUP($I497,Master!$K$4:$N$607,4,FALSE))</f>
        <v/>
      </c>
      <c r="K497" s="253" t="str">
        <f t="shared" si="124"/>
        <v/>
      </c>
      <c r="L497" s="254"/>
      <c r="M497" s="341" t="str">
        <f t="shared" si="120"/>
        <v/>
      </c>
      <c r="N497" s="341"/>
      <c r="O497" s="342"/>
      <c r="P497" s="255" t="str">
        <f t="shared" si="121"/>
        <v/>
      </c>
      <c r="Q497" s="256" t="str">
        <f t="shared" si="125"/>
        <v/>
      </c>
      <c r="R497" s="256" t="str">
        <f t="shared" si="122"/>
        <v/>
      </c>
      <c r="S497" s="257" t="str">
        <f t="shared" si="126"/>
        <v/>
      </c>
      <c r="T497" s="219" t="str">
        <f t="shared" si="123"/>
        <v/>
      </c>
      <c r="U497" s="258"/>
    </row>
    <row r="498" spans="2:21" x14ac:dyDescent="0.15">
      <c r="B498" s="249"/>
      <c r="C498" s="314"/>
      <c r="D498" s="250"/>
      <c r="E498" s="251"/>
      <c r="F498" s="335"/>
      <c r="G498" s="336"/>
      <c r="H498" s="337"/>
      <c r="I498" s="252" t="str">
        <f t="shared" si="119"/>
        <v/>
      </c>
      <c r="J498" s="248" t="str">
        <f>IF(I498="","",VLOOKUP($I498,Master!$K$4:$N$607,4,FALSE))</f>
        <v/>
      </c>
      <c r="K498" s="253" t="str">
        <f t="shared" si="124"/>
        <v/>
      </c>
      <c r="L498" s="254"/>
      <c r="M498" s="341" t="str">
        <f t="shared" si="120"/>
        <v/>
      </c>
      <c r="N498" s="341"/>
      <c r="O498" s="342"/>
      <c r="P498" s="255" t="str">
        <f t="shared" si="121"/>
        <v/>
      </c>
      <c r="Q498" s="256" t="str">
        <f t="shared" si="125"/>
        <v/>
      </c>
      <c r="R498" s="256" t="str">
        <f t="shared" si="122"/>
        <v/>
      </c>
      <c r="S498" s="257" t="str">
        <f t="shared" si="126"/>
        <v/>
      </c>
      <c r="T498" s="219" t="str">
        <f t="shared" si="123"/>
        <v/>
      </c>
      <c r="U498" s="258"/>
    </row>
    <row r="499" spans="2:21" x14ac:dyDescent="0.15">
      <c r="B499" s="249"/>
      <c r="C499" s="314"/>
      <c r="D499" s="250"/>
      <c r="E499" s="251"/>
      <c r="F499" s="335"/>
      <c r="G499" s="336"/>
      <c r="H499" s="337"/>
      <c r="I499" s="252" t="str">
        <f t="shared" si="119"/>
        <v/>
      </c>
      <c r="J499" s="248" t="str">
        <f>IF(I499="","",VLOOKUP($I499,Master!$K$4:$N$607,4,FALSE))</f>
        <v/>
      </c>
      <c r="K499" s="253" t="str">
        <f t="shared" si="124"/>
        <v/>
      </c>
      <c r="L499" s="254"/>
      <c r="M499" s="341" t="str">
        <f t="shared" si="120"/>
        <v/>
      </c>
      <c r="N499" s="341"/>
      <c r="O499" s="342"/>
      <c r="P499" s="255" t="str">
        <f t="shared" si="121"/>
        <v/>
      </c>
      <c r="Q499" s="256" t="str">
        <f t="shared" si="125"/>
        <v/>
      </c>
      <c r="R499" s="256" t="str">
        <f t="shared" si="122"/>
        <v/>
      </c>
      <c r="S499" s="257" t="str">
        <f t="shared" si="126"/>
        <v/>
      </c>
      <c r="T499" s="219" t="str">
        <f t="shared" si="123"/>
        <v/>
      </c>
      <c r="U499" s="258"/>
    </row>
    <row r="500" spans="2:21" x14ac:dyDescent="0.15">
      <c r="B500" s="249"/>
      <c r="C500" s="314"/>
      <c r="D500" s="250"/>
      <c r="E500" s="251"/>
      <c r="F500" s="335"/>
      <c r="G500" s="336"/>
      <c r="H500" s="337"/>
      <c r="I500" s="252" t="str">
        <f t="shared" si="119"/>
        <v/>
      </c>
      <c r="J500" s="248" t="str">
        <f>IF(I500="","",VLOOKUP($I500,Master!$K$4:$N$607,4,FALSE))</f>
        <v/>
      </c>
      <c r="K500" s="253" t="str">
        <f t="shared" si="124"/>
        <v/>
      </c>
      <c r="L500" s="254"/>
      <c r="M500" s="341" t="str">
        <f t="shared" si="120"/>
        <v/>
      </c>
      <c r="N500" s="341"/>
      <c r="O500" s="342"/>
      <c r="P500" s="255" t="str">
        <f t="shared" si="121"/>
        <v/>
      </c>
      <c r="Q500" s="256" t="str">
        <f t="shared" si="125"/>
        <v/>
      </c>
      <c r="R500" s="256" t="str">
        <f t="shared" si="122"/>
        <v/>
      </c>
      <c r="S500" s="257" t="str">
        <f t="shared" si="126"/>
        <v/>
      </c>
      <c r="T500" s="219" t="str">
        <f t="shared" si="123"/>
        <v/>
      </c>
      <c r="U500" s="258"/>
    </row>
    <row r="501" spans="2:21" x14ac:dyDescent="0.15">
      <c r="B501" s="249"/>
      <c r="C501" s="314"/>
      <c r="D501" s="250"/>
      <c r="E501" s="251"/>
      <c r="F501" s="335"/>
      <c r="G501" s="336"/>
      <c r="H501" s="337"/>
      <c r="I501" s="252" t="str">
        <f t="shared" si="119"/>
        <v/>
      </c>
      <c r="J501" s="248" t="str">
        <f>IF(I501="","",VLOOKUP($I501,Master!$K$4:$N$607,4,FALSE))</f>
        <v/>
      </c>
      <c r="K501" s="253" t="str">
        <f t="shared" si="124"/>
        <v/>
      </c>
      <c r="L501" s="254"/>
      <c r="M501" s="341" t="str">
        <f t="shared" si="120"/>
        <v/>
      </c>
      <c r="N501" s="341"/>
      <c r="O501" s="342"/>
      <c r="P501" s="255" t="str">
        <f t="shared" si="121"/>
        <v/>
      </c>
      <c r="Q501" s="256" t="str">
        <f t="shared" si="125"/>
        <v/>
      </c>
      <c r="R501" s="256" t="str">
        <f t="shared" si="122"/>
        <v/>
      </c>
      <c r="S501" s="257" t="str">
        <f t="shared" si="126"/>
        <v/>
      </c>
      <c r="T501" s="219" t="str">
        <f t="shared" si="123"/>
        <v/>
      </c>
      <c r="U501" s="258"/>
    </row>
    <row r="502" spans="2:21" x14ac:dyDescent="0.15">
      <c r="B502" s="249"/>
      <c r="C502" s="314"/>
      <c r="D502" s="250"/>
      <c r="E502" s="251"/>
      <c r="F502" s="335"/>
      <c r="G502" s="336"/>
      <c r="H502" s="337"/>
      <c r="I502" s="252" t="str">
        <f t="shared" si="119"/>
        <v/>
      </c>
      <c r="J502" s="248" t="str">
        <f>IF(I502="","",VLOOKUP($I502,Master!$K$4:$N$607,4,FALSE))</f>
        <v/>
      </c>
      <c r="K502" s="253" t="str">
        <f t="shared" si="124"/>
        <v/>
      </c>
      <c r="L502" s="254"/>
      <c r="M502" s="341" t="str">
        <f t="shared" si="120"/>
        <v/>
      </c>
      <c r="N502" s="341"/>
      <c r="O502" s="342"/>
      <c r="P502" s="255" t="str">
        <f t="shared" si="121"/>
        <v/>
      </c>
      <c r="Q502" s="256" t="str">
        <f t="shared" si="125"/>
        <v/>
      </c>
      <c r="R502" s="256" t="str">
        <f t="shared" si="122"/>
        <v/>
      </c>
      <c r="S502" s="257" t="str">
        <f t="shared" si="126"/>
        <v/>
      </c>
      <c r="T502" s="219" t="str">
        <f t="shared" si="123"/>
        <v/>
      </c>
      <c r="U502" s="258"/>
    </row>
    <row r="503" spans="2:21" x14ac:dyDescent="0.15">
      <c r="B503" s="249"/>
      <c r="C503" s="314"/>
      <c r="D503" s="250"/>
      <c r="E503" s="251"/>
      <c r="F503" s="335"/>
      <c r="G503" s="336"/>
      <c r="H503" s="337"/>
      <c r="I503" s="252" t="str">
        <f t="shared" si="119"/>
        <v/>
      </c>
      <c r="J503" s="248" t="str">
        <f>IF(I503="","",VLOOKUP($I503,Master!$K$4:$N$607,4,FALSE))</f>
        <v/>
      </c>
      <c r="K503" s="253" t="str">
        <f t="shared" si="124"/>
        <v/>
      </c>
      <c r="L503" s="254"/>
      <c r="M503" s="341" t="str">
        <f t="shared" si="120"/>
        <v/>
      </c>
      <c r="N503" s="341"/>
      <c r="O503" s="342"/>
      <c r="P503" s="255" t="str">
        <f t="shared" si="121"/>
        <v/>
      </c>
      <c r="Q503" s="256" t="str">
        <f t="shared" si="125"/>
        <v/>
      </c>
      <c r="R503" s="256" t="str">
        <f t="shared" si="122"/>
        <v/>
      </c>
      <c r="S503" s="257" t="str">
        <f t="shared" si="126"/>
        <v/>
      </c>
      <c r="T503" s="219" t="str">
        <f t="shared" si="123"/>
        <v/>
      </c>
      <c r="U503" s="258"/>
    </row>
    <row r="504" spans="2:21" x14ac:dyDescent="0.15">
      <c r="B504" s="249"/>
      <c r="C504" s="314"/>
      <c r="D504" s="250"/>
      <c r="E504" s="251"/>
      <c r="F504" s="335"/>
      <c r="G504" s="336"/>
      <c r="H504" s="337"/>
      <c r="I504" s="252" t="str">
        <f t="shared" si="119"/>
        <v/>
      </c>
      <c r="J504" s="248" t="str">
        <f>IF(I504="","",VLOOKUP($I504,Master!$K$4:$N$607,4,FALSE))</f>
        <v/>
      </c>
      <c r="K504" s="253" t="str">
        <f t="shared" si="124"/>
        <v/>
      </c>
      <c r="L504" s="254"/>
      <c r="M504" s="341" t="str">
        <f t="shared" si="120"/>
        <v/>
      </c>
      <c r="N504" s="341"/>
      <c r="O504" s="342"/>
      <c r="P504" s="255" t="str">
        <f t="shared" si="121"/>
        <v/>
      </c>
      <c r="Q504" s="256" t="str">
        <f t="shared" si="125"/>
        <v/>
      </c>
      <c r="R504" s="256" t="str">
        <f t="shared" si="122"/>
        <v/>
      </c>
      <c r="S504" s="257" t="str">
        <f t="shared" si="126"/>
        <v/>
      </c>
      <c r="T504" s="219" t="str">
        <f t="shared" si="123"/>
        <v/>
      </c>
      <c r="U504" s="258"/>
    </row>
    <row r="505" spans="2:21" x14ac:dyDescent="0.15">
      <c r="B505" s="249"/>
      <c r="C505" s="314"/>
      <c r="D505" s="250"/>
      <c r="E505" s="251"/>
      <c r="F505" s="335"/>
      <c r="G505" s="336"/>
      <c r="H505" s="337"/>
      <c r="I505" s="252" t="str">
        <f t="shared" si="119"/>
        <v/>
      </c>
      <c r="J505" s="248" t="str">
        <f>IF(I505="","",VLOOKUP($I505,Master!$K$4:$N$607,4,FALSE))</f>
        <v/>
      </c>
      <c r="K505" s="253" t="str">
        <f t="shared" si="124"/>
        <v/>
      </c>
      <c r="L505" s="254"/>
      <c r="M505" s="341" t="str">
        <f t="shared" si="120"/>
        <v/>
      </c>
      <c r="N505" s="341"/>
      <c r="O505" s="342"/>
      <c r="P505" s="255" t="str">
        <f t="shared" si="121"/>
        <v/>
      </c>
      <c r="Q505" s="256" t="str">
        <f t="shared" si="125"/>
        <v/>
      </c>
      <c r="R505" s="256" t="str">
        <f t="shared" si="122"/>
        <v/>
      </c>
      <c r="S505" s="257" t="str">
        <f t="shared" si="126"/>
        <v/>
      </c>
      <c r="T505" s="219" t="str">
        <f t="shared" si="123"/>
        <v/>
      </c>
      <c r="U505" s="258"/>
    </row>
    <row r="506" spans="2:21" x14ac:dyDescent="0.15">
      <c r="B506" s="249"/>
      <c r="C506" s="314"/>
      <c r="D506" s="250"/>
      <c r="E506" s="251"/>
      <c r="F506" s="335"/>
      <c r="G506" s="336"/>
      <c r="H506" s="337"/>
      <c r="I506" s="252" t="str">
        <f t="shared" si="119"/>
        <v/>
      </c>
      <c r="J506" s="248" t="str">
        <f>IF(I506="","",VLOOKUP($I506,Master!$K$4:$N$607,4,FALSE))</f>
        <v/>
      </c>
      <c r="K506" s="253" t="str">
        <f t="shared" si="124"/>
        <v/>
      </c>
      <c r="L506" s="254"/>
      <c r="M506" s="341" t="str">
        <f t="shared" si="120"/>
        <v/>
      </c>
      <c r="N506" s="341"/>
      <c r="O506" s="342"/>
      <c r="P506" s="255" t="str">
        <f t="shared" si="121"/>
        <v/>
      </c>
      <c r="Q506" s="256" t="str">
        <f t="shared" si="125"/>
        <v/>
      </c>
      <c r="R506" s="256" t="str">
        <f t="shared" si="122"/>
        <v/>
      </c>
      <c r="S506" s="257" t="str">
        <f t="shared" si="126"/>
        <v/>
      </c>
      <c r="T506" s="219" t="str">
        <f t="shared" si="123"/>
        <v/>
      </c>
      <c r="U506" s="258"/>
    </row>
    <row r="507" spans="2:21" x14ac:dyDescent="0.15">
      <c r="B507" s="249"/>
      <c r="C507" s="314"/>
      <c r="D507" s="250"/>
      <c r="E507" s="251"/>
      <c r="F507" s="335"/>
      <c r="G507" s="336"/>
      <c r="H507" s="337"/>
      <c r="I507" s="252" t="str">
        <f t="shared" si="119"/>
        <v/>
      </c>
      <c r="J507" s="248" t="str">
        <f>IF(I507="","",VLOOKUP($I507,Master!$K$4:$N$607,4,FALSE))</f>
        <v/>
      </c>
      <c r="K507" s="253" t="str">
        <f t="shared" si="124"/>
        <v/>
      </c>
      <c r="L507" s="254"/>
      <c r="M507" s="341" t="str">
        <f t="shared" si="120"/>
        <v/>
      </c>
      <c r="N507" s="341"/>
      <c r="O507" s="342"/>
      <c r="P507" s="255" t="str">
        <f t="shared" si="121"/>
        <v/>
      </c>
      <c r="Q507" s="256" t="str">
        <f t="shared" si="125"/>
        <v/>
      </c>
      <c r="R507" s="256" t="str">
        <f t="shared" si="122"/>
        <v/>
      </c>
      <c r="S507" s="257" t="str">
        <f t="shared" si="126"/>
        <v/>
      </c>
      <c r="T507" s="219" t="str">
        <f t="shared" si="123"/>
        <v/>
      </c>
      <c r="U507" s="258"/>
    </row>
    <row r="508" spans="2:21" x14ac:dyDescent="0.15">
      <c r="B508" s="249"/>
      <c r="C508" s="314"/>
      <c r="D508" s="250"/>
      <c r="E508" s="251"/>
      <c r="F508" s="335"/>
      <c r="G508" s="336"/>
      <c r="H508" s="337"/>
      <c r="I508" s="252" t="str">
        <f t="shared" si="119"/>
        <v/>
      </c>
      <c r="J508" s="248" t="str">
        <f>IF(I508="","",VLOOKUP($I508,Master!$K$4:$N$607,4,FALSE))</f>
        <v/>
      </c>
      <c r="K508" s="253" t="str">
        <f t="shared" si="124"/>
        <v/>
      </c>
      <c r="L508" s="254"/>
      <c r="M508" s="341" t="str">
        <f t="shared" si="120"/>
        <v/>
      </c>
      <c r="N508" s="341"/>
      <c r="O508" s="342"/>
      <c r="P508" s="255" t="str">
        <f t="shared" si="121"/>
        <v/>
      </c>
      <c r="Q508" s="256" t="str">
        <f t="shared" si="125"/>
        <v/>
      </c>
      <c r="R508" s="256" t="str">
        <f t="shared" si="122"/>
        <v/>
      </c>
      <c r="S508" s="257" t="str">
        <f t="shared" si="126"/>
        <v/>
      </c>
      <c r="T508" s="219" t="str">
        <f t="shared" si="123"/>
        <v/>
      </c>
      <c r="U508" s="258"/>
    </row>
    <row r="509" spans="2:21" x14ac:dyDescent="0.15">
      <c r="B509" s="249"/>
      <c r="C509" s="314"/>
      <c r="D509" s="250"/>
      <c r="E509" s="251"/>
      <c r="F509" s="335"/>
      <c r="G509" s="336"/>
      <c r="H509" s="337"/>
      <c r="I509" s="252" t="str">
        <f t="shared" si="119"/>
        <v/>
      </c>
      <c r="J509" s="248" t="str">
        <f>IF(I509="","",VLOOKUP($I509,Master!$K$4:$N$607,4,FALSE))</f>
        <v/>
      </c>
      <c r="K509" s="253" t="str">
        <f t="shared" si="124"/>
        <v/>
      </c>
      <c r="L509" s="254"/>
      <c r="M509" s="341" t="str">
        <f t="shared" si="120"/>
        <v/>
      </c>
      <c r="N509" s="341"/>
      <c r="O509" s="342"/>
      <c r="P509" s="255" t="str">
        <f t="shared" si="121"/>
        <v/>
      </c>
      <c r="Q509" s="256" t="str">
        <f t="shared" si="125"/>
        <v/>
      </c>
      <c r="R509" s="256" t="str">
        <f t="shared" si="122"/>
        <v/>
      </c>
      <c r="S509" s="257" t="str">
        <f t="shared" si="126"/>
        <v/>
      </c>
      <c r="T509" s="219" t="str">
        <f t="shared" si="123"/>
        <v/>
      </c>
      <c r="U509" s="258"/>
    </row>
    <row r="510" spans="2:21" x14ac:dyDescent="0.15">
      <c r="B510" s="249"/>
      <c r="C510" s="314"/>
      <c r="D510" s="250"/>
      <c r="E510" s="251"/>
      <c r="F510" s="335"/>
      <c r="G510" s="336"/>
      <c r="H510" s="337"/>
      <c r="I510" s="252" t="str">
        <f t="shared" si="119"/>
        <v/>
      </c>
      <c r="J510" s="248" t="str">
        <f>IF(I510="","",VLOOKUP($I510,Master!$K$4:$N$607,4,FALSE))</f>
        <v/>
      </c>
      <c r="K510" s="253" t="str">
        <f t="shared" si="124"/>
        <v/>
      </c>
      <c r="L510" s="254"/>
      <c r="M510" s="341" t="str">
        <f t="shared" si="120"/>
        <v/>
      </c>
      <c r="N510" s="341"/>
      <c r="O510" s="342"/>
      <c r="P510" s="255" t="str">
        <f t="shared" si="121"/>
        <v/>
      </c>
      <c r="Q510" s="256" t="str">
        <f t="shared" si="125"/>
        <v/>
      </c>
      <c r="R510" s="256" t="str">
        <f t="shared" si="122"/>
        <v/>
      </c>
      <c r="S510" s="257" t="str">
        <f t="shared" si="126"/>
        <v/>
      </c>
      <c r="T510" s="219" t="str">
        <f t="shared" si="123"/>
        <v/>
      </c>
      <c r="U510" s="258"/>
    </row>
    <row r="511" spans="2:21" x14ac:dyDescent="0.15">
      <c r="B511" s="249"/>
      <c r="C511" s="314"/>
      <c r="D511" s="250"/>
      <c r="E511" s="251"/>
      <c r="F511" s="335"/>
      <c r="G511" s="336"/>
      <c r="H511" s="337"/>
      <c r="I511" s="252" t="str">
        <f t="shared" si="119"/>
        <v/>
      </c>
      <c r="J511" s="248" t="str">
        <f>IF(I511="","",VLOOKUP($I511,Master!$K$4:$N$607,4,FALSE))</f>
        <v/>
      </c>
      <c r="K511" s="253" t="str">
        <f t="shared" si="124"/>
        <v/>
      </c>
      <c r="L511" s="254"/>
      <c r="M511" s="341" t="str">
        <f t="shared" si="120"/>
        <v/>
      </c>
      <c r="N511" s="341"/>
      <c r="O511" s="342"/>
      <c r="P511" s="255" t="str">
        <f t="shared" si="121"/>
        <v/>
      </c>
      <c r="Q511" s="256" t="str">
        <f t="shared" si="125"/>
        <v/>
      </c>
      <c r="R511" s="256" t="str">
        <f t="shared" si="122"/>
        <v/>
      </c>
      <c r="S511" s="257" t="str">
        <f t="shared" si="126"/>
        <v/>
      </c>
      <c r="T511" s="219" t="str">
        <f t="shared" si="123"/>
        <v/>
      </c>
      <c r="U511" s="258"/>
    </row>
    <row r="512" spans="2:21" x14ac:dyDescent="0.15">
      <c r="B512" s="249"/>
      <c r="C512" s="314"/>
      <c r="D512" s="250"/>
      <c r="E512" s="251"/>
      <c r="F512" s="335"/>
      <c r="G512" s="336"/>
      <c r="H512" s="337"/>
      <c r="I512" s="252" t="str">
        <f t="shared" si="119"/>
        <v/>
      </c>
      <c r="J512" s="248" t="str">
        <f>IF(I512="","",VLOOKUP($I512,Master!$K$4:$N$607,4,FALSE))</f>
        <v/>
      </c>
      <c r="K512" s="253" t="str">
        <f t="shared" si="124"/>
        <v/>
      </c>
      <c r="L512" s="254"/>
      <c r="M512" s="341" t="str">
        <f t="shared" si="120"/>
        <v/>
      </c>
      <c r="N512" s="341"/>
      <c r="O512" s="342"/>
      <c r="P512" s="255" t="str">
        <f t="shared" si="121"/>
        <v/>
      </c>
      <c r="Q512" s="256" t="str">
        <f t="shared" si="125"/>
        <v/>
      </c>
      <c r="R512" s="256" t="str">
        <f t="shared" si="122"/>
        <v/>
      </c>
      <c r="S512" s="257" t="str">
        <f t="shared" si="126"/>
        <v/>
      </c>
      <c r="T512" s="219" t="str">
        <f t="shared" si="123"/>
        <v/>
      </c>
      <c r="U512" s="258"/>
    </row>
    <row r="513" spans="2:21" x14ac:dyDescent="0.15">
      <c r="B513" s="249"/>
      <c r="C513" s="314"/>
      <c r="D513" s="250"/>
      <c r="E513" s="251"/>
      <c r="F513" s="335"/>
      <c r="G513" s="336"/>
      <c r="H513" s="337"/>
      <c r="I513" s="252" t="str">
        <f t="shared" si="119"/>
        <v/>
      </c>
      <c r="J513" s="248" t="str">
        <f>IF(I513="","",VLOOKUP($I513,Master!$K$4:$N$607,4,FALSE))</f>
        <v/>
      </c>
      <c r="K513" s="253" t="str">
        <f t="shared" si="124"/>
        <v/>
      </c>
      <c r="L513" s="254"/>
      <c r="M513" s="341" t="str">
        <f t="shared" si="120"/>
        <v/>
      </c>
      <c r="N513" s="341"/>
      <c r="O513" s="342"/>
      <c r="P513" s="255" t="str">
        <f t="shared" si="121"/>
        <v/>
      </c>
      <c r="Q513" s="256" t="str">
        <f t="shared" si="125"/>
        <v/>
      </c>
      <c r="R513" s="256" t="str">
        <f t="shared" si="122"/>
        <v/>
      </c>
      <c r="S513" s="257" t="str">
        <f t="shared" si="126"/>
        <v/>
      </c>
      <c r="T513" s="219" t="str">
        <f t="shared" si="123"/>
        <v/>
      </c>
      <c r="U513" s="258"/>
    </row>
    <row r="514" spans="2:21" x14ac:dyDescent="0.15">
      <c r="B514" s="249"/>
      <c r="C514" s="314"/>
      <c r="D514" s="250"/>
      <c r="E514" s="251"/>
      <c r="F514" s="335"/>
      <c r="G514" s="336"/>
      <c r="H514" s="337"/>
      <c r="I514" s="252" t="str">
        <f t="shared" si="119"/>
        <v/>
      </c>
      <c r="J514" s="248" t="str">
        <f>IF(I514="","",VLOOKUP($I514,Master!$K$4:$N$607,4,FALSE))</f>
        <v/>
      </c>
      <c r="K514" s="253" t="str">
        <f t="shared" si="124"/>
        <v/>
      </c>
      <c r="L514" s="254"/>
      <c r="M514" s="341" t="str">
        <f t="shared" si="120"/>
        <v/>
      </c>
      <c r="N514" s="341"/>
      <c r="O514" s="342"/>
      <c r="P514" s="255" t="str">
        <f t="shared" si="121"/>
        <v/>
      </c>
      <c r="Q514" s="256" t="str">
        <f t="shared" si="125"/>
        <v/>
      </c>
      <c r="R514" s="256" t="str">
        <f t="shared" si="122"/>
        <v/>
      </c>
      <c r="S514" s="257" t="str">
        <f t="shared" si="126"/>
        <v/>
      </c>
      <c r="T514" s="219" t="str">
        <f t="shared" si="123"/>
        <v/>
      </c>
      <c r="U514" s="258"/>
    </row>
    <row r="515" spans="2:21" x14ac:dyDescent="0.15">
      <c r="B515" s="249"/>
      <c r="C515" s="314"/>
      <c r="D515" s="250"/>
      <c r="E515" s="251"/>
      <c r="F515" s="335"/>
      <c r="G515" s="336"/>
      <c r="H515" s="337"/>
      <c r="I515" s="252" t="str">
        <f t="shared" si="119"/>
        <v/>
      </c>
      <c r="J515" s="248" t="str">
        <f>IF(I515="","",VLOOKUP($I515,Master!$K$4:$N$607,4,FALSE))</f>
        <v/>
      </c>
      <c r="K515" s="253" t="str">
        <f t="shared" si="124"/>
        <v/>
      </c>
      <c r="L515" s="254"/>
      <c r="M515" s="341" t="str">
        <f t="shared" si="120"/>
        <v/>
      </c>
      <c r="N515" s="341"/>
      <c r="O515" s="342"/>
      <c r="P515" s="255" t="str">
        <f t="shared" si="121"/>
        <v/>
      </c>
      <c r="Q515" s="256" t="str">
        <f t="shared" si="125"/>
        <v/>
      </c>
      <c r="R515" s="256" t="str">
        <f t="shared" si="122"/>
        <v/>
      </c>
      <c r="S515" s="257" t="str">
        <f t="shared" si="126"/>
        <v/>
      </c>
      <c r="T515" s="219" t="str">
        <f t="shared" si="123"/>
        <v/>
      </c>
      <c r="U515" s="258"/>
    </row>
    <row r="516" spans="2:21" x14ac:dyDescent="0.15">
      <c r="B516" s="249"/>
      <c r="C516" s="314"/>
      <c r="D516" s="250"/>
      <c r="E516" s="251"/>
      <c r="F516" s="335"/>
      <c r="G516" s="336"/>
      <c r="H516" s="337"/>
      <c r="I516" s="252" t="str">
        <f t="shared" ref="I516:I579" si="127">IF($F516="","",IF(ISERR(VLOOKUP($C516&amp;$D516&amp;$E516&amp;$F516,SOW,2,FALSE)),"-",VLOOKUP($C516&amp;$D516&amp;$E516&amp;$F516,SOW,2,FALSE)))</f>
        <v/>
      </c>
      <c r="J516" s="248" t="str">
        <f>IF(I516="","",VLOOKUP($I516,Master!$K$4:$N$607,4,FALSE))</f>
        <v/>
      </c>
      <c r="K516" s="253" t="str">
        <f t="shared" si="124"/>
        <v/>
      </c>
      <c r="L516" s="254"/>
      <c r="M516" s="341" t="str">
        <f t="shared" ref="M516:M579" si="128">IF($F516&lt;&gt;"",IF($J516&lt;&gt;"-",IF($J516="要選択","REQ_IDを選択して下さい。",IF($J516="","REQ_IDを選択して下さい。",VLOOKUP($J516,REQUEST,2,FALSE))),$F516),"")</f>
        <v/>
      </c>
      <c r="N516" s="341"/>
      <c r="O516" s="342"/>
      <c r="P516" s="255" t="str">
        <f t="shared" ref="P516:P579" si="129">IF($B516&lt;&gt;"",TEXT(TEXT(YEAR($B516),"0000")&amp;TEXT(MONTH($B516),"00")&amp;$I516,"@"),"")</f>
        <v/>
      </c>
      <c r="Q516" s="256" t="str">
        <f t="shared" si="125"/>
        <v/>
      </c>
      <c r="R516" s="256" t="str">
        <f t="shared" ref="R516:R579" si="130">IF($B516&lt;&gt;"",TEXT(TEXT(YEAR($B516),"0000")&amp;TEXT(MONTH($B516),"00")&amp;$J516,"@"),"")</f>
        <v/>
      </c>
      <c r="S516" s="257" t="str">
        <f t="shared" si="126"/>
        <v/>
      </c>
      <c r="T516" s="219" t="str">
        <f t="shared" si="123"/>
        <v/>
      </c>
      <c r="U516" s="258"/>
    </row>
    <row r="517" spans="2:21" x14ac:dyDescent="0.15">
      <c r="B517" s="249"/>
      <c r="C517" s="314"/>
      <c r="D517" s="250"/>
      <c r="E517" s="251"/>
      <c r="F517" s="335"/>
      <c r="G517" s="336"/>
      <c r="H517" s="337"/>
      <c r="I517" s="252" t="str">
        <f t="shared" si="127"/>
        <v/>
      </c>
      <c r="J517" s="248" t="str">
        <f>IF(I517="","",VLOOKUP($I517,Master!$K$4:$N$607,4,FALSE))</f>
        <v/>
      </c>
      <c r="K517" s="253" t="str">
        <f t="shared" si="124"/>
        <v/>
      </c>
      <c r="L517" s="254"/>
      <c r="M517" s="341" t="str">
        <f t="shared" si="128"/>
        <v/>
      </c>
      <c r="N517" s="341"/>
      <c r="O517" s="342"/>
      <c r="P517" s="255" t="str">
        <f t="shared" si="129"/>
        <v/>
      </c>
      <c r="Q517" s="256" t="str">
        <f t="shared" si="125"/>
        <v/>
      </c>
      <c r="R517" s="256" t="str">
        <f t="shared" si="130"/>
        <v/>
      </c>
      <c r="S517" s="257" t="str">
        <f t="shared" si="126"/>
        <v/>
      </c>
      <c r="T517" s="219" t="str">
        <f t="shared" ref="T517:T580" si="131">IF($B517&lt;&gt;"",TEXT(TEXT(YEAR($B517),"0000")&amp;TEXT(MONTH($B517),"00")&amp;TEXT(DAY($B517),"00")&amp;$C517,"@"),"")</f>
        <v/>
      </c>
      <c r="U517" s="258"/>
    </row>
    <row r="518" spans="2:21" x14ac:dyDescent="0.15">
      <c r="B518" s="249"/>
      <c r="C518" s="314"/>
      <c r="D518" s="250"/>
      <c r="E518" s="251"/>
      <c r="F518" s="335"/>
      <c r="G518" s="336"/>
      <c r="H518" s="337"/>
      <c r="I518" s="252" t="str">
        <f t="shared" si="127"/>
        <v/>
      </c>
      <c r="J518" s="248" t="str">
        <f>IF(I518="","",VLOOKUP($I518,Master!$K$4:$N$607,4,FALSE))</f>
        <v/>
      </c>
      <c r="K518" s="253" t="str">
        <f t="shared" si="124"/>
        <v/>
      </c>
      <c r="L518" s="254"/>
      <c r="M518" s="341" t="str">
        <f t="shared" si="128"/>
        <v/>
      </c>
      <c r="N518" s="341"/>
      <c r="O518" s="342"/>
      <c r="P518" s="255" t="str">
        <f t="shared" si="129"/>
        <v/>
      </c>
      <c r="Q518" s="256" t="str">
        <f t="shared" si="125"/>
        <v/>
      </c>
      <c r="R518" s="256" t="str">
        <f t="shared" si="130"/>
        <v/>
      </c>
      <c r="S518" s="257" t="str">
        <f t="shared" si="126"/>
        <v/>
      </c>
      <c r="T518" s="219" t="str">
        <f t="shared" si="131"/>
        <v/>
      </c>
      <c r="U518" s="258"/>
    </row>
    <row r="519" spans="2:21" x14ac:dyDescent="0.15">
      <c r="B519" s="249"/>
      <c r="C519" s="314"/>
      <c r="D519" s="250"/>
      <c r="E519" s="251"/>
      <c r="F519" s="335"/>
      <c r="G519" s="336"/>
      <c r="H519" s="337"/>
      <c r="I519" s="252" t="str">
        <f t="shared" si="127"/>
        <v/>
      </c>
      <c r="J519" s="248" t="str">
        <f>IF(I519="","",VLOOKUP($I519,Master!$K$4:$N$607,4,FALSE))</f>
        <v/>
      </c>
      <c r="K519" s="253" t="str">
        <f t="shared" si="124"/>
        <v/>
      </c>
      <c r="L519" s="254"/>
      <c r="M519" s="341" t="str">
        <f t="shared" si="128"/>
        <v/>
      </c>
      <c r="N519" s="341"/>
      <c r="O519" s="342"/>
      <c r="P519" s="255" t="str">
        <f t="shared" si="129"/>
        <v/>
      </c>
      <c r="Q519" s="256" t="str">
        <f t="shared" si="125"/>
        <v/>
      </c>
      <c r="R519" s="256" t="str">
        <f t="shared" si="130"/>
        <v/>
      </c>
      <c r="S519" s="257" t="str">
        <f t="shared" si="126"/>
        <v/>
      </c>
      <c r="T519" s="219" t="str">
        <f t="shared" si="131"/>
        <v/>
      </c>
      <c r="U519" s="258"/>
    </row>
    <row r="520" spans="2:21" x14ac:dyDescent="0.15">
      <c r="B520" s="249"/>
      <c r="C520" s="314"/>
      <c r="D520" s="250"/>
      <c r="E520" s="251"/>
      <c r="F520" s="335"/>
      <c r="G520" s="336"/>
      <c r="H520" s="337"/>
      <c r="I520" s="252" t="str">
        <f t="shared" si="127"/>
        <v/>
      </c>
      <c r="J520" s="248" t="str">
        <f>IF(I520="","",VLOOKUP($I520,Master!$K$4:$N$607,4,FALSE))</f>
        <v/>
      </c>
      <c r="K520" s="253" t="str">
        <f t="shared" si="124"/>
        <v/>
      </c>
      <c r="L520" s="254"/>
      <c r="M520" s="341" t="str">
        <f t="shared" si="128"/>
        <v/>
      </c>
      <c r="N520" s="341"/>
      <c r="O520" s="342"/>
      <c r="P520" s="255" t="str">
        <f t="shared" si="129"/>
        <v/>
      </c>
      <c r="Q520" s="256" t="str">
        <f t="shared" si="125"/>
        <v/>
      </c>
      <c r="R520" s="256" t="str">
        <f t="shared" si="130"/>
        <v/>
      </c>
      <c r="S520" s="257" t="str">
        <f t="shared" si="126"/>
        <v/>
      </c>
      <c r="T520" s="219" t="str">
        <f t="shared" si="131"/>
        <v/>
      </c>
      <c r="U520" s="258"/>
    </row>
    <row r="521" spans="2:21" x14ac:dyDescent="0.15">
      <c r="B521" s="249"/>
      <c r="C521" s="314"/>
      <c r="D521" s="250"/>
      <c r="E521" s="251"/>
      <c r="F521" s="335"/>
      <c r="G521" s="336"/>
      <c r="H521" s="337"/>
      <c r="I521" s="252" t="str">
        <f t="shared" si="127"/>
        <v/>
      </c>
      <c r="J521" s="248" t="str">
        <f>IF(I521="","",VLOOKUP($I521,Master!$K$4:$N$607,4,FALSE))</f>
        <v/>
      </c>
      <c r="K521" s="253" t="str">
        <f t="shared" si="124"/>
        <v/>
      </c>
      <c r="L521" s="254"/>
      <c r="M521" s="341" t="str">
        <f t="shared" si="128"/>
        <v/>
      </c>
      <c r="N521" s="341"/>
      <c r="O521" s="342"/>
      <c r="P521" s="255" t="str">
        <f t="shared" si="129"/>
        <v/>
      </c>
      <c r="Q521" s="256" t="str">
        <f t="shared" si="125"/>
        <v/>
      </c>
      <c r="R521" s="256" t="str">
        <f t="shared" si="130"/>
        <v/>
      </c>
      <c r="S521" s="257" t="str">
        <f t="shared" si="126"/>
        <v/>
      </c>
      <c r="T521" s="219" t="str">
        <f t="shared" si="131"/>
        <v/>
      </c>
      <c r="U521" s="258"/>
    </row>
    <row r="522" spans="2:21" x14ac:dyDescent="0.15">
      <c r="B522" s="249"/>
      <c r="C522" s="314"/>
      <c r="D522" s="250"/>
      <c r="E522" s="251"/>
      <c r="F522" s="335"/>
      <c r="G522" s="336"/>
      <c r="H522" s="337"/>
      <c r="I522" s="252" t="str">
        <f t="shared" si="127"/>
        <v/>
      </c>
      <c r="J522" s="248" t="str">
        <f>IF(I522="","",VLOOKUP($I522,Master!$K$4:$N$607,4,FALSE))</f>
        <v/>
      </c>
      <c r="K522" s="253" t="str">
        <f t="shared" si="124"/>
        <v/>
      </c>
      <c r="L522" s="254"/>
      <c r="M522" s="341" t="str">
        <f t="shared" si="128"/>
        <v/>
      </c>
      <c r="N522" s="341"/>
      <c r="O522" s="342"/>
      <c r="P522" s="255" t="str">
        <f t="shared" si="129"/>
        <v/>
      </c>
      <c r="Q522" s="256" t="str">
        <f t="shared" si="125"/>
        <v/>
      </c>
      <c r="R522" s="256" t="str">
        <f t="shared" si="130"/>
        <v/>
      </c>
      <c r="S522" s="257" t="str">
        <f t="shared" si="126"/>
        <v/>
      </c>
      <c r="T522" s="219" t="str">
        <f t="shared" si="131"/>
        <v/>
      </c>
      <c r="U522" s="258"/>
    </row>
    <row r="523" spans="2:21" x14ac:dyDescent="0.15">
      <c r="B523" s="249"/>
      <c r="C523" s="314"/>
      <c r="D523" s="250"/>
      <c r="E523" s="251"/>
      <c r="F523" s="335"/>
      <c r="G523" s="336"/>
      <c r="H523" s="337"/>
      <c r="I523" s="252" t="str">
        <f t="shared" si="127"/>
        <v/>
      </c>
      <c r="J523" s="248" t="str">
        <f>IF(I523="","",VLOOKUP($I523,Master!$K$4:$N$607,4,FALSE))</f>
        <v/>
      </c>
      <c r="K523" s="253" t="str">
        <f t="shared" si="124"/>
        <v/>
      </c>
      <c r="L523" s="254"/>
      <c r="M523" s="341" t="str">
        <f t="shared" si="128"/>
        <v/>
      </c>
      <c r="N523" s="341"/>
      <c r="O523" s="342"/>
      <c r="P523" s="255" t="str">
        <f t="shared" si="129"/>
        <v/>
      </c>
      <c r="Q523" s="256" t="str">
        <f t="shared" si="125"/>
        <v/>
      </c>
      <c r="R523" s="256" t="str">
        <f t="shared" si="130"/>
        <v/>
      </c>
      <c r="S523" s="257" t="str">
        <f t="shared" si="126"/>
        <v/>
      </c>
      <c r="T523" s="219" t="str">
        <f t="shared" si="131"/>
        <v/>
      </c>
      <c r="U523" s="258"/>
    </row>
    <row r="524" spans="2:21" x14ac:dyDescent="0.15">
      <c r="B524" s="249"/>
      <c r="C524" s="314"/>
      <c r="D524" s="250"/>
      <c r="E524" s="251"/>
      <c r="F524" s="335"/>
      <c r="G524" s="336"/>
      <c r="H524" s="337"/>
      <c r="I524" s="252" t="str">
        <f t="shared" si="127"/>
        <v/>
      </c>
      <c r="J524" s="248" t="str">
        <f>IF(I524="","",VLOOKUP($I524,Master!$K$4:$N$607,4,FALSE))</f>
        <v/>
      </c>
      <c r="K524" s="253" t="str">
        <f t="shared" si="124"/>
        <v/>
      </c>
      <c r="L524" s="254"/>
      <c r="M524" s="341" t="str">
        <f t="shared" si="128"/>
        <v/>
      </c>
      <c r="N524" s="341"/>
      <c r="O524" s="342"/>
      <c r="P524" s="255" t="str">
        <f t="shared" si="129"/>
        <v/>
      </c>
      <c r="Q524" s="256" t="str">
        <f t="shared" si="125"/>
        <v/>
      </c>
      <c r="R524" s="256" t="str">
        <f t="shared" si="130"/>
        <v/>
      </c>
      <c r="S524" s="257" t="str">
        <f t="shared" si="126"/>
        <v/>
      </c>
      <c r="T524" s="219" t="str">
        <f t="shared" si="131"/>
        <v/>
      </c>
      <c r="U524" s="258"/>
    </row>
    <row r="525" spans="2:21" x14ac:dyDescent="0.15">
      <c r="B525" s="249"/>
      <c r="C525" s="314"/>
      <c r="D525" s="250"/>
      <c r="E525" s="251"/>
      <c r="F525" s="335"/>
      <c r="G525" s="336"/>
      <c r="H525" s="337"/>
      <c r="I525" s="252" t="str">
        <f t="shared" si="127"/>
        <v/>
      </c>
      <c r="J525" s="248" t="str">
        <f>IF(I525="","",VLOOKUP($I525,Master!$K$4:$N$607,4,FALSE))</f>
        <v/>
      </c>
      <c r="K525" s="253" t="str">
        <f t="shared" si="124"/>
        <v/>
      </c>
      <c r="L525" s="254"/>
      <c r="M525" s="341" t="str">
        <f t="shared" si="128"/>
        <v/>
      </c>
      <c r="N525" s="341"/>
      <c r="O525" s="342"/>
      <c r="P525" s="255" t="str">
        <f t="shared" si="129"/>
        <v/>
      </c>
      <c r="Q525" s="256" t="str">
        <f t="shared" si="125"/>
        <v/>
      </c>
      <c r="R525" s="256" t="str">
        <f t="shared" si="130"/>
        <v/>
      </c>
      <c r="S525" s="257" t="str">
        <f t="shared" si="126"/>
        <v/>
      </c>
      <c r="T525" s="219" t="str">
        <f t="shared" si="131"/>
        <v/>
      </c>
      <c r="U525" s="258"/>
    </row>
    <row r="526" spans="2:21" x14ac:dyDescent="0.15">
      <c r="B526" s="249"/>
      <c r="C526" s="314"/>
      <c r="D526" s="250"/>
      <c r="E526" s="251"/>
      <c r="F526" s="335"/>
      <c r="G526" s="336"/>
      <c r="H526" s="337"/>
      <c r="I526" s="252" t="str">
        <f t="shared" si="127"/>
        <v/>
      </c>
      <c r="J526" s="248" t="str">
        <f>IF(I526="","",VLOOKUP($I526,Master!$K$4:$N$607,4,FALSE))</f>
        <v/>
      </c>
      <c r="K526" s="253" t="str">
        <f t="shared" si="124"/>
        <v/>
      </c>
      <c r="L526" s="254"/>
      <c r="M526" s="341" t="str">
        <f t="shared" si="128"/>
        <v/>
      </c>
      <c r="N526" s="341"/>
      <c r="O526" s="342"/>
      <c r="P526" s="255" t="str">
        <f t="shared" si="129"/>
        <v/>
      </c>
      <c r="Q526" s="256" t="str">
        <f t="shared" si="125"/>
        <v/>
      </c>
      <c r="R526" s="256" t="str">
        <f t="shared" si="130"/>
        <v/>
      </c>
      <c r="S526" s="257" t="str">
        <f t="shared" si="126"/>
        <v/>
      </c>
      <c r="T526" s="219" t="str">
        <f t="shared" si="131"/>
        <v/>
      </c>
      <c r="U526" s="258"/>
    </row>
    <row r="527" spans="2:21" x14ac:dyDescent="0.15">
      <c r="B527" s="249"/>
      <c r="C527" s="314"/>
      <c r="D527" s="250"/>
      <c r="E527" s="251"/>
      <c r="F527" s="335"/>
      <c r="G527" s="336"/>
      <c r="H527" s="337"/>
      <c r="I527" s="252" t="str">
        <f t="shared" si="127"/>
        <v/>
      </c>
      <c r="J527" s="248" t="str">
        <f>IF(I527="","",VLOOKUP($I527,Master!$K$4:$N$607,4,FALSE))</f>
        <v/>
      </c>
      <c r="K527" s="253" t="str">
        <f t="shared" si="124"/>
        <v/>
      </c>
      <c r="L527" s="254"/>
      <c r="M527" s="341" t="str">
        <f t="shared" si="128"/>
        <v/>
      </c>
      <c r="N527" s="341"/>
      <c r="O527" s="342"/>
      <c r="P527" s="255" t="str">
        <f t="shared" si="129"/>
        <v/>
      </c>
      <c r="Q527" s="256" t="str">
        <f t="shared" si="125"/>
        <v/>
      </c>
      <c r="R527" s="256" t="str">
        <f t="shared" si="130"/>
        <v/>
      </c>
      <c r="S527" s="257" t="str">
        <f t="shared" si="126"/>
        <v/>
      </c>
      <c r="T527" s="219" t="str">
        <f t="shared" si="131"/>
        <v/>
      </c>
      <c r="U527" s="258"/>
    </row>
    <row r="528" spans="2:21" x14ac:dyDescent="0.15">
      <c r="B528" s="249"/>
      <c r="C528" s="314"/>
      <c r="D528" s="250"/>
      <c r="E528" s="251"/>
      <c r="F528" s="335"/>
      <c r="G528" s="336"/>
      <c r="H528" s="337"/>
      <c r="I528" s="252" t="str">
        <f t="shared" si="127"/>
        <v/>
      </c>
      <c r="J528" s="248" t="str">
        <f>IF(I528="","",VLOOKUP($I528,Master!$K$4:$N$607,4,FALSE))</f>
        <v/>
      </c>
      <c r="K528" s="253" t="str">
        <f t="shared" si="124"/>
        <v/>
      </c>
      <c r="L528" s="254"/>
      <c r="M528" s="341" t="str">
        <f t="shared" si="128"/>
        <v/>
      </c>
      <c r="N528" s="341"/>
      <c r="O528" s="342"/>
      <c r="P528" s="255" t="str">
        <f t="shared" si="129"/>
        <v/>
      </c>
      <c r="Q528" s="256" t="str">
        <f t="shared" si="125"/>
        <v/>
      </c>
      <c r="R528" s="256" t="str">
        <f t="shared" si="130"/>
        <v/>
      </c>
      <c r="S528" s="257" t="str">
        <f t="shared" si="126"/>
        <v/>
      </c>
      <c r="T528" s="219" t="str">
        <f t="shared" si="131"/>
        <v/>
      </c>
      <c r="U528" s="258"/>
    </row>
    <row r="529" spans="2:21" x14ac:dyDescent="0.15">
      <c r="B529" s="249"/>
      <c r="C529" s="314"/>
      <c r="D529" s="250"/>
      <c r="E529" s="251"/>
      <c r="F529" s="335"/>
      <c r="G529" s="336"/>
      <c r="H529" s="337"/>
      <c r="I529" s="252" t="str">
        <f t="shared" si="127"/>
        <v/>
      </c>
      <c r="J529" s="248" t="str">
        <f>IF(I529="","",VLOOKUP($I529,Master!$K$4:$N$607,4,FALSE))</f>
        <v/>
      </c>
      <c r="K529" s="253" t="str">
        <f t="shared" si="124"/>
        <v/>
      </c>
      <c r="L529" s="254"/>
      <c r="M529" s="341" t="str">
        <f t="shared" si="128"/>
        <v/>
      </c>
      <c r="N529" s="341"/>
      <c r="O529" s="342"/>
      <c r="P529" s="255" t="str">
        <f t="shared" si="129"/>
        <v/>
      </c>
      <c r="Q529" s="256" t="str">
        <f t="shared" si="125"/>
        <v/>
      </c>
      <c r="R529" s="256" t="str">
        <f t="shared" si="130"/>
        <v/>
      </c>
      <c r="S529" s="257" t="str">
        <f t="shared" si="126"/>
        <v/>
      </c>
      <c r="T529" s="219" t="str">
        <f t="shared" si="131"/>
        <v/>
      </c>
      <c r="U529" s="258"/>
    </row>
    <row r="530" spans="2:21" x14ac:dyDescent="0.15">
      <c r="B530" s="249"/>
      <c r="C530" s="314"/>
      <c r="D530" s="250"/>
      <c r="E530" s="251"/>
      <c r="F530" s="335"/>
      <c r="G530" s="336"/>
      <c r="H530" s="337"/>
      <c r="I530" s="252" t="str">
        <f t="shared" si="127"/>
        <v/>
      </c>
      <c r="J530" s="248" t="str">
        <f>IF(I530="","",VLOOKUP($I530,Master!$K$4:$N$607,4,FALSE))</f>
        <v/>
      </c>
      <c r="K530" s="253" t="str">
        <f t="shared" si="124"/>
        <v/>
      </c>
      <c r="L530" s="254"/>
      <c r="M530" s="341" t="str">
        <f t="shared" si="128"/>
        <v/>
      </c>
      <c r="N530" s="341"/>
      <c r="O530" s="342"/>
      <c r="P530" s="255" t="str">
        <f t="shared" si="129"/>
        <v/>
      </c>
      <c r="Q530" s="256" t="str">
        <f t="shared" si="125"/>
        <v/>
      </c>
      <c r="R530" s="256" t="str">
        <f t="shared" si="130"/>
        <v/>
      </c>
      <c r="S530" s="257" t="str">
        <f t="shared" si="126"/>
        <v/>
      </c>
      <c r="T530" s="219" t="str">
        <f t="shared" si="131"/>
        <v/>
      </c>
      <c r="U530" s="258"/>
    </row>
    <row r="531" spans="2:21" x14ac:dyDescent="0.15">
      <c r="B531" s="249"/>
      <c r="C531" s="314"/>
      <c r="D531" s="250"/>
      <c r="E531" s="251"/>
      <c r="F531" s="335"/>
      <c r="G531" s="336"/>
      <c r="H531" s="337"/>
      <c r="I531" s="252" t="str">
        <f t="shared" si="127"/>
        <v/>
      </c>
      <c r="J531" s="248" t="str">
        <f>IF(I531="","",VLOOKUP($I531,Master!$K$4:$N$607,4,FALSE))</f>
        <v/>
      </c>
      <c r="K531" s="253" t="str">
        <f t="shared" si="124"/>
        <v/>
      </c>
      <c r="L531" s="254"/>
      <c r="M531" s="341" t="str">
        <f t="shared" si="128"/>
        <v/>
      </c>
      <c r="N531" s="341"/>
      <c r="O531" s="342"/>
      <c r="P531" s="255" t="str">
        <f t="shared" si="129"/>
        <v/>
      </c>
      <c r="Q531" s="256" t="str">
        <f t="shared" si="125"/>
        <v/>
      </c>
      <c r="R531" s="256" t="str">
        <f t="shared" si="130"/>
        <v/>
      </c>
      <c r="S531" s="257" t="str">
        <f t="shared" si="126"/>
        <v/>
      </c>
      <c r="T531" s="219" t="str">
        <f t="shared" si="131"/>
        <v/>
      </c>
      <c r="U531" s="258"/>
    </row>
    <row r="532" spans="2:21" x14ac:dyDescent="0.15">
      <c r="B532" s="249"/>
      <c r="C532" s="314"/>
      <c r="D532" s="250"/>
      <c r="E532" s="251"/>
      <c r="F532" s="335"/>
      <c r="G532" s="336"/>
      <c r="H532" s="337"/>
      <c r="I532" s="252" t="str">
        <f t="shared" si="127"/>
        <v/>
      </c>
      <c r="J532" s="248" t="str">
        <f>IF(I532="","",VLOOKUP($I532,Master!$K$4:$N$607,4,FALSE))</f>
        <v/>
      </c>
      <c r="K532" s="253" t="str">
        <f t="shared" si="124"/>
        <v/>
      </c>
      <c r="L532" s="254"/>
      <c r="M532" s="341" t="str">
        <f t="shared" si="128"/>
        <v/>
      </c>
      <c r="N532" s="341"/>
      <c r="O532" s="342"/>
      <c r="P532" s="255" t="str">
        <f t="shared" si="129"/>
        <v/>
      </c>
      <c r="Q532" s="256" t="str">
        <f t="shared" si="125"/>
        <v/>
      </c>
      <c r="R532" s="256" t="str">
        <f t="shared" si="130"/>
        <v/>
      </c>
      <c r="S532" s="257" t="str">
        <f t="shared" si="126"/>
        <v/>
      </c>
      <c r="T532" s="219" t="str">
        <f t="shared" si="131"/>
        <v/>
      </c>
      <c r="U532" s="258"/>
    </row>
    <row r="533" spans="2:21" x14ac:dyDescent="0.15">
      <c r="B533" s="249"/>
      <c r="C533" s="314"/>
      <c r="D533" s="250"/>
      <c r="E533" s="251"/>
      <c r="F533" s="335"/>
      <c r="G533" s="336"/>
      <c r="H533" s="337"/>
      <c r="I533" s="252" t="str">
        <f t="shared" si="127"/>
        <v/>
      </c>
      <c r="J533" s="248" t="str">
        <f>IF(I533="","",VLOOKUP($I533,Master!$K$4:$N$607,4,FALSE))</f>
        <v/>
      </c>
      <c r="K533" s="253" t="str">
        <f t="shared" si="124"/>
        <v/>
      </c>
      <c r="L533" s="254"/>
      <c r="M533" s="341" t="str">
        <f t="shared" si="128"/>
        <v/>
      </c>
      <c r="N533" s="341"/>
      <c r="O533" s="342"/>
      <c r="P533" s="255" t="str">
        <f t="shared" si="129"/>
        <v/>
      </c>
      <c r="Q533" s="256" t="str">
        <f t="shared" si="125"/>
        <v/>
      </c>
      <c r="R533" s="256" t="str">
        <f t="shared" si="130"/>
        <v/>
      </c>
      <c r="S533" s="257" t="str">
        <f t="shared" si="126"/>
        <v/>
      </c>
      <c r="T533" s="219" t="str">
        <f t="shared" si="131"/>
        <v/>
      </c>
      <c r="U533" s="258"/>
    </row>
    <row r="534" spans="2:21" x14ac:dyDescent="0.15">
      <c r="B534" s="249"/>
      <c r="C534" s="314"/>
      <c r="D534" s="250"/>
      <c r="E534" s="251"/>
      <c r="F534" s="335"/>
      <c r="G534" s="336"/>
      <c r="H534" s="337"/>
      <c r="I534" s="252" t="str">
        <f t="shared" si="127"/>
        <v/>
      </c>
      <c r="J534" s="248" t="str">
        <f>IF(I534="","",VLOOKUP($I534,Master!$K$4:$N$607,4,FALSE))</f>
        <v/>
      </c>
      <c r="K534" s="253" t="str">
        <f t="shared" si="124"/>
        <v/>
      </c>
      <c r="L534" s="254"/>
      <c r="M534" s="341" t="str">
        <f t="shared" si="128"/>
        <v/>
      </c>
      <c r="N534" s="341"/>
      <c r="O534" s="342"/>
      <c r="P534" s="255" t="str">
        <f t="shared" si="129"/>
        <v/>
      </c>
      <c r="Q534" s="256" t="str">
        <f t="shared" si="125"/>
        <v/>
      </c>
      <c r="R534" s="256" t="str">
        <f t="shared" si="130"/>
        <v/>
      </c>
      <c r="S534" s="257" t="str">
        <f t="shared" si="126"/>
        <v/>
      </c>
      <c r="T534" s="219" t="str">
        <f t="shared" si="131"/>
        <v/>
      </c>
      <c r="U534" s="258"/>
    </row>
    <row r="535" spans="2:21" x14ac:dyDescent="0.15">
      <c r="B535" s="249"/>
      <c r="C535" s="314"/>
      <c r="D535" s="250"/>
      <c r="E535" s="251"/>
      <c r="F535" s="335"/>
      <c r="G535" s="336"/>
      <c r="H535" s="337"/>
      <c r="I535" s="252" t="str">
        <f t="shared" si="127"/>
        <v/>
      </c>
      <c r="J535" s="248" t="str">
        <f>IF(I535="","",VLOOKUP($I535,Master!$K$4:$N$607,4,FALSE))</f>
        <v/>
      </c>
      <c r="K535" s="253" t="str">
        <f t="shared" si="124"/>
        <v/>
      </c>
      <c r="L535" s="254"/>
      <c r="M535" s="341" t="str">
        <f t="shared" si="128"/>
        <v/>
      </c>
      <c r="N535" s="341"/>
      <c r="O535" s="342"/>
      <c r="P535" s="255" t="str">
        <f t="shared" si="129"/>
        <v/>
      </c>
      <c r="Q535" s="256" t="str">
        <f t="shared" si="125"/>
        <v/>
      </c>
      <c r="R535" s="256" t="str">
        <f t="shared" si="130"/>
        <v/>
      </c>
      <c r="S535" s="257" t="str">
        <f t="shared" si="126"/>
        <v/>
      </c>
      <c r="T535" s="219" t="str">
        <f t="shared" si="131"/>
        <v/>
      </c>
      <c r="U535" s="258"/>
    </row>
    <row r="536" spans="2:21" x14ac:dyDescent="0.15">
      <c r="B536" s="249"/>
      <c r="C536" s="314"/>
      <c r="D536" s="250"/>
      <c r="E536" s="251"/>
      <c r="F536" s="335"/>
      <c r="G536" s="336"/>
      <c r="H536" s="337"/>
      <c r="I536" s="252" t="str">
        <f t="shared" si="127"/>
        <v/>
      </c>
      <c r="J536" s="248" t="str">
        <f>IF(I536="","",VLOOKUP($I536,Master!$K$4:$N$607,4,FALSE))</f>
        <v/>
      </c>
      <c r="K536" s="253" t="str">
        <f t="shared" si="124"/>
        <v/>
      </c>
      <c r="L536" s="254"/>
      <c r="M536" s="341" t="str">
        <f t="shared" si="128"/>
        <v/>
      </c>
      <c r="N536" s="341"/>
      <c r="O536" s="342"/>
      <c r="P536" s="255" t="str">
        <f t="shared" si="129"/>
        <v/>
      </c>
      <c r="Q536" s="256" t="str">
        <f t="shared" si="125"/>
        <v/>
      </c>
      <c r="R536" s="256" t="str">
        <f t="shared" si="130"/>
        <v/>
      </c>
      <c r="S536" s="257" t="str">
        <f t="shared" si="126"/>
        <v/>
      </c>
      <c r="T536" s="219" t="str">
        <f t="shared" si="131"/>
        <v/>
      </c>
      <c r="U536" s="258"/>
    </row>
    <row r="537" spans="2:21" x14ac:dyDescent="0.15">
      <c r="B537" s="249"/>
      <c r="C537" s="314"/>
      <c r="D537" s="250"/>
      <c r="E537" s="251"/>
      <c r="F537" s="335"/>
      <c r="G537" s="336"/>
      <c r="H537" s="337"/>
      <c r="I537" s="252" t="str">
        <f t="shared" si="127"/>
        <v/>
      </c>
      <c r="J537" s="248" t="str">
        <f>IF(I537="","",VLOOKUP($I537,Master!$K$4:$N$607,4,FALSE))</f>
        <v/>
      </c>
      <c r="K537" s="253" t="str">
        <f t="shared" si="124"/>
        <v/>
      </c>
      <c r="L537" s="254"/>
      <c r="M537" s="341" t="str">
        <f t="shared" si="128"/>
        <v/>
      </c>
      <c r="N537" s="341"/>
      <c r="O537" s="342"/>
      <c r="P537" s="255" t="str">
        <f t="shared" si="129"/>
        <v/>
      </c>
      <c r="Q537" s="256" t="str">
        <f t="shared" si="125"/>
        <v/>
      </c>
      <c r="R537" s="256" t="str">
        <f t="shared" si="130"/>
        <v/>
      </c>
      <c r="S537" s="257" t="str">
        <f t="shared" si="126"/>
        <v/>
      </c>
      <c r="T537" s="219" t="str">
        <f t="shared" si="131"/>
        <v/>
      </c>
      <c r="U537" s="258"/>
    </row>
    <row r="538" spans="2:21" x14ac:dyDescent="0.15">
      <c r="B538" s="249"/>
      <c r="C538" s="314"/>
      <c r="D538" s="250"/>
      <c r="E538" s="251"/>
      <c r="F538" s="335"/>
      <c r="G538" s="336"/>
      <c r="H538" s="337"/>
      <c r="I538" s="252" t="str">
        <f t="shared" si="127"/>
        <v/>
      </c>
      <c r="J538" s="248" t="str">
        <f>IF(I538="","",VLOOKUP($I538,Master!$K$4:$N$607,4,FALSE))</f>
        <v/>
      </c>
      <c r="K538" s="253" t="str">
        <f t="shared" ref="K538:K601" si="132">IF(F538="","",IF(ISERROR(VLOOKUP($F538,SOW,3,FALSE)),0,VLOOKUP($F538,SOW,3,FALSE)*24))</f>
        <v/>
      </c>
      <c r="L538" s="254"/>
      <c r="M538" s="341" t="str">
        <f t="shared" si="128"/>
        <v/>
      </c>
      <c r="N538" s="341"/>
      <c r="O538" s="342"/>
      <c r="P538" s="255" t="str">
        <f t="shared" si="129"/>
        <v/>
      </c>
      <c r="Q538" s="256" t="str">
        <f t="shared" ref="Q538:Q601" si="133">IF($B538&lt;&gt;"",TEXT(TEXT(YEAR($B538),"0000")&amp;TEXT(MONTH($B538),"00")&amp;$I538&amp;"@"&amp;LEFT($E$2,SEARCH("　",$E$2,1)-1)&amp;"@"&amp;L538,"@"),"")</f>
        <v/>
      </c>
      <c r="R538" s="256" t="str">
        <f t="shared" si="130"/>
        <v/>
      </c>
      <c r="S538" s="257" t="str">
        <f t="shared" ref="S538:S601" si="134">IF($B538&lt;&gt;"",TEXT(YEAR($B538),"0000")&amp;TEXT(MONTH($B538),"00")&amp;$J538&amp;"@"&amp;LEFT($E$2,SEARCH("　",$E$2,1)-1)&amp;"@"&amp;L538,"")</f>
        <v/>
      </c>
      <c r="T538" s="219" t="str">
        <f t="shared" si="131"/>
        <v/>
      </c>
      <c r="U538" s="258"/>
    </row>
    <row r="539" spans="2:21" x14ac:dyDescent="0.15">
      <c r="B539" s="249"/>
      <c r="C539" s="314"/>
      <c r="D539" s="250"/>
      <c r="E539" s="251"/>
      <c r="F539" s="335"/>
      <c r="G539" s="336"/>
      <c r="H539" s="337"/>
      <c r="I539" s="252" t="str">
        <f t="shared" si="127"/>
        <v/>
      </c>
      <c r="J539" s="248" t="str">
        <f>IF(I539="","",VLOOKUP($I539,Master!$K$4:$N$607,4,FALSE))</f>
        <v/>
      </c>
      <c r="K539" s="253" t="str">
        <f t="shared" si="132"/>
        <v/>
      </c>
      <c r="L539" s="254"/>
      <c r="M539" s="341" t="str">
        <f t="shared" si="128"/>
        <v/>
      </c>
      <c r="N539" s="341"/>
      <c r="O539" s="342"/>
      <c r="P539" s="255" t="str">
        <f t="shared" si="129"/>
        <v/>
      </c>
      <c r="Q539" s="256" t="str">
        <f t="shared" si="133"/>
        <v/>
      </c>
      <c r="R539" s="256" t="str">
        <f t="shared" si="130"/>
        <v/>
      </c>
      <c r="S539" s="257" t="str">
        <f t="shared" si="134"/>
        <v/>
      </c>
      <c r="T539" s="219" t="str">
        <f t="shared" si="131"/>
        <v/>
      </c>
      <c r="U539" s="258"/>
    </row>
    <row r="540" spans="2:21" x14ac:dyDescent="0.15">
      <c r="B540" s="249"/>
      <c r="C540" s="314"/>
      <c r="D540" s="250"/>
      <c r="E540" s="251"/>
      <c r="F540" s="335"/>
      <c r="G540" s="336"/>
      <c r="H540" s="337"/>
      <c r="I540" s="252" t="str">
        <f t="shared" si="127"/>
        <v/>
      </c>
      <c r="J540" s="248" t="str">
        <f>IF(I540="","",VLOOKUP($I540,Master!$K$4:$N$607,4,FALSE))</f>
        <v/>
      </c>
      <c r="K540" s="253" t="str">
        <f t="shared" si="132"/>
        <v/>
      </c>
      <c r="L540" s="254"/>
      <c r="M540" s="341" t="str">
        <f t="shared" si="128"/>
        <v/>
      </c>
      <c r="N540" s="341"/>
      <c r="O540" s="342"/>
      <c r="P540" s="255" t="str">
        <f t="shared" si="129"/>
        <v/>
      </c>
      <c r="Q540" s="256" t="str">
        <f t="shared" si="133"/>
        <v/>
      </c>
      <c r="R540" s="256" t="str">
        <f t="shared" si="130"/>
        <v/>
      </c>
      <c r="S540" s="257" t="str">
        <f t="shared" si="134"/>
        <v/>
      </c>
      <c r="T540" s="219" t="str">
        <f t="shared" si="131"/>
        <v/>
      </c>
      <c r="U540" s="258"/>
    </row>
    <row r="541" spans="2:21" x14ac:dyDescent="0.15">
      <c r="B541" s="249"/>
      <c r="C541" s="314"/>
      <c r="D541" s="250"/>
      <c r="E541" s="251"/>
      <c r="F541" s="335"/>
      <c r="G541" s="336"/>
      <c r="H541" s="337"/>
      <c r="I541" s="252" t="str">
        <f t="shared" si="127"/>
        <v/>
      </c>
      <c r="J541" s="248" t="str">
        <f>IF(I541="","",VLOOKUP($I541,Master!$K$4:$N$607,4,FALSE))</f>
        <v/>
      </c>
      <c r="K541" s="253" t="str">
        <f t="shared" si="132"/>
        <v/>
      </c>
      <c r="L541" s="254"/>
      <c r="M541" s="341" t="str">
        <f t="shared" si="128"/>
        <v/>
      </c>
      <c r="N541" s="341"/>
      <c r="O541" s="342"/>
      <c r="P541" s="255" t="str">
        <f t="shared" si="129"/>
        <v/>
      </c>
      <c r="Q541" s="256" t="str">
        <f t="shared" si="133"/>
        <v/>
      </c>
      <c r="R541" s="256" t="str">
        <f t="shared" si="130"/>
        <v/>
      </c>
      <c r="S541" s="257" t="str">
        <f t="shared" si="134"/>
        <v/>
      </c>
      <c r="T541" s="219" t="str">
        <f t="shared" si="131"/>
        <v/>
      </c>
      <c r="U541" s="258"/>
    </row>
    <row r="542" spans="2:21" x14ac:dyDescent="0.15">
      <c r="B542" s="249"/>
      <c r="C542" s="314"/>
      <c r="D542" s="250"/>
      <c r="E542" s="251"/>
      <c r="F542" s="335"/>
      <c r="G542" s="336"/>
      <c r="H542" s="337"/>
      <c r="I542" s="252" t="str">
        <f t="shared" si="127"/>
        <v/>
      </c>
      <c r="J542" s="248" t="str">
        <f>IF(I542="","",VLOOKUP($I542,Master!$K$4:$N$607,4,FALSE))</f>
        <v/>
      </c>
      <c r="K542" s="253" t="str">
        <f t="shared" si="132"/>
        <v/>
      </c>
      <c r="L542" s="254"/>
      <c r="M542" s="341" t="str">
        <f t="shared" si="128"/>
        <v/>
      </c>
      <c r="N542" s="341"/>
      <c r="O542" s="342"/>
      <c r="P542" s="255" t="str">
        <f t="shared" si="129"/>
        <v/>
      </c>
      <c r="Q542" s="256" t="str">
        <f t="shared" si="133"/>
        <v/>
      </c>
      <c r="R542" s="256" t="str">
        <f t="shared" si="130"/>
        <v/>
      </c>
      <c r="S542" s="257" t="str">
        <f t="shared" si="134"/>
        <v/>
      </c>
      <c r="T542" s="219" t="str">
        <f t="shared" si="131"/>
        <v/>
      </c>
      <c r="U542" s="258"/>
    </row>
    <row r="543" spans="2:21" x14ac:dyDescent="0.15">
      <c r="B543" s="249"/>
      <c r="C543" s="314"/>
      <c r="D543" s="250"/>
      <c r="E543" s="251"/>
      <c r="F543" s="335"/>
      <c r="G543" s="336"/>
      <c r="H543" s="337"/>
      <c r="I543" s="252" t="str">
        <f t="shared" si="127"/>
        <v/>
      </c>
      <c r="J543" s="248" t="str">
        <f>IF(I543="","",VLOOKUP($I543,Master!$K$4:$N$607,4,FALSE))</f>
        <v/>
      </c>
      <c r="K543" s="253" t="str">
        <f t="shared" si="132"/>
        <v/>
      </c>
      <c r="L543" s="254"/>
      <c r="M543" s="341" t="str">
        <f t="shared" si="128"/>
        <v/>
      </c>
      <c r="N543" s="341"/>
      <c r="O543" s="342"/>
      <c r="P543" s="255" t="str">
        <f t="shared" si="129"/>
        <v/>
      </c>
      <c r="Q543" s="256" t="str">
        <f t="shared" si="133"/>
        <v/>
      </c>
      <c r="R543" s="256" t="str">
        <f t="shared" si="130"/>
        <v/>
      </c>
      <c r="S543" s="257" t="str">
        <f t="shared" si="134"/>
        <v/>
      </c>
      <c r="T543" s="219" t="str">
        <f t="shared" si="131"/>
        <v/>
      </c>
      <c r="U543" s="258"/>
    </row>
    <row r="544" spans="2:21" x14ac:dyDescent="0.15">
      <c r="B544" s="249"/>
      <c r="C544" s="314"/>
      <c r="D544" s="250"/>
      <c r="E544" s="251"/>
      <c r="F544" s="335"/>
      <c r="G544" s="336"/>
      <c r="H544" s="337"/>
      <c r="I544" s="252" t="str">
        <f t="shared" si="127"/>
        <v/>
      </c>
      <c r="J544" s="248" t="str">
        <f>IF(I544="","",VLOOKUP($I544,Master!$K$4:$N$607,4,FALSE))</f>
        <v/>
      </c>
      <c r="K544" s="253" t="str">
        <f t="shared" si="132"/>
        <v/>
      </c>
      <c r="L544" s="254"/>
      <c r="M544" s="341" t="str">
        <f t="shared" si="128"/>
        <v/>
      </c>
      <c r="N544" s="341"/>
      <c r="O544" s="342"/>
      <c r="P544" s="255" t="str">
        <f t="shared" si="129"/>
        <v/>
      </c>
      <c r="Q544" s="256" t="str">
        <f t="shared" si="133"/>
        <v/>
      </c>
      <c r="R544" s="256" t="str">
        <f t="shared" si="130"/>
        <v/>
      </c>
      <c r="S544" s="257" t="str">
        <f t="shared" si="134"/>
        <v/>
      </c>
      <c r="T544" s="219" t="str">
        <f t="shared" si="131"/>
        <v/>
      </c>
      <c r="U544" s="258"/>
    </row>
    <row r="545" spans="2:21" x14ac:dyDescent="0.15">
      <c r="B545" s="249"/>
      <c r="C545" s="314"/>
      <c r="D545" s="250"/>
      <c r="E545" s="251"/>
      <c r="F545" s="335"/>
      <c r="G545" s="336"/>
      <c r="H545" s="337"/>
      <c r="I545" s="252" t="str">
        <f t="shared" si="127"/>
        <v/>
      </c>
      <c r="J545" s="248" t="str">
        <f>IF(I545="","",VLOOKUP($I545,Master!$K$4:$N$607,4,FALSE))</f>
        <v/>
      </c>
      <c r="K545" s="253" t="str">
        <f t="shared" si="132"/>
        <v/>
      </c>
      <c r="L545" s="254"/>
      <c r="M545" s="341" t="str">
        <f t="shared" si="128"/>
        <v/>
      </c>
      <c r="N545" s="341"/>
      <c r="O545" s="342"/>
      <c r="P545" s="255" t="str">
        <f t="shared" si="129"/>
        <v/>
      </c>
      <c r="Q545" s="256" t="str">
        <f t="shared" si="133"/>
        <v/>
      </c>
      <c r="R545" s="256" t="str">
        <f t="shared" si="130"/>
        <v/>
      </c>
      <c r="S545" s="257" t="str">
        <f t="shared" si="134"/>
        <v/>
      </c>
      <c r="T545" s="219" t="str">
        <f t="shared" si="131"/>
        <v/>
      </c>
      <c r="U545" s="258"/>
    </row>
    <row r="546" spans="2:21" x14ac:dyDescent="0.15">
      <c r="B546" s="249"/>
      <c r="C546" s="314"/>
      <c r="D546" s="250"/>
      <c r="E546" s="251"/>
      <c r="F546" s="335"/>
      <c r="G546" s="336"/>
      <c r="H546" s="337"/>
      <c r="I546" s="252" t="str">
        <f t="shared" si="127"/>
        <v/>
      </c>
      <c r="J546" s="248" t="str">
        <f>IF(I546="","",VLOOKUP($I546,Master!$K$4:$N$607,4,FALSE))</f>
        <v/>
      </c>
      <c r="K546" s="253" t="str">
        <f t="shared" si="132"/>
        <v/>
      </c>
      <c r="L546" s="254"/>
      <c r="M546" s="341" t="str">
        <f t="shared" si="128"/>
        <v/>
      </c>
      <c r="N546" s="341"/>
      <c r="O546" s="342"/>
      <c r="P546" s="255" t="str">
        <f t="shared" si="129"/>
        <v/>
      </c>
      <c r="Q546" s="256" t="str">
        <f t="shared" si="133"/>
        <v/>
      </c>
      <c r="R546" s="256" t="str">
        <f t="shared" si="130"/>
        <v/>
      </c>
      <c r="S546" s="257" t="str">
        <f t="shared" si="134"/>
        <v/>
      </c>
      <c r="T546" s="219" t="str">
        <f t="shared" si="131"/>
        <v/>
      </c>
      <c r="U546" s="258"/>
    </row>
    <row r="547" spans="2:21" x14ac:dyDescent="0.15">
      <c r="B547" s="249"/>
      <c r="C547" s="314"/>
      <c r="D547" s="250"/>
      <c r="E547" s="251"/>
      <c r="F547" s="335"/>
      <c r="G547" s="336"/>
      <c r="H547" s="337"/>
      <c r="I547" s="252" t="str">
        <f t="shared" si="127"/>
        <v/>
      </c>
      <c r="J547" s="248" t="str">
        <f>IF(I547="","",VLOOKUP($I547,Master!$K$4:$N$607,4,FALSE))</f>
        <v/>
      </c>
      <c r="K547" s="253" t="str">
        <f t="shared" si="132"/>
        <v/>
      </c>
      <c r="L547" s="254"/>
      <c r="M547" s="341" t="str">
        <f t="shared" si="128"/>
        <v/>
      </c>
      <c r="N547" s="341"/>
      <c r="O547" s="342"/>
      <c r="P547" s="255" t="str">
        <f t="shared" si="129"/>
        <v/>
      </c>
      <c r="Q547" s="256" t="str">
        <f t="shared" si="133"/>
        <v/>
      </c>
      <c r="R547" s="256" t="str">
        <f t="shared" si="130"/>
        <v/>
      </c>
      <c r="S547" s="257" t="str">
        <f t="shared" si="134"/>
        <v/>
      </c>
      <c r="T547" s="219" t="str">
        <f t="shared" si="131"/>
        <v/>
      </c>
      <c r="U547" s="258"/>
    </row>
    <row r="548" spans="2:21" x14ac:dyDescent="0.15">
      <c r="B548" s="249"/>
      <c r="C548" s="314"/>
      <c r="D548" s="250"/>
      <c r="E548" s="251"/>
      <c r="F548" s="335"/>
      <c r="G548" s="336"/>
      <c r="H548" s="337"/>
      <c r="I548" s="252" t="str">
        <f t="shared" si="127"/>
        <v/>
      </c>
      <c r="J548" s="248" t="str">
        <f>IF(I548="","",VLOOKUP($I548,Master!$K$4:$N$607,4,FALSE))</f>
        <v/>
      </c>
      <c r="K548" s="253" t="str">
        <f t="shared" si="132"/>
        <v/>
      </c>
      <c r="L548" s="254"/>
      <c r="M548" s="341" t="str">
        <f t="shared" si="128"/>
        <v/>
      </c>
      <c r="N548" s="341"/>
      <c r="O548" s="342"/>
      <c r="P548" s="255" t="str">
        <f t="shared" si="129"/>
        <v/>
      </c>
      <c r="Q548" s="256" t="str">
        <f t="shared" si="133"/>
        <v/>
      </c>
      <c r="R548" s="256" t="str">
        <f t="shared" si="130"/>
        <v/>
      </c>
      <c r="S548" s="257" t="str">
        <f t="shared" si="134"/>
        <v/>
      </c>
      <c r="T548" s="219" t="str">
        <f t="shared" si="131"/>
        <v/>
      </c>
      <c r="U548" s="258"/>
    </row>
    <row r="549" spans="2:21" x14ac:dyDescent="0.15">
      <c r="B549" s="249"/>
      <c r="C549" s="314"/>
      <c r="D549" s="250"/>
      <c r="E549" s="251"/>
      <c r="F549" s="335"/>
      <c r="G549" s="336"/>
      <c r="H549" s="337"/>
      <c r="I549" s="252" t="str">
        <f t="shared" si="127"/>
        <v/>
      </c>
      <c r="J549" s="248" t="str">
        <f>IF(I549="","",VLOOKUP($I549,Master!$K$4:$N$607,4,FALSE))</f>
        <v/>
      </c>
      <c r="K549" s="253" t="str">
        <f t="shared" si="132"/>
        <v/>
      </c>
      <c r="L549" s="254"/>
      <c r="M549" s="341" t="str">
        <f t="shared" si="128"/>
        <v/>
      </c>
      <c r="N549" s="341"/>
      <c r="O549" s="342"/>
      <c r="P549" s="255" t="str">
        <f t="shared" si="129"/>
        <v/>
      </c>
      <c r="Q549" s="256" t="str">
        <f t="shared" si="133"/>
        <v/>
      </c>
      <c r="R549" s="256" t="str">
        <f t="shared" si="130"/>
        <v/>
      </c>
      <c r="S549" s="257" t="str">
        <f t="shared" si="134"/>
        <v/>
      </c>
      <c r="T549" s="219" t="str">
        <f t="shared" si="131"/>
        <v/>
      </c>
      <c r="U549" s="258"/>
    </row>
    <row r="550" spans="2:21" x14ac:dyDescent="0.15">
      <c r="B550" s="249"/>
      <c r="C550" s="314"/>
      <c r="D550" s="250"/>
      <c r="E550" s="251"/>
      <c r="F550" s="335"/>
      <c r="G550" s="336"/>
      <c r="H550" s="337"/>
      <c r="I550" s="252" t="str">
        <f t="shared" si="127"/>
        <v/>
      </c>
      <c r="J550" s="248" t="str">
        <f>IF(I550="","",VLOOKUP($I550,Master!$K$4:$N$607,4,FALSE))</f>
        <v/>
      </c>
      <c r="K550" s="253" t="str">
        <f t="shared" si="132"/>
        <v/>
      </c>
      <c r="L550" s="254"/>
      <c r="M550" s="341" t="str">
        <f t="shared" si="128"/>
        <v/>
      </c>
      <c r="N550" s="341"/>
      <c r="O550" s="342"/>
      <c r="P550" s="255" t="str">
        <f t="shared" si="129"/>
        <v/>
      </c>
      <c r="Q550" s="256" t="str">
        <f t="shared" si="133"/>
        <v/>
      </c>
      <c r="R550" s="256" t="str">
        <f t="shared" si="130"/>
        <v/>
      </c>
      <c r="S550" s="257" t="str">
        <f t="shared" si="134"/>
        <v/>
      </c>
      <c r="T550" s="219" t="str">
        <f t="shared" si="131"/>
        <v/>
      </c>
      <c r="U550" s="258"/>
    </row>
    <row r="551" spans="2:21" x14ac:dyDescent="0.15">
      <c r="B551" s="249"/>
      <c r="C551" s="314"/>
      <c r="D551" s="250"/>
      <c r="E551" s="251"/>
      <c r="F551" s="335"/>
      <c r="G551" s="336"/>
      <c r="H551" s="337"/>
      <c r="I551" s="252" t="str">
        <f t="shared" si="127"/>
        <v/>
      </c>
      <c r="J551" s="248" t="str">
        <f>IF(I551="","",VLOOKUP($I551,Master!$K$4:$N$607,4,FALSE))</f>
        <v/>
      </c>
      <c r="K551" s="253" t="str">
        <f t="shared" si="132"/>
        <v/>
      </c>
      <c r="L551" s="254"/>
      <c r="M551" s="341" t="str">
        <f t="shared" si="128"/>
        <v/>
      </c>
      <c r="N551" s="341"/>
      <c r="O551" s="342"/>
      <c r="P551" s="255" t="str">
        <f t="shared" si="129"/>
        <v/>
      </c>
      <c r="Q551" s="256" t="str">
        <f t="shared" si="133"/>
        <v/>
      </c>
      <c r="R551" s="256" t="str">
        <f t="shared" si="130"/>
        <v/>
      </c>
      <c r="S551" s="257" t="str">
        <f t="shared" si="134"/>
        <v/>
      </c>
      <c r="T551" s="219" t="str">
        <f t="shared" si="131"/>
        <v/>
      </c>
      <c r="U551" s="258"/>
    </row>
    <row r="552" spans="2:21" x14ac:dyDescent="0.15">
      <c r="B552" s="249"/>
      <c r="C552" s="314"/>
      <c r="D552" s="250"/>
      <c r="E552" s="251"/>
      <c r="F552" s="335"/>
      <c r="G552" s="336"/>
      <c r="H552" s="337"/>
      <c r="I552" s="252" t="str">
        <f t="shared" si="127"/>
        <v/>
      </c>
      <c r="J552" s="248" t="str">
        <f>IF(I552="","",VLOOKUP($I552,Master!$K$4:$N$607,4,FALSE))</f>
        <v/>
      </c>
      <c r="K552" s="253" t="str">
        <f t="shared" si="132"/>
        <v/>
      </c>
      <c r="L552" s="254"/>
      <c r="M552" s="341" t="str">
        <f t="shared" si="128"/>
        <v/>
      </c>
      <c r="N552" s="341"/>
      <c r="O552" s="342"/>
      <c r="P552" s="255" t="str">
        <f t="shared" si="129"/>
        <v/>
      </c>
      <c r="Q552" s="256" t="str">
        <f t="shared" si="133"/>
        <v/>
      </c>
      <c r="R552" s="256" t="str">
        <f t="shared" si="130"/>
        <v/>
      </c>
      <c r="S552" s="257" t="str">
        <f t="shared" si="134"/>
        <v/>
      </c>
      <c r="T552" s="219" t="str">
        <f t="shared" si="131"/>
        <v/>
      </c>
      <c r="U552" s="258"/>
    </row>
    <row r="553" spans="2:21" x14ac:dyDescent="0.15">
      <c r="B553" s="249"/>
      <c r="C553" s="314"/>
      <c r="D553" s="250"/>
      <c r="E553" s="251"/>
      <c r="F553" s="335"/>
      <c r="G553" s="336"/>
      <c r="H553" s="337"/>
      <c r="I553" s="252" t="str">
        <f t="shared" si="127"/>
        <v/>
      </c>
      <c r="J553" s="248" t="str">
        <f>IF(I553="","",VLOOKUP($I553,Master!$K$4:$N$607,4,FALSE))</f>
        <v/>
      </c>
      <c r="K553" s="253" t="str">
        <f t="shared" si="132"/>
        <v/>
      </c>
      <c r="L553" s="254"/>
      <c r="M553" s="341" t="str">
        <f t="shared" si="128"/>
        <v/>
      </c>
      <c r="N553" s="341"/>
      <c r="O553" s="342"/>
      <c r="P553" s="255" t="str">
        <f t="shared" si="129"/>
        <v/>
      </c>
      <c r="Q553" s="256" t="str">
        <f t="shared" si="133"/>
        <v/>
      </c>
      <c r="R553" s="256" t="str">
        <f t="shared" si="130"/>
        <v/>
      </c>
      <c r="S553" s="257" t="str">
        <f t="shared" si="134"/>
        <v/>
      </c>
      <c r="T553" s="219" t="str">
        <f t="shared" si="131"/>
        <v/>
      </c>
      <c r="U553" s="258"/>
    </row>
    <row r="554" spans="2:21" x14ac:dyDescent="0.15">
      <c r="B554" s="249"/>
      <c r="C554" s="314"/>
      <c r="D554" s="250"/>
      <c r="E554" s="251"/>
      <c r="F554" s="335"/>
      <c r="G554" s="336"/>
      <c r="H554" s="337"/>
      <c r="I554" s="252" t="str">
        <f t="shared" si="127"/>
        <v/>
      </c>
      <c r="J554" s="248" t="str">
        <f>IF(I554="","",VLOOKUP($I554,Master!$K$4:$N$607,4,FALSE))</f>
        <v/>
      </c>
      <c r="K554" s="253" t="str">
        <f t="shared" si="132"/>
        <v/>
      </c>
      <c r="L554" s="254"/>
      <c r="M554" s="341" t="str">
        <f t="shared" si="128"/>
        <v/>
      </c>
      <c r="N554" s="341"/>
      <c r="O554" s="342"/>
      <c r="P554" s="255" t="str">
        <f t="shared" si="129"/>
        <v/>
      </c>
      <c r="Q554" s="256" t="str">
        <f t="shared" si="133"/>
        <v/>
      </c>
      <c r="R554" s="256" t="str">
        <f t="shared" si="130"/>
        <v/>
      </c>
      <c r="S554" s="257" t="str">
        <f t="shared" si="134"/>
        <v/>
      </c>
      <c r="T554" s="219" t="str">
        <f t="shared" si="131"/>
        <v/>
      </c>
      <c r="U554" s="258"/>
    </row>
    <row r="555" spans="2:21" x14ac:dyDescent="0.15">
      <c r="B555" s="249"/>
      <c r="C555" s="314"/>
      <c r="D555" s="250"/>
      <c r="E555" s="251"/>
      <c r="F555" s="335"/>
      <c r="G555" s="336"/>
      <c r="H555" s="337"/>
      <c r="I555" s="252" t="str">
        <f t="shared" si="127"/>
        <v/>
      </c>
      <c r="J555" s="248" t="str">
        <f>IF(I555="","",VLOOKUP($I555,Master!$K$4:$N$607,4,FALSE))</f>
        <v/>
      </c>
      <c r="K555" s="253" t="str">
        <f t="shared" si="132"/>
        <v/>
      </c>
      <c r="L555" s="254"/>
      <c r="M555" s="341" t="str">
        <f t="shared" si="128"/>
        <v/>
      </c>
      <c r="N555" s="341"/>
      <c r="O555" s="342"/>
      <c r="P555" s="255" t="str">
        <f t="shared" si="129"/>
        <v/>
      </c>
      <c r="Q555" s="256" t="str">
        <f t="shared" si="133"/>
        <v/>
      </c>
      <c r="R555" s="256" t="str">
        <f t="shared" si="130"/>
        <v/>
      </c>
      <c r="S555" s="257" t="str">
        <f t="shared" si="134"/>
        <v/>
      </c>
      <c r="T555" s="219" t="str">
        <f t="shared" si="131"/>
        <v/>
      </c>
      <c r="U555" s="258"/>
    </row>
    <row r="556" spans="2:21" x14ac:dyDescent="0.15">
      <c r="B556" s="249"/>
      <c r="C556" s="314"/>
      <c r="D556" s="250"/>
      <c r="E556" s="251"/>
      <c r="F556" s="335"/>
      <c r="G556" s="336"/>
      <c r="H556" s="337"/>
      <c r="I556" s="252" t="str">
        <f t="shared" si="127"/>
        <v/>
      </c>
      <c r="J556" s="248" t="str">
        <f>IF(I556="","",VLOOKUP($I556,Master!$K$4:$N$607,4,FALSE))</f>
        <v/>
      </c>
      <c r="K556" s="253" t="str">
        <f t="shared" si="132"/>
        <v/>
      </c>
      <c r="L556" s="254"/>
      <c r="M556" s="341" t="str">
        <f t="shared" si="128"/>
        <v/>
      </c>
      <c r="N556" s="341"/>
      <c r="O556" s="342"/>
      <c r="P556" s="255" t="str">
        <f t="shared" si="129"/>
        <v/>
      </c>
      <c r="Q556" s="256" t="str">
        <f t="shared" si="133"/>
        <v/>
      </c>
      <c r="R556" s="256" t="str">
        <f t="shared" si="130"/>
        <v/>
      </c>
      <c r="S556" s="257" t="str">
        <f t="shared" si="134"/>
        <v/>
      </c>
      <c r="T556" s="219" t="str">
        <f t="shared" si="131"/>
        <v/>
      </c>
      <c r="U556" s="258"/>
    </row>
    <row r="557" spans="2:21" x14ac:dyDescent="0.15">
      <c r="B557" s="249"/>
      <c r="C557" s="314"/>
      <c r="D557" s="251"/>
      <c r="E557" s="251"/>
      <c r="F557" s="335"/>
      <c r="G557" s="336"/>
      <c r="H557" s="337"/>
      <c r="I557" s="252" t="str">
        <f t="shared" si="127"/>
        <v/>
      </c>
      <c r="J557" s="248" t="str">
        <f>IF(I557="","",VLOOKUP($I557,Master!$K$4:$N$607,4,FALSE))</f>
        <v/>
      </c>
      <c r="K557" s="253" t="str">
        <f t="shared" si="132"/>
        <v/>
      </c>
      <c r="L557" s="254"/>
      <c r="M557" s="341" t="str">
        <f t="shared" si="128"/>
        <v/>
      </c>
      <c r="N557" s="341"/>
      <c r="O557" s="342"/>
      <c r="P557" s="255" t="str">
        <f t="shared" si="129"/>
        <v/>
      </c>
      <c r="Q557" s="256" t="str">
        <f t="shared" si="133"/>
        <v/>
      </c>
      <c r="R557" s="256" t="str">
        <f t="shared" si="130"/>
        <v/>
      </c>
      <c r="S557" s="257" t="str">
        <f t="shared" si="134"/>
        <v/>
      </c>
      <c r="T557" s="219" t="str">
        <f t="shared" si="131"/>
        <v/>
      </c>
      <c r="U557" s="258"/>
    </row>
    <row r="558" spans="2:21" x14ac:dyDescent="0.15">
      <c r="B558" s="249"/>
      <c r="C558" s="314"/>
      <c r="D558" s="251"/>
      <c r="E558" s="251"/>
      <c r="F558" s="335"/>
      <c r="G558" s="336"/>
      <c r="H558" s="337"/>
      <c r="I558" s="252" t="str">
        <f t="shared" si="127"/>
        <v/>
      </c>
      <c r="J558" s="248" t="str">
        <f>IF(I558="","",VLOOKUP($I558,Master!$K$4:$N$607,4,FALSE))</f>
        <v/>
      </c>
      <c r="K558" s="253" t="str">
        <f t="shared" si="132"/>
        <v/>
      </c>
      <c r="L558" s="254"/>
      <c r="M558" s="341" t="str">
        <f t="shared" si="128"/>
        <v/>
      </c>
      <c r="N558" s="341"/>
      <c r="O558" s="342"/>
      <c r="P558" s="255" t="str">
        <f t="shared" si="129"/>
        <v/>
      </c>
      <c r="Q558" s="256" t="str">
        <f t="shared" si="133"/>
        <v/>
      </c>
      <c r="R558" s="256" t="str">
        <f t="shared" si="130"/>
        <v/>
      </c>
      <c r="S558" s="257" t="str">
        <f t="shared" si="134"/>
        <v/>
      </c>
      <c r="T558" s="219" t="str">
        <f t="shared" si="131"/>
        <v/>
      </c>
      <c r="U558" s="258"/>
    </row>
    <row r="559" spans="2:21" x14ac:dyDescent="0.15">
      <c r="B559" s="249"/>
      <c r="C559" s="314"/>
      <c r="D559" s="251"/>
      <c r="E559" s="251"/>
      <c r="F559" s="335"/>
      <c r="G559" s="336"/>
      <c r="H559" s="337"/>
      <c r="I559" s="252" t="str">
        <f t="shared" si="127"/>
        <v/>
      </c>
      <c r="J559" s="248" t="str">
        <f>IF(I559="","",VLOOKUP($I559,Master!$K$4:$N$607,4,FALSE))</f>
        <v/>
      </c>
      <c r="K559" s="253" t="str">
        <f t="shared" si="132"/>
        <v/>
      </c>
      <c r="L559" s="254"/>
      <c r="M559" s="341" t="str">
        <f t="shared" si="128"/>
        <v/>
      </c>
      <c r="N559" s="341"/>
      <c r="O559" s="342"/>
      <c r="P559" s="255" t="str">
        <f t="shared" si="129"/>
        <v/>
      </c>
      <c r="Q559" s="256" t="str">
        <f t="shared" si="133"/>
        <v/>
      </c>
      <c r="R559" s="256" t="str">
        <f t="shared" si="130"/>
        <v/>
      </c>
      <c r="S559" s="257" t="str">
        <f t="shared" si="134"/>
        <v/>
      </c>
      <c r="T559" s="219" t="str">
        <f t="shared" si="131"/>
        <v/>
      </c>
      <c r="U559" s="258"/>
    </row>
    <row r="560" spans="2:21" x14ac:dyDescent="0.15">
      <c r="B560" s="249"/>
      <c r="C560" s="314"/>
      <c r="D560" s="251"/>
      <c r="E560" s="251"/>
      <c r="F560" s="335"/>
      <c r="G560" s="336"/>
      <c r="H560" s="337"/>
      <c r="I560" s="252" t="str">
        <f t="shared" si="127"/>
        <v/>
      </c>
      <c r="J560" s="248" t="str">
        <f>IF(I560="","",VLOOKUP($I560,Master!$K$4:$N$607,4,FALSE))</f>
        <v/>
      </c>
      <c r="K560" s="253" t="str">
        <f t="shared" si="132"/>
        <v/>
      </c>
      <c r="L560" s="254"/>
      <c r="M560" s="341" t="str">
        <f t="shared" si="128"/>
        <v/>
      </c>
      <c r="N560" s="341"/>
      <c r="O560" s="342"/>
      <c r="P560" s="255" t="str">
        <f t="shared" si="129"/>
        <v/>
      </c>
      <c r="Q560" s="256" t="str">
        <f t="shared" si="133"/>
        <v/>
      </c>
      <c r="R560" s="256" t="str">
        <f t="shared" si="130"/>
        <v/>
      </c>
      <c r="S560" s="257" t="str">
        <f t="shared" si="134"/>
        <v/>
      </c>
      <c r="T560" s="219" t="str">
        <f t="shared" si="131"/>
        <v/>
      </c>
      <c r="U560" s="258"/>
    </row>
    <row r="561" spans="2:21" x14ac:dyDescent="0.15">
      <c r="B561" s="249"/>
      <c r="C561" s="314"/>
      <c r="D561" s="251"/>
      <c r="E561" s="251"/>
      <c r="F561" s="335"/>
      <c r="G561" s="336"/>
      <c r="H561" s="337"/>
      <c r="I561" s="252" t="str">
        <f t="shared" si="127"/>
        <v/>
      </c>
      <c r="J561" s="248" t="str">
        <f>IF(I561="","",VLOOKUP($I561,Master!$K$4:$N$607,4,FALSE))</f>
        <v/>
      </c>
      <c r="K561" s="253" t="str">
        <f t="shared" si="132"/>
        <v/>
      </c>
      <c r="L561" s="254"/>
      <c r="M561" s="341" t="str">
        <f t="shared" si="128"/>
        <v/>
      </c>
      <c r="N561" s="341"/>
      <c r="O561" s="342"/>
      <c r="P561" s="255" t="str">
        <f t="shared" si="129"/>
        <v/>
      </c>
      <c r="Q561" s="256" t="str">
        <f t="shared" si="133"/>
        <v/>
      </c>
      <c r="R561" s="256" t="str">
        <f t="shared" si="130"/>
        <v/>
      </c>
      <c r="S561" s="257" t="str">
        <f t="shared" si="134"/>
        <v/>
      </c>
      <c r="T561" s="219" t="str">
        <f t="shared" si="131"/>
        <v/>
      </c>
      <c r="U561" s="258"/>
    </row>
    <row r="562" spans="2:21" x14ac:dyDescent="0.15">
      <c r="B562" s="249"/>
      <c r="C562" s="314"/>
      <c r="D562" s="251"/>
      <c r="E562" s="251"/>
      <c r="F562" s="335"/>
      <c r="G562" s="336"/>
      <c r="H562" s="337"/>
      <c r="I562" s="252" t="str">
        <f t="shared" si="127"/>
        <v/>
      </c>
      <c r="J562" s="248" t="str">
        <f>IF(I562="","",VLOOKUP($I562,Master!$K$4:$N$607,4,FALSE))</f>
        <v/>
      </c>
      <c r="K562" s="253" t="str">
        <f t="shared" si="132"/>
        <v/>
      </c>
      <c r="L562" s="254"/>
      <c r="M562" s="341" t="str">
        <f t="shared" si="128"/>
        <v/>
      </c>
      <c r="N562" s="341"/>
      <c r="O562" s="342"/>
      <c r="P562" s="255" t="str">
        <f t="shared" si="129"/>
        <v/>
      </c>
      <c r="Q562" s="256" t="str">
        <f t="shared" si="133"/>
        <v/>
      </c>
      <c r="R562" s="256" t="str">
        <f t="shared" si="130"/>
        <v/>
      </c>
      <c r="S562" s="257" t="str">
        <f t="shared" si="134"/>
        <v/>
      </c>
      <c r="T562" s="219" t="str">
        <f t="shared" si="131"/>
        <v/>
      </c>
      <c r="U562" s="258"/>
    </row>
    <row r="563" spans="2:21" x14ac:dyDescent="0.15">
      <c r="B563" s="249"/>
      <c r="C563" s="314"/>
      <c r="D563" s="251"/>
      <c r="E563" s="251"/>
      <c r="F563" s="335"/>
      <c r="G563" s="336"/>
      <c r="H563" s="337"/>
      <c r="I563" s="252" t="str">
        <f t="shared" si="127"/>
        <v/>
      </c>
      <c r="J563" s="248" t="str">
        <f>IF(I563="","",VLOOKUP($I563,Master!$K$4:$N$607,4,FALSE))</f>
        <v/>
      </c>
      <c r="K563" s="253" t="str">
        <f t="shared" si="132"/>
        <v/>
      </c>
      <c r="L563" s="254"/>
      <c r="M563" s="341" t="str">
        <f t="shared" si="128"/>
        <v/>
      </c>
      <c r="N563" s="341"/>
      <c r="O563" s="342"/>
      <c r="P563" s="255" t="str">
        <f t="shared" si="129"/>
        <v/>
      </c>
      <c r="Q563" s="256" t="str">
        <f t="shared" si="133"/>
        <v/>
      </c>
      <c r="R563" s="256" t="str">
        <f t="shared" si="130"/>
        <v/>
      </c>
      <c r="S563" s="257" t="str">
        <f t="shared" si="134"/>
        <v/>
      </c>
      <c r="T563" s="219" t="str">
        <f t="shared" si="131"/>
        <v/>
      </c>
      <c r="U563" s="258"/>
    </row>
    <row r="564" spans="2:21" x14ac:dyDescent="0.15">
      <c r="B564" s="249"/>
      <c r="C564" s="314"/>
      <c r="D564" s="251"/>
      <c r="E564" s="251"/>
      <c r="F564" s="335"/>
      <c r="G564" s="336"/>
      <c r="H564" s="337"/>
      <c r="I564" s="252" t="str">
        <f t="shared" si="127"/>
        <v/>
      </c>
      <c r="J564" s="248" t="str">
        <f>IF(I564="","",VLOOKUP($I564,Master!$K$4:$N$607,4,FALSE))</f>
        <v/>
      </c>
      <c r="K564" s="253" t="str">
        <f t="shared" si="132"/>
        <v/>
      </c>
      <c r="L564" s="254"/>
      <c r="M564" s="341" t="str">
        <f t="shared" si="128"/>
        <v/>
      </c>
      <c r="N564" s="341"/>
      <c r="O564" s="342"/>
      <c r="P564" s="255" t="str">
        <f t="shared" si="129"/>
        <v/>
      </c>
      <c r="Q564" s="256" t="str">
        <f t="shared" si="133"/>
        <v/>
      </c>
      <c r="R564" s="256" t="str">
        <f t="shared" si="130"/>
        <v/>
      </c>
      <c r="S564" s="257" t="str">
        <f t="shared" si="134"/>
        <v/>
      </c>
      <c r="T564" s="219" t="str">
        <f t="shared" si="131"/>
        <v/>
      </c>
      <c r="U564" s="258"/>
    </row>
    <row r="565" spans="2:21" x14ac:dyDescent="0.15">
      <c r="B565" s="249"/>
      <c r="C565" s="314"/>
      <c r="D565" s="251"/>
      <c r="E565" s="251"/>
      <c r="F565" s="335"/>
      <c r="G565" s="336"/>
      <c r="H565" s="337"/>
      <c r="I565" s="252" t="str">
        <f t="shared" si="127"/>
        <v/>
      </c>
      <c r="J565" s="248" t="str">
        <f>IF(I565="","",VLOOKUP($I565,Master!$K$4:$N$607,4,FALSE))</f>
        <v/>
      </c>
      <c r="K565" s="253" t="str">
        <f t="shared" si="132"/>
        <v/>
      </c>
      <c r="L565" s="254"/>
      <c r="M565" s="341" t="str">
        <f t="shared" si="128"/>
        <v/>
      </c>
      <c r="N565" s="341"/>
      <c r="O565" s="342"/>
      <c r="P565" s="255" t="str">
        <f t="shared" si="129"/>
        <v/>
      </c>
      <c r="Q565" s="256" t="str">
        <f t="shared" si="133"/>
        <v/>
      </c>
      <c r="R565" s="256" t="str">
        <f t="shared" si="130"/>
        <v/>
      </c>
      <c r="S565" s="257" t="str">
        <f t="shared" si="134"/>
        <v/>
      </c>
      <c r="T565" s="219" t="str">
        <f t="shared" si="131"/>
        <v/>
      </c>
      <c r="U565" s="258"/>
    </row>
    <row r="566" spans="2:21" x14ac:dyDescent="0.15">
      <c r="B566" s="249"/>
      <c r="C566" s="314"/>
      <c r="D566" s="251"/>
      <c r="E566" s="251"/>
      <c r="F566" s="335"/>
      <c r="G566" s="336"/>
      <c r="H566" s="337"/>
      <c r="I566" s="252" t="str">
        <f t="shared" si="127"/>
        <v/>
      </c>
      <c r="J566" s="248" t="str">
        <f>IF(I566="","",VLOOKUP($I566,Master!$K$4:$N$607,4,FALSE))</f>
        <v/>
      </c>
      <c r="K566" s="253" t="str">
        <f t="shared" si="132"/>
        <v/>
      </c>
      <c r="L566" s="254"/>
      <c r="M566" s="341" t="str">
        <f t="shared" si="128"/>
        <v/>
      </c>
      <c r="N566" s="341"/>
      <c r="O566" s="342"/>
      <c r="P566" s="255" t="str">
        <f t="shared" si="129"/>
        <v/>
      </c>
      <c r="Q566" s="256" t="str">
        <f t="shared" si="133"/>
        <v/>
      </c>
      <c r="R566" s="256" t="str">
        <f t="shared" si="130"/>
        <v/>
      </c>
      <c r="S566" s="257" t="str">
        <f t="shared" si="134"/>
        <v/>
      </c>
      <c r="T566" s="219" t="str">
        <f t="shared" si="131"/>
        <v/>
      </c>
      <c r="U566" s="258"/>
    </row>
    <row r="567" spans="2:21" x14ac:dyDescent="0.15">
      <c r="B567" s="249"/>
      <c r="C567" s="314"/>
      <c r="D567" s="251"/>
      <c r="E567" s="251"/>
      <c r="F567" s="335"/>
      <c r="G567" s="336"/>
      <c r="H567" s="337"/>
      <c r="I567" s="252" t="str">
        <f t="shared" si="127"/>
        <v/>
      </c>
      <c r="J567" s="248" t="str">
        <f>IF(I567="","",VLOOKUP($I567,Master!$K$4:$N$607,4,FALSE))</f>
        <v/>
      </c>
      <c r="K567" s="253" t="str">
        <f t="shared" si="132"/>
        <v/>
      </c>
      <c r="L567" s="254"/>
      <c r="M567" s="341" t="str">
        <f t="shared" si="128"/>
        <v/>
      </c>
      <c r="N567" s="341"/>
      <c r="O567" s="342"/>
      <c r="P567" s="255" t="str">
        <f t="shared" si="129"/>
        <v/>
      </c>
      <c r="Q567" s="256" t="str">
        <f t="shared" si="133"/>
        <v/>
      </c>
      <c r="R567" s="256" t="str">
        <f t="shared" si="130"/>
        <v/>
      </c>
      <c r="S567" s="257" t="str">
        <f t="shared" si="134"/>
        <v/>
      </c>
      <c r="T567" s="219" t="str">
        <f t="shared" si="131"/>
        <v/>
      </c>
      <c r="U567" s="258"/>
    </row>
    <row r="568" spans="2:21" x14ac:dyDescent="0.15">
      <c r="B568" s="249"/>
      <c r="C568" s="314"/>
      <c r="D568" s="251"/>
      <c r="E568" s="251"/>
      <c r="F568" s="335"/>
      <c r="G568" s="336"/>
      <c r="H568" s="337"/>
      <c r="I568" s="252" t="str">
        <f t="shared" si="127"/>
        <v/>
      </c>
      <c r="J568" s="248" t="str">
        <f>IF(I568="","",VLOOKUP($I568,Master!$K$4:$N$607,4,FALSE))</f>
        <v/>
      </c>
      <c r="K568" s="253" t="str">
        <f t="shared" si="132"/>
        <v/>
      </c>
      <c r="L568" s="254"/>
      <c r="M568" s="341" t="str">
        <f t="shared" si="128"/>
        <v/>
      </c>
      <c r="N568" s="341"/>
      <c r="O568" s="342"/>
      <c r="P568" s="255" t="str">
        <f t="shared" si="129"/>
        <v/>
      </c>
      <c r="Q568" s="256" t="str">
        <f t="shared" si="133"/>
        <v/>
      </c>
      <c r="R568" s="256" t="str">
        <f t="shared" si="130"/>
        <v/>
      </c>
      <c r="S568" s="257" t="str">
        <f t="shared" si="134"/>
        <v/>
      </c>
      <c r="T568" s="219" t="str">
        <f t="shared" si="131"/>
        <v/>
      </c>
      <c r="U568" s="258"/>
    </row>
    <row r="569" spans="2:21" x14ac:dyDescent="0.15">
      <c r="B569" s="249"/>
      <c r="C569" s="314"/>
      <c r="D569" s="251"/>
      <c r="E569" s="251"/>
      <c r="F569" s="335"/>
      <c r="G569" s="336"/>
      <c r="H569" s="337"/>
      <c r="I569" s="252" t="str">
        <f t="shared" si="127"/>
        <v/>
      </c>
      <c r="J569" s="248" t="str">
        <f>IF(I569="","",VLOOKUP($I569,Master!$K$4:$N$607,4,FALSE))</f>
        <v/>
      </c>
      <c r="K569" s="253" t="str">
        <f t="shared" si="132"/>
        <v/>
      </c>
      <c r="L569" s="254"/>
      <c r="M569" s="341" t="str">
        <f t="shared" si="128"/>
        <v/>
      </c>
      <c r="N569" s="341"/>
      <c r="O569" s="342"/>
      <c r="P569" s="255" t="str">
        <f t="shared" si="129"/>
        <v/>
      </c>
      <c r="Q569" s="256" t="str">
        <f t="shared" si="133"/>
        <v/>
      </c>
      <c r="R569" s="256" t="str">
        <f t="shared" si="130"/>
        <v/>
      </c>
      <c r="S569" s="257" t="str">
        <f t="shared" si="134"/>
        <v/>
      </c>
      <c r="T569" s="219" t="str">
        <f t="shared" si="131"/>
        <v/>
      </c>
      <c r="U569" s="258"/>
    </row>
    <row r="570" spans="2:21" x14ac:dyDescent="0.15">
      <c r="B570" s="249"/>
      <c r="C570" s="314"/>
      <c r="D570" s="251"/>
      <c r="E570" s="251"/>
      <c r="F570" s="335"/>
      <c r="G570" s="336"/>
      <c r="H570" s="337"/>
      <c r="I570" s="252" t="str">
        <f t="shared" si="127"/>
        <v/>
      </c>
      <c r="J570" s="248" t="str">
        <f>IF(I570="","",VLOOKUP($I570,Master!$K$4:$N$607,4,FALSE))</f>
        <v/>
      </c>
      <c r="K570" s="253" t="str">
        <f t="shared" si="132"/>
        <v/>
      </c>
      <c r="L570" s="254"/>
      <c r="M570" s="341" t="str">
        <f t="shared" si="128"/>
        <v/>
      </c>
      <c r="N570" s="341"/>
      <c r="O570" s="342"/>
      <c r="P570" s="255" t="str">
        <f t="shared" si="129"/>
        <v/>
      </c>
      <c r="Q570" s="256" t="str">
        <f t="shared" si="133"/>
        <v/>
      </c>
      <c r="R570" s="256" t="str">
        <f t="shared" si="130"/>
        <v/>
      </c>
      <c r="S570" s="257" t="str">
        <f t="shared" si="134"/>
        <v/>
      </c>
      <c r="T570" s="219" t="str">
        <f t="shared" si="131"/>
        <v/>
      </c>
      <c r="U570" s="258"/>
    </row>
    <row r="571" spans="2:21" x14ac:dyDescent="0.15">
      <c r="B571" s="249"/>
      <c r="C571" s="314"/>
      <c r="D571" s="251"/>
      <c r="E571" s="251"/>
      <c r="F571" s="335"/>
      <c r="G571" s="336"/>
      <c r="H571" s="337"/>
      <c r="I571" s="252" t="str">
        <f t="shared" si="127"/>
        <v/>
      </c>
      <c r="J571" s="248" t="str">
        <f>IF(I571="","",VLOOKUP($I571,Master!$K$4:$N$607,4,FALSE))</f>
        <v/>
      </c>
      <c r="K571" s="253" t="str">
        <f t="shared" si="132"/>
        <v/>
      </c>
      <c r="L571" s="254"/>
      <c r="M571" s="341" t="str">
        <f t="shared" si="128"/>
        <v/>
      </c>
      <c r="N571" s="341"/>
      <c r="O571" s="342"/>
      <c r="P571" s="255" t="str">
        <f t="shared" si="129"/>
        <v/>
      </c>
      <c r="Q571" s="256" t="str">
        <f t="shared" si="133"/>
        <v/>
      </c>
      <c r="R571" s="256" t="str">
        <f t="shared" si="130"/>
        <v/>
      </c>
      <c r="S571" s="257" t="str">
        <f t="shared" si="134"/>
        <v/>
      </c>
      <c r="T571" s="219" t="str">
        <f t="shared" si="131"/>
        <v/>
      </c>
      <c r="U571" s="258"/>
    </row>
    <row r="572" spans="2:21" x14ac:dyDescent="0.15">
      <c r="B572" s="249"/>
      <c r="C572" s="314"/>
      <c r="D572" s="251"/>
      <c r="E572" s="251"/>
      <c r="F572" s="335"/>
      <c r="G572" s="336"/>
      <c r="H572" s="337"/>
      <c r="I572" s="252" t="str">
        <f t="shared" si="127"/>
        <v/>
      </c>
      <c r="J572" s="248" t="str">
        <f>IF(I572="","",VLOOKUP($I572,Master!$K$4:$N$607,4,FALSE))</f>
        <v/>
      </c>
      <c r="K572" s="253" t="str">
        <f t="shared" si="132"/>
        <v/>
      </c>
      <c r="L572" s="254"/>
      <c r="M572" s="341" t="str">
        <f t="shared" si="128"/>
        <v/>
      </c>
      <c r="N572" s="341"/>
      <c r="O572" s="342"/>
      <c r="P572" s="255" t="str">
        <f t="shared" si="129"/>
        <v/>
      </c>
      <c r="Q572" s="256" t="str">
        <f t="shared" si="133"/>
        <v/>
      </c>
      <c r="R572" s="256" t="str">
        <f t="shared" si="130"/>
        <v/>
      </c>
      <c r="S572" s="257" t="str">
        <f t="shared" si="134"/>
        <v/>
      </c>
      <c r="T572" s="219" t="str">
        <f t="shared" si="131"/>
        <v/>
      </c>
      <c r="U572" s="258"/>
    </row>
    <row r="573" spans="2:21" x14ac:dyDescent="0.15">
      <c r="B573" s="249"/>
      <c r="C573" s="314"/>
      <c r="D573" s="251"/>
      <c r="E573" s="251"/>
      <c r="F573" s="335"/>
      <c r="G573" s="336"/>
      <c r="H573" s="337"/>
      <c r="I573" s="252" t="str">
        <f t="shared" si="127"/>
        <v/>
      </c>
      <c r="J573" s="248" t="str">
        <f>IF(I573="","",VLOOKUP($I573,Master!$K$4:$N$607,4,FALSE))</f>
        <v/>
      </c>
      <c r="K573" s="253" t="str">
        <f t="shared" si="132"/>
        <v/>
      </c>
      <c r="L573" s="254"/>
      <c r="M573" s="341" t="str">
        <f t="shared" si="128"/>
        <v/>
      </c>
      <c r="N573" s="341"/>
      <c r="O573" s="342"/>
      <c r="P573" s="255" t="str">
        <f t="shared" si="129"/>
        <v/>
      </c>
      <c r="Q573" s="256" t="str">
        <f t="shared" si="133"/>
        <v/>
      </c>
      <c r="R573" s="256" t="str">
        <f t="shared" si="130"/>
        <v/>
      </c>
      <c r="S573" s="257" t="str">
        <f t="shared" si="134"/>
        <v/>
      </c>
      <c r="T573" s="219" t="str">
        <f t="shared" si="131"/>
        <v/>
      </c>
      <c r="U573" s="258"/>
    </row>
    <row r="574" spans="2:21" x14ac:dyDescent="0.15">
      <c r="B574" s="249"/>
      <c r="C574" s="314"/>
      <c r="D574" s="251"/>
      <c r="E574" s="251"/>
      <c r="F574" s="335"/>
      <c r="G574" s="336"/>
      <c r="H574" s="337"/>
      <c r="I574" s="252" t="str">
        <f t="shared" si="127"/>
        <v/>
      </c>
      <c r="J574" s="248" t="str">
        <f>IF(I574="","",VLOOKUP($I574,Master!$K$4:$N$607,4,FALSE))</f>
        <v/>
      </c>
      <c r="K574" s="253" t="str">
        <f t="shared" si="132"/>
        <v/>
      </c>
      <c r="L574" s="254"/>
      <c r="M574" s="341" t="str">
        <f t="shared" si="128"/>
        <v/>
      </c>
      <c r="N574" s="341"/>
      <c r="O574" s="342"/>
      <c r="P574" s="255" t="str">
        <f t="shared" si="129"/>
        <v/>
      </c>
      <c r="Q574" s="256" t="str">
        <f t="shared" si="133"/>
        <v/>
      </c>
      <c r="R574" s="256" t="str">
        <f t="shared" si="130"/>
        <v/>
      </c>
      <c r="S574" s="257" t="str">
        <f t="shared" si="134"/>
        <v/>
      </c>
      <c r="T574" s="219" t="str">
        <f t="shared" si="131"/>
        <v/>
      </c>
      <c r="U574" s="258"/>
    </row>
    <row r="575" spans="2:21" x14ac:dyDescent="0.15">
      <c r="B575" s="249"/>
      <c r="C575" s="314"/>
      <c r="D575" s="251"/>
      <c r="E575" s="251"/>
      <c r="F575" s="335"/>
      <c r="G575" s="336"/>
      <c r="H575" s="337"/>
      <c r="I575" s="252" t="str">
        <f t="shared" si="127"/>
        <v/>
      </c>
      <c r="J575" s="248" t="str">
        <f>IF(I575="","",VLOOKUP($I575,Master!$K$4:$N$607,4,FALSE))</f>
        <v/>
      </c>
      <c r="K575" s="253" t="str">
        <f t="shared" si="132"/>
        <v/>
      </c>
      <c r="L575" s="254"/>
      <c r="M575" s="341" t="str">
        <f t="shared" si="128"/>
        <v/>
      </c>
      <c r="N575" s="341"/>
      <c r="O575" s="342"/>
      <c r="P575" s="255" t="str">
        <f t="shared" si="129"/>
        <v/>
      </c>
      <c r="Q575" s="256" t="str">
        <f t="shared" si="133"/>
        <v/>
      </c>
      <c r="R575" s="256" t="str">
        <f t="shared" si="130"/>
        <v/>
      </c>
      <c r="S575" s="257" t="str">
        <f t="shared" si="134"/>
        <v/>
      </c>
      <c r="T575" s="219" t="str">
        <f t="shared" si="131"/>
        <v/>
      </c>
      <c r="U575" s="258"/>
    </row>
    <row r="576" spans="2:21" x14ac:dyDescent="0.15">
      <c r="B576" s="249"/>
      <c r="C576" s="314"/>
      <c r="D576" s="251"/>
      <c r="E576" s="251"/>
      <c r="F576" s="335"/>
      <c r="G576" s="336"/>
      <c r="H576" s="337"/>
      <c r="I576" s="252" t="str">
        <f t="shared" si="127"/>
        <v/>
      </c>
      <c r="J576" s="248" t="str">
        <f>IF(I576="","",VLOOKUP($I576,Master!$K$4:$N$607,4,FALSE))</f>
        <v/>
      </c>
      <c r="K576" s="253" t="str">
        <f t="shared" si="132"/>
        <v/>
      </c>
      <c r="L576" s="254"/>
      <c r="M576" s="341" t="str">
        <f t="shared" si="128"/>
        <v/>
      </c>
      <c r="N576" s="341"/>
      <c r="O576" s="342"/>
      <c r="P576" s="255" t="str">
        <f t="shared" si="129"/>
        <v/>
      </c>
      <c r="Q576" s="256" t="str">
        <f t="shared" si="133"/>
        <v/>
      </c>
      <c r="R576" s="256" t="str">
        <f t="shared" si="130"/>
        <v/>
      </c>
      <c r="S576" s="257" t="str">
        <f t="shared" si="134"/>
        <v/>
      </c>
      <c r="T576" s="219" t="str">
        <f t="shared" si="131"/>
        <v/>
      </c>
      <c r="U576" s="258"/>
    </row>
    <row r="577" spans="2:21" x14ac:dyDescent="0.15">
      <c r="B577" s="249"/>
      <c r="C577" s="314"/>
      <c r="D577" s="251"/>
      <c r="E577" s="251"/>
      <c r="F577" s="335"/>
      <c r="G577" s="336"/>
      <c r="H577" s="337"/>
      <c r="I577" s="252" t="str">
        <f t="shared" si="127"/>
        <v/>
      </c>
      <c r="J577" s="248" t="str">
        <f>IF(I577="","",VLOOKUP($I577,Master!$K$4:$N$607,4,FALSE))</f>
        <v/>
      </c>
      <c r="K577" s="253" t="str">
        <f t="shared" si="132"/>
        <v/>
      </c>
      <c r="L577" s="254"/>
      <c r="M577" s="341" t="str">
        <f t="shared" si="128"/>
        <v/>
      </c>
      <c r="N577" s="341"/>
      <c r="O577" s="342"/>
      <c r="P577" s="255" t="str">
        <f t="shared" si="129"/>
        <v/>
      </c>
      <c r="Q577" s="256" t="str">
        <f t="shared" si="133"/>
        <v/>
      </c>
      <c r="R577" s="256" t="str">
        <f t="shared" si="130"/>
        <v/>
      </c>
      <c r="S577" s="257" t="str">
        <f t="shared" si="134"/>
        <v/>
      </c>
      <c r="T577" s="219" t="str">
        <f t="shared" si="131"/>
        <v/>
      </c>
      <c r="U577" s="258"/>
    </row>
    <row r="578" spans="2:21" x14ac:dyDescent="0.15">
      <c r="B578" s="249"/>
      <c r="C578" s="314"/>
      <c r="D578" s="251"/>
      <c r="E578" s="251"/>
      <c r="F578" s="335"/>
      <c r="G578" s="336"/>
      <c r="H578" s="337"/>
      <c r="I578" s="252" t="str">
        <f t="shared" si="127"/>
        <v/>
      </c>
      <c r="J578" s="248" t="str">
        <f>IF(I578="","",VLOOKUP($I578,Master!$K$4:$N$607,4,FALSE))</f>
        <v/>
      </c>
      <c r="K578" s="253" t="str">
        <f t="shared" si="132"/>
        <v/>
      </c>
      <c r="L578" s="254"/>
      <c r="M578" s="341" t="str">
        <f t="shared" si="128"/>
        <v/>
      </c>
      <c r="N578" s="341"/>
      <c r="O578" s="342"/>
      <c r="P578" s="255" t="str">
        <f t="shared" si="129"/>
        <v/>
      </c>
      <c r="Q578" s="256" t="str">
        <f t="shared" si="133"/>
        <v/>
      </c>
      <c r="R578" s="256" t="str">
        <f t="shared" si="130"/>
        <v/>
      </c>
      <c r="S578" s="257" t="str">
        <f t="shared" si="134"/>
        <v/>
      </c>
      <c r="T578" s="219" t="str">
        <f t="shared" si="131"/>
        <v/>
      </c>
      <c r="U578" s="258"/>
    </row>
    <row r="579" spans="2:21" x14ac:dyDescent="0.15">
      <c r="B579" s="249"/>
      <c r="C579" s="314"/>
      <c r="D579" s="251"/>
      <c r="E579" s="251"/>
      <c r="F579" s="335"/>
      <c r="G579" s="336"/>
      <c r="H579" s="337"/>
      <c r="I579" s="252" t="str">
        <f t="shared" si="127"/>
        <v/>
      </c>
      <c r="J579" s="248" t="str">
        <f>IF(I579="","",VLOOKUP($I579,Master!$K$4:$N$607,4,FALSE))</f>
        <v/>
      </c>
      <c r="K579" s="253" t="str">
        <f t="shared" si="132"/>
        <v/>
      </c>
      <c r="L579" s="254"/>
      <c r="M579" s="341" t="str">
        <f t="shared" si="128"/>
        <v/>
      </c>
      <c r="N579" s="341"/>
      <c r="O579" s="342"/>
      <c r="P579" s="255" t="str">
        <f t="shared" si="129"/>
        <v/>
      </c>
      <c r="Q579" s="256" t="str">
        <f t="shared" si="133"/>
        <v/>
      </c>
      <c r="R579" s="256" t="str">
        <f t="shared" si="130"/>
        <v/>
      </c>
      <c r="S579" s="257" t="str">
        <f t="shared" si="134"/>
        <v/>
      </c>
      <c r="T579" s="219" t="str">
        <f t="shared" si="131"/>
        <v/>
      </c>
      <c r="U579" s="258"/>
    </row>
    <row r="580" spans="2:21" x14ac:dyDescent="0.15">
      <c r="B580" s="249"/>
      <c r="C580" s="314"/>
      <c r="D580" s="251"/>
      <c r="E580" s="251"/>
      <c r="F580" s="335"/>
      <c r="G580" s="336"/>
      <c r="H580" s="337"/>
      <c r="I580" s="252" t="str">
        <f t="shared" ref="I580:I643" si="135">IF($F580="","",IF(ISERR(VLOOKUP($C580&amp;$D580&amp;$E580&amp;$F580,SOW,2,FALSE)),"-",VLOOKUP($C580&amp;$D580&amp;$E580&amp;$F580,SOW,2,FALSE)))</f>
        <v/>
      </c>
      <c r="J580" s="248" t="str">
        <f>IF(I580="","",VLOOKUP($I580,Master!$K$4:$N$607,4,FALSE))</f>
        <v/>
      </c>
      <c r="K580" s="253" t="str">
        <f t="shared" si="132"/>
        <v/>
      </c>
      <c r="L580" s="254"/>
      <c r="M580" s="341" t="str">
        <f t="shared" ref="M580:M643" si="136">IF($F580&lt;&gt;"",IF($J580&lt;&gt;"-",IF($J580="要選択","REQ_IDを選択して下さい。",IF($J580="","REQ_IDを選択して下さい。",VLOOKUP($J580,REQUEST,2,FALSE))),$F580),"")</f>
        <v/>
      </c>
      <c r="N580" s="341"/>
      <c r="O580" s="342"/>
      <c r="P580" s="255" t="str">
        <f t="shared" ref="P580:P643" si="137">IF($B580&lt;&gt;"",TEXT(TEXT(YEAR($B580),"0000")&amp;TEXT(MONTH($B580),"00")&amp;$I580,"@"),"")</f>
        <v/>
      </c>
      <c r="Q580" s="256" t="str">
        <f t="shared" si="133"/>
        <v/>
      </c>
      <c r="R580" s="256" t="str">
        <f t="shared" ref="R580:R643" si="138">IF($B580&lt;&gt;"",TEXT(TEXT(YEAR($B580),"0000")&amp;TEXT(MONTH($B580),"00")&amp;$J580,"@"),"")</f>
        <v/>
      </c>
      <c r="S580" s="257" t="str">
        <f t="shared" si="134"/>
        <v/>
      </c>
      <c r="T580" s="219" t="str">
        <f t="shared" si="131"/>
        <v/>
      </c>
      <c r="U580" s="258"/>
    </row>
    <row r="581" spans="2:21" x14ac:dyDescent="0.15">
      <c r="B581" s="249"/>
      <c r="C581" s="314"/>
      <c r="D581" s="251"/>
      <c r="E581" s="251"/>
      <c r="F581" s="335"/>
      <c r="G581" s="336"/>
      <c r="H581" s="337"/>
      <c r="I581" s="252" t="str">
        <f t="shared" si="135"/>
        <v/>
      </c>
      <c r="J581" s="248" t="str">
        <f>IF(I581="","",VLOOKUP($I581,Master!$K$4:$N$607,4,FALSE))</f>
        <v/>
      </c>
      <c r="K581" s="253" t="str">
        <f t="shared" si="132"/>
        <v/>
      </c>
      <c r="L581" s="254"/>
      <c r="M581" s="341" t="str">
        <f t="shared" si="136"/>
        <v/>
      </c>
      <c r="N581" s="341"/>
      <c r="O581" s="342"/>
      <c r="P581" s="255" t="str">
        <f t="shared" si="137"/>
        <v/>
      </c>
      <c r="Q581" s="256" t="str">
        <f t="shared" si="133"/>
        <v/>
      </c>
      <c r="R581" s="256" t="str">
        <f t="shared" si="138"/>
        <v/>
      </c>
      <c r="S581" s="257" t="str">
        <f t="shared" si="134"/>
        <v/>
      </c>
      <c r="T581" s="219" t="str">
        <f t="shared" ref="T581:T644" si="139">IF($B581&lt;&gt;"",TEXT(TEXT(YEAR($B581),"0000")&amp;TEXT(MONTH($B581),"00")&amp;TEXT(DAY($B581),"00")&amp;$C581,"@"),"")</f>
        <v/>
      </c>
      <c r="U581" s="258"/>
    </row>
    <row r="582" spans="2:21" x14ac:dyDescent="0.15">
      <c r="B582" s="249"/>
      <c r="C582" s="314"/>
      <c r="D582" s="251"/>
      <c r="E582" s="251"/>
      <c r="F582" s="335"/>
      <c r="G582" s="336"/>
      <c r="H582" s="337"/>
      <c r="I582" s="252" t="str">
        <f t="shared" si="135"/>
        <v/>
      </c>
      <c r="J582" s="248" t="str">
        <f>IF(I582="","",VLOOKUP($I582,Master!$K$4:$N$607,4,FALSE))</f>
        <v/>
      </c>
      <c r="K582" s="253" t="str">
        <f t="shared" si="132"/>
        <v/>
      </c>
      <c r="L582" s="254"/>
      <c r="M582" s="341" t="str">
        <f t="shared" si="136"/>
        <v/>
      </c>
      <c r="N582" s="341"/>
      <c r="O582" s="342"/>
      <c r="P582" s="255" t="str">
        <f t="shared" si="137"/>
        <v/>
      </c>
      <c r="Q582" s="256" t="str">
        <f t="shared" si="133"/>
        <v/>
      </c>
      <c r="R582" s="256" t="str">
        <f t="shared" si="138"/>
        <v/>
      </c>
      <c r="S582" s="257" t="str">
        <f t="shared" si="134"/>
        <v/>
      </c>
      <c r="T582" s="219" t="str">
        <f t="shared" si="139"/>
        <v/>
      </c>
      <c r="U582" s="258"/>
    </row>
    <row r="583" spans="2:21" x14ac:dyDescent="0.15">
      <c r="B583" s="249"/>
      <c r="C583" s="314"/>
      <c r="D583" s="251"/>
      <c r="E583" s="251"/>
      <c r="F583" s="335"/>
      <c r="G583" s="336"/>
      <c r="H583" s="337"/>
      <c r="I583" s="252" t="str">
        <f t="shared" si="135"/>
        <v/>
      </c>
      <c r="J583" s="248" t="str">
        <f>IF(I583="","",VLOOKUP($I583,Master!$K$4:$N$607,4,FALSE))</f>
        <v/>
      </c>
      <c r="K583" s="253" t="str">
        <f t="shared" si="132"/>
        <v/>
      </c>
      <c r="L583" s="254"/>
      <c r="M583" s="341" t="str">
        <f t="shared" si="136"/>
        <v/>
      </c>
      <c r="N583" s="341"/>
      <c r="O583" s="342"/>
      <c r="P583" s="255" t="str">
        <f t="shared" si="137"/>
        <v/>
      </c>
      <c r="Q583" s="256" t="str">
        <f t="shared" si="133"/>
        <v/>
      </c>
      <c r="R583" s="256" t="str">
        <f t="shared" si="138"/>
        <v/>
      </c>
      <c r="S583" s="257" t="str">
        <f t="shared" si="134"/>
        <v/>
      </c>
      <c r="T583" s="219" t="str">
        <f t="shared" si="139"/>
        <v/>
      </c>
      <c r="U583" s="258"/>
    </row>
    <row r="584" spans="2:21" x14ac:dyDescent="0.15">
      <c r="B584" s="249"/>
      <c r="C584" s="314"/>
      <c r="D584" s="251"/>
      <c r="E584" s="251"/>
      <c r="F584" s="335"/>
      <c r="G584" s="336"/>
      <c r="H584" s="337"/>
      <c r="I584" s="252" t="str">
        <f t="shared" si="135"/>
        <v/>
      </c>
      <c r="J584" s="248" t="str">
        <f>IF(I584="","",VLOOKUP($I584,Master!$K$4:$N$607,4,FALSE))</f>
        <v/>
      </c>
      <c r="K584" s="253" t="str">
        <f t="shared" si="132"/>
        <v/>
      </c>
      <c r="L584" s="254"/>
      <c r="M584" s="341" t="str">
        <f t="shared" si="136"/>
        <v/>
      </c>
      <c r="N584" s="341"/>
      <c r="O584" s="342"/>
      <c r="P584" s="255" t="str">
        <f t="shared" si="137"/>
        <v/>
      </c>
      <c r="Q584" s="256" t="str">
        <f t="shared" si="133"/>
        <v/>
      </c>
      <c r="R584" s="256" t="str">
        <f t="shared" si="138"/>
        <v/>
      </c>
      <c r="S584" s="257" t="str">
        <f t="shared" si="134"/>
        <v/>
      </c>
      <c r="T584" s="219" t="str">
        <f t="shared" si="139"/>
        <v/>
      </c>
      <c r="U584" s="258"/>
    </row>
    <row r="585" spans="2:21" x14ac:dyDescent="0.15">
      <c r="B585" s="249"/>
      <c r="C585" s="314"/>
      <c r="D585" s="251"/>
      <c r="E585" s="251"/>
      <c r="F585" s="335"/>
      <c r="G585" s="336"/>
      <c r="H585" s="337"/>
      <c r="I585" s="252" t="str">
        <f t="shared" si="135"/>
        <v/>
      </c>
      <c r="J585" s="248" t="str">
        <f>IF(I585="","",VLOOKUP($I585,Master!$K$4:$N$607,4,FALSE))</f>
        <v/>
      </c>
      <c r="K585" s="253" t="str">
        <f t="shared" si="132"/>
        <v/>
      </c>
      <c r="L585" s="254"/>
      <c r="M585" s="341" t="str">
        <f t="shared" si="136"/>
        <v/>
      </c>
      <c r="N585" s="341"/>
      <c r="O585" s="342"/>
      <c r="P585" s="255" t="str">
        <f t="shared" si="137"/>
        <v/>
      </c>
      <c r="Q585" s="256" t="str">
        <f t="shared" si="133"/>
        <v/>
      </c>
      <c r="R585" s="256" t="str">
        <f t="shared" si="138"/>
        <v/>
      </c>
      <c r="S585" s="257" t="str">
        <f t="shared" si="134"/>
        <v/>
      </c>
      <c r="T585" s="219" t="str">
        <f t="shared" si="139"/>
        <v/>
      </c>
      <c r="U585" s="258"/>
    </row>
    <row r="586" spans="2:21" x14ac:dyDescent="0.15">
      <c r="B586" s="249"/>
      <c r="C586" s="314"/>
      <c r="D586" s="251"/>
      <c r="E586" s="251"/>
      <c r="F586" s="335"/>
      <c r="G586" s="336"/>
      <c r="H586" s="337"/>
      <c r="I586" s="252" t="str">
        <f t="shared" si="135"/>
        <v/>
      </c>
      <c r="J586" s="248" t="str">
        <f>IF(I586="","",VLOOKUP($I586,Master!$K$4:$N$607,4,FALSE))</f>
        <v/>
      </c>
      <c r="K586" s="253" t="str">
        <f t="shared" si="132"/>
        <v/>
      </c>
      <c r="L586" s="254"/>
      <c r="M586" s="341" t="str">
        <f t="shared" si="136"/>
        <v/>
      </c>
      <c r="N586" s="341"/>
      <c r="O586" s="342"/>
      <c r="P586" s="255" t="str">
        <f t="shared" si="137"/>
        <v/>
      </c>
      <c r="Q586" s="256" t="str">
        <f t="shared" si="133"/>
        <v/>
      </c>
      <c r="R586" s="256" t="str">
        <f t="shared" si="138"/>
        <v/>
      </c>
      <c r="S586" s="257" t="str">
        <f t="shared" si="134"/>
        <v/>
      </c>
      <c r="T586" s="219" t="str">
        <f t="shared" si="139"/>
        <v/>
      </c>
      <c r="U586" s="258"/>
    </row>
    <row r="587" spans="2:21" x14ac:dyDescent="0.15">
      <c r="B587" s="249"/>
      <c r="C587" s="314"/>
      <c r="D587" s="251"/>
      <c r="E587" s="251"/>
      <c r="F587" s="335"/>
      <c r="G587" s="336"/>
      <c r="H587" s="337"/>
      <c r="I587" s="252" t="str">
        <f t="shared" si="135"/>
        <v/>
      </c>
      <c r="J587" s="248" t="str">
        <f>IF(I587="","",VLOOKUP($I587,Master!$K$4:$N$607,4,FALSE))</f>
        <v/>
      </c>
      <c r="K587" s="253" t="str">
        <f t="shared" si="132"/>
        <v/>
      </c>
      <c r="L587" s="254"/>
      <c r="M587" s="341" t="str">
        <f t="shared" si="136"/>
        <v/>
      </c>
      <c r="N587" s="341"/>
      <c r="O587" s="342"/>
      <c r="P587" s="255" t="str">
        <f t="shared" si="137"/>
        <v/>
      </c>
      <c r="Q587" s="256" t="str">
        <f t="shared" si="133"/>
        <v/>
      </c>
      <c r="R587" s="256" t="str">
        <f t="shared" si="138"/>
        <v/>
      </c>
      <c r="S587" s="257" t="str">
        <f t="shared" si="134"/>
        <v/>
      </c>
      <c r="T587" s="219" t="str">
        <f t="shared" si="139"/>
        <v/>
      </c>
      <c r="U587" s="258"/>
    </row>
    <row r="588" spans="2:21" x14ac:dyDescent="0.15">
      <c r="B588" s="249"/>
      <c r="C588" s="314"/>
      <c r="D588" s="251"/>
      <c r="E588" s="251"/>
      <c r="F588" s="335"/>
      <c r="G588" s="336"/>
      <c r="H588" s="337"/>
      <c r="I588" s="252" t="str">
        <f t="shared" si="135"/>
        <v/>
      </c>
      <c r="J588" s="248" t="str">
        <f>IF(I588="","",VLOOKUP($I588,Master!$K$4:$N$607,4,FALSE))</f>
        <v/>
      </c>
      <c r="K588" s="253" t="str">
        <f t="shared" si="132"/>
        <v/>
      </c>
      <c r="L588" s="254"/>
      <c r="M588" s="341" t="str">
        <f t="shared" si="136"/>
        <v/>
      </c>
      <c r="N588" s="341"/>
      <c r="O588" s="342"/>
      <c r="P588" s="255" t="str">
        <f t="shared" si="137"/>
        <v/>
      </c>
      <c r="Q588" s="256" t="str">
        <f t="shared" si="133"/>
        <v/>
      </c>
      <c r="R588" s="256" t="str">
        <f t="shared" si="138"/>
        <v/>
      </c>
      <c r="S588" s="257" t="str">
        <f t="shared" si="134"/>
        <v/>
      </c>
      <c r="T588" s="219" t="str">
        <f t="shared" si="139"/>
        <v/>
      </c>
      <c r="U588" s="258"/>
    </row>
    <row r="589" spans="2:21" x14ac:dyDescent="0.15">
      <c r="B589" s="249"/>
      <c r="C589" s="314"/>
      <c r="D589" s="251"/>
      <c r="E589" s="251"/>
      <c r="F589" s="335"/>
      <c r="G589" s="336"/>
      <c r="H589" s="337"/>
      <c r="I589" s="252" t="str">
        <f t="shared" si="135"/>
        <v/>
      </c>
      <c r="J589" s="248" t="str">
        <f>IF(I589="","",VLOOKUP($I589,Master!$K$4:$N$607,4,FALSE))</f>
        <v/>
      </c>
      <c r="K589" s="253" t="str">
        <f t="shared" si="132"/>
        <v/>
      </c>
      <c r="L589" s="254"/>
      <c r="M589" s="341" t="str">
        <f t="shared" si="136"/>
        <v/>
      </c>
      <c r="N589" s="341"/>
      <c r="O589" s="342"/>
      <c r="P589" s="255" t="str">
        <f t="shared" si="137"/>
        <v/>
      </c>
      <c r="Q589" s="256" t="str">
        <f t="shared" si="133"/>
        <v/>
      </c>
      <c r="R589" s="256" t="str">
        <f t="shared" si="138"/>
        <v/>
      </c>
      <c r="S589" s="257" t="str">
        <f t="shared" si="134"/>
        <v/>
      </c>
      <c r="T589" s="219" t="str">
        <f t="shared" si="139"/>
        <v/>
      </c>
      <c r="U589" s="258"/>
    </row>
    <row r="590" spans="2:21" x14ac:dyDescent="0.15">
      <c r="B590" s="249"/>
      <c r="C590" s="314"/>
      <c r="D590" s="251"/>
      <c r="E590" s="251"/>
      <c r="F590" s="335"/>
      <c r="G590" s="336"/>
      <c r="H590" s="337"/>
      <c r="I590" s="252" t="str">
        <f t="shared" si="135"/>
        <v/>
      </c>
      <c r="J590" s="248" t="str">
        <f>IF(I590="","",VLOOKUP($I590,Master!$K$4:$N$607,4,FALSE))</f>
        <v/>
      </c>
      <c r="K590" s="253" t="str">
        <f t="shared" si="132"/>
        <v/>
      </c>
      <c r="L590" s="254"/>
      <c r="M590" s="341" t="str">
        <f t="shared" si="136"/>
        <v/>
      </c>
      <c r="N590" s="341"/>
      <c r="O590" s="342"/>
      <c r="P590" s="255" t="str">
        <f t="shared" si="137"/>
        <v/>
      </c>
      <c r="Q590" s="256" t="str">
        <f t="shared" si="133"/>
        <v/>
      </c>
      <c r="R590" s="256" t="str">
        <f t="shared" si="138"/>
        <v/>
      </c>
      <c r="S590" s="257" t="str">
        <f t="shared" si="134"/>
        <v/>
      </c>
      <c r="T590" s="219" t="str">
        <f t="shared" si="139"/>
        <v/>
      </c>
      <c r="U590" s="258"/>
    </row>
    <row r="591" spans="2:21" x14ac:dyDescent="0.15">
      <c r="B591" s="249"/>
      <c r="C591" s="314"/>
      <c r="D591" s="251"/>
      <c r="E591" s="251"/>
      <c r="F591" s="335"/>
      <c r="G591" s="336"/>
      <c r="H591" s="337"/>
      <c r="I591" s="252" t="str">
        <f t="shared" si="135"/>
        <v/>
      </c>
      <c r="J591" s="248" t="str">
        <f>IF(I591="","",VLOOKUP($I591,Master!$K$4:$N$607,4,FALSE))</f>
        <v/>
      </c>
      <c r="K591" s="253" t="str">
        <f t="shared" si="132"/>
        <v/>
      </c>
      <c r="L591" s="254"/>
      <c r="M591" s="341" t="str">
        <f t="shared" si="136"/>
        <v/>
      </c>
      <c r="N591" s="341"/>
      <c r="O591" s="342"/>
      <c r="P591" s="255" t="str">
        <f t="shared" si="137"/>
        <v/>
      </c>
      <c r="Q591" s="256" t="str">
        <f t="shared" si="133"/>
        <v/>
      </c>
      <c r="R591" s="256" t="str">
        <f t="shared" si="138"/>
        <v/>
      </c>
      <c r="S591" s="257" t="str">
        <f t="shared" si="134"/>
        <v/>
      </c>
      <c r="T591" s="219" t="str">
        <f t="shared" si="139"/>
        <v/>
      </c>
      <c r="U591" s="258"/>
    </row>
    <row r="592" spans="2:21" x14ac:dyDescent="0.15">
      <c r="B592" s="249"/>
      <c r="C592" s="314"/>
      <c r="D592" s="251"/>
      <c r="E592" s="251"/>
      <c r="F592" s="335"/>
      <c r="G592" s="336"/>
      <c r="H592" s="337"/>
      <c r="I592" s="252" t="str">
        <f t="shared" si="135"/>
        <v/>
      </c>
      <c r="J592" s="248" t="str">
        <f>IF(I592="","",VLOOKUP($I592,Master!$K$4:$N$607,4,FALSE))</f>
        <v/>
      </c>
      <c r="K592" s="253" t="str">
        <f t="shared" si="132"/>
        <v/>
      </c>
      <c r="L592" s="254"/>
      <c r="M592" s="341" t="str">
        <f t="shared" si="136"/>
        <v/>
      </c>
      <c r="N592" s="341"/>
      <c r="O592" s="342"/>
      <c r="P592" s="255" t="str">
        <f t="shared" si="137"/>
        <v/>
      </c>
      <c r="Q592" s="256" t="str">
        <f t="shared" si="133"/>
        <v/>
      </c>
      <c r="R592" s="256" t="str">
        <f t="shared" si="138"/>
        <v/>
      </c>
      <c r="S592" s="257" t="str">
        <f t="shared" si="134"/>
        <v/>
      </c>
      <c r="T592" s="219" t="str">
        <f t="shared" si="139"/>
        <v/>
      </c>
      <c r="U592" s="258"/>
    </row>
    <row r="593" spans="2:21" x14ac:dyDescent="0.15">
      <c r="B593" s="249"/>
      <c r="C593" s="314"/>
      <c r="D593" s="251"/>
      <c r="E593" s="251"/>
      <c r="F593" s="335"/>
      <c r="G593" s="336"/>
      <c r="H593" s="337"/>
      <c r="I593" s="252" t="str">
        <f t="shared" si="135"/>
        <v/>
      </c>
      <c r="J593" s="248" t="str">
        <f>IF(I593="","",VLOOKUP($I593,Master!$K$4:$N$607,4,FALSE))</f>
        <v/>
      </c>
      <c r="K593" s="253" t="str">
        <f t="shared" si="132"/>
        <v/>
      </c>
      <c r="L593" s="254"/>
      <c r="M593" s="341" t="str">
        <f t="shared" si="136"/>
        <v/>
      </c>
      <c r="N593" s="341"/>
      <c r="O593" s="342"/>
      <c r="P593" s="255" t="str">
        <f t="shared" si="137"/>
        <v/>
      </c>
      <c r="Q593" s="256" t="str">
        <f t="shared" si="133"/>
        <v/>
      </c>
      <c r="R593" s="256" t="str">
        <f t="shared" si="138"/>
        <v/>
      </c>
      <c r="S593" s="257" t="str">
        <f t="shared" si="134"/>
        <v/>
      </c>
      <c r="T593" s="219" t="str">
        <f t="shared" si="139"/>
        <v/>
      </c>
      <c r="U593" s="258"/>
    </row>
    <row r="594" spans="2:21" x14ac:dyDescent="0.15">
      <c r="B594" s="249"/>
      <c r="C594" s="314"/>
      <c r="D594" s="251"/>
      <c r="E594" s="251"/>
      <c r="F594" s="335"/>
      <c r="G594" s="336"/>
      <c r="H594" s="337"/>
      <c r="I594" s="252" t="str">
        <f t="shared" si="135"/>
        <v/>
      </c>
      <c r="J594" s="248" t="str">
        <f>IF(I594="","",VLOOKUP($I594,Master!$K$4:$N$607,4,FALSE))</f>
        <v/>
      </c>
      <c r="K594" s="253" t="str">
        <f t="shared" si="132"/>
        <v/>
      </c>
      <c r="L594" s="254"/>
      <c r="M594" s="341" t="str">
        <f t="shared" si="136"/>
        <v/>
      </c>
      <c r="N594" s="341"/>
      <c r="O594" s="342"/>
      <c r="P594" s="255" t="str">
        <f t="shared" si="137"/>
        <v/>
      </c>
      <c r="Q594" s="256" t="str">
        <f t="shared" si="133"/>
        <v/>
      </c>
      <c r="R594" s="256" t="str">
        <f t="shared" si="138"/>
        <v/>
      </c>
      <c r="S594" s="257" t="str">
        <f t="shared" si="134"/>
        <v/>
      </c>
      <c r="T594" s="219" t="str">
        <f t="shared" si="139"/>
        <v/>
      </c>
      <c r="U594" s="258"/>
    </row>
    <row r="595" spans="2:21" x14ac:dyDescent="0.15">
      <c r="B595" s="249"/>
      <c r="C595" s="314"/>
      <c r="D595" s="251"/>
      <c r="E595" s="251"/>
      <c r="F595" s="335"/>
      <c r="G595" s="336"/>
      <c r="H595" s="337"/>
      <c r="I595" s="252" t="str">
        <f t="shared" si="135"/>
        <v/>
      </c>
      <c r="J595" s="248" t="str">
        <f>IF(I595="","",VLOOKUP($I595,Master!$K$4:$N$607,4,FALSE))</f>
        <v/>
      </c>
      <c r="K595" s="253" t="str">
        <f t="shared" si="132"/>
        <v/>
      </c>
      <c r="L595" s="254"/>
      <c r="M595" s="341" t="str">
        <f t="shared" si="136"/>
        <v/>
      </c>
      <c r="N595" s="341"/>
      <c r="O595" s="342"/>
      <c r="P595" s="255" t="str">
        <f t="shared" si="137"/>
        <v/>
      </c>
      <c r="Q595" s="256" t="str">
        <f t="shared" si="133"/>
        <v/>
      </c>
      <c r="R595" s="256" t="str">
        <f t="shared" si="138"/>
        <v/>
      </c>
      <c r="S595" s="257" t="str">
        <f t="shared" si="134"/>
        <v/>
      </c>
      <c r="T595" s="219" t="str">
        <f t="shared" si="139"/>
        <v/>
      </c>
      <c r="U595" s="258"/>
    </row>
    <row r="596" spans="2:21" x14ac:dyDescent="0.15">
      <c r="B596" s="249"/>
      <c r="C596" s="314"/>
      <c r="D596" s="251"/>
      <c r="E596" s="251"/>
      <c r="F596" s="335"/>
      <c r="G596" s="336"/>
      <c r="H596" s="337"/>
      <c r="I596" s="252" t="str">
        <f t="shared" si="135"/>
        <v/>
      </c>
      <c r="J596" s="248" t="str">
        <f>IF(I596="","",VLOOKUP($I596,Master!$K$4:$N$607,4,FALSE))</f>
        <v/>
      </c>
      <c r="K596" s="253" t="str">
        <f t="shared" si="132"/>
        <v/>
      </c>
      <c r="L596" s="254"/>
      <c r="M596" s="341" t="str">
        <f t="shared" si="136"/>
        <v/>
      </c>
      <c r="N596" s="341"/>
      <c r="O596" s="342"/>
      <c r="P596" s="255" t="str">
        <f t="shared" si="137"/>
        <v/>
      </c>
      <c r="Q596" s="256" t="str">
        <f t="shared" si="133"/>
        <v/>
      </c>
      <c r="R596" s="256" t="str">
        <f t="shared" si="138"/>
        <v/>
      </c>
      <c r="S596" s="257" t="str">
        <f t="shared" si="134"/>
        <v/>
      </c>
      <c r="T596" s="219" t="str">
        <f t="shared" si="139"/>
        <v/>
      </c>
      <c r="U596" s="258"/>
    </row>
    <row r="597" spans="2:21" x14ac:dyDescent="0.15">
      <c r="B597" s="249"/>
      <c r="C597" s="314"/>
      <c r="D597" s="251"/>
      <c r="E597" s="251"/>
      <c r="F597" s="335"/>
      <c r="G597" s="336"/>
      <c r="H597" s="337"/>
      <c r="I597" s="252" t="str">
        <f t="shared" si="135"/>
        <v/>
      </c>
      <c r="J597" s="248" t="str">
        <f>IF(I597="","",VLOOKUP($I597,Master!$K$4:$N$607,4,FALSE))</f>
        <v/>
      </c>
      <c r="K597" s="253" t="str">
        <f t="shared" si="132"/>
        <v/>
      </c>
      <c r="L597" s="254"/>
      <c r="M597" s="341" t="str">
        <f t="shared" si="136"/>
        <v/>
      </c>
      <c r="N597" s="341"/>
      <c r="O597" s="342"/>
      <c r="P597" s="255" t="str">
        <f t="shared" si="137"/>
        <v/>
      </c>
      <c r="Q597" s="256" t="str">
        <f t="shared" si="133"/>
        <v/>
      </c>
      <c r="R597" s="256" t="str">
        <f t="shared" si="138"/>
        <v/>
      </c>
      <c r="S597" s="257" t="str">
        <f t="shared" si="134"/>
        <v/>
      </c>
      <c r="T597" s="219" t="str">
        <f t="shared" si="139"/>
        <v/>
      </c>
      <c r="U597" s="258"/>
    </row>
    <row r="598" spans="2:21" x14ac:dyDescent="0.15">
      <c r="B598" s="249"/>
      <c r="C598" s="314"/>
      <c r="D598" s="251"/>
      <c r="E598" s="251"/>
      <c r="F598" s="335"/>
      <c r="G598" s="336"/>
      <c r="H598" s="337"/>
      <c r="I598" s="252" t="str">
        <f t="shared" si="135"/>
        <v/>
      </c>
      <c r="J598" s="248" t="str">
        <f>IF(I598="","",VLOOKUP($I598,Master!$K$4:$N$607,4,FALSE))</f>
        <v/>
      </c>
      <c r="K598" s="253" t="str">
        <f t="shared" si="132"/>
        <v/>
      </c>
      <c r="L598" s="254"/>
      <c r="M598" s="341" t="str">
        <f t="shared" si="136"/>
        <v/>
      </c>
      <c r="N598" s="341"/>
      <c r="O598" s="342"/>
      <c r="P598" s="255" t="str">
        <f t="shared" si="137"/>
        <v/>
      </c>
      <c r="Q598" s="256" t="str">
        <f t="shared" si="133"/>
        <v/>
      </c>
      <c r="R598" s="256" t="str">
        <f t="shared" si="138"/>
        <v/>
      </c>
      <c r="S598" s="257" t="str">
        <f t="shared" si="134"/>
        <v/>
      </c>
      <c r="T598" s="219" t="str">
        <f t="shared" si="139"/>
        <v/>
      </c>
      <c r="U598" s="258"/>
    </row>
    <row r="599" spans="2:21" x14ac:dyDescent="0.15">
      <c r="B599" s="249"/>
      <c r="C599" s="314"/>
      <c r="D599" s="251"/>
      <c r="E599" s="251"/>
      <c r="F599" s="335"/>
      <c r="G599" s="336"/>
      <c r="H599" s="337"/>
      <c r="I599" s="252" t="str">
        <f t="shared" si="135"/>
        <v/>
      </c>
      <c r="J599" s="248" t="str">
        <f>IF(I599="","",VLOOKUP($I599,Master!$K$4:$N$607,4,FALSE))</f>
        <v/>
      </c>
      <c r="K599" s="253" t="str">
        <f t="shared" si="132"/>
        <v/>
      </c>
      <c r="L599" s="254"/>
      <c r="M599" s="341" t="str">
        <f t="shared" si="136"/>
        <v/>
      </c>
      <c r="N599" s="341"/>
      <c r="O599" s="342"/>
      <c r="P599" s="255" t="str">
        <f t="shared" si="137"/>
        <v/>
      </c>
      <c r="Q599" s="256" t="str">
        <f t="shared" si="133"/>
        <v/>
      </c>
      <c r="R599" s="256" t="str">
        <f t="shared" si="138"/>
        <v/>
      </c>
      <c r="S599" s="257" t="str">
        <f t="shared" si="134"/>
        <v/>
      </c>
      <c r="T599" s="219" t="str">
        <f t="shared" si="139"/>
        <v/>
      </c>
      <c r="U599" s="258"/>
    </row>
    <row r="600" spans="2:21" x14ac:dyDescent="0.15">
      <c r="B600" s="249"/>
      <c r="C600" s="314"/>
      <c r="D600" s="251"/>
      <c r="E600" s="251"/>
      <c r="F600" s="335"/>
      <c r="G600" s="336"/>
      <c r="H600" s="337"/>
      <c r="I600" s="252" t="str">
        <f t="shared" si="135"/>
        <v/>
      </c>
      <c r="J600" s="248" t="str">
        <f>IF(I600="","",VLOOKUP($I600,Master!$K$4:$N$607,4,FALSE))</f>
        <v/>
      </c>
      <c r="K600" s="253" t="str">
        <f t="shared" si="132"/>
        <v/>
      </c>
      <c r="L600" s="254"/>
      <c r="M600" s="341" t="str">
        <f t="shared" si="136"/>
        <v/>
      </c>
      <c r="N600" s="341"/>
      <c r="O600" s="342"/>
      <c r="P600" s="255" t="str">
        <f t="shared" si="137"/>
        <v/>
      </c>
      <c r="Q600" s="256" t="str">
        <f t="shared" si="133"/>
        <v/>
      </c>
      <c r="R600" s="256" t="str">
        <f t="shared" si="138"/>
        <v/>
      </c>
      <c r="S600" s="257" t="str">
        <f t="shared" si="134"/>
        <v/>
      </c>
      <c r="T600" s="219" t="str">
        <f t="shared" si="139"/>
        <v/>
      </c>
      <c r="U600" s="258"/>
    </row>
    <row r="601" spans="2:21" x14ac:dyDescent="0.15">
      <c r="B601" s="249"/>
      <c r="C601" s="314"/>
      <c r="D601" s="251"/>
      <c r="E601" s="251"/>
      <c r="F601" s="335"/>
      <c r="G601" s="336"/>
      <c r="H601" s="337"/>
      <c r="I601" s="252" t="str">
        <f t="shared" si="135"/>
        <v/>
      </c>
      <c r="J601" s="248" t="str">
        <f>IF(I601="","",VLOOKUP($I601,Master!$K$4:$N$607,4,FALSE))</f>
        <v/>
      </c>
      <c r="K601" s="253" t="str">
        <f t="shared" si="132"/>
        <v/>
      </c>
      <c r="L601" s="254"/>
      <c r="M601" s="341" t="str">
        <f t="shared" si="136"/>
        <v/>
      </c>
      <c r="N601" s="341"/>
      <c r="O601" s="342"/>
      <c r="P601" s="255" t="str">
        <f t="shared" si="137"/>
        <v/>
      </c>
      <c r="Q601" s="256" t="str">
        <f t="shared" si="133"/>
        <v/>
      </c>
      <c r="R601" s="256" t="str">
        <f t="shared" si="138"/>
        <v/>
      </c>
      <c r="S601" s="257" t="str">
        <f t="shared" si="134"/>
        <v/>
      </c>
      <c r="T601" s="219" t="str">
        <f t="shared" si="139"/>
        <v/>
      </c>
      <c r="U601" s="258"/>
    </row>
    <row r="602" spans="2:21" x14ac:dyDescent="0.15">
      <c r="B602" s="249"/>
      <c r="C602" s="314"/>
      <c r="D602" s="251"/>
      <c r="E602" s="251"/>
      <c r="F602" s="335"/>
      <c r="G602" s="336"/>
      <c r="H602" s="337"/>
      <c r="I602" s="252" t="str">
        <f t="shared" si="135"/>
        <v/>
      </c>
      <c r="J602" s="248" t="str">
        <f>IF(I602="","",VLOOKUP($I602,Master!$K$4:$N$607,4,FALSE))</f>
        <v/>
      </c>
      <c r="K602" s="253" t="str">
        <f t="shared" ref="K602:K665" si="140">IF(F602="","",IF(ISERROR(VLOOKUP($F602,SOW,3,FALSE)),0,VLOOKUP($F602,SOW,3,FALSE)*24))</f>
        <v/>
      </c>
      <c r="L602" s="254"/>
      <c r="M602" s="341" t="str">
        <f t="shared" si="136"/>
        <v/>
      </c>
      <c r="N602" s="341"/>
      <c r="O602" s="342"/>
      <c r="P602" s="255" t="str">
        <f t="shared" si="137"/>
        <v/>
      </c>
      <c r="Q602" s="256" t="str">
        <f t="shared" ref="Q602:Q665" si="141">IF($B602&lt;&gt;"",TEXT(TEXT(YEAR($B602),"0000")&amp;TEXT(MONTH($B602),"00")&amp;$I602&amp;"@"&amp;LEFT($E$2,SEARCH("　",$E$2,1)-1)&amp;"@"&amp;L602,"@"),"")</f>
        <v/>
      </c>
      <c r="R602" s="256" t="str">
        <f t="shared" si="138"/>
        <v/>
      </c>
      <c r="S602" s="257" t="str">
        <f t="shared" ref="S602:S665" si="142">IF($B602&lt;&gt;"",TEXT(YEAR($B602),"0000")&amp;TEXT(MONTH($B602),"00")&amp;$J602&amp;"@"&amp;LEFT($E$2,SEARCH("　",$E$2,1)-1)&amp;"@"&amp;L602,"")</f>
        <v/>
      </c>
      <c r="T602" s="219" t="str">
        <f t="shared" si="139"/>
        <v/>
      </c>
      <c r="U602" s="258"/>
    </row>
    <row r="603" spans="2:21" x14ac:dyDescent="0.15">
      <c r="B603" s="249"/>
      <c r="C603" s="314"/>
      <c r="D603" s="251"/>
      <c r="E603" s="251"/>
      <c r="F603" s="335"/>
      <c r="G603" s="336"/>
      <c r="H603" s="337"/>
      <c r="I603" s="252" t="str">
        <f t="shared" si="135"/>
        <v/>
      </c>
      <c r="J603" s="248" t="str">
        <f>IF(I603="","",VLOOKUP($I603,Master!$K$4:$N$607,4,FALSE))</f>
        <v/>
      </c>
      <c r="K603" s="253" t="str">
        <f t="shared" si="140"/>
        <v/>
      </c>
      <c r="L603" s="254"/>
      <c r="M603" s="341" t="str">
        <f t="shared" si="136"/>
        <v/>
      </c>
      <c r="N603" s="341"/>
      <c r="O603" s="342"/>
      <c r="P603" s="255" t="str">
        <f t="shared" si="137"/>
        <v/>
      </c>
      <c r="Q603" s="256" t="str">
        <f t="shared" si="141"/>
        <v/>
      </c>
      <c r="R603" s="256" t="str">
        <f t="shared" si="138"/>
        <v/>
      </c>
      <c r="S603" s="257" t="str">
        <f t="shared" si="142"/>
        <v/>
      </c>
      <c r="T603" s="219" t="str">
        <f t="shared" si="139"/>
        <v/>
      </c>
      <c r="U603" s="258"/>
    </row>
    <row r="604" spans="2:21" x14ac:dyDescent="0.15">
      <c r="B604" s="249"/>
      <c r="C604" s="314"/>
      <c r="D604" s="251"/>
      <c r="E604" s="251"/>
      <c r="F604" s="335"/>
      <c r="G604" s="336"/>
      <c r="H604" s="337"/>
      <c r="I604" s="252" t="str">
        <f t="shared" si="135"/>
        <v/>
      </c>
      <c r="J604" s="248" t="str">
        <f>IF(I604="","",VLOOKUP($I604,Master!$K$4:$N$607,4,FALSE))</f>
        <v/>
      </c>
      <c r="K604" s="253" t="str">
        <f t="shared" si="140"/>
        <v/>
      </c>
      <c r="L604" s="254"/>
      <c r="M604" s="341" t="str">
        <f t="shared" si="136"/>
        <v/>
      </c>
      <c r="N604" s="341"/>
      <c r="O604" s="342"/>
      <c r="P604" s="255" t="str">
        <f t="shared" si="137"/>
        <v/>
      </c>
      <c r="Q604" s="256" t="str">
        <f t="shared" si="141"/>
        <v/>
      </c>
      <c r="R604" s="256" t="str">
        <f t="shared" si="138"/>
        <v/>
      </c>
      <c r="S604" s="257" t="str">
        <f t="shared" si="142"/>
        <v/>
      </c>
      <c r="T604" s="219" t="str">
        <f t="shared" si="139"/>
        <v/>
      </c>
      <c r="U604" s="258"/>
    </row>
    <row r="605" spans="2:21" x14ac:dyDescent="0.15">
      <c r="B605" s="249"/>
      <c r="C605" s="314"/>
      <c r="D605" s="251"/>
      <c r="E605" s="251"/>
      <c r="F605" s="335"/>
      <c r="G605" s="336"/>
      <c r="H605" s="337"/>
      <c r="I605" s="252" t="str">
        <f t="shared" si="135"/>
        <v/>
      </c>
      <c r="J605" s="248" t="str">
        <f>IF(I605="","",VLOOKUP($I605,Master!$K$4:$N$607,4,FALSE))</f>
        <v/>
      </c>
      <c r="K605" s="253" t="str">
        <f t="shared" si="140"/>
        <v/>
      </c>
      <c r="L605" s="254"/>
      <c r="M605" s="341" t="str">
        <f t="shared" si="136"/>
        <v/>
      </c>
      <c r="N605" s="341"/>
      <c r="O605" s="342"/>
      <c r="P605" s="255" t="str">
        <f t="shared" si="137"/>
        <v/>
      </c>
      <c r="Q605" s="256" t="str">
        <f t="shared" si="141"/>
        <v/>
      </c>
      <c r="R605" s="256" t="str">
        <f t="shared" si="138"/>
        <v/>
      </c>
      <c r="S605" s="257" t="str">
        <f t="shared" si="142"/>
        <v/>
      </c>
      <c r="T605" s="219" t="str">
        <f t="shared" si="139"/>
        <v/>
      </c>
      <c r="U605" s="258"/>
    </row>
    <row r="606" spans="2:21" x14ac:dyDescent="0.15">
      <c r="B606" s="249"/>
      <c r="C606" s="314"/>
      <c r="D606" s="251"/>
      <c r="E606" s="251"/>
      <c r="F606" s="335"/>
      <c r="G606" s="336"/>
      <c r="H606" s="337"/>
      <c r="I606" s="252" t="str">
        <f t="shared" si="135"/>
        <v/>
      </c>
      <c r="J606" s="248" t="str">
        <f>IF(I606="","",VLOOKUP($I606,Master!$K$4:$N$607,4,FALSE))</f>
        <v/>
      </c>
      <c r="K606" s="253" t="str">
        <f t="shared" si="140"/>
        <v/>
      </c>
      <c r="L606" s="254"/>
      <c r="M606" s="341" t="str">
        <f t="shared" si="136"/>
        <v/>
      </c>
      <c r="N606" s="341"/>
      <c r="O606" s="342"/>
      <c r="P606" s="255" t="str">
        <f t="shared" si="137"/>
        <v/>
      </c>
      <c r="Q606" s="256" t="str">
        <f t="shared" si="141"/>
        <v/>
      </c>
      <c r="R606" s="256" t="str">
        <f t="shared" si="138"/>
        <v/>
      </c>
      <c r="S606" s="257" t="str">
        <f t="shared" si="142"/>
        <v/>
      </c>
      <c r="T606" s="219" t="str">
        <f t="shared" si="139"/>
        <v/>
      </c>
      <c r="U606" s="258"/>
    </row>
    <row r="607" spans="2:21" x14ac:dyDescent="0.15">
      <c r="B607" s="249"/>
      <c r="C607" s="314"/>
      <c r="D607" s="251"/>
      <c r="E607" s="251"/>
      <c r="F607" s="335"/>
      <c r="G607" s="336"/>
      <c r="H607" s="337"/>
      <c r="I607" s="252" t="str">
        <f t="shared" si="135"/>
        <v/>
      </c>
      <c r="J607" s="248" t="str">
        <f>IF(I607="","",VLOOKUP($I607,Master!$K$4:$N$607,4,FALSE))</f>
        <v/>
      </c>
      <c r="K607" s="253" t="str">
        <f t="shared" si="140"/>
        <v/>
      </c>
      <c r="L607" s="254"/>
      <c r="M607" s="341" t="str">
        <f t="shared" si="136"/>
        <v/>
      </c>
      <c r="N607" s="341"/>
      <c r="O607" s="342"/>
      <c r="P607" s="255" t="str">
        <f t="shared" si="137"/>
        <v/>
      </c>
      <c r="Q607" s="256" t="str">
        <f t="shared" si="141"/>
        <v/>
      </c>
      <c r="R607" s="256" t="str">
        <f t="shared" si="138"/>
        <v/>
      </c>
      <c r="S607" s="257" t="str">
        <f t="shared" si="142"/>
        <v/>
      </c>
      <c r="T607" s="219" t="str">
        <f t="shared" si="139"/>
        <v/>
      </c>
      <c r="U607" s="258"/>
    </row>
    <row r="608" spans="2:21" x14ac:dyDescent="0.15">
      <c r="B608" s="249"/>
      <c r="C608" s="314"/>
      <c r="D608" s="251"/>
      <c r="E608" s="251"/>
      <c r="F608" s="335"/>
      <c r="G608" s="336"/>
      <c r="H608" s="337"/>
      <c r="I608" s="252" t="str">
        <f t="shared" si="135"/>
        <v/>
      </c>
      <c r="J608" s="248" t="str">
        <f>IF(I608="","",VLOOKUP($I608,Master!$K$4:$N$607,4,FALSE))</f>
        <v/>
      </c>
      <c r="K608" s="253" t="str">
        <f t="shared" si="140"/>
        <v/>
      </c>
      <c r="L608" s="254"/>
      <c r="M608" s="341" t="str">
        <f t="shared" si="136"/>
        <v/>
      </c>
      <c r="N608" s="341"/>
      <c r="O608" s="342"/>
      <c r="P608" s="255" t="str">
        <f t="shared" si="137"/>
        <v/>
      </c>
      <c r="Q608" s="256" t="str">
        <f t="shared" si="141"/>
        <v/>
      </c>
      <c r="R608" s="256" t="str">
        <f t="shared" si="138"/>
        <v/>
      </c>
      <c r="S608" s="257" t="str">
        <f t="shared" si="142"/>
        <v/>
      </c>
      <c r="T608" s="219" t="str">
        <f t="shared" si="139"/>
        <v/>
      </c>
      <c r="U608" s="258"/>
    </row>
    <row r="609" spans="2:21" x14ac:dyDescent="0.15">
      <c r="B609" s="249"/>
      <c r="C609" s="314"/>
      <c r="D609" s="251"/>
      <c r="E609" s="251"/>
      <c r="F609" s="335"/>
      <c r="G609" s="336"/>
      <c r="H609" s="337"/>
      <c r="I609" s="252" t="str">
        <f t="shared" si="135"/>
        <v/>
      </c>
      <c r="J609" s="248" t="str">
        <f>IF(I609="","",VLOOKUP($I609,Master!$K$4:$N$607,4,FALSE))</f>
        <v/>
      </c>
      <c r="K609" s="253" t="str">
        <f t="shared" si="140"/>
        <v/>
      </c>
      <c r="L609" s="254"/>
      <c r="M609" s="341" t="str">
        <f t="shared" si="136"/>
        <v/>
      </c>
      <c r="N609" s="341"/>
      <c r="O609" s="342"/>
      <c r="P609" s="255" t="str">
        <f t="shared" si="137"/>
        <v/>
      </c>
      <c r="Q609" s="256" t="str">
        <f t="shared" si="141"/>
        <v/>
      </c>
      <c r="R609" s="256" t="str">
        <f t="shared" si="138"/>
        <v/>
      </c>
      <c r="S609" s="257" t="str">
        <f t="shared" si="142"/>
        <v/>
      </c>
      <c r="T609" s="219" t="str">
        <f t="shared" si="139"/>
        <v/>
      </c>
      <c r="U609" s="258"/>
    </row>
    <row r="610" spans="2:21" x14ac:dyDescent="0.15">
      <c r="B610" s="249"/>
      <c r="C610" s="314"/>
      <c r="D610" s="251"/>
      <c r="E610" s="251"/>
      <c r="F610" s="335"/>
      <c r="G610" s="336"/>
      <c r="H610" s="337"/>
      <c r="I610" s="252" t="str">
        <f t="shared" si="135"/>
        <v/>
      </c>
      <c r="J610" s="248" t="str">
        <f>IF(I610="","",VLOOKUP($I610,Master!$K$4:$N$607,4,FALSE))</f>
        <v/>
      </c>
      <c r="K610" s="253" t="str">
        <f t="shared" si="140"/>
        <v/>
      </c>
      <c r="L610" s="254"/>
      <c r="M610" s="341" t="str">
        <f t="shared" si="136"/>
        <v/>
      </c>
      <c r="N610" s="341"/>
      <c r="O610" s="342"/>
      <c r="P610" s="255" t="str">
        <f t="shared" si="137"/>
        <v/>
      </c>
      <c r="Q610" s="256" t="str">
        <f t="shared" si="141"/>
        <v/>
      </c>
      <c r="R610" s="256" t="str">
        <f t="shared" si="138"/>
        <v/>
      </c>
      <c r="S610" s="257" t="str">
        <f t="shared" si="142"/>
        <v/>
      </c>
      <c r="T610" s="219" t="str">
        <f t="shared" si="139"/>
        <v/>
      </c>
      <c r="U610" s="258"/>
    </row>
    <row r="611" spans="2:21" x14ac:dyDescent="0.15">
      <c r="B611" s="249"/>
      <c r="C611" s="314"/>
      <c r="D611" s="251"/>
      <c r="E611" s="251"/>
      <c r="F611" s="335"/>
      <c r="G611" s="336"/>
      <c r="H611" s="337"/>
      <c r="I611" s="252" t="str">
        <f t="shared" si="135"/>
        <v/>
      </c>
      <c r="J611" s="248" t="str">
        <f>IF(I611="","",VLOOKUP($I611,Master!$K$4:$N$607,4,FALSE))</f>
        <v/>
      </c>
      <c r="K611" s="253" t="str">
        <f t="shared" si="140"/>
        <v/>
      </c>
      <c r="L611" s="254"/>
      <c r="M611" s="341" t="str">
        <f t="shared" si="136"/>
        <v/>
      </c>
      <c r="N611" s="341"/>
      <c r="O611" s="342"/>
      <c r="P611" s="255" t="str">
        <f t="shared" si="137"/>
        <v/>
      </c>
      <c r="Q611" s="256" t="str">
        <f t="shared" si="141"/>
        <v/>
      </c>
      <c r="R611" s="256" t="str">
        <f t="shared" si="138"/>
        <v/>
      </c>
      <c r="S611" s="257" t="str">
        <f t="shared" si="142"/>
        <v/>
      </c>
      <c r="T611" s="219" t="str">
        <f t="shared" si="139"/>
        <v/>
      </c>
      <c r="U611" s="258"/>
    </row>
    <row r="612" spans="2:21" x14ac:dyDescent="0.15">
      <c r="B612" s="249"/>
      <c r="C612" s="314"/>
      <c r="D612" s="251"/>
      <c r="E612" s="251"/>
      <c r="F612" s="335"/>
      <c r="G612" s="336"/>
      <c r="H612" s="337"/>
      <c r="I612" s="252" t="str">
        <f t="shared" si="135"/>
        <v/>
      </c>
      <c r="J612" s="248" t="str">
        <f>IF(I612="","",VLOOKUP($I612,Master!$K$4:$N$607,4,FALSE))</f>
        <v/>
      </c>
      <c r="K612" s="253" t="str">
        <f t="shared" si="140"/>
        <v/>
      </c>
      <c r="L612" s="254"/>
      <c r="M612" s="341" t="str">
        <f t="shared" si="136"/>
        <v/>
      </c>
      <c r="N612" s="341"/>
      <c r="O612" s="342"/>
      <c r="P612" s="255" t="str">
        <f t="shared" si="137"/>
        <v/>
      </c>
      <c r="Q612" s="256" t="str">
        <f t="shared" si="141"/>
        <v/>
      </c>
      <c r="R612" s="256" t="str">
        <f t="shared" si="138"/>
        <v/>
      </c>
      <c r="S612" s="257" t="str">
        <f t="shared" si="142"/>
        <v/>
      </c>
      <c r="T612" s="219" t="str">
        <f t="shared" si="139"/>
        <v/>
      </c>
      <c r="U612" s="258"/>
    </row>
    <row r="613" spans="2:21" x14ac:dyDescent="0.15">
      <c r="B613" s="249"/>
      <c r="C613" s="314"/>
      <c r="D613" s="251"/>
      <c r="E613" s="251"/>
      <c r="F613" s="335"/>
      <c r="G613" s="336"/>
      <c r="H613" s="337"/>
      <c r="I613" s="252" t="str">
        <f t="shared" si="135"/>
        <v/>
      </c>
      <c r="J613" s="248" t="str">
        <f>IF(I613="","",VLOOKUP($I613,Master!$K$4:$N$607,4,FALSE))</f>
        <v/>
      </c>
      <c r="K613" s="253" t="str">
        <f t="shared" si="140"/>
        <v/>
      </c>
      <c r="L613" s="254"/>
      <c r="M613" s="341" t="str">
        <f t="shared" si="136"/>
        <v/>
      </c>
      <c r="N613" s="341"/>
      <c r="O613" s="342"/>
      <c r="P613" s="255" t="str">
        <f t="shared" si="137"/>
        <v/>
      </c>
      <c r="Q613" s="256" t="str">
        <f t="shared" si="141"/>
        <v/>
      </c>
      <c r="R613" s="256" t="str">
        <f t="shared" si="138"/>
        <v/>
      </c>
      <c r="S613" s="257" t="str">
        <f t="shared" si="142"/>
        <v/>
      </c>
      <c r="T613" s="219" t="str">
        <f t="shared" si="139"/>
        <v/>
      </c>
      <c r="U613" s="258"/>
    </row>
    <row r="614" spans="2:21" x14ac:dyDescent="0.15">
      <c r="B614" s="249"/>
      <c r="C614" s="314"/>
      <c r="D614" s="251"/>
      <c r="E614" s="251"/>
      <c r="F614" s="335"/>
      <c r="G614" s="336"/>
      <c r="H614" s="337"/>
      <c r="I614" s="252" t="str">
        <f t="shared" si="135"/>
        <v/>
      </c>
      <c r="J614" s="248" t="str">
        <f>IF(I614="","",VLOOKUP($I614,Master!$K$4:$N$607,4,FALSE))</f>
        <v/>
      </c>
      <c r="K614" s="253" t="str">
        <f t="shared" si="140"/>
        <v/>
      </c>
      <c r="L614" s="254"/>
      <c r="M614" s="341" t="str">
        <f t="shared" si="136"/>
        <v/>
      </c>
      <c r="N614" s="341"/>
      <c r="O614" s="342"/>
      <c r="P614" s="255" t="str">
        <f t="shared" si="137"/>
        <v/>
      </c>
      <c r="Q614" s="256" t="str">
        <f t="shared" si="141"/>
        <v/>
      </c>
      <c r="R614" s="256" t="str">
        <f t="shared" si="138"/>
        <v/>
      </c>
      <c r="S614" s="257" t="str">
        <f t="shared" si="142"/>
        <v/>
      </c>
      <c r="T614" s="219" t="str">
        <f t="shared" si="139"/>
        <v/>
      </c>
      <c r="U614" s="258"/>
    </row>
    <row r="615" spans="2:21" x14ac:dyDescent="0.15">
      <c r="B615" s="249"/>
      <c r="C615" s="314"/>
      <c r="D615" s="251"/>
      <c r="E615" s="251"/>
      <c r="F615" s="335"/>
      <c r="G615" s="336"/>
      <c r="H615" s="337"/>
      <c r="I615" s="252" t="str">
        <f t="shared" si="135"/>
        <v/>
      </c>
      <c r="J615" s="248" t="str">
        <f>IF(I615="","",VLOOKUP($I615,Master!$K$4:$N$607,4,FALSE))</f>
        <v/>
      </c>
      <c r="K615" s="253" t="str">
        <f t="shared" si="140"/>
        <v/>
      </c>
      <c r="L615" s="254"/>
      <c r="M615" s="341" t="str">
        <f t="shared" si="136"/>
        <v/>
      </c>
      <c r="N615" s="341"/>
      <c r="O615" s="342"/>
      <c r="P615" s="255" t="str">
        <f t="shared" si="137"/>
        <v/>
      </c>
      <c r="Q615" s="256" t="str">
        <f t="shared" si="141"/>
        <v/>
      </c>
      <c r="R615" s="256" t="str">
        <f t="shared" si="138"/>
        <v/>
      </c>
      <c r="S615" s="257" t="str">
        <f t="shared" si="142"/>
        <v/>
      </c>
      <c r="T615" s="219" t="str">
        <f t="shared" si="139"/>
        <v/>
      </c>
      <c r="U615" s="258"/>
    </row>
    <row r="616" spans="2:21" x14ac:dyDescent="0.15">
      <c r="B616" s="249"/>
      <c r="C616" s="314"/>
      <c r="D616" s="251"/>
      <c r="E616" s="251"/>
      <c r="F616" s="335"/>
      <c r="G616" s="336"/>
      <c r="H616" s="337"/>
      <c r="I616" s="252" t="str">
        <f t="shared" si="135"/>
        <v/>
      </c>
      <c r="J616" s="248" t="str">
        <f>IF(I616="","",VLOOKUP($I616,Master!$K$4:$N$607,4,FALSE))</f>
        <v/>
      </c>
      <c r="K616" s="253" t="str">
        <f t="shared" si="140"/>
        <v/>
      </c>
      <c r="L616" s="254"/>
      <c r="M616" s="341" t="str">
        <f t="shared" si="136"/>
        <v/>
      </c>
      <c r="N616" s="341"/>
      <c r="O616" s="342"/>
      <c r="P616" s="255" t="str">
        <f t="shared" si="137"/>
        <v/>
      </c>
      <c r="Q616" s="256" t="str">
        <f t="shared" si="141"/>
        <v/>
      </c>
      <c r="R616" s="256" t="str">
        <f t="shared" si="138"/>
        <v/>
      </c>
      <c r="S616" s="257" t="str">
        <f t="shared" si="142"/>
        <v/>
      </c>
      <c r="T616" s="219" t="str">
        <f t="shared" si="139"/>
        <v/>
      </c>
      <c r="U616" s="258"/>
    </row>
    <row r="617" spans="2:21" x14ac:dyDescent="0.15">
      <c r="B617" s="249"/>
      <c r="C617" s="314"/>
      <c r="D617" s="251"/>
      <c r="E617" s="251"/>
      <c r="F617" s="335"/>
      <c r="G617" s="336"/>
      <c r="H617" s="337"/>
      <c r="I617" s="252" t="str">
        <f t="shared" si="135"/>
        <v/>
      </c>
      <c r="J617" s="248" t="str">
        <f>IF(I617="","",VLOOKUP($I617,Master!$K$4:$N$607,4,FALSE))</f>
        <v/>
      </c>
      <c r="K617" s="253" t="str">
        <f t="shared" si="140"/>
        <v/>
      </c>
      <c r="L617" s="254"/>
      <c r="M617" s="341" t="str">
        <f t="shared" si="136"/>
        <v/>
      </c>
      <c r="N617" s="341"/>
      <c r="O617" s="342"/>
      <c r="P617" s="255" t="str">
        <f t="shared" si="137"/>
        <v/>
      </c>
      <c r="Q617" s="256" t="str">
        <f t="shared" si="141"/>
        <v/>
      </c>
      <c r="R617" s="256" t="str">
        <f t="shared" si="138"/>
        <v/>
      </c>
      <c r="S617" s="257" t="str">
        <f t="shared" si="142"/>
        <v/>
      </c>
      <c r="T617" s="219" t="str">
        <f t="shared" si="139"/>
        <v/>
      </c>
      <c r="U617" s="258"/>
    </row>
    <row r="618" spans="2:21" x14ac:dyDescent="0.15">
      <c r="B618" s="249"/>
      <c r="C618" s="314"/>
      <c r="D618" s="251"/>
      <c r="E618" s="251"/>
      <c r="F618" s="335"/>
      <c r="G618" s="336"/>
      <c r="H618" s="337"/>
      <c r="I618" s="252" t="str">
        <f t="shared" si="135"/>
        <v/>
      </c>
      <c r="J618" s="248" t="str">
        <f>IF(I618="","",VLOOKUP($I618,Master!$K$4:$N$607,4,FALSE))</f>
        <v/>
      </c>
      <c r="K618" s="253" t="str">
        <f t="shared" si="140"/>
        <v/>
      </c>
      <c r="L618" s="254"/>
      <c r="M618" s="341" t="str">
        <f t="shared" si="136"/>
        <v/>
      </c>
      <c r="N618" s="341"/>
      <c r="O618" s="342"/>
      <c r="P618" s="255" t="str">
        <f t="shared" si="137"/>
        <v/>
      </c>
      <c r="Q618" s="256" t="str">
        <f t="shared" si="141"/>
        <v/>
      </c>
      <c r="R618" s="256" t="str">
        <f t="shared" si="138"/>
        <v/>
      </c>
      <c r="S618" s="257" t="str">
        <f t="shared" si="142"/>
        <v/>
      </c>
      <c r="T618" s="219" t="str">
        <f t="shared" si="139"/>
        <v/>
      </c>
      <c r="U618" s="258"/>
    </row>
    <row r="619" spans="2:21" x14ac:dyDescent="0.15">
      <c r="B619" s="249"/>
      <c r="C619" s="314"/>
      <c r="D619" s="251"/>
      <c r="E619" s="251"/>
      <c r="F619" s="335"/>
      <c r="G619" s="336"/>
      <c r="H619" s="337"/>
      <c r="I619" s="252" t="str">
        <f t="shared" si="135"/>
        <v/>
      </c>
      <c r="J619" s="248" t="str">
        <f>IF(I619="","",VLOOKUP($I619,Master!$K$4:$N$607,4,FALSE))</f>
        <v/>
      </c>
      <c r="K619" s="253" t="str">
        <f t="shared" si="140"/>
        <v/>
      </c>
      <c r="L619" s="254"/>
      <c r="M619" s="341" t="str">
        <f t="shared" si="136"/>
        <v/>
      </c>
      <c r="N619" s="341"/>
      <c r="O619" s="342"/>
      <c r="P619" s="255" t="str">
        <f t="shared" si="137"/>
        <v/>
      </c>
      <c r="Q619" s="256" t="str">
        <f t="shared" si="141"/>
        <v/>
      </c>
      <c r="R619" s="256" t="str">
        <f t="shared" si="138"/>
        <v/>
      </c>
      <c r="S619" s="257" t="str">
        <f t="shared" si="142"/>
        <v/>
      </c>
      <c r="T619" s="219" t="str">
        <f t="shared" si="139"/>
        <v/>
      </c>
      <c r="U619" s="258"/>
    </row>
    <row r="620" spans="2:21" x14ac:dyDescent="0.15">
      <c r="B620" s="249"/>
      <c r="C620" s="314"/>
      <c r="D620" s="251"/>
      <c r="E620" s="251"/>
      <c r="F620" s="335"/>
      <c r="G620" s="336"/>
      <c r="H620" s="337"/>
      <c r="I620" s="252" t="str">
        <f t="shared" si="135"/>
        <v/>
      </c>
      <c r="J620" s="248" t="str">
        <f>IF(I620="","",VLOOKUP($I620,Master!$K$4:$N$607,4,FALSE))</f>
        <v/>
      </c>
      <c r="K620" s="253" t="str">
        <f t="shared" si="140"/>
        <v/>
      </c>
      <c r="L620" s="254"/>
      <c r="M620" s="341" t="str">
        <f t="shared" si="136"/>
        <v/>
      </c>
      <c r="N620" s="341"/>
      <c r="O620" s="342"/>
      <c r="P620" s="255" t="str">
        <f t="shared" si="137"/>
        <v/>
      </c>
      <c r="Q620" s="256" t="str">
        <f t="shared" si="141"/>
        <v/>
      </c>
      <c r="R620" s="256" t="str">
        <f t="shared" si="138"/>
        <v/>
      </c>
      <c r="S620" s="257" t="str">
        <f t="shared" si="142"/>
        <v/>
      </c>
      <c r="T620" s="219" t="str">
        <f t="shared" si="139"/>
        <v/>
      </c>
      <c r="U620" s="258"/>
    </row>
    <row r="621" spans="2:21" x14ac:dyDescent="0.15">
      <c r="B621" s="249"/>
      <c r="C621" s="314"/>
      <c r="D621" s="251"/>
      <c r="E621" s="251"/>
      <c r="F621" s="335"/>
      <c r="G621" s="336"/>
      <c r="H621" s="337"/>
      <c r="I621" s="252" t="str">
        <f t="shared" si="135"/>
        <v/>
      </c>
      <c r="J621" s="248" t="str">
        <f>IF(I621="","",VLOOKUP($I621,Master!$K$4:$N$607,4,FALSE))</f>
        <v/>
      </c>
      <c r="K621" s="253" t="str">
        <f t="shared" si="140"/>
        <v/>
      </c>
      <c r="L621" s="254"/>
      <c r="M621" s="341" t="str">
        <f t="shared" si="136"/>
        <v/>
      </c>
      <c r="N621" s="341"/>
      <c r="O621" s="342"/>
      <c r="P621" s="255" t="str">
        <f t="shared" si="137"/>
        <v/>
      </c>
      <c r="Q621" s="256" t="str">
        <f t="shared" si="141"/>
        <v/>
      </c>
      <c r="R621" s="256" t="str">
        <f t="shared" si="138"/>
        <v/>
      </c>
      <c r="S621" s="257" t="str">
        <f t="shared" si="142"/>
        <v/>
      </c>
      <c r="T621" s="219" t="str">
        <f t="shared" si="139"/>
        <v/>
      </c>
      <c r="U621" s="258"/>
    </row>
    <row r="622" spans="2:21" x14ac:dyDescent="0.15">
      <c r="B622" s="249"/>
      <c r="C622" s="314"/>
      <c r="D622" s="251"/>
      <c r="E622" s="251"/>
      <c r="F622" s="335"/>
      <c r="G622" s="336"/>
      <c r="H622" s="337"/>
      <c r="I622" s="252" t="str">
        <f t="shared" si="135"/>
        <v/>
      </c>
      <c r="J622" s="248" t="str">
        <f>IF(I622="","",VLOOKUP($I622,Master!$K$4:$N$607,4,FALSE))</f>
        <v/>
      </c>
      <c r="K622" s="253" t="str">
        <f t="shared" si="140"/>
        <v/>
      </c>
      <c r="L622" s="254"/>
      <c r="M622" s="341" t="str">
        <f t="shared" si="136"/>
        <v/>
      </c>
      <c r="N622" s="341"/>
      <c r="O622" s="342"/>
      <c r="P622" s="255" t="str">
        <f t="shared" si="137"/>
        <v/>
      </c>
      <c r="Q622" s="256" t="str">
        <f t="shared" si="141"/>
        <v/>
      </c>
      <c r="R622" s="256" t="str">
        <f t="shared" si="138"/>
        <v/>
      </c>
      <c r="S622" s="257" t="str">
        <f t="shared" si="142"/>
        <v/>
      </c>
      <c r="T622" s="219" t="str">
        <f t="shared" si="139"/>
        <v/>
      </c>
      <c r="U622" s="258"/>
    </row>
    <row r="623" spans="2:21" x14ac:dyDescent="0.15">
      <c r="B623" s="249"/>
      <c r="C623" s="314"/>
      <c r="D623" s="251"/>
      <c r="E623" s="251"/>
      <c r="F623" s="335"/>
      <c r="G623" s="336"/>
      <c r="H623" s="337"/>
      <c r="I623" s="252" t="str">
        <f t="shared" si="135"/>
        <v/>
      </c>
      <c r="J623" s="248" t="str">
        <f>IF(I623="","",VLOOKUP($I623,Master!$K$4:$N$607,4,FALSE))</f>
        <v/>
      </c>
      <c r="K623" s="253" t="str">
        <f t="shared" si="140"/>
        <v/>
      </c>
      <c r="L623" s="254"/>
      <c r="M623" s="341" t="str">
        <f t="shared" si="136"/>
        <v/>
      </c>
      <c r="N623" s="341"/>
      <c r="O623" s="342"/>
      <c r="P623" s="255" t="str">
        <f t="shared" si="137"/>
        <v/>
      </c>
      <c r="Q623" s="256" t="str">
        <f t="shared" si="141"/>
        <v/>
      </c>
      <c r="R623" s="256" t="str">
        <f t="shared" si="138"/>
        <v/>
      </c>
      <c r="S623" s="257" t="str">
        <f t="shared" si="142"/>
        <v/>
      </c>
      <c r="T623" s="219" t="str">
        <f t="shared" si="139"/>
        <v/>
      </c>
      <c r="U623" s="258"/>
    </row>
    <row r="624" spans="2:21" x14ac:dyDescent="0.15">
      <c r="B624" s="249"/>
      <c r="C624" s="314"/>
      <c r="D624" s="251"/>
      <c r="E624" s="251"/>
      <c r="F624" s="335"/>
      <c r="G624" s="336"/>
      <c r="H624" s="337"/>
      <c r="I624" s="252" t="str">
        <f t="shared" si="135"/>
        <v/>
      </c>
      <c r="J624" s="248" t="str">
        <f>IF(I624="","",VLOOKUP($I624,Master!$K$4:$N$607,4,FALSE))</f>
        <v/>
      </c>
      <c r="K624" s="253" t="str">
        <f t="shared" si="140"/>
        <v/>
      </c>
      <c r="L624" s="254"/>
      <c r="M624" s="341" t="str">
        <f t="shared" si="136"/>
        <v/>
      </c>
      <c r="N624" s="341"/>
      <c r="O624" s="342"/>
      <c r="P624" s="255" t="str">
        <f t="shared" si="137"/>
        <v/>
      </c>
      <c r="Q624" s="256" t="str">
        <f t="shared" si="141"/>
        <v/>
      </c>
      <c r="R624" s="256" t="str">
        <f t="shared" si="138"/>
        <v/>
      </c>
      <c r="S624" s="257" t="str">
        <f t="shared" si="142"/>
        <v/>
      </c>
      <c r="T624" s="219" t="str">
        <f t="shared" si="139"/>
        <v/>
      </c>
      <c r="U624" s="258"/>
    </row>
    <row r="625" spans="2:21" x14ac:dyDescent="0.15">
      <c r="B625" s="249"/>
      <c r="C625" s="314"/>
      <c r="D625" s="251"/>
      <c r="E625" s="251"/>
      <c r="F625" s="335"/>
      <c r="G625" s="336"/>
      <c r="H625" s="337"/>
      <c r="I625" s="252" t="str">
        <f t="shared" si="135"/>
        <v/>
      </c>
      <c r="J625" s="248" t="str">
        <f>IF(I625="","",VLOOKUP($I625,Master!$K$4:$N$607,4,FALSE))</f>
        <v/>
      </c>
      <c r="K625" s="253" t="str">
        <f t="shared" si="140"/>
        <v/>
      </c>
      <c r="L625" s="254"/>
      <c r="M625" s="341" t="str">
        <f t="shared" si="136"/>
        <v/>
      </c>
      <c r="N625" s="341"/>
      <c r="O625" s="342"/>
      <c r="P625" s="255" t="str">
        <f t="shared" si="137"/>
        <v/>
      </c>
      <c r="Q625" s="256" t="str">
        <f t="shared" si="141"/>
        <v/>
      </c>
      <c r="R625" s="256" t="str">
        <f t="shared" si="138"/>
        <v/>
      </c>
      <c r="S625" s="257" t="str">
        <f t="shared" si="142"/>
        <v/>
      </c>
      <c r="T625" s="219" t="str">
        <f t="shared" si="139"/>
        <v/>
      </c>
      <c r="U625" s="258"/>
    </row>
    <row r="626" spans="2:21" x14ac:dyDescent="0.15">
      <c r="B626" s="249"/>
      <c r="C626" s="314"/>
      <c r="D626" s="251"/>
      <c r="E626" s="251"/>
      <c r="F626" s="335"/>
      <c r="G626" s="336"/>
      <c r="H626" s="337"/>
      <c r="I626" s="252" t="str">
        <f t="shared" si="135"/>
        <v/>
      </c>
      <c r="J626" s="248" t="str">
        <f>IF(I626="","",VLOOKUP($I626,Master!$K$4:$N$607,4,FALSE))</f>
        <v/>
      </c>
      <c r="K626" s="253" t="str">
        <f t="shared" si="140"/>
        <v/>
      </c>
      <c r="L626" s="254"/>
      <c r="M626" s="341" t="str">
        <f t="shared" si="136"/>
        <v/>
      </c>
      <c r="N626" s="341"/>
      <c r="O626" s="342"/>
      <c r="P626" s="255" t="str">
        <f t="shared" si="137"/>
        <v/>
      </c>
      <c r="Q626" s="256" t="str">
        <f t="shared" si="141"/>
        <v/>
      </c>
      <c r="R626" s="256" t="str">
        <f t="shared" si="138"/>
        <v/>
      </c>
      <c r="S626" s="257" t="str">
        <f t="shared" si="142"/>
        <v/>
      </c>
      <c r="T626" s="219" t="str">
        <f t="shared" si="139"/>
        <v/>
      </c>
      <c r="U626" s="258"/>
    </row>
    <row r="627" spans="2:21" x14ac:dyDescent="0.15">
      <c r="B627" s="249"/>
      <c r="C627" s="314"/>
      <c r="D627" s="251"/>
      <c r="E627" s="251"/>
      <c r="F627" s="335"/>
      <c r="G627" s="336"/>
      <c r="H627" s="337"/>
      <c r="I627" s="252" t="str">
        <f t="shared" si="135"/>
        <v/>
      </c>
      <c r="J627" s="248" t="str">
        <f>IF(I627="","",VLOOKUP($I627,Master!$K$4:$N$607,4,FALSE))</f>
        <v/>
      </c>
      <c r="K627" s="253" t="str">
        <f t="shared" si="140"/>
        <v/>
      </c>
      <c r="L627" s="254"/>
      <c r="M627" s="341" t="str">
        <f t="shared" si="136"/>
        <v/>
      </c>
      <c r="N627" s="341"/>
      <c r="O627" s="342"/>
      <c r="P627" s="255" t="str">
        <f t="shared" si="137"/>
        <v/>
      </c>
      <c r="Q627" s="256" t="str">
        <f t="shared" si="141"/>
        <v/>
      </c>
      <c r="R627" s="256" t="str">
        <f t="shared" si="138"/>
        <v/>
      </c>
      <c r="S627" s="257" t="str">
        <f t="shared" si="142"/>
        <v/>
      </c>
      <c r="T627" s="219" t="str">
        <f t="shared" si="139"/>
        <v/>
      </c>
      <c r="U627" s="258"/>
    </row>
    <row r="628" spans="2:21" x14ac:dyDescent="0.15">
      <c r="B628" s="249"/>
      <c r="C628" s="314"/>
      <c r="D628" s="251"/>
      <c r="E628" s="251"/>
      <c r="F628" s="335"/>
      <c r="G628" s="336"/>
      <c r="H628" s="337"/>
      <c r="I628" s="252" t="str">
        <f t="shared" si="135"/>
        <v/>
      </c>
      <c r="J628" s="248" t="str">
        <f>IF(I628="","",VLOOKUP($I628,Master!$K$4:$N$607,4,FALSE))</f>
        <v/>
      </c>
      <c r="K628" s="253" t="str">
        <f t="shared" si="140"/>
        <v/>
      </c>
      <c r="L628" s="254"/>
      <c r="M628" s="341" t="str">
        <f t="shared" si="136"/>
        <v/>
      </c>
      <c r="N628" s="341"/>
      <c r="O628" s="342"/>
      <c r="P628" s="255" t="str">
        <f t="shared" si="137"/>
        <v/>
      </c>
      <c r="Q628" s="256" t="str">
        <f t="shared" si="141"/>
        <v/>
      </c>
      <c r="R628" s="256" t="str">
        <f t="shared" si="138"/>
        <v/>
      </c>
      <c r="S628" s="257" t="str">
        <f t="shared" si="142"/>
        <v/>
      </c>
      <c r="T628" s="219" t="str">
        <f t="shared" si="139"/>
        <v/>
      </c>
      <c r="U628" s="258"/>
    </row>
    <row r="629" spans="2:21" x14ac:dyDescent="0.15">
      <c r="B629" s="249"/>
      <c r="C629" s="314"/>
      <c r="D629" s="251"/>
      <c r="E629" s="251"/>
      <c r="F629" s="335"/>
      <c r="G629" s="336"/>
      <c r="H629" s="337"/>
      <c r="I629" s="252" t="str">
        <f t="shared" si="135"/>
        <v/>
      </c>
      <c r="J629" s="248" t="str">
        <f>IF(I629="","",VLOOKUP($I629,Master!$K$4:$N$607,4,FALSE))</f>
        <v/>
      </c>
      <c r="K629" s="253" t="str">
        <f t="shared" si="140"/>
        <v/>
      </c>
      <c r="L629" s="254"/>
      <c r="M629" s="341" t="str">
        <f t="shared" si="136"/>
        <v/>
      </c>
      <c r="N629" s="341"/>
      <c r="O629" s="342"/>
      <c r="P629" s="255" t="str">
        <f t="shared" si="137"/>
        <v/>
      </c>
      <c r="Q629" s="256" t="str">
        <f t="shared" si="141"/>
        <v/>
      </c>
      <c r="R629" s="256" t="str">
        <f t="shared" si="138"/>
        <v/>
      </c>
      <c r="S629" s="257" t="str">
        <f t="shared" si="142"/>
        <v/>
      </c>
      <c r="T629" s="219" t="str">
        <f t="shared" si="139"/>
        <v/>
      </c>
      <c r="U629" s="258"/>
    </row>
    <row r="630" spans="2:21" x14ac:dyDescent="0.15">
      <c r="B630" s="249"/>
      <c r="C630" s="314"/>
      <c r="D630" s="251"/>
      <c r="E630" s="251"/>
      <c r="F630" s="335"/>
      <c r="G630" s="336"/>
      <c r="H630" s="337"/>
      <c r="I630" s="252" t="str">
        <f t="shared" si="135"/>
        <v/>
      </c>
      <c r="J630" s="248" t="str">
        <f>IF(I630="","",VLOOKUP($I630,Master!$K$4:$N$607,4,FALSE))</f>
        <v/>
      </c>
      <c r="K630" s="253" t="str">
        <f t="shared" si="140"/>
        <v/>
      </c>
      <c r="L630" s="254"/>
      <c r="M630" s="341" t="str">
        <f t="shared" si="136"/>
        <v/>
      </c>
      <c r="N630" s="341"/>
      <c r="O630" s="342"/>
      <c r="P630" s="255" t="str">
        <f t="shared" si="137"/>
        <v/>
      </c>
      <c r="Q630" s="256" t="str">
        <f t="shared" si="141"/>
        <v/>
      </c>
      <c r="R630" s="256" t="str">
        <f t="shared" si="138"/>
        <v/>
      </c>
      <c r="S630" s="257" t="str">
        <f t="shared" si="142"/>
        <v/>
      </c>
      <c r="T630" s="219" t="str">
        <f t="shared" si="139"/>
        <v/>
      </c>
      <c r="U630" s="258"/>
    </row>
    <row r="631" spans="2:21" x14ac:dyDescent="0.15">
      <c r="B631" s="249"/>
      <c r="C631" s="314"/>
      <c r="D631" s="251"/>
      <c r="E631" s="251"/>
      <c r="F631" s="335"/>
      <c r="G631" s="336"/>
      <c r="H631" s="337"/>
      <c r="I631" s="252" t="str">
        <f t="shared" si="135"/>
        <v/>
      </c>
      <c r="J631" s="248" t="str">
        <f>IF(I631="","",VLOOKUP($I631,Master!$K$4:$N$607,4,FALSE))</f>
        <v/>
      </c>
      <c r="K631" s="253" t="str">
        <f t="shared" si="140"/>
        <v/>
      </c>
      <c r="L631" s="254"/>
      <c r="M631" s="341" t="str">
        <f t="shared" si="136"/>
        <v/>
      </c>
      <c r="N631" s="341"/>
      <c r="O631" s="342"/>
      <c r="P631" s="255" t="str">
        <f t="shared" si="137"/>
        <v/>
      </c>
      <c r="Q631" s="256" t="str">
        <f t="shared" si="141"/>
        <v/>
      </c>
      <c r="R631" s="256" t="str">
        <f t="shared" si="138"/>
        <v/>
      </c>
      <c r="S631" s="257" t="str">
        <f t="shared" si="142"/>
        <v/>
      </c>
      <c r="T631" s="219" t="str">
        <f t="shared" si="139"/>
        <v/>
      </c>
      <c r="U631" s="258"/>
    </row>
    <row r="632" spans="2:21" x14ac:dyDescent="0.15">
      <c r="B632" s="249"/>
      <c r="C632" s="314"/>
      <c r="D632" s="251"/>
      <c r="E632" s="251"/>
      <c r="F632" s="335"/>
      <c r="G632" s="336"/>
      <c r="H632" s="337"/>
      <c r="I632" s="252" t="str">
        <f t="shared" si="135"/>
        <v/>
      </c>
      <c r="J632" s="248" t="str">
        <f>IF(I632="","",VLOOKUP($I632,Master!$K$4:$N$607,4,FALSE))</f>
        <v/>
      </c>
      <c r="K632" s="253" t="str">
        <f t="shared" si="140"/>
        <v/>
      </c>
      <c r="L632" s="254"/>
      <c r="M632" s="341" t="str">
        <f t="shared" si="136"/>
        <v/>
      </c>
      <c r="N632" s="341"/>
      <c r="O632" s="342"/>
      <c r="P632" s="255" t="str">
        <f t="shared" si="137"/>
        <v/>
      </c>
      <c r="Q632" s="256" t="str">
        <f t="shared" si="141"/>
        <v/>
      </c>
      <c r="R632" s="256" t="str">
        <f t="shared" si="138"/>
        <v/>
      </c>
      <c r="S632" s="257" t="str">
        <f t="shared" si="142"/>
        <v/>
      </c>
      <c r="T632" s="219" t="str">
        <f t="shared" si="139"/>
        <v/>
      </c>
      <c r="U632" s="258"/>
    </row>
    <row r="633" spans="2:21" x14ac:dyDescent="0.15">
      <c r="B633" s="249"/>
      <c r="C633" s="314"/>
      <c r="D633" s="251"/>
      <c r="E633" s="251"/>
      <c r="F633" s="335"/>
      <c r="G633" s="336"/>
      <c r="H633" s="337"/>
      <c r="I633" s="252" t="str">
        <f t="shared" si="135"/>
        <v/>
      </c>
      <c r="J633" s="248" t="str">
        <f>IF(I633="","",VLOOKUP($I633,Master!$K$4:$N$607,4,FALSE))</f>
        <v/>
      </c>
      <c r="K633" s="253" t="str">
        <f t="shared" si="140"/>
        <v/>
      </c>
      <c r="L633" s="254"/>
      <c r="M633" s="341" t="str">
        <f t="shared" si="136"/>
        <v/>
      </c>
      <c r="N633" s="341"/>
      <c r="O633" s="342"/>
      <c r="P633" s="255" t="str">
        <f t="shared" si="137"/>
        <v/>
      </c>
      <c r="Q633" s="256" t="str">
        <f t="shared" si="141"/>
        <v/>
      </c>
      <c r="R633" s="256" t="str">
        <f t="shared" si="138"/>
        <v/>
      </c>
      <c r="S633" s="257" t="str">
        <f t="shared" si="142"/>
        <v/>
      </c>
      <c r="T633" s="219" t="str">
        <f t="shared" si="139"/>
        <v/>
      </c>
      <c r="U633" s="258"/>
    </row>
    <row r="634" spans="2:21" x14ac:dyDescent="0.15">
      <c r="B634" s="249"/>
      <c r="C634" s="314"/>
      <c r="D634" s="251"/>
      <c r="E634" s="251"/>
      <c r="F634" s="335"/>
      <c r="G634" s="336"/>
      <c r="H634" s="337"/>
      <c r="I634" s="252" t="str">
        <f t="shared" si="135"/>
        <v/>
      </c>
      <c r="J634" s="248" t="str">
        <f>IF(I634="","",VLOOKUP($I634,Master!$K$4:$N$607,4,FALSE))</f>
        <v/>
      </c>
      <c r="K634" s="253" t="str">
        <f t="shared" si="140"/>
        <v/>
      </c>
      <c r="L634" s="254"/>
      <c r="M634" s="341" t="str">
        <f t="shared" si="136"/>
        <v/>
      </c>
      <c r="N634" s="341"/>
      <c r="O634" s="342"/>
      <c r="P634" s="255" t="str">
        <f t="shared" si="137"/>
        <v/>
      </c>
      <c r="Q634" s="256" t="str">
        <f t="shared" si="141"/>
        <v/>
      </c>
      <c r="R634" s="256" t="str">
        <f t="shared" si="138"/>
        <v/>
      </c>
      <c r="S634" s="257" t="str">
        <f t="shared" si="142"/>
        <v/>
      </c>
      <c r="T634" s="219" t="str">
        <f t="shared" si="139"/>
        <v/>
      </c>
      <c r="U634" s="258"/>
    </row>
    <row r="635" spans="2:21" x14ac:dyDescent="0.15">
      <c r="B635" s="249"/>
      <c r="C635" s="314"/>
      <c r="D635" s="251"/>
      <c r="E635" s="251"/>
      <c r="F635" s="335"/>
      <c r="G635" s="336"/>
      <c r="H635" s="337"/>
      <c r="I635" s="252" t="str">
        <f t="shared" si="135"/>
        <v/>
      </c>
      <c r="J635" s="248" t="str">
        <f>IF(I635="","",VLOOKUP($I635,Master!$K$4:$N$607,4,FALSE))</f>
        <v/>
      </c>
      <c r="K635" s="253" t="str">
        <f t="shared" si="140"/>
        <v/>
      </c>
      <c r="L635" s="254"/>
      <c r="M635" s="341" t="str">
        <f t="shared" si="136"/>
        <v/>
      </c>
      <c r="N635" s="341"/>
      <c r="O635" s="342"/>
      <c r="P635" s="255" t="str">
        <f t="shared" si="137"/>
        <v/>
      </c>
      <c r="Q635" s="256" t="str">
        <f t="shared" si="141"/>
        <v/>
      </c>
      <c r="R635" s="256" t="str">
        <f t="shared" si="138"/>
        <v/>
      </c>
      <c r="S635" s="257" t="str">
        <f t="shared" si="142"/>
        <v/>
      </c>
      <c r="T635" s="219" t="str">
        <f t="shared" si="139"/>
        <v/>
      </c>
      <c r="U635" s="258"/>
    </row>
    <row r="636" spans="2:21" x14ac:dyDescent="0.15">
      <c r="B636" s="249"/>
      <c r="C636" s="314"/>
      <c r="D636" s="251"/>
      <c r="E636" s="251"/>
      <c r="F636" s="335"/>
      <c r="G636" s="336"/>
      <c r="H636" s="337"/>
      <c r="I636" s="252" t="str">
        <f t="shared" si="135"/>
        <v/>
      </c>
      <c r="J636" s="248" t="str">
        <f>IF(I636="","",VLOOKUP($I636,Master!$K$4:$N$607,4,FALSE))</f>
        <v/>
      </c>
      <c r="K636" s="253" t="str">
        <f t="shared" si="140"/>
        <v/>
      </c>
      <c r="L636" s="254"/>
      <c r="M636" s="341" t="str">
        <f t="shared" si="136"/>
        <v/>
      </c>
      <c r="N636" s="341"/>
      <c r="O636" s="342"/>
      <c r="P636" s="255" t="str">
        <f t="shared" si="137"/>
        <v/>
      </c>
      <c r="Q636" s="256" t="str">
        <f t="shared" si="141"/>
        <v/>
      </c>
      <c r="R636" s="256" t="str">
        <f t="shared" si="138"/>
        <v/>
      </c>
      <c r="S636" s="257" t="str">
        <f t="shared" si="142"/>
        <v/>
      </c>
      <c r="T636" s="219" t="str">
        <f t="shared" si="139"/>
        <v/>
      </c>
      <c r="U636" s="258"/>
    </row>
    <row r="637" spans="2:21" x14ac:dyDescent="0.15">
      <c r="B637" s="249"/>
      <c r="C637" s="314"/>
      <c r="D637" s="251"/>
      <c r="E637" s="251"/>
      <c r="F637" s="335"/>
      <c r="G637" s="336"/>
      <c r="H637" s="337"/>
      <c r="I637" s="252" t="str">
        <f t="shared" si="135"/>
        <v/>
      </c>
      <c r="J637" s="248" t="str">
        <f>IF(I637="","",VLOOKUP($I637,Master!$K$4:$N$607,4,FALSE))</f>
        <v/>
      </c>
      <c r="K637" s="253" t="str">
        <f t="shared" si="140"/>
        <v/>
      </c>
      <c r="L637" s="254"/>
      <c r="M637" s="341" t="str">
        <f t="shared" si="136"/>
        <v/>
      </c>
      <c r="N637" s="341"/>
      <c r="O637" s="342"/>
      <c r="P637" s="255" t="str">
        <f t="shared" si="137"/>
        <v/>
      </c>
      <c r="Q637" s="256" t="str">
        <f t="shared" si="141"/>
        <v/>
      </c>
      <c r="R637" s="256" t="str">
        <f t="shared" si="138"/>
        <v/>
      </c>
      <c r="S637" s="257" t="str">
        <f t="shared" si="142"/>
        <v/>
      </c>
      <c r="T637" s="219" t="str">
        <f t="shared" si="139"/>
        <v/>
      </c>
      <c r="U637" s="258"/>
    </row>
    <row r="638" spans="2:21" x14ac:dyDescent="0.15">
      <c r="B638" s="249"/>
      <c r="C638" s="314"/>
      <c r="D638" s="251"/>
      <c r="E638" s="251"/>
      <c r="F638" s="335"/>
      <c r="G638" s="336"/>
      <c r="H638" s="337"/>
      <c r="I638" s="252" t="str">
        <f t="shared" si="135"/>
        <v/>
      </c>
      <c r="J638" s="248" t="str">
        <f>IF(I638="","",VLOOKUP($I638,Master!$K$4:$N$607,4,FALSE))</f>
        <v/>
      </c>
      <c r="K638" s="253" t="str">
        <f t="shared" si="140"/>
        <v/>
      </c>
      <c r="L638" s="254"/>
      <c r="M638" s="341" t="str">
        <f t="shared" si="136"/>
        <v/>
      </c>
      <c r="N638" s="341"/>
      <c r="O638" s="342"/>
      <c r="P638" s="255" t="str">
        <f t="shared" si="137"/>
        <v/>
      </c>
      <c r="Q638" s="256" t="str">
        <f t="shared" si="141"/>
        <v/>
      </c>
      <c r="R638" s="256" t="str">
        <f t="shared" si="138"/>
        <v/>
      </c>
      <c r="S638" s="257" t="str">
        <f t="shared" si="142"/>
        <v/>
      </c>
      <c r="T638" s="219" t="str">
        <f t="shared" si="139"/>
        <v/>
      </c>
      <c r="U638" s="258"/>
    </row>
    <row r="639" spans="2:21" x14ac:dyDescent="0.15">
      <c r="B639" s="249"/>
      <c r="C639" s="314"/>
      <c r="D639" s="251"/>
      <c r="E639" s="251"/>
      <c r="F639" s="335"/>
      <c r="G639" s="336"/>
      <c r="H639" s="337"/>
      <c r="I639" s="252" t="str">
        <f t="shared" si="135"/>
        <v/>
      </c>
      <c r="J639" s="248" t="str">
        <f>IF(I639="","",VLOOKUP($I639,Master!$K$4:$N$607,4,FALSE))</f>
        <v/>
      </c>
      <c r="K639" s="253" t="str">
        <f t="shared" si="140"/>
        <v/>
      </c>
      <c r="L639" s="254"/>
      <c r="M639" s="341" t="str">
        <f t="shared" si="136"/>
        <v/>
      </c>
      <c r="N639" s="341"/>
      <c r="O639" s="342"/>
      <c r="P639" s="255" t="str">
        <f t="shared" si="137"/>
        <v/>
      </c>
      <c r="Q639" s="256" t="str">
        <f t="shared" si="141"/>
        <v/>
      </c>
      <c r="R639" s="256" t="str">
        <f t="shared" si="138"/>
        <v/>
      </c>
      <c r="S639" s="257" t="str">
        <f t="shared" si="142"/>
        <v/>
      </c>
      <c r="T639" s="219" t="str">
        <f t="shared" si="139"/>
        <v/>
      </c>
      <c r="U639" s="258"/>
    </row>
    <row r="640" spans="2:21" x14ac:dyDescent="0.15">
      <c r="B640" s="249"/>
      <c r="C640" s="314"/>
      <c r="D640" s="251"/>
      <c r="E640" s="251"/>
      <c r="F640" s="335"/>
      <c r="G640" s="336"/>
      <c r="H640" s="337"/>
      <c r="I640" s="252" t="str">
        <f t="shared" si="135"/>
        <v/>
      </c>
      <c r="J640" s="248" t="str">
        <f>IF(I640="","",VLOOKUP($I640,Master!$K$4:$N$607,4,FALSE))</f>
        <v/>
      </c>
      <c r="K640" s="253" t="str">
        <f t="shared" si="140"/>
        <v/>
      </c>
      <c r="L640" s="254"/>
      <c r="M640" s="341" t="str">
        <f t="shared" si="136"/>
        <v/>
      </c>
      <c r="N640" s="341"/>
      <c r="O640" s="342"/>
      <c r="P640" s="255" t="str">
        <f t="shared" si="137"/>
        <v/>
      </c>
      <c r="Q640" s="256" t="str">
        <f t="shared" si="141"/>
        <v/>
      </c>
      <c r="R640" s="256" t="str">
        <f t="shared" si="138"/>
        <v/>
      </c>
      <c r="S640" s="257" t="str">
        <f t="shared" si="142"/>
        <v/>
      </c>
      <c r="T640" s="219" t="str">
        <f t="shared" si="139"/>
        <v/>
      </c>
      <c r="U640" s="258"/>
    </row>
    <row r="641" spans="2:21" x14ac:dyDescent="0.15">
      <c r="B641" s="249"/>
      <c r="C641" s="314"/>
      <c r="D641" s="251"/>
      <c r="E641" s="251"/>
      <c r="F641" s="335"/>
      <c r="G641" s="336"/>
      <c r="H641" s="337"/>
      <c r="I641" s="252" t="str">
        <f t="shared" si="135"/>
        <v/>
      </c>
      <c r="J641" s="248" t="str">
        <f>IF(I641="","",VLOOKUP($I641,Master!$K$4:$N$607,4,FALSE))</f>
        <v/>
      </c>
      <c r="K641" s="253" t="str">
        <f t="shared" si="140"/>
        <v/>
      </c>
      <c r="L641" s="254"/>
      <c r="M641" s="341" t="str">
        <f t="shared" si="136"/>
        <v/>
      </c>
      <c r="N641" s="341"/>
      <c r="O641" s="342"/>
      <c r="P641" s="255" t="str">
        <f t="shared" si="137"/>
        <v/>
      </c>
      <c r="Q641" s="256" t="str">
        <f t="shared" si="141"/>
        <v/>
      </c>
      <c r="R641" s="256" t="str">
        <f t="shared" si="138"/>
        <v/>
      </c>
      <c r="S641" s="257" t="str">
        <f t="shared" si="142"/>
        <v/>
      </c>
      <c r="T641" s="219" t="str">
        <f t="shared" si="139"/>
        <v/>
      </c>
      <c r="U641" s="258"/>
    </row>
    <row r="642" spans="2:21" x14ac:dyDescent="0.15">
      <c r="B642" s="249"/>
      <c r="C642" s="314"/>
      <c r="D642" s="251"/>
      <c r="E642" s="251"/>
      <c r="F642" s="335"/>
      <c r="G642" s="336"/>
      <c r="H642" s="337"/>
      <c r="I642" s="252" t="str">
        <f t="shared" si="135"/>
        <v/>
      </c>
      <c r="J642" s="248" t="str">
        <f>IF(I642="","",VLOOKUP($I642,Master!$K$4:$N$607,4,FALSE))</f>
        <v/>
      </c>
      <c r="K642" s="253" t="str">
        <f t="shared" si="140"/>
        <v/>
      </c>
      <c r="L642" s="254"/>
      <c r="M642" s="341" t="str">
        <f t="shared" si="136"/>
        <v/>
      </c>
      <c r="N642" s="341"/>
      <c r="O642" s="342"/>
      <c r="P642" s="255" t="str">
        <f t="shared" si="137"/>
        <v/>
      </c>
      <c r="Q642" s="256" t="str">
        <f t="shared" si="141"/>
        <v/>
      </c>
      <c r="R642" s="256" t="str">
        <f t="shared" si="138"/>
        <v/>
      </c>
      <c r="S642" s="257" t="str">
        <f t="shared" si="142"/>
        <v/>
      </c>
      <c r="T642" s="219" t="str">
        <f t="shared" si="139"/>
        <v/>
      </c>
      <c r="U642" s="258"/>
    </row>
    <row r="643" spans="2:21" x14ac:dyDescent="0.15">
      <c r="B643" s="249"/>
      <c r="C643" s="314"/>
      <c r="D643" s="251"/>
      <c r="E643" s="251"/>
      <c r="F643" s="335"/>
      <c r="G643" s="336"/>
      <c r="H643" s="337"/>
      <c r="I643" s="252" t="str">
        <f t="shared" si="135"/>
        <v/>
      </c>
      <c r="J643" s="248" t="str">
        <f>IF(I643="","",VLOOKUP($I643,Master!$K$4:$N$607,4,FALSE))</f>
        <v/>
      </c>
      <c r="K643" s="253" t="str">
        <f t="shared" si="140"/>
        <v/>
      </c>
      <c r="L643" s="254"/>
      <c r="M643" s="341" t="str">
        <f t="shared" si="136"/>
        <v/>
      </c>
      <c r="N643" s="341"/>
      <c r="O643" s="342"/>
      <c r="P643" s="255" t="str">
        <f t="shared" si="137"/>
        <v/>
      </c>
      <c r="Q643" s="256" t="str">
        <f t="shared" si="141"/>
        <v/>
      </c>
      <c r="R643" s="256" t="str">
        <f t="shared" si="138"/>
        <v/>
      </c>
      <c r="S643" s="257" t="str">
        <f t="shared" si="142"/>
        <v/>
      </c>
      <c r="T643" s="219" t="str">
        <f t="shared" si="139"/>
        <v/>
      </c>
      <c r="U643" s="258"/>
    </row>
    <row r="644" spans="2:21" x14ac:dyDescent="0.15">
      <c r="B644" s="249"/>
      <c r="C644" s="314"/>
      <c r="D644" s="251"/>
      <c r="E644" s="251"/>
      <c r="F644" s="335"/>
      <c r="G644" s="336"/>
      <c r="H644" s="337"/>
      <c r="I644" s="252" t="str">
        <f t="shared" ref="I644:I687" si="143">IF($F644="","",IF(ISERR(VLOOKUP($C644&amp;$D644&amp;$E644&amp;$F644,SOW,2,FALSE)),"-",VLOOKUP($C644&amp;$D644&amp;$E644&amp;$F644,SOW,2,FALSE)))</f>
        <v/>
      </c>
      <c r="J644" s="248" t="str">
        <f>IF(I644="","",VLOOKUP($I644,Master!$K$4:$N$607,4,FALSE))</f>
        <v/>
      </c>
      <c r="K644" s="253" t="str">
        <f t="shared" si="140"/>
        <v/>
      </c>
      <c r="L644" s="254"/>
      <c r="M644" s="341" t="str">
        <f t="shared" ref="M644:M687" si="144">IF($F644&lt;&gt;"",IF($J644&lt;&gt;"-",IF($J644="要選択","REQ_IDを選択して下さい。",IF($J644="","REQ_IDを選択して下さい。",VLOOKUP($J644,REQUEST,2,FALSE))),$F644),"")</f>
        <v/>
      </c>
      <c r="N644" s="341"/>
      <c r="O644" s="342"/>
      <c r="P644" s="255" t="str">
        <f t="shared" ref="P644:P687" si="145">IF($B644&lt;&gt;"",TEXT(TEXT(YEAR($B644),"0000")&amp;TEXT(MONTH($B644),"00")&amp;$I644,"@"),"")</f>
        <v/>
      </c>
      <c r="Q644" s="256" t="str">
        <f t="shared" si="141"/>
        <v/>
      </c>
      <c r="R644" s="256" t="str">
        <f t="shared" ref="R644:R687" si="146">IF($B644&lt;&gt;"",TEXT(TEXT(YEAR($B644),"0000")&amp;TEXT(MONTH($B644),"00")&amp;$J644,"@"),"")</f>
        <v/>
      </c>
      <c r="S644" s="257" t="str">
        <f t="shared" si="142"/>
        <v/>
      </c>
      <c r="T644" s="219" t="str">
        <f t="shared" si="139"/>
        <v/>
      </c>
      <c r="U644" s="258"/>
    </row>
    <row r="645" spans="2:21" x14ac:dyDescent="0.15">
      <c r="B645" s="249"/>
      <c r="C645" s="314"/>
      <c r="D645" s="251"/>
      <c r="E645" s="251"/>
      <c r="F645" s="335"/>
      <c r="G645" s="336"/>
      <c r="H645" s="337"/>
      <c r="I645" s="252" t="str">
        <f t="shared" si="143"/>
        <v/>
      </c>
      <c r="J645" s="248" t="str">
        <f>IF(I645="","",VLOOKUP($I645,Master!$K$4:$N$607,4,FALSE))</f>
        <v/>
      </c>
      <c r="K645" s="253" t="str">
        <f t="shared" si="140"/>
        <v/>
      </c>
      <c r="L645" s="254"/>
      <c r="M645" s="341" t="str">
        <f t="shared" si="144"/>
        <v/>
      </c>
      <c r="N645" s="341"/>
      <c r="O645" s="342"/>
      <c r="P645" s="255" t="str">
        <f t="shared" si="145"/>
        <v/>
      </c>
      <c r="Q645" s="256" t="str">
        <f t="shared" si="141"/>
        <v/>
      </c>
      <c r="R645" s="256" t="str">
        <f t="shared" si="146"/>
        <v/>
      </c>
      <c r="S645" s="257" t="str">
        <f t="shared" si="142"/>
        <v/>
      </c>
      <c r="T645" s="219" t="str">
        <f t="shared" ref="T645:T687" si="147">IF($B645&lt;&gt;"",TEXT(TEXT(YEAR($B645),"0000")&amp;TEXT(MONTH($B645),"00")&amp;TEXT(DAY($B645),"00")&amp;$C645,"@"),"")</f>
        <v/>
      </c>
      <c r="U645" s="258"/>
    </row>
    <row r="646" spans="2:21" x14ac:dyDescent="0.15">
      <c r="B646" s="249"/>
      <c r="C646" s="314"/>
      <c r="D646" s="251"/>
      <c r="E646" s="251"/>
      <c r="F646" s="335"/>
      <c r="G646" s="336"/>
      <c r="H646" s="337"/>
      <c r="I646" s="252" t="str">
        <f t="shared" si="143"/>
        <v/>
      </c>
      <c r="J646" s="248" t="str">
        <f>IF(I646="","",VLOOKUP($I646,Master!$K$4:$N$607,4,FALSE))</f>
        <v/>
      </c>
      <c r="K646" s="253" t="str">
        <f t="shared" si="140"/>
        <v/>
      </c>
      <c r="L646" s="254"/>
      <c r="M646" s="341" t="str">
        <f t="shared" si="144"/>
        <v/>
      </c>
      <c r="N646" s="341"/>
      <c r="O646" s="342"/>
      <c r="P646" s="255" t="str">
        <f t="shared" si="145"/>
        <v/>
      </c>
      <c r="Q646" s="256" t="str">
        <f t="shared" si="141"/>
        <v/>
      </c>
      <c r="R646" s="256" t="str">
        <f t="shared" si="146"/>
        <v/>
      </c>
      <c r="S646" s="257" t="str">
        <f t="shared" si="142"/>
        <v/>
      </c>
      <c r="T646" s="219" t="str">
        <f t="shared" si="147"/>
        <v/>
      </c>
      <c r="U646" s="258"/>
    </row>
    <row r="647" spans="2:21" x14ac:dyDescent="0.15">
      <c r="B647" s="249"/>
      <c r="C647" s="314"/>
      <c r="D647" s="251"/>
      <c r="E647" s="251"/>
      <c r="F647" s="335"/>
      <c r="G647" s="336"/>
      <c r="H647" s="337"/>
      <c r="I647" s="252" t="str">
        <f t="shared" si="143"/>
        <v/>
      </c>
      <c r="J647" s="248" t="str">
        <f>IF(I647="","",VLOOKUP($I647,Master!$K$4:$N$607,4,FALSE))</f>
        <v/>
      </c>
      <c r="K647" s="253" t="str">
        <f t="shared" si="140"/>
        <v/>
      </c>
      <c r="L647" s="254"/>
      <c r="M647" s="341" t="str">
        <f t="shared" si="144"/>
        <v/>
      </c>
      <c r="N647" s="341"/>
      <c r="O647" s="342"/>
      <c r="P647" s="255" t="str">
        <f t="shared" si="145"/>
        <v/>
      </c>
      <c r="Q647" s="256" t="str">
        <f t="shared" si="141"/>
        <v/>
      </c>
      <c r="R647" s="256" t="str">
        <f t="shared" si="146"/>
        <v/>
      </c>
      <c r="S647" s="257" t="str">
        <f t="shared" si="142"/>
        <v/>
      </c>
      <c r="T647" s="219" t="str">
        <f t="shared" si="147"/>
        <v/>
      </c>
      <c r="U647" s="258"/>
    </row>
    <row r="648" spans="2:21" x14ac:dyDescent="0.15">
      <c r="B648" s="249"/>
      <c r="C648" s="314"/>
      <c r="D648" s="251"/>
      <c r="E648" s="251"/>
      <c r="F648" s="335"/>
      <c r="G648" s="336"/>
      <c r="H648" s="337"/>
      <c r="I648" s="252" t="str">
        <f t="shared" si="143"/>
        <v/>
      </c>
      <c r="J648" s="248" t="str">
        <f>IF(I648="","",VLOOKUP($I648,Master!$K$4:$N$607,4,FALSE))</f>
        <v/>
      </c>
      <c r="K648" s="253" t="str">
        <f t="shared" si="140"/>
        <v/>
      </c>
      <c r="L648" s="254"/>
      <c r="M648" s="341" t="str">
        <f t="shared" si="144"/>
        <v/>
      </c>
      <c r="N648" s="341"/>
      <c r="O648" s="342"/>
      <c r="P648" s="255" t="str">
        <f t="shared" si="145"/>
        <v/>
      </c>
      <c r="Q648" s="256" t="str">
        <f t="shared" si="141"/>
        <v/>
      </c>
      <c r="R648" s="256" t="str">
        <f t="shared" si="146"/>
        <v/>
      </c>
      <c r="S648" s="257" t="str">
        <f t="shared" si="142"/>
        <v/>
      </c>
      <c r="T648" s="219" t="str">
        <f t="shared" si="147"/>
        <v/>
      </c>
      <c r="U648" s="258"/>
    </row>
    <row r="649" spans="2:21" x14ac:dyDescent="0.15">
      <c r="B649" s="249"/>
      <c r="C649" s="314"/>
      <c r="D649" s="251"/>
      <c r="E649" s="251"/>
      <c r="F649" s="335"/>
      <c r="G649" s="336"/>
      <c r="H649" s="337"/>
      <c r="I649" s="252" t="str">
        <f t="shared" si="143"/>
        <v/>
      </c>
      <c r="J649" s="248" t="str">
        <f>IF(I649="","",VLOOKUP($I649,Master!$K$4:$N$607,4,FALSE))</f>
        <v/>
      </c>
      <c r="K649" s="253" t="str">
        <f t="shared" si="140"/>
        <v/>
      </c>
      <c r="L649" s="254"/>
      <c r="M649" s="341" t="str">
        <f t="shared" si="144"/>
        <v/>
      </c>
      <c r="N649" s="341"/>
      <c r="O649" s="342"/>
      <c r="P649" s="255" t="str">
        <f t="shared" si="145"/>
        <v/>
      </c>
      <c r="Q649" s="256" t="str">
        <f t="shared" si="141"/>
        <v/>
      </c>
      <c r="R649" s="256" t="str">
        <f t="shared" si="146"/>
        <v/>
      </c>
      <c r="S649" s="257" t="str">
        <f t="shared" si="142"/>
        <v/>
      </c>
      <c r="T649" s="219" t="str">
        <f t="shared" si="147"/>
        <v/>
      </c>
      <c r="U649" s="258"/>
    </row>
    <row r="650" spans="2:21" x14ac:dyDescent="0.15">
      <c r="B650" s="249"/>
      <c r="C650" s="314"/>
      <c r="D650" s="251"/>
      <c r="E650" s="251"/>
      <c r="F650" s="335"/>
      <c r="G650" s="336"/>
      <c r="H650" s="337"/>
      <c r="I650" s="252" t="str">
        <f t="shared" si="143"/>
        <v/>
      </c>
      <c r="J650" s="248" t="str">
        <f>IF(I650="","",VLOOKUP($I650,Master!$K$4:$N$607,4,FALSE))</f>
        <v/>
      </c>
      <c r="K650" s="253" t="str">
        <f t="shared" si="140"/>
        <v/>
      </c>
      <c r="L650" s="254"/>
      <c r="M650" s="341" t="str">
        <f t="shared" si="144"/>
        <v/>
      </c>
      <c r="N650" s="341"/>
      <c r="O650" s="342"/>
      <c r="P650" s="255" t="str">
        <f t="shared" si="145"/>
        <v/>
      </c>
      <c r="Q650" s="256" t="str">
        <f t="shared" si="141"/>
        <v/>
      </c>
      <c r="R650" s="256" t="str">
        <f t="shared" si="146"/>
        <v/>
      </c>
      <c r="S650" s="257" t="str">
        <f t="shared" si="142"/>
        <v/>
      </c>
      <c r="T650" s="219" t="str">
        <f t="shared" si="147"/>
        <v/>
      </c>
      <c r="U650" s="258"/>
    </row>
    <row r="651" spans="2:21" x14ac:dyDescent="0.15">
      <c r="B651" s="249"/>
      <c r="C651" s="314"/>
      <c r="D651" s="251"/>
      <c r="E651" s="251"/>
      <c r="F651" s="335"/>
      <c r="G651" s="336"/>
      <c r="H651" s="337"/>
      <c r="I651" s="252" t="str">
        <f t="shared" si="143"/>
        <v/>
      </c>
      <c r="J651" s="248" t="str">
        <f>IF(I651="","",VLOOKUP($I651,Master!$K$4:$N$607,4,FALSE))</f>
        <v/>
      </c>
      <c r="K651" s="253" t="str">
        <f t="shared" si="140"/>
        <v/>
      </c>
      <c r="L651" s="254"/>
      <c r="M651" s="341" t="str">
        <f t="shared" si="144"/>
        <v/>
      </c>
      <c r="N651" s="341"/>
      <c r="O651" s="342"/>
      <c r="P651" s="255" t="str">
        <f t="shared" si="145"/>
        <v/>
      </c>
      <c r="Q651" s="256" t="str">
        <f t="shared" si="141"/>
        <v/>
      </c>
      <c r="R651" s="256" t="str">
        <f t="shared" si="146"/>
        <v/>
      </c>
      <c r="S651" s="257" t="str">
        <f t="shared" si="142"/>
        <v/>
      </c>
      <c r="T651" s="219" t="str">
        <f t="shared" si="147"/>
        <v/>
      </c>
      <c r="U651" s="258"/>
    </row>
    <row r="652" spans="2:21" x14ac:dyDescent="0.15">
      <c r="B652" s="249"/>
      <c r="C652" s="314"/>
      <c r="D652" s="251"/>
      <c r="E652" s="251"/>
      <c r="F652" s="335"/>
      <c r="G652" s="336"/>
      <c r="H652" s="337"/>
      <c r="I652" s="252" t="str">
        <f t="shared" si="143"/>
        <v/>
      </c>
      <c r="J652" s="248" t="str">
        <f>IF(I652="","",VLOOKUP($I652,Master!$K$4:$N$607,4,FALSE))</f>
        <v/>
      </c>
      <c r="K652" s="253" t="str">
        <f t="shared" si="140"/>
        <v/>
      </c>
      <c r="L652" s="254"/>
      <c r="M652" s="341" t="str">
        <f t="shared" si="144"/>
        <v/>
      </c>
      <c r="N652" s="341"/>
      <c r="O652" s="342"/>
      <c r="P652" s="255" t="str">
        <f t="shared" si="145"/>
        <v/>
      </c>
      <c r="Q652" s="256" t="str">
        <f t="shared" si="141"/>
        <v/>
      </c>
      <c r="R652" s="256" t="str">
        <f t="shared" si="146"/>
        <v/>
      </c>
      <c r="S652" s="257" t="str">
        <f t="shared" si="142"/>
        <v/>
      </c>
      <c r="T652" s="219" t="str">
        <f t="shared" si="147"/>
        <v/>
      </c>
      <c r="U652" s="258"/>
    </row>
    <row r="653" spans="2:21" x14ac:dyDescent="0.15">
      <c r="B653" s="249"/>
      <c r="C653" s="314"/>
      <c r="D653" s="251"/>
      <c r="E653" s="251"/>
      <c r="F653" s="335"/>
      <c r="G653" s="336"/>
      <c r="H653" s="337"/>
      <c r="I653" s="252" t="str">
        <f t="shared" si="143"/>
        <v/>
      </c>
      <c r="J653" s="248" t="str">
        <f>IF(I653="","",VLOOKUP($I653,Master!$K$4:$N$607,4,FALSE))</f>
        <v/>
      </c>
      <c r="K653" s="253" t="str">
        <f t="shared" si="140"/>
        <v/>
      </c>
      <c r="L653" s="254"/>
      <c r="M653" s="341" t="str">
        <f t="shared" si="144"/>
        <v/>
      </c>
      <c r="N653" s="341"/>
      <c r="O653" s="342"/>
      <c r="P653" s="255" t="str">
        <f t="shared" si="145"/>
        <v/>
      </c>
      <c r="Q653" s="256" t="str">
        <f t="shared" si="141"/>
        <v/>
      </c>
      <c r="R653" s="256" t="str">
        <f t="shared" si="146"/>
        <v/>
      </c>
      <c r="S653" s="257" t="str">
        <f t="shared" si="142"/>
        <v/>
      </c>
      <c r="T653" s="219" t="str">
        <f t="shared" si="147"/>
        <v/>
      </c>
      <c r="U653" s="258"/>
    </row>
    <row r="654" spans="2:21" x14ac:dyDescent="0.15">
      <c r="B654" s="249"/>
      <c r="C654" s="314"/>
      <c r="D654" s="251"/>
      <c r="E654" s="251"/>
      <c r="F654" s="335"/>
      <c r="G654" s="336"/>
      <c r="H654" s="337"/>
      <c r="I654" s="252" t="str">
        <f t="shared" si="143"/>
        <v/>
      </c>
      <c r="J654" s="248" t="str">
        <f>IF(I654="","",VLOOKUP($I654,Master!$K$4:$N$607,4,FALSE))</f>
        <v/>
      </c>
      <c r="K654" s="253" t="str">
        <f t="shared" si="140"/>
        <v/>
      </c>
      <c r="L654" s="254"/>
      <c r="M654" s="341" t="str">
        <f t="shared" si="144"/>
        <v/>
      </c>
      <c r="N654" s="341"/>
      <c r="O654" s="342"/>
      <c r="P654" s="255" t="str">
        <f t="shared" si="145"/>
        <v/>
      </c>
      <c r="Q654" s="256" t="str">
        <f t="shared" si="141"/>
        <v/>
      </c>
      <c r="R654" s="256" t="str">
        <f t="shared" si="146"/>
        <v/>
      </c>
      <c r="S654" s="257" t="str">
        <f t="shared" si="142"/>
        <v/>
      </c>
      <c r="T654" s="219" t="str">
        <f t="shared" si="147"/>
        <v/>
      </c>
      <c r="U654" s="258"/>
    </row>
    <row r="655" spans="2:21" x14ac:dyDescent="0.15">
      <c r="B655" s="249"/>
      <c r="C655" s="314"/>
      <c r="D655" s="251"/>
      <c r="E655" s="251"/>
      <c r="F655" s="335"/>
      <c r="G655" s="336"/>
      <c r="H655" s="337"/>
      <c r="I655" s="252" t="str">
        <f t="shared" si="143"/>
        <v/>
      </c>
      <c r="J655" s="248" t="str">
        <f>IF(I655="","",VLOOKUP($I655,Master!$K$4:$N$607,4,FALSE))</f>
        <v/>
      </c>
      <c r="K655" s="253" t="str">
        <f t="shared" si="140"/>
        <v/>
      </c>
      <c r="L655" s="254"/>
      <c r="M655" s="341" t="str">
        <f t="shared" si="144"/>
        <v/>
      </c>
      <c r="N655" s="341"/>
      <c r="O655" s="342"/>
      <c r="P655" s="255" t="str">
        <f t="shared" si="145"/>
        <v/>
      </c>
      <c r="Q655" s="256" t="str">
        <f t="shared" si="141"/>
        <v/>
      </c>
      <c r="R655" s="256" t="str">
        <f t="shared" si="146"/>
        <v/>
      </c>
      <c r="S655" s="257" t="str">
        <f t="shared" si="142"/>
        <v/>
      </c>
      <c r="T655" s="219" t="str">
        <f t="shared" si="147"/>
        <v/>
      </c>
      <c r="U655" s="258"/>
    </row>
    <row r="656" spans="2:21" x14ac:dyDescent="0.15">
      <c r="B656" s="249"/>
      <c r="C656" s="314"/>
      <c r="D656" s="251"/>
      <c r="E656" s="251"/>
      <c r="F656" s="335"/>
      <c r="G656" s="336"/>
      <c r="H656" s="337"/>
      <c r="I656" s="252" t="str">
        <f t="shared" si="143"/>
        <v/>
      </c>
      <c r="J656" s="248" t="str">
        <f>IF(I656="","",VLOOKUP($I656,Master!$K$4:$N$607,4,FALSE))</f>
        <v/>
      </c>
      <c r="K656" s="253" t="str">
        <f t="shared" si="140"/>
        <v/>
      </c>
      <c r="L656" s="254"/>
      <c r="M656" s="341" t="str">
        <f t="shared" si="144"/>
        <v/>
      </c>
      <c r="N656" s="341"/>
      <c r="O656" s="342"/>
      <c r="P656" s="255" t="str">
        <f t="shared" si="145"/>
        <v/>
      </c>
      <c r="Q656" s="256" t="str">
        <f t="shared" si="141"/>
        <v/>
      </c>
      <c r="R656" s="256" t="str">
        <f t="shared" si="146"/>
        <v/>
      </c>
      <c r="S656" s="257" t="str">
        <f t="shared" si="142"/>
        <v/>
      </c>
      <c r="T656" s="219" t="str">
        <f t="shared" si="147"/>
        <v/>
      </c>
      <c r="U656" s="258"/>
    </row>
    <row r="657" spans="2:21" x14ac:dyDescent="0.15">
      <c r="B657" s="249"/>
      <c r="C657" s="314"/>
      <c r="D657" s="251"/>
      <c r="E657" s="251"/>
      <c r="F657" s="335"/>
      <c r="G657" s="336"/>
      <c r="H657" s="337"/>
      <c r="I657" s="252" t="str">
        <f t="shared" si="143"/>
        <v/>
      </c>
      <c r="J657" s="248" t="str">
        <f>IF(I657="","",VLOOKUP($I657,Master!$K$4:$N$607,4,FALSE))</f>
        <v/>
      </c>
      <c r="K657" s="253" t="str">
        <f t="shared" si="140"/>
        <v/>
      </c>
      <c r="L657" s="254"/>
      <c r="M657" s="341" t="str">
        <f t="shared" si="144"/>
        <v/>
      </c>
      <c r="N657" s="341"/>
      <c r="O657" s="342"/>
      <c r="P657" s="255" t="str">
        <f t="shared" si="145"/>
        <v/>
      </c>
      <c r="Q657" s="256" t="str">
        <f t="shared" si="141"/>
        <v/>
      </c>
      <c r="R657" s="256" t="str">
        <f t="shared" si="146"/>
        <v/>
      </c>
      <c r="S657" s="257" t="str">
        <f t="shared" si="142"/>
        <v/>
      </c>
      <c r="T657" s="219" t="str">
        <f t="shared" si="147"/>
        <v/>
      </c>
      <c r="U657" s="258"/>
    </row>
    <row r="658" spans="2:21" x14ac:dyDescent="0.15">
      <c r="B658" s="249"/>
      <c r="C658" s="314"/>
      <c r="D658" s="251"/>
      <c r="E658" s="251"/>
      <c r="F658" s="335"/>
      <c r="G658" s="336"/>
      <c r="H658" s="337"/>
      <c r="I658" s="252" t="str">
        <f t="shared" si="143"/>
        <v/>
      </c>
      <c r="J658" s="248" t="str">
        <f>IF(I658="","",VLOOKUP($I658,Master!$K$4:$N$607,4,FALSE))</f>
        <v/>
      </c>
      <c r="K658" s="253" t="str">
        <f t="shared" si="140"/>
        <v/>
      </c>
      <c r="L658" s="254"/>
      <c r="M658" s="341" t="str">
        <f t="shared" si="144"/>
        <v/>
      </c>
      <c r="N658" s="341"/>
      <c r="O658" s="342"/>
      <c r="P658" s="255" t="str">
        <f t="shared" si="145"/>
        <v/>
      </c>
      <c r="Q658" s="256" t="str">
        <f t="shared" si="141"/>
        <v/>
      </c>
      <c r="R658" s="256" t="str">
        <f t="shared" si="146"/>
        <v/>
      </c>
      <c r="S658" s="257" t="str">
        <f t="shared" si="142"/>
        <v/>
      </c>
      <c r="T658" s="219" t="str">
        <f t="shared" si="147"/>
        <v/>
      </c>
      <c r="U658" s="258"/>
    </row>
    <row r="659" spans="2:21" x14ac:dyDescent="0.15">
      <c r="B659" s="249"/>
      <c r="C659" s="314"/>
      <c r="D659" s="251"/>
      <c r="E659" s="251"/>
      <c r="F659" s="335"/>
      <c r="G659" s="336"/>
      <c r="H659" s="337"/>
      <c r="I659" s="252" t="str">
        <f t="shared" si="143"/>
        <v/>
      </c>
      <c r="J659" s="248" t="str">
        <f>IF(I659="","",VLOOKUP($I659,Master!$K$4:$N$607,4,FALSE))</f>
        <v/>
      </c>
      <c r="K659" s="253" t="str">
        <f t="shared" si="140"/>
        <v/>
      </c>
      <c r="L659" s="254"/>
      <c r="M659" s="341" t="str">
        <f t="shared" si="144"/>
        <v/>
      </c>
      <c r="N659" s="341"/>
      <c r="O659" s="342"/>
      <c r="P659" s="255" t="str">
        <f t="shared" si="145"/>
        <v/>
      </c>
      <c r="Q659" s="256" t="str">
        <f t="shared" si="141"/>
        <v/>
      </c>
      <c r="R659" s="256" t="str">
        <f t="shared" si="146"/>
        <v/>
      </c>
      <c r="S659" s="257" t="str">
        <f t="shared" si="142"/>
        <v/>
      </c>
      <c r="T659" s="219" t="str">
        <f t="shared" si="147"/>
        <v/>
      </c>
      <c r="U659" s="258"/>
    </row>
    <row r="660" spans="2:21" x14ac:dyDescent="0.15">
      <c r="B660" s="249"/>
      <c r="C660" s="314"/>
      <c r="D660" s="251"/>
      <c r="E660" s="251"/>
      <c r="F660" s="335"/>
      <c r="G660" s="336"/>
      <c r="H660" s="337"/>
      <c r="I660" s="252" t="str">
        <f t="shared" si="143"/>
        <v/>
      </c>
      <c r="J660" s="248" t="str">
        <f>IF(I660="","",VLOOKUP($I660,Master!$K$4:$N$607,4,FALSE))</f>
        <v/>
      </c>
      <c r="K660" s="253" t="str">
        <f t="shared" si="140"/>
        <v/>
      </c>
      <c r="L660" s="254"/>
      <c r="M660" s="341" t="str">
        <f t="shared" si="144"/>
        <v/>
      </c>
      <c r="N660" s="341"/>
      <c r="O660" s="342"/>
      <c r="P660" s="255" t="str">
        <f t="shared" si="145"/>
        <v/>
      </c>
      <c r="Q660" s="256" t="str">
        <f t="shared" si="141"/>
        <v/>
      </c>
      <c r="R660" s="256" t="str">
        <f t="shared" si="146"/>
        <v/>
      </c>
      <c r="S660" s="257" t="str">
        <f t="shared" si="142"/>
        <v/>
      </c>
      <c r="T660" s="219" t="str">
        <f t="shared" si="147"/>
        <v/>
      </c>
      <c r="U660" s="258"/>
    </row>
    <row r="661" spans="2:21" x14ac:dyDescent="0.15">
      <c r="B661" s="249"/>
      <c r="C661" s="314"/>
      <c r="D661" s="251"/>
      <c r="E661" s="251"/>
      <c r="F661" s="335"/>
      <c r="G661" s="336"/>
      <c r="H661" s="337"/>
      <c r="I661" s="252" t="str">
        <f t="shared" si="143"/>
        <v/>
      </c>
      <c r="J661" s="248" t="str">
        <f>IF(I661="","",VLOOKUP($I661,Master!$K$4:$N$607,4,FALSE))</f>
        <v/>
      </c>
      <c r="K661" s="253" t="str">
        <f t="shared" si="140"/>
        <v/>
      </c>
      <c r="L661" s="254"/>
      <c r="M661" s="341" t="str">
        <f t="shared" si="144"/>
        <v/>
      </c>
      <c r="N661" s="341"/>
      <c r="O661" s="342"/>
      <c r="P661" s="255" t="str">
        <f t="shared" si="145"/>
        <v/>
      </c>
      <c r="Q661" s="256" t="str">
        <f t="shared" si="141"/>
        <v/>
      </c>
      <c r="R661" s="256" t="str">
        <f t="shared" si="146"/>
        <v/>
      </c>
      <c r="S661" s="257" t="str">
        <f t="shared" si="142"/>
        <v/>
      </c>
      <c r="T661" s="219" t="str">
        <f t="shared" si="147"/>
        <v/>
      </c>
      <c r="U661" s="258"/>
    </row>
    <row r="662" spans="2:21" x14ac:dyDescent="0.15">
      <c r="B662" s="249"/>
      <c r="C662" s="314"/>
      <c r="D662" s="251"/>
      <c r="E662" s="251"/>
      <c r="F662" s="335"/>
      <c r="G662" s="336"/>
      <c r="H662" s="337"/>
      <c r="I662" s="252" t="str">
        <f t="shared" si="143"/>
        <v/>
      </c>
      <c r="J662" s="248" t="str">
        <f>IF(I662="","",VLOOKUP($I662,Master!$K$4:$N$607,4,FALSE))</f>
        <v/>
      </c>
      <c r="K662" s="253" t="str">
        <f t="shared" si="140"/>
        <v/>
      </c>
      <c r="L662" s="254"/>
      <c r="M662" s="341" t="str">
        <f t="shared" si="144"/>
        <v/>
      </c>
      <c r="N662" s="341"/>
      <c r="O662" s="342"/>
      <c r="P662" s="255" t="str">
        <f t="shared" si="145"/>
        <v/>
      </c>
      <c r="Q662" s="256" t="str">
        <f t="shared" si="141"/>
        <v/>
      </c>
      <c r="R662" s="256" t="str">
        <f t="shared" si="146"/>
        <v/>
      </c>
      <c r="S662" s="257" t="str">
        <f t="shared" si="142"/>
        <v/>
      </c>
      <c r="T662" s="219" t="str">
        <f t="shared" si="147"/>
        <v/>
      </c>
      <c r="U662" s="258"/>
    </row>
    <row r="663" spans="2:21" x14ac:dyDescent="0.15">
      <c r="B663" s="249"/>
      <c r="C663" s="314"/>
      <c r="D663" s="251"/>
      <c r="E663" s="251"/>
      <c r="F663" s="335"/>
      <c r="G663" s="336"/>
      <c r="H663" s="337"/>
      <c r="I663" s="252" t="str">
        <f t="shared" si="143"/>
        <v/>
      </c>
      <c r="J663" s="248" t="str">
        <f>IF(I663="","",VLOOKUP($I663,Master!$K$4:$N$607,4,FALSE))</f>
        <v/>
      </c>
      <c r="K663" s="253" t="str">
        <f t="shared" si="140"/>
        <v/>
      </c>
      <c r="L663" s="254"/>
      <c r="M663" s="341" t="str">
        <f t="shared" si="144"/>
        <v/>
      </c>
      <c r="N663" s="341"/>
      <c r="O663" s="342"/>
      <c r="P663" s="255" t="str">
        <f t="shared" si="145"/>
        <v/>
      </c>
      <c r="Q663" s="256" t="str">
        <f t="shared" si="141"/>
        <v/>
      </c>
      <c r="R663" s="256" t="str">
        <f t="shared" si="146"/>
        <v/>
      </c>
      <c r="S663" s="257" t="str">
        <f t="shared" si="142"/>
        <v/>
      </c>
      <c r="T663" s="219" t="str">
        <f t="shared" si="147"/>
        <v/>
      </c>
      <c r="U663" s="258"/>
    </row>
    <row r="664" spans="2:21" x14ac:dyDescent="0.15">
      <c r="B664" s="249"/>
      <c r="C664" s="314"/>
      <c r="D664" s="251"/>
      <c r="E664" s="251"/>
      <c r="F664" s="335"/>
      <c r="G664" s="336"/>
      <c r="H664" s="337"/>
      <c r="I664" s="252" t="str">
        <f t="shared" si="143"/>
        <v/>
      </c>
      <c r="J664" s="248" t="str">
        <f>IF(I664="","",VLOOKUP($I664,Master!$K$4:$N$607,4,FALSE))</f>
        <v/>
      </c>
      <c r="K664" s="253" t="str">
        <f t="shared" si="140"/>
        <v/>
      </c>
      <c r="L664" s="254"/>
      <c r="M664" s="341" t="str">
        <f t="shared" si="144"/>
        <v/>
      </c>
      <c r="N664" s="341"/>
      <c r="O664" s="342"/>
      <c r="P664" s="255" t="str">
        <f t="shared" si="145"/>
        <v/>
      </c>
      <c r="Q664" s="256" t="str">
        <f t="shared" si="141"/>
        <v/>
      </c>
      <c r="R664" s="256" t="str">
        <f t="shared" si="146"/>
        <v/>
      </c>
      <c r="S664" s="257" t="str">
        <f t="shared" si="142"/>
        <v/>
      </c>
      <c r="T664" s="219" t="str">
        <f t="shared" si="147"/>
        <v/>
      </c>
      <c r="U664" s="258"/>
    </row>
    <row r="665" spans="2:21" x14ac:dyDescent="0.15">
      <c r="B665" s="249"/>
      <c r="C665" s="314"/>
      <c r="D665" s="251"/>
      <c r="E665" s="251"/>
      <c r="F665" s="335"/>
      <c r="G665" s="336"/>
      <c r="H665" s="337"/>
      <c r="I665" s="252" t="str">
        <f t="shared" si="143"/>
        <v/>
      </c>
      <c r="J665" s="248" t="str">
        <f>IF(I665="","",VLOOKUP($I665,Master!$K$4:$N$607,4,FALSE))</f>
        <v/>
      </c>
      <c r="K665" s="253" t="str">
        <f t="shared" si="140"/>
        <v/>
      </c>
      <c r="L665" s="254"/>
      <c r="M665" s="341" t="str">
        <f t="shared" si="144"/>
        <v/>
      </c>
      <c r="N665" s="341"/>
      <c r="O665" s="342"/>
      <c r="P665" s="255" t="str">
        <f t="shared" si="145"/>
        <v/>
      </c>
      <c r="Q665" s="256" t="str">
        <f t="shared" si="141"/>
        <v/>
      </c>
      <c r="R665" s="256" t="str">
        <f t="shared" si="146"/>
        <v/>
      </c>
      <c r="S665" s="257" t="str">
        <f t="shared" si="142"/>
        <v/>
      </c>
      <c r="T665" s="219" t="str">
        <f t="shared" si="147"/>
        <v/>
      </c>
      <c r="U665" s="258"/>
    </row>
    <row r="666" spans="2:21" x14ac:dyDescent="0.15">
      <c r="B666" s="249"/>
      <c r="C666" s="314"/>
      <c r="D666" s="251"/>
      <c r="E666" s="251"/>
      <c r="F666" s="335"/>
      <c r="G666" s="336"/>
      <c r="H666" s="337"/>
      <c r="I666" s="252" t="str">
        <f t="shared" si="143"/>
        <v/>
      </c>
      <c r="J666" s="248" t="str">
        <f>IF(I666="","",VLOOKUP($I666,Master!$K$4:$N$607,4,FALSE))</f>
        <v/>
      </c>
      <c r="K666" s="253" t="str">
        <f t="shared" ref="K666:K687" si="148">IF(F666="","",IF(ISERROR(VLOOKUP($F666,SOW,3,FALSE)),0,VLOOKUP($F666,SOW,3,FALSE)*24))</f>
        <v/>
      </c>
      <c r="L666" s="254"/>
      <c r="M666" s="341" t="str">
        <f t="shared" si="144"/>
        <v/>
      </c>
      <c r="N666" s="341"/>
      <c r="O666" s="342"/>
      <c r="P666" s="255" t="str">
        <f t="shared" si="145"/>
        <v/>
      </c>
      <c r="Q666" s="256" t="str">
        <f t="shared" ref="Q666:Q687" si="149">IF($B666&lt;&gt;"",TEXT(TEXT(YEAR($B666),"0000")&amp;TEXT(MONTH($B666),"00")&amp;$I666&amp;"@"&amp;LEFT($E$2,SEARCH("　",$E$2,1)-1)&amp;"@"&amp;L666,"@"),"")</f>
        <v/>
      </c>
      <c r="R666" s="256" t="str">
        <f t="shared" si="146"/>
        <v/>
      </c>
      <c r="S666" s="257" t="str">
        <f t="shared" ref="S666:S687" si="150">IF($B666&lt;&gt;"",TEXT(YEAR($B666),"0000")&amp;TEXT(MONTH($B666),"00")&amp;$J666&amp;"@"&amp;LEFT($E$2,SEARCH("　",$E$2,1)-1)&amp;"@"&amp;L666,"")</f>
        <v/>
      </c>
      <c r="T666" s="219" t="str">
        <f t="shared" si="147"/>
        <v/>
      </c>
      <c r="U666" s="258"/>
    </row>
    <row r="667" spans="2:21" x14ac:dyDescent="0.15">
      <c r="B667" s="249"/>
      <c r="C667" s="314"/>
      <c r="D667" s="251"/>
      <c r="E667" s="251"/>
      <c r="F667" s="335"/>
      <c r="G667" s="336"/>
      <c r="H667" s="337"/>
      <c r="I667" s="252" t="str">
        <f t="shared" si="143"/>
        <v/>
      </c>
      <c r="J667" s="248" t="str">
        <f>IF(I667="","",VLOOKUP($I667,Master!$K$4:$N$607,4,FALSE))</f>
        <v/>
      </c>
      <c r="K667" s="253" t="str">
        <f t="shared" si="148"/>
        <v/>
      </c>
      <c r="L667" s="254"/>
      <c r="M667" s="341" t="str">
        <f t="shared" si="144"/>
        <v/>
      </c>
      <c r="N667" s="341"/>
      <c r="O667" s="342"/>
      <c r="P667" s="255" t="str">
        <f t="shared" si="145"/>
        <v/>
      </c>
      <c r="Q667" s="256" t="str">
        <f t="shared" si="149"/>
        <v/>
      </c>
      <c r="R667" s="256" t="str">
        <f t="shared" si="146"/>
        <v/>
      </c>
      <c r="S667" s="257" t="str">
        <f t="shared" si="150"/>
        <v/>
      </c>
      <c r="T667" s="219" t="str">
        <f t="shared" si="147"/>
        <v/>
      </c>
      <c r="U667" s="258"/>
    </row>
    <row r="668" spans="2:21" x14ac:dyDescent="0.15">
      <c r="B668" s="249"/>
      <c r="C668" s="314"/>
      <c r="D668" s="251"/>
      <c r="E668" s="251"/>
      <c r="F668" s="335"/>
      <c r="G668" s="336"/>
      <c r="H668" s="337"/>
      <c r="I668" s="252" t="str">
        <f t="shared" si="143"/>
        <v/>
      </c>
      <c r="J668" s="248" t="str">
        <f>IF(I668="","",VLOOKUP($I668,Master!$K$4:$N$607,4,FALSE))</f>
        <v/>
      </c>
      <c r="K668" s="253" t="str">
        <f t="shared" si="148"/>
        <v/>
      </c>
      <c r="L668" s="254"/>
      <c r="M668" s="341" t="str">
        <f t="shared" si="144"/>
        <v/>
      </c>
      <c r="N668" s="341"/>
      <c r="O668" s="342"/>
      <c r="P668" s="255" t="str">
        <f t="shared" si="145"/>
        <v/>
      </c>
      <c r="Q668" s="256" t="str">
        <f t="shared" si="149"/>
        <v/>
      </c>
      <c r="R668" s="256" t="str">
        <f t="shared" si="146"/>
        <v/>
      </c>
      <c r="S668" s="257" t="str">
        <f t="shared" si="150"/>
        <v/>
      </c>
      <c r="T668" s="219" t="str">
        <f t="shared" si="147"/>
        <v/>
      </c>
      <c r="U668" s="258"/>
    </row>
    <row r="669" spans="2:21" x14ac:dyDescent="0.15">
      <c r="B669" s="249"/>
      <c r="C669" s="314"/>
      <c r="D669" s="251"/>
      <c r="E669" s="251"/>
      <c r="F669" s="335"/>
      <c r="G669" s="336"/>
      <c r="H669" s="337"/>
      <c r="I669" s="252" t="str">
        <f t="shared" si="143"/>
        <v/>
      </c>
      <c r="J669" s="248" t="str">
        <f>IF(I669="","",VLOOKUP($I669,Master!$K$4:$N$607,4,FALSE))</f>
        <v/>
      </c>
      <c r="K669" s="253" t="str">
        <f t="shared" si="148"/>
        <v/>
      </c>
      <c r="L669" s="254"/>
      <c r="M669" s="341" t="str">
        <f t="shared" si="144"/>
        <v/>
      </c>
      <c r="N669" s="341"/>
      <c r="O669" s="342"/>
      <c r="P669" s="255" t="str">
        <f t="shared" si="145"/>
        <v/>
      </c>
      <c r="Q669" s="256" t="str">
        <f t="shared" si="149"/>
        <v/>
      </c>
      <c r="R669" s="256" t="str">
        <f t="shared" si="146"/>
        <v/>
      </c>
      <c r="S669" s="257" t="str">
        <f t="shared" si="150"/>
        <v/>
      </c>
      <c r="T669" s="219" t="str">
        <f t="shared" si="147"/>
        <v/>
      </c>
      <c r="U669" s="258"/>
    </row>
    <row r="670" spans="2:21" x14ac:dyDescent="0.15">
      <c r="B670" s="249"/>
      <c r="C670" s="314"/>
      <c r="D670" s="251"/>
      <c r="E670" s="251"/>
      <c r="F670" s="335"/>
      <c r="G670" s="336"/>
      <c r="H670" s="337"/>
      <c r="I670" s="252" t="str">
        <f t="shared" si="143"/>
        <v/>
      </c>
      <c r="J670" s="248" t="str">
        <f>IF(I670="","",VLOOKUP($I670,Master!$K$4:$N$607,4,FALSE))</f>
        <v/>
      </c>
      <c r="K670" s="253" t="str">
        <f t="shared" si="148"/>
        <v/>
      </c>
      <c r="L670" s="254"/>
      <c r="M670" s="341" t="str">
        <f t="shared" si="144"/>
        <v/>
      </c>
      <c r="N670" s="341"/>
      <c r="O670" s="342"/>
      <c r="P670" s="255" t="str">
        <f t="shared" si="145"/>
        <v/>
      </c>
      <c r="Q670" s="256" t="str">
        <f t="shared" si="149"/>
        <v/>
      </c>
      <c r="R670" s="256" t="str">
        <f t="shared" si="146"/>
        <v/>
      </c>
      <c r="S670" s="257" t="str">
        <f t="shared" si="150"/>
        <v/>
      </c>
      <c r="T670" s="219" t="str">
        <f t="shared" si="147"/>
        <v/>
      </c>
      <c r="U670" s="258"/>
    </row>
    <row r="671" spans="2:21" x14ac:dyDescent="0.15">
      <c r="B671" s="249"/>
      <c r="C671" s="314"/>
      <c r="D671" s="251"/>
      <c r="E671" s="251"/>
      <c r="F671" s="335"/>
      <c r="G671" s="336"/>
      <c r="H671" s="337"/>
      <c r="I671" s="252" t="str">
        <f t="shared" si="143"/>
        <v/>
      </c>
      <c r="J671" s="248" t="str">
        <f>IF(I671="","",VLOOKUP($I671,Master!$K$4:$N$607,4,FALSE))</f>
        <v/>
      </c>
      <c r="K671" s="253" t="str">
        <f t="shared" si="148"/>
        <v/>
      </c>
      <c r="L671" s="254"/>
      <c r="M671" s="341" t="str">
        <f t="shared" si="144"/>
        <v/>
      </c>
      <c r="N671" s="341"/>
      <c r="O671" s="342"/>
      <c r="P671" s="255" t="str">
        <f t="shared" si="145"/>
        <v/>
      </c>
      <c r="Q671" s="256" t="str">
        <f t="shared" si="149"/>
        <v/>
      </c>
      <c r="R671" s="256" t="str">
        <f t="shared" si="146"/>
        <v/>
      </c>
      <c r="S671" s="257" t="str">
        <f t="shared" si="150"/>
        <v/>
      </c>
      <c r="T671" s="219" t="str">
        <f t="shared" si="147"/>
        <v/>
      </c>
      <c r="U671" s="258"/>
    </row>
    <row r="672" spans="2:21" x14ac:dyDescent="0.15">
      <c r="B672" s="249"/>
      <c r="C672" s="314"/>
      <c r="D672" s="251"/>
      <c r="E672" s="251"/>
      <c r="F672" s="335"/>
      <c r="G672" s="336"/>
      <c r="H672" s="337"/>
      <c r="I672" s="252" t="str">
        <f t="shared" si="143"/>
        <v/>
      </c>
      <c r="J672" s="248" t="str">
        <f>IF(I672="","",VLOOKUP($I672,Master!$K$4:$N$607,4,FALSE))</f>
        <v/>
      </c>
      <c r="K672" s="253" t="str">
        <f t="shared" si="148"/>
        <v/>
      </c>
      <c r="L672" s="254"/>
      <c r="M672" s="341" t="str">
        <f t="shared" si="144"/>
        <v/>
      </c>
      <c r="N672" s="341"/>
      <c r="O672" s="342"/>
      <c r="P672" s="255" t="str">
        <f t="shared" si="145"/>
        <v/>
      </c>
      <c r="Q672" s="256" t="str">
        <f t="shared" si="149"/>
        <v/>
      </c>
      <c r="R672" s="256" t="str">
        <f t="shared" si="146"/>
        <v/>
      </c>
      <c r="S672" s="257" t="str">
        <f t="shared" si="150"/>
        <v/>
      </c>
      <c r="T672" s="219" t="str">
        <f t="shared" si="147"/>
        <v/>
      </c>
      <c r="U672" s="258"/>
    </row>
    <row r="673" spans="2:21" x14ac:dyDescent="0.15">
      <c r="B673" s="249"/>
      <c r="C673" s="314"/>
      <c r="D673" s="251"/>
      <c r="E673" s="251"/>
      <c r="F673" s="335"/>
      <c r="G673" s="336"/>
      <c r="H673" s="337"/>
      <c r="I673" s="252" t="str">
        <f t="shared" si="143"/>
        <v/>
      </c>
      <c r="J673" s="248" t="str">
        <f>IF(I673="","",VLOOKUP($I673,Master!$K$4:$N$607,4,FALSE))</f>
        <v/>
      </c>
      <c r="K673" s="253" t="str">
        <f t="shared" si="148"/>
        <v/>
      </c>
      <c r="L673" s="254"/>
      <c r="M673" s="341" t="str">
        <f t="shared" si="144"/>
        <v/>
      </c>
      <c r="N673" s="341"/>
      <c r="O673" s="342"/>
      <c r="P673" s="255" t="str">
        <f t="shared" si="145"/>
        <v/>
      </c>
      <c r="Q673" s="256" t="str">
        <f t="shared" si="149"/>
        <v/>
      </c>
      <c r="R673" s="256" t="str">
        <f t="shared" si="146"/>
        <v/>
      </c>
      <c r="S673" s="257" t="str">
        <f t="shared" si="150"/>
        <v/>
      </c>
      <c r="T673" s="219" t="str">
        <f t="shared" si="147"/>
        <v/>
      </c>
      <c r="U673" s="258"/>
    </row>
    <row r="674" spans="2:21" x14ac:dyDescent="0.15">
      <c r="B674" s="249"/>
      <c r="C674" s="314"/>
      <c r="D674" s="251"/>
      <c r="E674" s="251"/>
      <c r="F674" s="335"/>
      <c r="G674" s="336"/>
      <c r="H674" s="337"/>
      <c r="I674" s="252" t="str">
        <f t="shared" si="143"/>
        <v/>
      </c>
      <c r="J674" s="248" t="str">
        <f>IF(I674="","",VLOOKUP($I674,Master!$K$4:$N$607,4,FALSE))</f>
        <v/>
      </c>
      <c r="K674" s="253" t="str">
        <f t="shared" si="148"/>
        <v/>
      </c>
      <c r="L674" s="254"/>
      <c r="M674" s="341" t="str">
        <f t="shared" si="144"/>
        <v/>
      </c>
      <c r="N674" s="341"/>
      <c r="O674" s="342"/>
      <c r="P674" s="255" t="str">
        <f t="shared" si="145"/>
        <v/>
      </c>
      <c r="Q674" s="256" t="str">
        <f t="shared" si="149"/>
        <v/>
      </c>
      <c r="R674" s="256" t="str">
        <f t="shared" si="146"/>
        <v/>
      </c>
      <c r="S674" s="257" t="str">
        <f t="shared" si="150"/>
        <v/>
      </c>
      <c r="T674" s="219" t="str">
        <f t="shared" si="147"/>
        <v/>
      </c>
      <c r="U674" s="258"/>
    </row>
    <row r="675" spans="2:21" x14ac:dyDescent="0.15">
      <c r="B675" s="249"/>
      <c r="C675" s="314"/>
      <c r="D675" s="251"/>
      <c r="E675" s="251"/>
      <c r="F675" s="335"/>
      <c r="G675" s="336"/>
      <c r="H675" s="337"/>
      <c r="I675" s="252" t="str">
        <f t="shared" si="143"/>
        <v/>
      </c>
      <c r="J675" s="248" t="str">
        <f>IF(I675="","",VLOOKUP($I675,Master!$K$4:$N$607,4,FALSE))</f>
        <v/>
      </c>
      <c r="K675" s="253" t="str">
        <f t="shared" si="148"/>
        <v/>
      </c>
      <c r="L675" s="254"/>
      <c r="M675" s="341" t="str">
        <f t="shared" si="144"/>
        <v/>
      </c>
      <c r="N675" s="341"/>
      <c r="O675" s="342"/>
      <c r="P675" s="255" t="str">
        <f t="shared" si="145"/>
        <v/>
      </c>
      <c r="Q675" s="256" t="str">
        <f t="shared" si="149"/>
        <v/>
      </c>
      <c r="R675" s="256" t="str">
        <f t="shared" si="146"/>
        <v/>
      </c>
      <c r="S675" s="257" t="str">
        <f t="shared" si="150"/>
        <v/>
      </c>
      <c r="T675" s="219" t="str">
        <f t="shared" si="147"/>
        <v/>
      </c>
      <c r="U675" s="258"/>
    </row>
    <row r="676" spans="2:21" x14ac:dyDescent="0.15">
      <c r="B676" s="249"/>
      <c r="C676" s="314"/>
      <c r="D676" s="251"/>
      <c r="E676" s="251"/>
      <c r="F676" s="335"/>
      <c r="G676" s="336"/>
      <c r="H676" s="337"/>
      <c r="I676" s="252" t="str">
        <f t="shared" si="143"/>
        <v/>
      </c>
      <c r="J676" s="248" t="str">
        <f>IF(I676="","",VLOOKUP($I676,Master!$K$4:$N$607,4,FALSE))</f>
        <v/>
      </c>
      <c r="K676" s="253" t="str">
        <f t="shared" si="148"/>
        <v/>
      </c>
      <c r="L676" s="254"/>
      <c r="M676" s="341" t="str">
        <f t="shared" si="144"/>
        <v/>
      </c>
      <c r="N676" s="341"/>
      <c r="O676" s="342"/>
      <c r="P676" s="255" t="str">
        <f t="shared" si="145"/>
        <v/>
      </c>
      <c r="Q676" s="256" t="str">
        <f t="shared" si="149"/>
        <v/>
      </c>
      <c r="R676" s="256" t="str">
        <f t="shared" si="146"/>
        <v/>
      </c>
      <c r="S676" s="257" t="str">
        <f t="shared" si="150"/>
        <v/>
      </c>
      <c r="T676" s="219" t="str">
        <f t="shared" si="147"/>
        <v/>
      </c>
      <c r="U676" s="258"/>
    </row>
    <row r="677" spans="2:21" x14ac:dyDescent="0.15">
      <c r="B677" s="249"/>
      <c r="C677" s="314"/>
      <c r="D677" s="251"/>
      <c r="E677" s="251"/>
      <c r="F677" s="335"/>
      <c r="G677" s="336"/>
      <c r="H677" s="337"/>
      <c r="I677" s="252" t="str">
        <f t="shared" si="143"/>
        <v/>
      </c>
      <c r="J677" s="248" t="str">
        <f>IF(I677="","",VLOOKUP($I677,Master!$K$4:$N$607,4,FALSE))</f>
        <v/>
      </c>
      <c r="K677" s="253" t="str">
        <f t="shared" si="148"/>
        <v/>
      </c>
      <c r="L677" s="254"/>
      <c r="M677" s="341" t="str">
        <f t="shared" si="144"/>
        <v/>
      </c>
      <c r="N677" s="341"/>
      <c r="O677" s="342"/>
      <c r="P677" s="255" t="str">
        <f t="shared" si="145"/>
        <v/>
      </c>
      <c r="Q677" s="256" t="str">
        <f t="shared" si="149"/>
        <v/>
      </c>
      <c r="R677" s="256" t="str">
        <f t="shared" si="146"/>
        <v/>
      </c>
      <c r="S677" s="257" t="str">
        <f t="shared" si="150"/>
        <v/>
      </c>
      <c r="T677" s="219" t="str">
        <f t="shared" si="147"/>
        <v/>
      </c>
      <c r="U677" s="258"/>
    </row>
    <row r="678" spans="2:21" x14ac:dyDescent="0.15">
      <c r="B678" s="249"/>
      <c r="C678" s="314"/>
      <c r="D678" s="251"/>
      <c r="E678" s="251"/>
      <c r="F678" s="335"/>
      <c r="G678" s="336"/>
      <c r="H678" s="337"/>
      <c r="I678" s="252" t="str">
        <f t="shared" si="143"/>
        <v/>
      </c>
      <c r="J678" s="248" t="str">
        <f>IF(I678="","",VLOOKUP($I678,Master!$K$4:$N$607,4,FALSE))</f>
        <v/>
      </c>
      <c r="K678" s="253" t="str">
        <f t="shared" si="148"/>
        <v/>
      </c>
      <c r="L678" s="254"/>
      <c r="M678" s="341" t="str">
        <f t="shared" si="144"/>
        <v/>
      </c>
      <c r="N678" s="341"/>
      <c r="O678" s="342"/>
      <c r="P678" s="255" t="str">
        <f t="shared" si="145"/>
        <v/>
      </c>
      <c r="Q678" s="256" t="str">
        <f t="shared" si="149"/>
        <v/>
      </c>
      <c r="R678" s="256" t="str">
        <f t="shared" si="146"/>
        <v/>
      </c>
      <c r="S678" s="257" t="str">
        <f t="shared" si="150"/>
        <v/>
      </c>
      <c r="T678" s="219" t="str">
        <f t="shared" si="147"/>
        <v/>
      </c>
      <c r="U678" s="258"/>
    </row>
    <row r="679" spans="2:21" x14ac:dyDescent="0.15">
      <c r="B679" s="249"/>
      <c r="C679" s="314"/>
      <c r="D679" s="251"/>
      <c r="E679" s="251"/>
      <c r="F679" s="335"/>
      <c r="G679" s="336"/>
      <c r="H679" s="337"/>
      <c r="I679" s="252" t="str">
        <f t="shared" si="143"/>
        <v/>
      </c>
      <c r="J679" s="248" t="str">
        <f>IF(I679="","",VLOOKUP($I679,Master!$K$4:$N$607,4,FALSE))</f>
        <v/>
      </c>
      <c r="K679" s="253" t="str">
        <f t="shared" si="148"/>
        <v/>
      </c>
      <c r="L679" s="254"/>
      <c r="M679" s="341" t="str">
        <f t="shared" si="144"/>
        <v/>
      </c>
      <c r="N679" s="341"/>
      <c r="O679" s="342"/>
      <c r="P679" s="255" t="str">
        <f t="shared" si="145"/>
        <v/>
      </c>
      <c r="Q679" s="256" t="str">
        <f t="shared" si="149"/>
        <v/>
      </c>
      <c r="R679" s="256" t="str">
        <f t="shared" si="146"/>
        <v/>
      </c>
      <c r="S679" s="257" t="str">
        <f t="shared" si="150"/>
        <v/>
      </c>
      <c r="T679" s="219" t="str">
        <f t="shared" si="147"/>
        <v/>
      </c>
      <c r="U679" s="258"/>
    </row>
    <row r="680" spans="2:21" x14ac:dyDescent="0.15">
      <c r="B680" s="249"/>
      <c r="C680" s="314"/>
      <c r="D680" s="251"/>
      <c r="E680" s="251"/>
      <c r="F680" s="335"/>
      <c r="G680" s="336"/>
      <c r="H680" s="337"/>
      <c r="I680" s="252" t="str">
        <f t="shared" si="143"/>
        <v/>
      </c>
      <c r="J680" s="248" t="str">
        <f>IF(I680="","",VLOOKUP($I680,Master!$K$4:$N$607,4,FALSE))</f>
        <v/>
      </c>
      <c r="K680" s="253" t="str">
        <f t="shared" si="148"/>
        <v/>
      </c>
      <c r="L680" s="254"/>
      <c r="M680" s="341" t="str">
        <f t="shared" si="144"/>
        <v/>
      </c>
      <c r="N680" s="341"/>
      <c r="O680" s="342"/>
      <c r="P680" s="255" t="str">
        <f t="shared" si="145"/>
        <v/>
      </c>
      <c r="Q680" s="256" t="str">
        <f t="shared" si="149"/>
        <v/>
      </c>
      <c r="R680" s="256" t="str">
        <f t="shared" si="146"/>
        <v/>
      </c>
      <c r="S680" s="257" t="str">
        <f t="shared" si="150"/>
        <v/>
      </c>
      <c r="T680" s="219" t="str">
        <f t="shared" si="147"/>
        <v/>
      </c>
      <c r="U680" s="258"/>
    </row>
    <row r="681" spans="2:21" x14ac:dyDescent="0.15">
      <c r="B681" s="249"/>
      <c r="C681" s="314"/>
      <c r="D681" s="251"/>
      <c r="E681" s="251"/>
      <c r="F681" s="335"/>
      <c r="G681" s="336"/>
      <c r="H681" s="337"/>
      <c r="I681" s="252" t="str">
        <f t="shared" si="143"/>
        <v/>
      </c>
      <c r="J681" s="248" t="str">
        <f>IF(I681="","",VLOOKUP($I681,Master!$K$4:$N$607,4,FALSE))</f>
        <v/>
      </c>
      <c r="K681" s="253" t="str">
        <f t="shared" si="148"/>
        <v/>
      </c>
      <c r="L681" s="254"/>
      <c r="M681" s="341" t="str">
        <f t="shared" si="144"/>
        <v/>
      </c>
      <c r="N681" s="341"/>
      <c r="O681" s="342"/>
      <c r="P681" s="255" t="str">
        <f t="shared" si="145"/>
        <v/>
      </c>
      <c r="Q681" s="256" t="str">
        <f t="shared" si="149"/>
        <v/>
      </c>
      <c r="R681" s="256" t="str">
        <f t="shared" si="146"/>
        <v/>
      </c>
      <c r="S681" s="257" t="str">
        <f t="shared" si="150"/>
        <v/>
      </c>
      <c r="T681" s="219" t="str">
        <f t="shared" si="147"/>
        <v/>
      </c>
      <c r="U681" s="258"/>
    </row>
    <row r="682" spans="2:21" x14ac:dyDescent="0.15">
      <c r="B682" s="249"/>
      <c r="C682" s="314"/>
      <c r="D682" s="251"/>
      <c r="E682" s="251"/>
      <c r="F682" s="335"/>
      <c r="G682" s="336"/>
      <c r="H682" s="337"/>
      <c r="I682" s="252" t="str">
        <f t="shared" si="143"/>
        <v/>
      </c>
      <c r="J682" s="248" t="str">
        <f>IF(I682="","",VLOOKUP($I682,Master!$K$4:$N$607,4,FALSE))</f>
        <v/>
      </c>
      <c r="K682" s="253" t="str">
        <f t="shared" si="148"/>
        <v/>
      </c>
      <c r="L682" s="254"/>
      <c r="M682" s="341" t="str">
        <f t="shared" si="144"/>
        <v/>
      </c>
      <c r="N682" s="341"/>
      <c r="O682" s="342"/>
      <c r="P682" s="255" t="str">
        <f t="shared" si="145"/>
        <v/>
      </c>
      <c r="Q682" s="256" t="str">
        <f t="shared" si="149"/>
        <v/>
      </c>
      <c r="R682" s="256" t="str">
        <f t="shared" si="146"/>
        <v/>
      </c>
      <c r="S682" s="257" t="str">
        <f t="shared" si="150"/>
        <v/>
      </c>
      <c r="T682" s="219" t="str">
        <f t="shared" si="147"/>
        <v/>
      </c>
      <c r="U682" s="258"/>
    </row>
    <row r="683" spans="2:21" x14ac:dyDescent="0.15">
      <c r="B683" s="249"/>
      <c r="C683" s="314"/>
      <c r="D683" s="251"/>
      <c r="E683" s="251"/>
      <c r="F683" s="335"/>
      <c r="G683" s="336"/>
      <c r="H683" s="337"/>
      <c r="I683" s="252" t="str">
        <f t="shared" si="143"/>
        <v/>
      </c>
      <c r="J683" s="248" t="str">
        <f>IF(I683="","",VLOOKUP($I683,Master!$K$4:$N$607,4,FALSE))</f>
        <v/>
      </c>
      <c r="K683" s="253" t="str">
        <f t="shared" si="148"/>
        <v/>
      </c>
      <c r="L683" s="254"/>
      <c r="M683" s="341" t="str">
        <f t="shared" si="144"/>
        <v/>
      </c>
      <c r="N683" s="341"/>
      <c r="O683" s="342"/>
      <c r="P683" s="255" t="str">
        <f t="shared" si="145"/>
        <v/>
      </c>
      <c r="Q683" s="256" t="str">
        <f t="shared" si="149"/>
        <v/>
      </c>
      <c r="R683" s="256" t="str">
        <f t="shared" si="146"/>
        <v/>
      </c>
      <c r="S683" s="257" t="str">
        <f t="shared" si="150"/>
        <v/>
      </c>
      <c r="T683" s="219" t="str">
        <f t="shared" si="147"/>
        <v/>
      </c>
      <c r="U683" s="258"/>
    </row>
    <row r="684" spans="2:21" x14ac:dyDescent="0.15">
      <c r="B684" s="249"/>
      <c r="C684" s="314"/>
      <c r="D684" s="251"/>
      <c r="E684" s="251"/>
      <c r="F684" s="335"/>
      <c r="G684" s="336"/>
      <c r="H684" s="337"/>
      <c r="I684" s="252" t="str">
        <f t="shared" si="143"/>
        <v/>
      </c>
      <c r="J684" s="248" t="str">
        <f>IF(I684="","",VLOOKUP($I684,Master!$K$4:$N$607,4,FALSE))</f>
        <v/>
      </c>
      <c r="K684" s="253" t="str">
        <f t="shared" si="148"/>
        <v/>
      </c>
      <c r="L684" s="254"/>
      <c r="M684" s="341" t="str">
        <f t="shared" si="144"/>
        <v/>
      </c>
      <c r="N684" s="341"/>
      <c r="O684" s="342"/>
      <c r="P684" s="255" t="str">
        <f t="shared" si="145"/>
        <v/>
      </c>
      <c r="Q684" s="256" t="str">
        <f t="shared" si="149"/>
        <v/>
      </c>
      <c r="R684" s="256" t="str">
        <f t="shared" si="146"/>
        <v/>
      </c>
      <c r="S684" s="257" t="str">
        <f t="shared" si="150"/>
        <v/>
      </c>
      <c r="T684" s="219" t="str">
        <f t="shared" si="147"/>
        <v/>
      </c>
      <c r="U684" s="258"/>
    </row>
    <row r="685" spans="2:21" x14ac:dyDescent="0.15">
      <c r="B685" s="249"/>
      <c r="C685" s="314"/>
      <c r="D685" s="251"/>
      <c r="E685" s="251"/>
      <c r="F685" s="335"/>
      <c r="G685" s="336"/>
      <c r="H685" s="337"/>
      <c r="I685" s="252" t="str">
        <f t="shared" si="143"/>
        <v/>
      </c>
      <c r="J685" s="248" t="str">
        <f>IF(I685="","",VLOOKUP($I685,Master!$K$4:$N$607,4,FALSE))</f>
        <v/>
      </c>
      <c r="K685" s="253" t="str">
        <f t="shared" si="148"/>
        <v/>
      </c>
      <c r="L685" s="254"/>
      <c r="M685" s="341" t="str">
        <f t="shared" si="144"/>
        <v/>
      </c>
      <c r="N685" s="341"/>
      <c r="O685" s="342"/>
      <c r="P685" s="255" t="str">
        <f t="shared" si="145"/>
        <v/>
      </c>
      <c r="Q685" s="256" t="str">
        <f t="shared" si="149"/>
        <v/>
      </c>
      <c r="R685" s="256" t="str">
        <f t="shared" si="146"/>
        <v/>
      </c>
      <c r="S685" s="257" t="str">
        <f t="shared" si="150"/>
        <v/>
      </c>
      <c r="T685" s="219" t="str">
        <f t="shared" si="147"/>
        <v/>
      </c>
      <c r="U685" s="258"/>
    </row>
    <row r="686" spans="2:21" x14ac:dyDescent="0.15">
      <c r="B686" s="249"/>
      <c r="C686" s="314"/>
      <c r="D686" s="251"/>
      <c r="E686" s="251"/>
      <c r="F686" s="335"/>
      <c r="G686" s="336"/>
      <c r="H686" s="337"/>
      <c r="I686" s="252" t="str">
        <f t="shared" si="143"/>
        <v/>
      </c>
      <c r="J686" s="248" t="str">
        <f>IF(I686="","",VLOOKUP($I686,Master!$K$4:$N$607,4,FALSE))</f>
        <v/>
      </c>
      <c r="K686" s="253" t="str">
        <f t="shared" si="148"/>
        <v/>
      </c>
      <c r="L686" s="254"/>
      <c r="M686" s="341" t="str">
        <f t="shared" si="144"/>
        <v/>
      </c>
      <c r="N686" s="341"/>
      <c r="O686" s="342"/>
      <c r="P686" s="255" t="str">
        <f t="shared" si="145"/>
        <v/>
      </c>
      <c r="Q686" s="256" t="str">
        <f t="shared" si="149"/>
        <v/>
      </c>
      <c r="R686" s="256" t="str">
        <f t="shared" si="146"/>
        <v/>
      </c>
      <c r="S686" s="257" t="str">
        <f t="shared" si="150"/>
        <v/>
      </c>
      <c r="T686" s="219" t="str">
        <f t="shared" si="147"/>
        <v/>
      </c>
      <c r="U686" s="258"/>
    </row>
    <row r="687" spans="2:21" x14ac:dyDescent="0.15">
      <c r="B687" s="249"/>
      <c r="C687" s="314"/>
      <c r="D687" s="251"/>
      <c r="E687" s="251"/>
      <c r="F687" s="335"/>
      <c r="G687" s="336"/>
      <c r="H687" s="337"/>
      <c r="I687" s="252" t="str">
        <f t="shared" si="143"/>
        <v/>
      </c>
      <c r="J687" s="248" t="str">
        <f>IF(I687="","",VLOOKUP($I687,Master!$K$4:$N$607,4,FALSE))</f>
        <v/>
      </c>
      <c r="K687" s="253" t="str">
        <f t="shared" si="148"/>
        <v/>
      </c>
      <c r="L687" s="254"/>
      <c r="M687" s="341" t="str">
        <f t="shared" si="144"/>
        <v/>
      </c>
      <c r="N687" s="341"/>
      <c r="O687" s="342"/>
      <c r="P687" s="255" t="str">
        <f t="shared" si="145"/>
        <v/>
      </c>
      <c r="Q687" s="256" t="str">
        <f t="shared" si="149"/>
        <v/>
      </c>
      <c r="R687" s="256" t="str">
        <f t="shared" si="146"/>
        <v/>
      </c>
      <c r="S687" s="257" t="str">
        <f t="shared" si="150"/>
        <v/>
      </c>
      <c r="T687" s="219" t="str">
        <f t="shared" si="147"/>
        <v/>
      </c>
      <c r="U687" s="258"/>
    </row>
    <row r="688" spans="2:21" x14ac:dyDescent="0.15">
      <c r="B688" s="249"/>
      <c r="C688" s="314"/>
      <c r="D688" s="251"/>
      <c r="E688" s="251"/>
      <c r="F688" s="335"/>
      <c r="G688" s="336"/>
      <c r="H688" s="337"/>
      <c r="I688" s="252" t="str">
        <f>IF($F688="","",IF(ISERR(VLOOKUP($C688&amp;$D688&amp;$E688&amp;$F688,SOW,2,FALSE)),"-",VLOOKUP($C688&amp;$D688&amp;$E688&amp;$F688,SOW,2,FALSE)))</f>
        <v/>
      </c>
      <c r="J688" s="248" t="str">
        <f>IF(I688="","",VLOOKUP($I688,Master!$K$4:$N$607,4,FALSE))</f>
        <v/>
      </c>
      <c r="K688" s="253" t="str">
        <f>IF(F688="","",IF(ISERROR(VLOOKUP($F688,SOW,3,FALSE)),0,VLOOKUP($F688,SOW,3,FALSE)*24))</f>
        <v/>
      </c>
      <c r="L688" s="254"/>
      <c r="M688" s="341" t="str">
        <f>IF($F688&lt;&gt;"",IF($J688&lt;&gt;"-",IF($J688="要選択","REQ_IDを選択して下さい。",IF($J688="","REQ_IDを選択して下さい。",VLOOKUP($J688,REQUEST,2,FALSE))),$F688),"")</f>
        <v/>
      </c>
      <c r="N688" s="341"/>
      <c r="O688" s="342"/>
      <c r="P688" s="255" t="str">
        <f>IF($B688&lt;&gt;"",TEXT(TEXT(YEAR($B688),"0000")&amp;TEXT(MONTH($B688),"00")&amp;$I688,"@"),"")</f>
        <v/>
      </c>
      <c r="Q688" s="256" t="str">
        <f>IF($B688&lt;&gt;"",TEXT(TEXT(YEAR($B688),"0000")&amp;TEXT(MONTH($B688),"00")&amp;$I688&amp;"@"&amp;LEFT($E$2,SEARCH("　",$E$2,1)-1)&amp;"@"&amp;L688,"@"),"")</f>
        <v/>
      </c>
      <c r="R688" s="256" t="str">
        <f>IF($B688&lt;&gt;"",TEXT(TEXT(YEAR($B688),"0000")&amp;TEXT(MONTH($B688),"00")&amp;$J688,"@"),"")</f>
        <v/>
      </c>
      <c r="S688" s="257" t="str">
        <f>IF($B688&lt;&gt;"",TEXT(YEAR($B688),"0000")&amp;TEXT(MONTH($B688),"00")&amp;$J688&amp;"@"&amp;LEFT($E$2,SEARCH("　",$E$2,1)-1)&amp;"@"&amp;L688,"")</f>
        <v/>
      </c>
      <c r="T688" s="219" t="str">
        <f>IF($B688&lt;&gt;"",TEXT(TEXT(YEAR($B688),"0000")&amp;TEXT(MONTH($B688),"00")&amp;TEXT(DAY($B688),"00")&amp;$C688,"@"),"")</f>
        <v/>
      </c>
      <c r="U688" s="258"/>
    </row>
    <row r="689" spans="1:21" x14ac:dyDescent="0.15">
      <c r="B689" s="249"/>
      <c r="C689" s="314"/>
      <c r="D689" s="251"/>
      <c r="E689" s="251"/>
      <c r="F689" s="335"/>
      <c r="G689" s="336"/>
      <c r="H689" s="337"/>
      <c r="I689" s="252" t="str">
        <f>IF($F689="","",IF(ISERR(VLOOKUP($C689&amp;$D689&amp;$E689&amp;$F689,SOW,2,FALSE)),"-",VLOOKUP($C689&amp;$D689&amp;$E689&amp;$F689,SOW,2,FALSE)))</f>
        <v/>
      </c>
      <c r="J689" s="248" t="str">
        <f>IF(I689="","",VLOOKUP($I689,Master!$K$4:$N$607,4,FALSE))</f>
        <v/>
      </c>
      <c r="K689" s="253" t="str">
        <f>IF(F689="","",IF(ISERROR(VLOOKUP($F689,SOW,3,FALSE)),0,VLOOKUP($F689,SOW,3,FALSE)*24))</f>
        <v/>
      </c>
      <c r="L689" s="254"/>
      <c r="M689" s="341" t="str">
        <f>IF($F689&lt;&gt;"",IF($J689&lt;&gt;"-",IF($J689="要選択","REQ_IDを選択して下さい。",IF($J689="","REQ_IDを選択して下さい。",VLOOKUP($J689,REQUEST,2,FALSE))),$F689),"")</f>
        <v/>
      </c>
      <c r="N689" s="341"/>
      <c r="O689" s="342"/>
      <c r="P689" s="255" t="str">
        <f>IF($B689&lt;&gt;"",TEXT(TEXT(YEAR($B689),"0000")&amp;TEXT(MONTH($B689),"00")&amp;$I689,"@"),"")</f>
        <v/>
      </c>
      <c r="Q689" s="256" t="str">
        <f>IF($B689&lt;&gt;"",TEXT(TEXT(YEAR($B689),"0000")&amp;TEXT(MONTH($B689),"00")&amp;$I689&amp;"@"&amp;LEFT($E$2,SEARCH("　",$E$2,1)-1)&amp;"@"&amp;L689,"@"),"")</f>
        <v/>
      </c>
      <c r="R689" s="256" t="str">
        <f>IF($B689&lt;&gt;"",TEXT(TEXT(YEAR($B689),"0000")&amp;TEXT(MONTH($B689),"00")&amp;$J689,"@"),"")</f>
        <v/>
      </c>
      <c r="S689" s="257" t="str">
        <f>IF($B689&lt;&gt;"",TEXT(YEAR($B689),"0000")&amp;TEXT(MONTH($B689),"00")&amp;$J689&amp;"@"&amp;LEFT($E$2,SEARCH("　",$E$2,1)-1)&amp;"@"&amp;L689,"")</f>
        <v/>
      </c>
      <c r="T689" s="219" t="str">
        <f>IF($B689&lt;&gt;"",TEXT(TEXT(YEAR($B689),"0000")&amp;TEXT(MONTH($B689),"00")&amp;TEXT(DAY($B689),"00")&amp;$C689,"@"),"")</f>
        <v/>
      </c>
      <c r="U689" s="258"/>
    </row>
    <row r="690" spans="1:21" x14ac:dyDescent="0.15">
      <c r="B690" s="249"/>
      <c r="C690" s="314"/>
      <c r="D690" s="251"/>
      <c r="E690" s="251"/>
      <c r="F690" s="335"/>
      <c r="G690" s="336"/>
      <c r="H690" s="337"/>
      <c r="I690" s="252" t="str">
        <f>IF($F690="","",IF(ISERR(VLOOKUP($C690&amp;$D690&amp;$E690&amp;$F690,SOW,2,FALSE)),"-",VLOOKUP($C690&amp;$D690&amp;$E690&amp;$F690,SOW,2,FALSE)))</f>
        <v/>
      </c>
      <c r="J690" s="248" t="str">
        <f>IF(I690="","",VLOOKUP($I690,Master!$K$4:$N$607,4,FALSE))</f>
        <v/>
      </c>
      <c r="K690" s="253" t="str">
        <f>IF(F690="","",IF(ISERROR(VLOOKUP($F690,SOW,3,FALSE)),0,VLOOKUP($F690,SOW,3,FALSE)*24))</f>
        <v/>
      </c>
      <c r="L690" s="254"/>
      <c r="M690" s="341" t="str">
        <f>IF($F690&lt;&gt;"",IF($J690&lt;&gt;"-",IF($J690="要選択","REQ_IDを選択して下さい。",IF($J690="","REQ_IDを選択して下さい。",VLOOKUP($J690,REQUEST,2,FALSE))),$F690),"")</f>
        <v/>
      </c>
      <c r="N690" s="341"/>
      <c r="O690" s="342"/>
      <c r="P690" s="255" t="str">
        <f>IF($B690&lt;&gt;"",TEXT(TEXT(YEAR($B690),"0000")&amp;TEXT(MONTH($B690),"00")&amp;$I690,"@"),"")</f>
        <v/>
      </c>
      <c r="Q690" s="256" t="str">
        <f>IF($B690&lt;&gt;"",TEXT(TEXT(YEAR($B690),"0000")&amp;TEXT(MONTH($B690),"00")&amp;$I690&amp;"@"&amp;LEFT($E$2,SEARCH("　",$E$2,1)-1)&amp;"@"&amp;L690,"@"),"")</f>
        <v/>
      </c>
      <c r="R690" s="256" t="str">
        <f>IF($B690&lt;&gt;"",TEXT(TEXT(YEAR($B690),"0000")&amp;TEXT(MONTH($B690),"00")&amp;$J690,"@"),"")</f>
        <v/>
      </c>
      <c r="S690" s="257" t="str">
        <f>IF($B690&lt;&gt;"",TEXT(YEAR($B690),"0000")&amp;TEXT(MONTH($B690),"00")&amp;$J690&amp;"@"&amp;LEFT($E$2,SEARCH("　",$E$2,1)-1)&amp;"@"&amp;L690,"")</f>
        <v/>
      </c>
      <c r="T690" s="219" t="str">
        <f>IF($B690&lt;&gt;"",TEXT(TEXT(YEAR($B690),"0000")&amp;TEXT(MONTH($B690),"00")&amp;TEXT(DAY($B690),"00")&amp;$C690,"@"),"")</f>
        <v/>
      </c>
      <c r="U690" s="258"/>
    </row>
    <row r="691" spans="1:21" ht="12" thickBot="1" x14ac:dyDescent="0.2">
      <c r="A691" s="230"/>
      <c r="B691" s="262"/>
      <c r="C691" s="317"/>
      <c r="D691" s="263"/>
      <c r="E691" s="263"/>
      <c r="F691" s="348"/>
      <c r="G691" s="349"/>
      <c r="H691" s="350"/>
      <c r="I691" s="264" t="str">
        <f>IF($F691="","",IF(ISERR(VLOOKUP($C691&amp;$D691&amp;$E691&amp;$F691,SOW,2,FALSE)),"-",VLOOKUP($C691&amp;$D691&amp;$E691&amp;$F691,SOW,2,FALSE)))</f>
        <v/>
      </c>
      <c r="J691" s="248" t="str">
        <f>IF(I691="","",VLOOKUP($I691,Master!$K$4:$N$607,4,FALSE))</f>
        <v/>
      </c>
      <c r="K691" s="265" t="str">
        <f>IF(F691="","",IF(ISERROR(VLOOKUP($F691,SOW,3,FALSE)),0,VLOOKUP($F691,SOW,3,FALSE)*24))</f>
        <v/>
      </c>
      <c r="L691" s="266"/>
      <c r="M691" s="351" t="str">
        <f>IF($F691&lt;&gt;"",IF($J691&lt;&gt;"-",IF($J691="要選択","REQ_IDを選択して下さい。",IF($J691="","REQ_IDを選択して下さい。",VLOOKUP($J691,REQUEST,2,FALSE))),$F691),"")</f>
        <v/>
      </c>
      <c r="N691" s="351"/>
      <c r="O691" s="352"/>
      <c r="P691" s="267" t="str">
        <f>IF($B691&lt;&gt;"",TEXT(TEXT(YEAR($B691),"0000")&amp;TEXT(MONTH($B691),"00")&amp;$I691,"@"),"")</f>
        <v/>
      </c>
      <c r="Q691" s="268" t="str">
        <f>IF($B691&lt;&gt;"",TEXT(TEXT(YEAR($B691),"0000")&amp;TEXT(MONTH($B691),"00")&amp;$I691&amp;"@"&amp;LEFT($E$2,SEARCH("　",$E$2,1)-1)&amp;"@"&amp;L691,"@"),"")</f>
        <v/>
      </c>
      <c r="R691" s="268" t="str">
        <f>IF($B691&lt;&gt;"",TEXT(TEXT(YEAR($B691),"0000")&amp;TEXT(MONTH($B691),"00")&amp;$J691,"@"),"")</f>
        <v/>
      </c>
      <c r="S691" s="269" t="str">
        <f>IF($B691&lt;&gt;"",TEXT(YEAR($B691),"0000")&amp;TEXT(MONTH($B691),"00")&amp;$J691&amp;"@"&amp;LEFT($E$2,SEARCH("　",$E$2,1)-1)&amp;"@"&amp;L691,"")</f>
        <v/>
      </c>
      <c r="T691" s="220" t="str">
        <f>IF($B691&lt;&gt;"",TEXT(TEXT(YEAR($B691),"0000")&amp;TEXT(MONTH($B691),"00")&amp;TEXT(DAY($B691),"00")&amp;$C691,"@"),"")</f>
        <v/>
      </c>
      <c r="U691" s="270"/>
    </row>
  </sheetData>
  <sheetProtection selectLockedCells="1" selectUnlockedCells="1"/>
  <autoFilter ref="A3:U3" xr:uid="{00000000-0009-0000-0000-000002000000}">
    <filterColumn colId="5" showButton="0"/>
    <filterColumn colId="6" showButton="0"/>
    <filterColumn colId="12" showButton="0"/>
    <filterColumn colId="13" showButton="0"/>
  </autoFilter>
  <mergeCells count="1379">
    <mergeCell ref="M688:O688"/>
    <mergeCell ref="F689:H689"/>
    <mergeCell ref="M689:O689"/>
    <mergeCell ref="F77:H77"/>
    <mergeCell ref="M77:O77"/>
    <mergeCell ref="F78:H78"/>
    <mergeCell ref="M78:O78"/>
    <mergeCell ref="M81:O81"/>
    <mergeCell ref="F82:H82"/>
    <mergeCell ref="M82:O82"/>
    <mergeCell ref="F83:H83"/>
    <mergeCell ref="F84:H84"/>
    <mergeCell ref="F90:H90"/>
    <mergeCell ref="M90:O90"/>
    <mergeCell ref="F91:H91"/>
    <mergeCell ref="M91:O91"/>
    <mergeCell ref="F92:H92"/>
    <mergeCell ref="M92:O92"/>
    <mergeCell ref="F107:H107"/>
    <mergeCell ref="M107:O107"/>
    <mergeCell ref="F98:H98"/>
    <mergeCell ref="M98:O98"/>
    <mergeCell ref="F125:H125"/>
    <mergeCell ref="M125:O125"/>
    <mergeCell ref="F126:H126"/>
    <mergeCell ref="M126:O126"/>
    <mergeCell ref="F93:H93"/>
    <mergeCell ref="M93:O93"/>
    <mergeCell ref="F94:H94"/>
    <mergeCell ref="M94:O94"/>
    <mergeCell ref="F105:H105"/>
    <mergeCell ref="F79:H79"/>
    <mergeCell ref="F691:H691"/>
    <mergeCell ref="M691:O691"/>
    <mergeCell ref="M87:O87"/>
    <mergeCell ref="M83:O83"/>
    <mergeCell ref="F85:H85"/>
    <mergeCell ref="M85:O85"/>
    <mergeCell ref="M84:O84"/>
    <mergeCell ref="F86:H86"/>
    <mergeCell ref="M86:O86"/>
    <mergeCell ref="F87:H87"/>
    <mergeCell ref="F88:H88"/>
    <mergeCell ref="M88:O88"/>
    <mergeCell ref="F80:H80"/>
    <mergeCell ref="M80:O80"/>
    <mergeCell ref="F81:H81"/>
    <mergeCell ref="F103:H103"/>
    <mergeCell ref="M103:O103"/>
    <mergeCell ref="F104:H104"/>
    <mergeCell ref="M104:O104"/>
    <mergeCell ref="F102:H102"/>
    <mergeCell ref="M102:O102"/>
    <mergeCell ref="F113:H113"/>
    <mergeCell ref="M113:O113"/>
    <mergeCell ref="F114:H114"/>
    <mergeCell ref="M114:O114"/>
    <mergeCell ref="F115:H115"/>
    <mergeCell ref="M115:O115"/>
    <mergeCell ref="F116:H116"/>
    <mergeCell ref="M116:O116"/>
    <mergeCell ref="F690:H690"/>
    <mergeCell ref="M690:O690"/>
    <mergeCell ref="F688:H688"/>
    <mergeCell ref="F73:H73"/>
    <mergeCell ref="F69:H69"/>
    <mergeCell ref="M69:O69"/>
    <mergeCell ref="F71:H71"/>
    <mergeCell ref="F70:H70"/>
    <mergeCell ref="F101:H101"/>
    <mergeCell ref="M101:O101"/>
    <mergeCell ref="F117:H117"/>
    <mergeCell ref="M117:O117"/>
    <mergeCell ref="F108:H108"/>
    <mergeCell ref="M108:O108"/>
    <mergeCell ref="F109:H109"/>
    <mergeCell ref="M109:O109"/>
    <mergeCell ref="F110:H110"/>
    <mergeCell ref="M110:O110"/>
    <mergeCell ref="F111:H111"/>
    <mergeCell ref="M111:O111"/>
    <mergeCell ref="F112:H112"/>
    <mergeCell ref="M112:O112"/>
    <mergeCell ref="M72:O72"/>
    <mergeCell ref="F74:H74"/>
    <mergeCell ref="M73:O73"/>
    <mergeCell ref="M105:O105"/>
    <mergeCell ref="F106:H106"/>
    <mergeCell ref="M106:O106"/>
    <mergeCell ref="M74:O74"/>
    <mergeCell ref="F99:H99"/>
    <mergeCell ref="M99:O99"/>
    <mergeCell ref="F100:H100"/>
    <mergeCell ref="M100:O100"/>
    <mergeCell ref="F66:H66"/>
    <mergeCell ref="F60:H60"/>
    <mergeCell ref="M66:O66"/>
    <mergeCell ref="M65:O65"/>
    <mergeCell ref="M51:O51"/>
    <mergeCell ref="M64:O64"/>
    <mergeCell ref="F51:H51"/>
    <mergeCell ref="F52:H52"/>
    <mergeCell ref="M71:O71"/>
    <mergeCell ref="M70:O70"/>
    <mergeCell ref="F67:H67"/>
    <mergeCell ref="M67:O67"/>
    <mergeCell ref="M57:O57"/>
    <mergeCell ref="M59:O59"/>
    <mergeCell ref="M58:O58"/>
    <mergeCell ref="M53:O53"/>
    <mergeCell ref="M56:O56"/>
    <mergeCell ref="M63:O63"/>
    <mergeCell ref="F65:H65"/>
    <mergeCell ref="F64:H64"/>
    <mergeCell ref="F62:H62"/>
    <mergeCell ref="M62:O62"/>
    <mergeCell ref="F63:H63"/>
    <mergeCell ref="M61:O61"/>
    <mergeCell ref="F68:H68"/>
    <mergeCell ref="M68:O68"/>
    <mergeCell ref="F61:H61"/>
    <mergeCell ref="M50:O50"/>
    <mergeCell ref="F37:H37"/>
    <mergeCell ref="F31:H31"/>
    <mergeCell ref="M31:O31"/>
    <mergeCell ref="F33:H33"/>
    <mergeCell ref="F34:H34"/>
    <mergeCell ref="F48:H48"/>
    <mergeCell ref="M48:O48"/>
    <mergeCell ref="F36:H36"/>
    <mergeCell ref="M36:O36"/>
    <mergeCell ref="F35:H35"/>
    <mergeCell ref="M35:O35"/>
    <mergeCell ref="M43:O43"/>
    <mergeCell ref="M41:O41"/>
    <mergeCell ref="M42:O42"/>
    <mergeCell ref="M55:O55"/>
    <mergeCell ref="M54:O54"/>
    <mergeCell ref="M33:O33"/>
    <mergeCell ref="M49:O49"/>
    <mergeCell ref="M45:O45"/>
    <mergeCell ref="M32:O32"/>
    <mergeCell ref="M46:O46"/>
    <mergeCell ref="M8:O8"/>
    <mergeCell ref="M11:O11"/>
    <mergeCell ref="M12:O12"/>
    <mergeCell ref="F10:H10"/>
    <mergeCell ref="F4:H4"/>
    <mergeCell ref="M7:O7"/>
    <mergeCell ref="M21:O21"/>
    <mergeCell ref="M14:O14"/>
    <mergeCell ref="M18:O18"/>
    <mergeCell ref="F19:H19"/>
    <mergeCell ref="M19:O19"/>
    <mergeCell ref="F20:H20"/>
    <mergeCell ref="M20:O20"/>
    <mergeCell ref="M38:O38"/>
    <mergeCell ref="M60:O60"/>
    <mergeCell ref="M47:O47"/>
    <mergeCell ref="M52:O52"/>
    <mergeCell ref="M37:O37"/>
    <mergeCell ref="M34:O34"/>
    <mergeCell ref="M39:O39"/>
    <mergeCell ref="M40:O40"/>
    <mergeCell ref="M44:O44"/>
    <mergeCell ref="F53:H53"/>
    <mergeCell ref="M27:O27"/>
    <mergeCell ref="M30:O30"/>
    <mergeCell ref="M28:O28"/>
    <mergeCell ref="F32:H32"/>
    <mergeCell ref="F50:H50"/>
    <mergeCell ref="F14:H14"/>
    <mergeCell ref="F49:H49"/>
    <mergeCell ref="F7:H7"/>
    <mergeCell ref="F27:H27"/>
    <mergeCell ref="F21:H21"/>
    <mergeCell ref="F18:H18"/>
    <mergeCell ref="F43:H43"/>
    <mergeCell ref="F41:H41"/>
    <mergeCell ref="F42:H42"/>
    <mergeCell ref="F55:H55"/>
    <mergeCell ref="F54:H54"/>
    <mergeCell ref="M3:O3"/>
    <mergeCell ref="F29:H29"/>
    <mergeCell ref="M29:O29"/>
    <mergeCell ref="F30:H30"/>
    <mergeCell ref="M5:O5"/>
    <mergeCell ref="F6:H6"/>
    <mergeCell ref="M6:O6"/>
    <mergeCell ref="F13:H13"/>
    <mergeCell ref="M13:O13"/>
    <mergeCell ref="M22:O22"/>
    <mergeCell ref="F22:H22"/>
    <mergeCell ref="M17:O17"/>
    <mergeCell ref="M10:O10"/>
    <mergeCell ref="F23:H23"/>
    <mergeCell ref="M4:O4"/>
    <mergeCell ref="M23:O23"/>
    <mergeCell ref="M9:O9"/>
    <mergeCell ref="F11:H11"/>
    <mergeCell ref="F8:H8"/>
    <mergeCell ref="F75:H75"/>
    <mergeCell ref="M75:O75"/>
    <mergeCell ref="F76:H76"/>
    <mergeCell ref="M76:O76"/>
    <mergeCell ref="F95:H95"/>
    <mergeCell ref="M95:O95"/>
    <mergeCell ref="F96:H96"/>
    <mergeCell ref="M96:O96"/>
    <mergeCell ref="F97:H97"/>
    <mergeCell ref="M97:O97"/>
    <mergeCell ref="M79:O79"/>
    <mergeCell ref="F89:H89"/>
    <mergeCell ref="M89:O89"/>
    <mergeCell ref="F1:H1"/>
    <mergeCell ref="F57:H57"/>
    <mergeCell ref="F59:H59"/>
    <mergeCell ref="F58:H58"/>
    <mergeCell ref="F38:H38"/>
    <mergeCell ref="F56:H56"/>
    <mergeCell ref="F39:H39"/>
    <mergeCell ref="F40:H40"/>
    <mergeCell ref="F44:H44"/>
    <mergeCell ref="F45:H45"/>
    <mergeCell ref="F17:H17"/>
    <mergeCell ref="F47:H47"/>
    <mergeCell ref="F46:H46"/>
    <mergeCell ref="F9:H9"/>
    <mergeCell ref="F12:H12"/>
    <mergeCell ref="F3:H3"/>
    <mergeCell ref="F72:H72"/>
    <mergeCell ref="F5:H5"/>
    <mergeCell ref="F28:H28"/>
    <mergeCell ref="F127:H127"/>
    <mergeCell ref="M127:O127"/>
    <mergeCell ref="F118:H118"/>
    <mergeCell ref="M118:O118"/>
    <mergeCell ref="F119:H119"/>
    <mergeCell ref="M119:O119"/>
    <mergeCell ref="F120:H120"/>
    <mergeCell ref="M120:O120"/>
    <mergeCell ref="F121:H121"/>
    <mergeCell ref="M121:O121"/>
    <mergeCell ref="F122:H122"/>
    <mergeCell ref="M122:O122"/>
    <mergeCell ref="F133:H133"/>
    <mergeCell ref="M133:O133"/>
    <mergeCell ref="F134:H134"/>
    <mergeCell ref="M134:O134"/>
    <mergeCell ref="F135:H135"/>
    <mergeCell ref="M135:O135"/>
    <mergeCell ref="F123:H123"/>
    <mergeCell ref="M123:O123"/>
    <mergeCell ref="F124:H124"/>
    <mergeCell ref="M124:O124"/>
    <mergeCell ref="F136:H136"/>
    <mergeCell ref="M136:O136"/>
    <mergeCell ref="F137:H137"/>
    <mergeCell ref="M137:O137"/>
    <mergeCell ref="F128:H128"/>
    <mergeCell ref="M128:O128"/>
    <mergeCell ref="F129:H129"/>
    <mergeCell ref="M129:O129"/>
    <mergeCell ref="F130:H130"/>
    <mergeCell ref="M130:O130"/>
    <mergeCell ref="F131:H131"/>
    <mergeCell ref="M131:O131"/>
    <mergeCell ref="F132:H132"/>
    <mergeCell ref="M132:O132"/>
    <mergeCell ref="F143:H143"/>
    <mergeCell ref="M143:O143"/>
    <mergeCell ref="F144:H144"/>
    <mergeCell ref="M144:O144"/>
    <mergeCell ref="F145:H145"/>
    <mergeCell ref="M145:O145"/>
    <mergeCell ref="F146:H146"/>
    <mergeCell ref="M146:O146"/>
    <mergeCell ref="F147:H147"/>
    <mergeCell ref="M147:O147"/>
    <mergeCell ref="F138:H138"/>
    <mergeCell ref="M138:O138"/>
    <mergeCell ref="F139:H139"/>
    <mergeCell ref="M139:O139"/>
    <mergeCell ref="F140:H140"/>
    <mergeCell ref="M140:O140"/>
    <mergeCell ref="F141:H141"/>
    <mergeCell ref="M141:O141"/>
    <mergeCell ref="F142:H142"/>
    <mergeCell ref="M142:O142"/>
    <mergeCell ref="F153:H153"/>
    <mergeCell ref="M153:O153"/>
    <mergeCell ref="F154:H154"/>
    <mergeCell ref="M154:O154"/>
    <mergeCell ref="F155:H155"/>
    <mergeCell ref="M155:O155"/>
    <mergeCell ref="F156:H156"/>
    <mergeCell ref="M156:O156"/>
    <mergeCell ref="F157:H157"/>
    <mergeCell ref="M157:O157"/>
    <mergeCell ref="F148:H148"/>
    <mergeCell ref="M148:O148"/>
    <mergeCell ref="F149:H149"/>
    <mergeCell ref="M149:O149"/>
    <mergeCell ref="F150:H150"/>
    <mergeCell ref="M150:O150"/>
    <mergeCell ref="F151:H151"/>
    <mergeCell ref="M151:O151"/>
    <mergeCell ref="F152:H152"/>
    <mergeCell ref="M152:O152"/>
    <mergeCell ref="F163:H163"/>
    <mergeCell ref="M163:O163"/>
    <mergeCell ref="F164:H164"/>
    <mergeCell ref="M164:O164"/>
    <mergeCell ref="F165:H165"/>
    <mergeCell ref="M165:O165"/>
    <mergeCell ref="F166:H166"/>
    <mergeCell ref="M166:O166"/>
    <mergeCell ref="F167:H167"/>
    <mergeCell ref="M167:O167"/>
    <mergeCell ref="F158:H158"/>
    <mergeCell ref="M158:O158"/>
    <mergeCell ref="F159:H159"/>
    <mergeCell ref="M159:O159"/>
    <mergeCell ref="F160:H160"/>
    <mergeCell ref="M160:O160"/>
    <mergeCell ref="F161:H161"/>
    <mergeCell ref="M161:O161"/>
    <mergeCell ref="F162:H162"/>
    <mergeCell ref="M162:O162"/>
    <mergeCell ref="F173:H173"/>
    <mergeCell ref="M173:O173"/>
    <mergeCell ref="F174:H174"/>
    <mergeCell ref="M174:O174"/>
    <mergeCell ref="F175:H175"/>
    <mergeCell ref="M175:O175"/>
    <mergeCell ref="F176:H176"/>
    <mergeCell ref="M176:O176"/>
    <mergeCell ref="F177:H177"/>
    <mergeCell ref="M177:O177"/>
    <mergeCell ref="F168:H168"/>
    <mergeCell ref="M168:O168"/>
    <mergeCell ref="F169:H169"/>
    <mergeCell ref="M169:O169"/>
    <mergeCell ref="F170:H170"/>
    <mergeCell ref="M170:O170"/>
    <mergeCell ref="F171:H171"/>
    <mergeCell ref="M171:O171"/>
    <mergeCell ref="F172:H172"/>
    <mergeCell ref="M172:O172"/>
    <mergeCell ref="F183:H183"/>
    <mergeCell ref="M183:O183"/>
    <mergeCell ref="F184:H184"/>
    <mergeCell ref="M184:O184"/>
    <mergeCell ref="F185:H185"/>
    <mergeCell ref="M185:O185"/>
    <mergeCell ref="F186:H186"/>
    <mergeCell ref="M186:O186"/>
    <mergeCell ref="F187:H187"/>
    <mergeCell ref="M187:O187"/>
    <mergeCell ref="F178:H178"/>
    <mergeCell ref="M178:O178"/>
    <mergeCell ref="F179:H179"/>
    <mergeCell ref="M179:O179"/>
    <mergeCell ref="F180:H180"/>
    <mergeCell ref="M180:O180"/>
    <mergeCell ref="F181:H181"/>
    <mergeCell ref="M181:O181"/>
    <mergeCell ref="F182:H182"/>
    <mergeCell ref="M182:O182"/>
    <mergeCell ref="F193:H193"/>
    <mergeCell ref="M193:O193"/>
    <mergeCell ref="F194:H194"/>
    <mergeCell ref="M194:O194"/>
    <mergeCell ref="F195:H195"/>
    <mergeCell ref="M195:O195"/>
    <mergeCell ref="F196:H196"/>
    <mergeCell ref="M196:O196"/>
    <mergeCell ref="F197:H197"/>
    <mergeCell ref="M197:O197"/>
    <mergeCell ref="F188:H188"/>
    <mergeCell ref="M188:O188"/>
    <mergeCell ref="F189:H189"/>
    <mergeCell ref="M189:O189"/>
    <mergeCell ref="F190:H190"/>
    <mergeCell ref="M190:O190"/>
    <mergeCell ref="F191:H191"/>
    <mergeCell ref="M191:O191"/>
    <mergeCell ref="F192:H192"/>
    <mergeCell ref="M192:O192"/>
    <mergeCell ref="F203:H203"/>
    <mergeCell ref="M203:O203"/>
    <mergeCell ref="F204:H204"/>
    <mergeCell ref="M204:O204"/>
    <mergeCell ref="F205:H205"/>
    <mergeCell ref="M205:O205"/>
    <mergeCell ref="F206:H206"/>
    <mergeCell ref="M206:O206"/>
    <mergeCell ref="F207:H207"/>
    <mergeCell ref="M207:O207"/>
    <mergeCell ref="F198:H198"/>
    <mergeCell ref="M198:O198"/>
    <mergeCell ref="F199:H199"/>
    <mergeCell ref="M199:O199"/>
    <mergeCell ref="F200:H200"/>
    <mergeCell ref="M200:O200"/>
    <mergeCell ref="F201:H201"/>
    <mergeCell ref="M201:O201"/>
    <mergeCell ref="F202:H202"/>
    <mergeCell ref="M202:O202"/>
    <mergeCell ref="F213:H213"/>
    <mergeCell ref="M213:O213"/>
    <mergeCell ref="F214:H214"/>
    <mergeCell ref="M214:O214"/>
    <mergeCell ref="F215:H215"/>
    <mergeCell ref="M215:O215"/>
    <mergeCell ref="F216:H216"/>
    <mergeCell ref="M216:O216"/>
    <mergeCell ref="F217:H217"/>
    <mergeCell ref="M217:O217"/>
    <mergeCell ref="F208:H208"/>
    <mergeCell ref="M208:O208"/>
    <mergeCell ref="F209:H209"/>
    <mergeCell ref="M209:O209"/>
    <mergeCell ref="F210:H210"/>
    <mergeCell ref="M210:O210"/>
    <mergeCell ref="F211:H211"/>
    <mergeCell ref="M211:O211"/>
    <mergeCell ref="F212:H212"/>
    <mergeCell ref="M212:O212"/>
    <mergeCell ref="F223:H223"/>
    <mergeCell ref="M223:O223"/>
    <mergeCell ref="F224:H224"/>
    <mergeCell ref="M224:O224"/>
    <mergeCell ref="F225:H225"/>
    <mergeCell ref="M225:O225"/>
    <mergeCell ref="F226:H226"/>
    <mergeCell ref="M226:O226"/>
    <mergeCell ref="F227:H227"/>
    <mergeCell ref="M227:O227"/>
    <mergeCell ref="F218:H218"/>
    <mergeCell ref="M218:O218"/>
    <mergeCell ref="F219:H219"/>
    <mergeCell ref="M219:O219"/>
    <mergeCell ref="F220:H220"/>
    <mergeCell ref="M220:O220"/>
    <mergeCell ref="F221:H221"/>
    <mergeCell ref="M221:O221"/>
    <mergeCell ref="F222:H222"/>
    <mergeCell ref="M222:O222"/>
    <mergeCell ref="F233:H233"/>
    <mergeCell ref="M233:O233"/>
    <mergeCell ref="F234:H234"/>
    <mergeCell ref="M234:O234"/>
    <mergeCell ref="F235:H235"/>
    <mergeCell ref="M235:O235"/>
    <mergeCell ref="F236:H236"/>
    <mergeCell ref="M236:O236"/>
    <mergeCell ref="F237:H237"/>
    <mergeCell ref="M237:O237"/>
    <mergeCell ref="F228:H228"/>
    <mergeCell ref="M228:O228"/>
    <mergeCell ref="F229:H229"/>
    <mergeCell ref="M229:O229"/>
    <mergeCell ref="F230:H230"/>
    <mergeCell ref="M230:O230"/>
    <mergeCell ref="F231:H231"/>
    <mergeCell ref="M231:O231"/>
    <mergeCell ref="F232:H232"/>
    <mergeCell ref="M232:O232"/>
    <mergeCell ref="F243:H243"/>
    <mergeCell ref="M243:O243"/>
    <mergeCell ref="F244:H244"/>
    <mergeCell ref="M244:O244"/>
    <mergeCell ref="F245:H245"/>
    <mergeCell ref="M245:O245"/>
    <mergeCell ref="F246:H246"/>
    <mergeCell ref="M246:O246"/>
    <mergeCell ref="F247:H247"/>
    <mergeCell ref="M247:O247"/>
    <mergeCell ref="F238:H238"/>
    <mergeCell ref="M238:O238"/>
    <mergeCell ref="F239:H239"/>
    <mergeCell ref="M239:O239"/>
    <mergeCell ref="F240:H240"/>
    <mergeCell ref="M240:O240"/>
    <mergeCell ref="F241:H241"/>
    <mergeCell ref="M241:O241"/>
    <mergeCell ref="F242:H242"/>
    <mergeCell ref="M242:O242"/>
    <mergeCell ref="F253:H253"/>
    <mergeCell ref="M253:O253"/>
    <mergeCell ref="F254:H254"/>
    <mergeCell ref="M254:O254"/>
    <mergeCell ref="F255:H255"/>
    <mergeCell ref="M255:O255"/>
    <mergeCell ref="F256:H256"/>
    <mergeCell ref="M256:O256"/>
    <mergeCell ref="F257:H257"/>
    <mergeCell ref="M257:O257"/>
    <mergeCell ref="F248:H248"/>
    <mergeCell ref="M248:O248"/>
    <mergeCell ref="F249:H249"/>
    <mergeCell ref="M249:O249"/>
    <mergeCell ref="F250:H250"/>
    <mergeCell ref="M250:O250"/>
    <mergeCell ref="F251:H251"/>
    <mergeCell ref="M251:O251"/>
    <mergeCell ref="F252:H252"/>
    <mergeCell ref="M252:O252"/>
    <mergeCell ref="F263:H263"/>
    <mergeCell ref="M263:O263"/>
    <mergeCell ref="F264:H264"/>
    <mergeCell ref="M264:O264"/>
    <mergeCell ref="F265:H265"/>
    <mergeCell ref="M265:O265"/>
    <mergeCell ref="F266:H266"/>
    <mergeCell ref="M266:O266"/>
    <mergeCell ref="F267:H267"/>
    <mergeCell ref="M267:O267"/>
    <mergeCell ref="F258:H258"/>
    <mergeCell ref="M258:O258"/>
    <mergeCell ref="F259:H259"/>
    <mergeCell ref="M259:O259"/>
    <mergeCell ref="F260:H260"/>
    <mergeCell ref="M260:O260"/>
    <mergeCell ref="F261:H261"/>
    <mergeCell ref="M261:O261"/>
    <mergeCell ref="F262:H262"/>
    <mergeCell ref="M262:O262"/>
    <mergeCell ref="F273:H273"/>
    <mergeCell ref="M273:O273"/>
    <mergeCell ref="F274:H274"/>
    <mergeCell ref="M274:O274"/>
    <mergeCell ref="F275:H275"/>
    <mergeCell ref="M275:O275"/>
    <mergeCell ref="F276:H276"/>
    <mergeCell ref="M276:O276"/>
    <mergeCell ref="F277:H277"/>
    <mergeCell ref="M277:O277"/>
    <mergeCell ref="F268:H268"/>
    <mergeCell ref="M268:O268"/>
    <mergeCell ref="F269:H269"/>
    <mergeCell ref="M269:O269"/>
    <mergeCell ref="F270:H270"/>
    <mergeCell ref="M270:O270"/>
    <mergeCell ref="F271:H271"/>
    <mergeCell ref="M271:O271"/>
    <mergeCell ref="F272:H272"/>
    <mergeCell ref="M272:O272"/>
    <mergeCell ref="F283:H283"/>
    <mergeCell ref="M283:O283"/>
    <mergeCell ref="F284:H284"/>
    <mergeCell ref="M284:O284"/>
    <mergeCell ref="F285:H285"/>
    <mergeCell ref="M285:O285"/>
    <mergeCell ref="F286:H286"/>
    <mergeCell ref="M286:O286"/>
    <mergeCell ref="F287:H287"/>
    <mergeCell ref="M287:O287"/>
    <mergeCell ref="F278:H278"/>
    <mergeCell ref="M278:O278"/>
    <mergeCell ref="F279:H279"/>
    <mergeCell ref="M279:O279"/>
    <mergeCell ref="F280:H280"/>
    <mergeCell ref="M280:O280"/>
    <mergeCell ref="F281:H281"/>
    <mergeCell ref="M281:O281"/>
    <mergeCell ref="F282:H282"/>
    <mergeCell ref="M282:O282"/>
    <mergeCell ref="F293:H293"/>
    <mergeCell ref="M293:O293"/>
    <mergeCell ref="F294:H294"/>
    <mergeCell ref="M294:O294"/>
    <mergeCell ref="F295:H295"/>
    <mergeCell ref="M295:O295"/>
    <mergeCell ref="F296:H296"/>
    <mergeCell ref="M296:O296"/>
    <mergeCell ref="F297:H297"/>
    <mergeCell ref="M297:O297"/>
    <mergeCell ref="F288:H288"/>
    <mergeCell ref="M288:O288"/>
    <mergeCell ref="F289:H289"/>
    <mergeCell ref="M289:O289"/>
    <mergeCell ref="F290:H290"/>
    <mergeCell ref="M290:O290"/>
    <mergeCell ref="F291:H291"/>
    <mergeCell ref="M291:O291"/>
    <mergeCell ref="F292:H292"/>
    <mergeCell ref="M292:O292"/>
    <mergeCell ref="F303:H303"/>
    <mergeCell ref="M303:O303"/>
    <mergeCell ref="F304:H304"/>
    <mergeCell ref="M304:O304"/>
    <mergeCell ref="F305:H305"/>
    <mergeCell ref="M305:O305"/>
    <mergeCell ref="F306:H306"/>
    <mergeCell ref="M306:O306"/>
    <mergeCell ref="F307:H307"/>
    <mergeCell ref="M307:O307"/>
    <mergeCell ref="F298:H298"/>
    <mergeCell ref="M298:O298"/>
    <mergeCell ref="F299:H299"/>
    <mergeCell ref="M299:O299"/>
    <mergeCell ref="F300:H300"/>
    <mergeCell ref="M300:O300"/>
    <mergeCell ref="F301:H301"/>
    <mergeCell ref="M301:O301"/>
    <mergeCell ref="F302:H302"/>
    <mergeCell ref="M302:O302"/>
    <mergeCell ref="F313:H313"/>
    <mergeCell ref="M313:O313"/>
    <mergeCell ref="F314:H314"/>
    <mergeCell ref="M314:O314"/>
    <mergeCell ref="F315:H315"/>
    <mergeCell ref="M315:O315"/>
    <mergeCell ref="F316:H316"/>
    <mergeCell ref="M316:O316"/>
    <mergeCell ref="F317:H317"/>
    <mergeCell ref="M317:O317"/>
    <mergeCell ref="F308:H308"/>
    <mergeCell ref="M308:O308"/>
    <mergeCell ref="F309:H309"/>
    <mergeCell ref="M309:O309"/>
    <mergeCell ref="F310:H310"/>
    <mergeCell ref="M310:O310"/>
    <mergeCell ref="F311:H311"/>
    <mergeCell ref="M311:O311"/>
    <mergeCell ref="F312:H312"/>
    <mergeCell ref="M312:O312"/>
    <mergeCell ref="F323:H323"/>
    <mergeCell ref="M323:O323"/>
    <mergeCell ref="F324:H324"/>
    <mergeCell ref="M324:O324"/>
    <mergeCell ref="F325:H325"/>
    <mergeCell ref="M325:O325"/>
    <mergeCell ref="F326:H326"/>
    <mergeCell ref="M326:O326"/>
    <mergeCell ref="F327:H327"/>
    <mergeCell ref="M327:O327"/>
    <mergeCell ref="F318:H318"/>
    <mergeCell ref="M318:O318"/>
    <mergeCell ref="F319:H319"/>
    <mergeCell ref="M319:O319"/>
    <mergeCell ref="F320:H320"/>
    <mergeCell ref="M320:O320"/>
    <mergeCell ref="F321:H321"/>
    <mergeCell ref="M321:O321"/>
    <mergeCell ref="F322:H322"/>
    <mergeCell ref="M322:O322"/>
    <mergeCell ref="F333:H333"/>
    <mergeCell ref="M333:O333"/>
    <mergeCell ref="F334:H334"/>
    <mergeCell ref="M334:O334"/>
    <mergeCell ref="F335:H335"/>
    <mergeCell ref="M335:O335"/>
    <mergeCell ref="F336:H336"/>
    <mergeCell ref="M336:O336"/>
    <mergeCell ref="F337:H337"/>
    <mergeCell ref="M337:O337"/>
    <mergeCell ref="F328:H328"/>
    <mergeCell ref="M328:O328"/>
    <mergeCell ref="F329:H329"/>
    <mergeCell ref="M329:O329"/>
    <mergeCell ref="F330:H330"/>
    <mergeCell ref="M330:O330"/>
    <mergeCell ref="F331:H331"/>
    <mergeCell ref="M331:O331"/>
    <mergeCell ref="F332:H332"/>
    <mergeCell ref="M332:O332"/>
    <mergeCell ref="F343:H343"/>
    <mergeCell ref="M343:O343"/>
    <mergeCell ref="F344:H344"/>
    <mergeCell ref="M344:O344"/>
    <mergeCell ref="F345:H345"/>
    <mergeCell ref="M345:O345"/>
    <mergeCell ref="F346:H346"/>
    <mergeCell ref="M346:O346"/>
    <mergeCell ref="F347:H347"/>
    <mergeCell ref="M347:O347"/>
    <mergeCell ref="F338:H338"/>
    <mergeCell ref="M338:O338"/>
    <mergeCell ref="F339:H339"/>
    <mergeCell ref="M339:O339"/>
    <mergeCell ref="F340:H340"/>
    <mergeCell ref="M340:O340"/>
    <mergeCell ref="F341:H341"/>
    <mergeCell ref="M341:O341"/>
    <mergeCell ref="F342:H342"/>
    <mergeCell ref="M342:O342"/>
    <mergeCell ref="F353:H353"/>
    <mergeCell ref="M353:O353"/>
    <mergeCell ref="F354:H354"/>
    <mergeCell ref="M354:O354"/>
    <mergeCell ref="F355:H355"/>
    <mergeCell ref="M355:O355"/>
    <mergeCell ref="F356:H356"/>
    <mergeCell ref="M356:O356"/>
    <mergeCell ref="F357:H357"/>
    <mergeCell ref="M357:O357"/>
    <mergeCell ref="F348:H348"/>
    <mergeCell ref="M348:O348"/>
    <mergeCell ref="F349:H349"/>
    <mergeCell ref="M349:O349"/>
    <mergeCell ref="F350:H350"/>
    <mergeCell ref="M350:O350"/>
    <mergeCell ref="F351:H351"/>
    <mergeCell ref="M351:O351"/>
    <mergeCell ref="F352:H352"/>
    <mergeCell ref="M352:O352"/>
    <mergeCell ref="F363:H363"/>
    <mergeCell ref="M363:O363"/>
    <mergeCell ref="F364:H364"/>
    <mergeCell ref="M364:O364"/>
    <mergeCell ref="F365:H365"/>
    <mergeCell ref="M365:O365"/>
    <mergeCell ref="F366:H366"/>
    <mergeCell ref="M366:O366"/>
    <mergeCell ref="F367:H367"/>
    <mergeCell ref="M367:O367"/>
    <mergeCell ref="F358:H358"/>
    <mergeCell ref="M358:O358"/>
    <mergeCell ref="F359:H359"/>
    <mergeCell ref="M359:O359"/>
    <mergeCell ref="F360:H360"/>
    <mergeCell ref="M360:O360"/>
    <mergeCell ref="F361:H361"/>
    <mergeCell ref="M361:O361"/>
    <mergeCell ref="F362:H362"/>
    <mergeCell ref="M362:O362"/>
    <mergeCell ref="F373:H373"/>
    <mergeCell ref="M373:O373"/>
    <mergeCell ref="F374:H374"/>
    <mergeCell ref="M374:O374"/>
    <mergeCell ref="F375:H375"/>
    <mergeCell ref="M375:O375"/>
    <mergeCell ref="F376:H376"/>
    <mergeCell ref="M376:O376"/>
    <mergeCell ref="F377:H377"/>
    <mergeCell ref="M377:O377"/>
    <mergeCell ref="F368:H368"/>
    <mergeCell ref="M368:O368"/>
    <mergeCell ref="F369:H369"/>
    <mergeCell ref="M369:O369"/>
    <mergeCell ref="F370:H370"/>
    <mergeCell ref="M370:O370"/>
    <mergeCell ref="F371:H371"/>
    <mergeCell ref="M371:O371"/>
    <mergeCell ref="F372:H372"/>
    <mergeCell ref="M372:O372"/>
    <mergeCell ref="F383:H383"/>
    <mergeCell ref="M383:O383"/>
    <mergeCell ref="F384:H384"/>
    <mergeCell ref="M384:O384"/>
    <mergeCell ref="F385:H385"/>
    <mergeCell ref="M385:O385"/>
    <mergeCell ref="F386:H386"/>
    <mergeCell ref="M386:O386"/>
    <mergeCell ref="F387:H387"/>
    <mergeCell ref="M387:O387"/>
    <mergeCell ref="F378:H378"/>
    <mergeCell ref="M378:O378"/>
    <mergeCell ref="F379:H379"/>
    <mergeCell ref="M379:O379"/>
    <mergeCell ref="F380:H380"/>
    <mergeCell ref="M380:O380"/>
    <mergeCell ref="F381:H381"/>
    <mergeCell ref="M381:O381"/>
    <mergeCell ref="F382:H382"/>
    <mergeCell ref="M382:O382"/>
    <mergeCell ref="F393:H393"/>
    <mergeCell ref="M393:O393"/>
    <mergeCell ref="F394:H394"/>
    <mergeCell ref="M394:O394"/>
    <mergeCell ref="F395:H395"/>
    <mergeCell ref="M395:O395"/>
    <mergeCell ref="F396:H396"/>
    <mergeCell ref="M396:O396"/>
    <mergeCell ref="F397:H397"/>
    <mergeCell ref="M397:O397"/>
    <mergeCell ref="F388:H388"/>
    <mergeCell ref="M388:O388"/>
    <mergeCell ref="F389:H389"/>
    <mergeCell ref="M389:O389"/>
    <mergeCell ref="F390:H390"/>
    <mergeCell ref="M390:O390"/>
    <mergeCell ref="F391:H391"/>
    <mergeCell ref="M391:O391"/>
    <mergeCell ref="F392:H392"/>
    <mergeCell ref="M392:O392"/>
    <mergeCell ref="F403:H403"/>
    <mergeCell ref="M403:O403"/>
    <mergeCell ref="F404:H404"/>
    <mergeCell ref="M404:O404"/>
    <mergeCell ref="F405:H405"/>
    <mergeCell ref="M405:O405"/>
    <mergeCell ref="F406:H406"/>
    <mergeCell ref="M406:O406"/>
    <mergeCell ref="F407:H407"/>
    <mergeCell ref="M407:O407"/>
    <mergeCell ref="F398:H398"/>
    <mergeCell ref="M398:O398"/>
    <mergeCell ref="F399:H399"/>
    <mergeCell ref="M399:O399"/>
    <mergeCell ref="F400:H400"/>
    <mergeCell ref="M400:O400"/>
    <mergeCell ref="F401:H401"/>
    <mergeCell ref="M401:O401"/>
    <mergeCell ref="F402:H402"/>
    <mergeCell ref="M402:O402"/>
    <mergeCell ref="F413:H413"/>
    <mergeCell ref="M413:O413"/>
    <mergeCell ref="F414:H414"/>
    <mergeCell ref="M414:O414"/>
    <mergeCell ref="F415:H415"/>
    <mergeCell ref="M415:O415"/>
    <mergeCell ref="F416:H416"/>
    <mergeCell ref="M416:O416"/>
    <mergeCell ref="F417:H417"/>
    <mergeCell ref="M417:O417"/>
    <mergeCell ref="F408:H408"/>
    <mergeCell ref="M408:O408"/>
    <mergeCell ref="F409:H409"/>
    <mergeCell ref="M409:O409"/>
    <mergeCell ref="F410:H410"/>
    <mergeCell ref="M410:O410"/>
    <mergeCell ref="F411:H411"/>
    <mergeCell ref="M411:O411"/>
    <mergeCell ref="F412:H412"/>
    <mergeCell ref="M412:O412"/>
    <mergeCell ref="F423:H423"/>
    <mergeCell ref="M423:O423"/>
    <mergeCell ref="F424:H424"/>
    <mergeCell ref="M424:O424"/>
    <mergeCell ref="F425:H425"/>
    <mergeCell ref="M425:O425"/>
    <mergeCell ref="F426:H426"/>
    <mergeCell ref="M426:O426"/>
    <mergeCell ref="F427:H427"/>
    <mergeCell ref="M427:O427"/>
    <mergeCell ref="F418:H418"/>
    <mergeCell ref="M418:O418"/>
    <mergeCell ref="F419:H419"/>
    <mergeCell ref="M419:O419"/>
    <mergeCell ref="F420:H420"/>
    <mergeCell ref="M420:O420"/>
    <mergeCell ref="F421:H421"/>
    <mergeCell ref="M421:O421"/>
    <mergeCell ref="F422:H422"/>
    <mergeCell ref="M422:O422"/>
    <mergeCell ref="F433:H433"/>
    <mergeCell ref="M433:O433"/>
    <mergeCell ref="F434:H434"/>
    <mergeCell ref="M434:O434"/>
    <mergeCell ref="F435:H435"/>
    <mergeCell ref="M435:O435"/>
    <mergeCell ref="F436:H436"/>
    <mergeCell ref="M436:O436"/>
    <mergeCell ref="F437:H437"/>
    <mergeCell ref="M437:O437"/>
    <mergeCell ref="F428:H428"/>
    <mergeCell ref="M428:O428"/>
    <mergeCell ref="F429:H429"/>
    <mergeCell ref="M429:O429"/>
    <mergeCell ref="F430:H430"/>
    <mergeCell ref="M430:O430"/>
    <mergeCell ref="F431:H431"/>
    <mergeCell ref="M431:O431"/>
    <mergeCell ref="F432:H432"/>
    <mergeCell ref="M432:O432"/>
    <mergeCell ref="F443:H443"/>
    <mergeCell ref="M443:O443"/>
    <mergeCell ref="F444:H444"/>
    <mergeCell ref="M444:O444"/>
    <mergeCell ref="F445:H445"/>
    <mergeCell ref="M445:O445"/>
    <mergeCell ref="F446:H446"/>
    <mergeCell ref="M446:O446"/>
    <mergeCell ref="F447:H447"/>
    <mergeCell ref="M447:O447"/>
    <mergeCell ref="F438:H438"/>
    <mergeCell ref="M438:O438"/>
    <mergeCell ref="F439:H439"/>
    <mergeCell ref="M439:O439"/>
    <mergeCell ref="F440:H440"/>
    <mergeCell ref="M440:O440"/>
    <mergeCell ref="F441:H441"/>
    <mergeCell ref="M441:O441"/>
    <mergeCell ref="F442:H442"/>
    <mergeCell ref="M442:O442"/>
    <mergeCell ref="F453:H453"/>
    <mergeCell ref="M453:O453"/>
    <mergeCell ref="F454:H454"/>
    <mergeCell ref="M454:O454"/>
    <mergeCell ref="F455:H455"/>
    <mergeCell ref="M455:O455"/>
    <mergeCell ref="F456:H456"/>
    <mergeCell ref="M456:O456"/>
    <mergeCell ref="F457:H457"/>
    <mergeCell ref="M457:O457"/>
    <mergeCell ref="F448:H448"/>
    <mergeCell ref="M448:O448"/>
    <mergeCell ref="F449:H449"/>
    <mergeCell ref="M449:O449"/>
    <mergeCell ref="F450:H450"/>
    <mergeCell ref="M450:O450"/>
    <mergeCell ref="F451:H451"/>
    <mergeCell ref="M451:O451"/>
    <mergeCell ref="F452:H452"/>
    <mergeCell ref="M452:O452"/>
    <mergeCell ref="F463:H463"/>
    <mergeCell ref="M463:O463"/>
    <mergeCell ref="F464:H464"/>
    <mergeCell ref="M464:O464"/>
    <mergeCell ref="F465:H465"/>
    <mergeCell ref="M465:O465"/>
    <mergeCell ref="F466:H466"/>
    <mergeCell ref="M466:O466"/>
    <mergeCell ref="F467:H467"/>
    <mergeCell ref="M467:O467"/>
    <mergeCell ref="F458:H458"/>
    <mergeCell ref="M458:O458"/>
    <mergeCell ref="F459:H459"/>
    <mergeCell ref="M459:O459"/>
    <mergeCell ref="F460:H460"/>
    <mergeCell ref="M460:O460"/>
    <mergeCell ref="F461:H461"/>
    <mergeCell ref="M461:O461"/>
    <mergeCell ref="F462:H462"/>
    <mergeCell ref="M462:O462"/>
    <mergeCell ref="F473:H473"/>
    <mergeCell ref="M473:O473"/>
    <mergeCell ref="F474:H474"/>
    <mergeCell ref="M474:O474"/>
    <mergeCell ref="F475:H475"/>
    <mergeCell ref="M475:O475"/>
    <mergeCell ref="F476:H476"/>
    <mergeCell ref="M476:O476"/>
    <mergeCell ref="F477:H477"/>
    <mergeCell ref="M477:O477"/>
    <mergeCell ref="F468:H468"/>
    <mergeCell ref="M468:O468"/>
    <mergeCell ref="F469:H469"/>
    <mergeCell ref="M469:O469"/>
    <mergeCell ref="F470:H470"/>
    <mergeCell ref="M470:O470"/>
    <mergeCell ref="F471:H471"/>
    <mergeCell ref="M471:O471"/>
    <mergeCell ref="F472:H472"/>
    <mergeCell ref="M472:O472"/>
    <mergeCell ref="F483:H483"/>
    <mergeCell ref="M483:O483"/>
    <mergeCell ref="F484:H484"/>
    <mergeCell ref="M484:O484"/>
    <mergeCell ref="F485:H485"/>
    <mergeCell ref="M485:O485"/>
    <mergeCell ref="F486:H486"/>
    <mergeCell ref="M486:O486"/>
    <mergeCell ref="F487:H487"/>
    <mergeCell ref="M487:O487"/>
    <mergeCell ref="F478:H478"/>
    <mergeCell ref="M478:O478"/>
    <mergeCell ref="F479:H479"/>
    <mergeCell ref="M479:O479"/>
    <mergeCell ref="F480:H480"/>
    <mergeCell ref="M480:O480"/>
    <mergeCell ref="F481:H481"/>
    <mergeCell ref="M481:O481"/>
    <mergeCell ref="F482:H482"/>
    <mergeCell ref="M482:O482"/>
    <mergeCell ref="F493:H493"/>
    <mergeCell ref="M493:O493"/>
    <mergeCell ref="F494:H494"/>
    <mergeCell ref="M494:O494"/>
    <mergeCell ref="F495:H495"/>
    <mergeCell ref="M495:O495"/>
    <mergeCell ref="F496:H496"/>
    <mergeCell ref="M496:O496"/>
    <mergeCell ref="F497:H497"/>
    <mergeCell ref="M497:O497"/>
    <mergeCell ref="F488:H488"/>
    <mergeCell ref="M488:O488"/>
    <mergeCell ref="F489:H489"/>
    <mergeCell ref="M489:O489"/>
    <mergeCell ref="F490:H490"/>
    <mergeCell ref="M490:O490"/>
    <mergeCell ref="F491:H491"/>
    <mergeCell ref="M491:O491"/>
    <mergeCell ref="F492:H492"/>
    <mergeCell ref="M492:O492"/>
    <mergeCell ref="F503:H503"/>
    <mergeCell ref="M503:O503"/>
    <mergeCell ref="F504:H504"/>
    <mergeCell ref="M504:O504"/>
    <mergeCell ref="F505:H505"/>
    <mergeCell ref="M505:O505"/>
    <mergeCell ref="F506:H506"/>
    <mergeCell ref="M506:O506"/>
    <mergeCell ref="F507:H507"/>
    <mergeCell ref="M507:O507"/>
    <mergeCell ref="F498:H498"/>
    <mergeCell ref="M498:O498"/>
    <mergeCell ref="F499:H499"/>
    <mergeCell ref="M499:O499"/>
    <mergeCell ref="F500:H500"/>
    <mergeCell ref="M500:O500"/>
    <mergeCell ref="F501:H501"/>
    <mergeCell ref="M501:O501"/>
    <mergeCell ref="F502:H502"/>
    <mergeCell ref="M502:O502"/>
    <mergeCell ref="F513:H513"/>
    <mergeCell ref="M513:O513"/>
    <mergeCell ref="F514:H514"/>
    <mergeCell ref="M514:O514"/>
    <mergeCell ref="F515:H515"/>
    <mergeCell ref="M515:O515"/>
    <mergeCell ref="F516:H516"/>
    <mergeCell ref="M516:O516"/>
    <mergeCell ref="F517:H517"/>
    <mergeCell ref="M517:O517"/>
    <mergeCell ref="F508:H508"/>
    <mergeCell ref="M508:O508"/>
    <mergeCell ref="F509:H509"/>
    <mergeCell ref="M509:O509"/>
    <mergeCell ref="F510:H510"/>
    <mergeCell ref="M510:O510"/>
    <mergeCell ref="F511:H511"/>
    <mergeCell ref="M511:O511"/>
    <mergeCell ref="F512:H512"/>
    <mergeCell ref="M512:O512"/>
    <mergeCell ref="F523:H523"/>
    <mergeCell ref="M523:O523"/>
    <mergeCell ref="F524:H524"/>
    <mergeCell ref="M524:O524"/>
    <mergeCell ref="F525:H525"/>
    <mergeCell ref="M525:O525"/>
    <mergeCell ref="F526:H526"/>
    <mergeCell ref="M526:O526"/>
    <mergeCell ref="F527:H527"/>
    <mergeCell ref="M527:O527"/>
    <mergeCell ref="F518:H518"/>
    <mergeCell ref="M518:O518"/>
    <mergeCell ref="F519:H519"/>
    <mergeCell ref="M519:O519"/>
    <mergeCell ref="F520:H520"/>
    <mergeCell ref="M520:O520"/>
    <mergeCell ref="F521:H521"/>
    <mergeCell ref="M521:O521"/>
    <mergeCell ref="F522:H522"/>
    <mergeCell ref="M522:O522"/>
    <mergeCell ref="F533:H533"/>
    <mergeCell ref="M533:O533"/>
    <mergeCell ref="F534:H534"/>
    <mergeCell ref="M534:O534"/>
    <mergeCell ref="F535:H535"/>
    <mergeCell ref="M535:O535"/>
    <mergeCell ref="F536:H536"/>
    <mergeCell ref="M536:O536"/>
    <mergeCell ref="F537:H537"/>
    <mergeCell ref="M537:O537"/>
    <mergeCell ref="F528:H528"/>
    <mergeCell ref="M528:O528"/>
    <mergeCell ref="F529:H529"/>
    <mergeCell ref="M529:O529"/>
    <mergeCell ref="F530:H530"/>
    <mergeCell ref="M530:O530"/>
    <mergeCell ref="F531:H531"/>
    <mergeCell ref="M531:O531"/>
    <mergeCell ref="F532:H532"/>
    <mergeCell ref="M532:O532"/>
    <mergeCell ref="F543:H543"/>
    <mergeCell ref="M543:O543"/>
    <mergeCell ref="F544:H544"/>
    <mergeCell ref="M544:O544"/>
    <mergeCell ref="F545:H545"/>
    <mergeCell ref="M545:O545"/>
    <mergeCell ref="F546:H546"/>
    <mergeCell ref="M546:O546"/>
    <mergeCell ref="F547:H547"/>
    <mergeCell ref="M547:O547"/>
    <mergeCell ref="F538:H538"/>
    <mergeCell ref="M538:O538"/>
    <mergeCell ref="F539:H539"/>
    <mergeCell ref="M539:O539"/>
    <mergeCell ref="F540:H540"/>
    <mergeCell ref="M540:O540"/>
    <mergeCell ref="F541:H541"/>
    <mergeCell ref="M541:O541"/>
    <mergeCell ref="F542:H542"/>
    <mergeCell ref="M542:O542"/>
    <mergeCell ref="F553:H553"/>
    <mergeCell ref="M553:O553"/>
    <mergeCell ref="F554:H554"/>
    <mergeCell ref="M554:O554"/>
    <mergeCell ref="F555:H555"/>
    <mergeCell ref="M555:O555"/>
    <mergeCell ref="F556:H556"/>
    <mergeCell ref="M556:O556"/>
    <mergeCell ref="F557:H557"/>
    <mergeCell ref="M557:O557"/>
    <mergeCell ref="F548:H548"/>
    <mergeCell ref="M548:O548"/>
    <mergeCell ref="F549:H549"/>
    <mergeCell ref="M549:O549"/>
    <mergeCell ref="F550:H550"/>
    <mergeCell ref="M550:O550"/>
    <mergeCell ref="F551:H551"/>
    <mergeCell ref="M551:O551"/>
    <mergeCell ref="F552:H552"/>
    <mergeCell ref="M552:O552"/>
    <mergeCell ref="F563:H563"/>
    <mergeCell ref="M563:O563"/>
    <mergeCell ref="F564:H564"/>
    <mergeCell ref="M564:O564"/>
    <mergeCell ref="F565:H565"/>
    <mergeCell ref="M565:O565"/>
    <mergeCell ref="F566:H566"/>
    <mergeCell ref="M566:O566"/>
    <mergeCell ref="F567:H567"/>
    <mergeCell ref="M567:O567"/>
    <mergeCell ref="F558:H558"/>
    <mergeCell ref="M558:O558"/>
    <mergeCell ref="F559:H559"/>
    <mergeCell ref="M559:O559"/>
    <mergeCell ref="F560:H560"/>
    <mergeCell ref="M560:O560"/>
    <mergeCell ref="F561:H561"/>
    <mergeCell ref="M561:O561"/>
    <mergeCell ref="F562:H562"/>
    <mergeCell ref="M562:O562"/>
    <mergeCell ref="F573:H573"/>
    <mergeCell ref="M573:O573"/>
    <mergeCell ref="F574:H574"/>
    <mergeCell ref="M574:O574"/>
    <mergeCell ref="F575:H575"/>
    <mergeCell ref="M575:O575"/>
    <mergeCell ref="F576:H576"/>
    <mergeCell ref="M576:O576"/>
    <mergeCell ref="F577:H577"/>
    <mergeCell ref="M577:O577"/>
    <mergeCell ref="F568:H568"/>
    <mergeCell ref="M568:O568"/>
    <mergeCell ref="F569:H569"/>
    <mergeCell ref="M569:O569"/>
    <mergeCell ref="F570:H570"/>
    <mergeCell ref="M570:O570"/>
    <mergeCell ref="F571:H571"/>
    <mergeCell ref="M571:O571"/>
    <mergeCell ref="F572:H572"/>
    <mergeCell ref="M572:O572"/>
    <mergeCell ref="F583:H583"/>
    <mergeCell ref="M583:O583"/>
    <mergeCell ref="F584:H584"/>
    <mergeCell ref="M584:O584"/>
    <mergeCell ref="F585:H585"/>
    <mergeCell ref="M585:O585"/>
    <mergeCell ref="F586:H586"/>
    <mergeCell ref="M586:O586"/>
    <mergeCell ref="F587:H587"/>
    <mergeCell ref="M587:O587"/>
    <mergeCell ref="F578:H578"/>
    <mergeCell ref="M578:O578"/>
    <mergeCell ref="F579:H579"/>
    <mergeCell ref="M579:O579"/>
    <mergeCell ref="F580:H580"/>
    <mergeCell ref="M580:O580"/>
    <mergeCell ref="F581:H581"/>
    <mergeCell ref="M581:O581"/>
    <mergeCell ref="F582:H582"/>
    <mergeCell ref="M582:O582"/>
    <mergeCell ref="F593:H593"/>
    <mergeCell ref="M593:O593"/>
    <mergeCell ref="F594:H594"/>
    <mergeCell ref="M594:O594"/>
    <mergeCell ref="F595:H595"/>
    <mergeCell ref="M595:O595"/>
    <mergeCell ref="F596:H596"/>
    <mergeCell ref="M596:O596"/>
    <mergeCell ref="F597:H597"/>
    <mergeCell ref="M597:O597"/>
    <mergeCell ref="F588:H588"/>
    <mergeCell ref="M588:O588"/>
    <mergeCell ref="F589:H589"/>
    <mergeCell ref="M589:O589"/>
    <mergeCell ref="F590:H590"/>
    <mergeCell ref="M590:O590"/>
    <mergeCell ref="F591:H591"/>
    <mergeCell ref="M591:O591"/>
    <mergeCell ref="F592:H592"/>
    <mergeCell ref="M592:O592"/>
    <mergeCell ref="F603:H603"/>
    <mergeCell ref="M603:O603"/>
    <mergeCell ref="F604:H604"/>
    <mergeCell ref="M604:O604"/>
    <mergeCell ref="F605:H605"/>
    <mergeCell ref="M605:O605"/>
    <mergeCell ref="F606:H606"/>
    <mergeCell ref="M606:O606"/>
    <mergeCell ref="F607:H607"/>
    <mergeCell ref="M607:O607"/>
    <mergeCell ref="F598:H598"/>
    <mergeCell ref="M598:O598"/>
    <mergeCell ref="F599:H599"/>
    <mergeCell ref="M599:O599"/>
    <mergeCell ref="F600:H600"/>
    <mergeCell ref="M600:O600"/>
    <mergeCell ref="F601:H601"/>
    <mergeCell ref="M601:O601"/>
    <mergeCell ref="F602:H602"/>
    <mergeCell ref="M602:O602"/>
    <mergeCell ref="F613:H613"/>
    <mergeCell ref="M613:O613"/>
    <mergeCell ref="F614:H614"/>
    <mergeCell ref="M614:O614"/>
    <mergeCell ref="F615:H615"/>
    <mergeCell ref="M615:O615"/>
    <mergeCell ref="F616:H616"/>
    <mergeCell ref="M616:O616"/>
    <mergeCell ref="F617:H617"/>
    <mergeCell ref="M617:O617"/>
    <mergeCell ref="F608:H608"/>
    <mergeCell ref="M608:O608"/>
    <mergeCell ref="F609:H609"/>
    <mergeCell ref="M609:O609"/>
    <mergeCell ref="F610:H610"/>
    <mergeCell ref="M610:O610"/>
    <mergeCell ref="F611:H611"/>
    <mergeCell ref="M611:O611"/>
    <mergeCell ref="F612:H612"/>
    <mergeCell ref="M612:O612"/>
    <mergeCell ref="F623:H623"/>
    <mergeCell ref="M623:O623"/>
    <mergeCell ref="F624:H624"/>
    <mergeCell ref="M624:O624"/>
    <mergeCell ref="F625:H625"/>
    <mergeCell ref="M625:O625"/>
    <mergeCell ref="F626:H626"/>
    <mergeCell ref="M626:O626"/>
    <mergeCell ref="F627:H627"/>
    <mergeCell ref="M627:O627"/>
    <mergeCell ref="F618:H618"/>
    <mergeCell ref="M618:O618"/>
    <mergeCell ref="F619:H619"/>
    <mergeCell ref="M619:O619"/>
    <mergeCell ref="F620:H620"/>
    <mergeCell ref="M620:O620"/>
    <mergeCell ref="F621:H621"/>
    <mergeCell ref="M621:O621"/>
    <mergeCell ref="F622:H622"/>
    <mergeCell ref="M622:O622"/>
    <mergeCell ref="F633:H633"/>
    <mergeCell ref="M633:O633"/>
    <mergeCell ref="F634:H634"/>
    <mergeCell ref="M634:O634"/>
    <mergeCell ref="F635:H635"/>
    <mergeCell ref="M635:O635"/>
    <mergeCell ref="F636:H636"/>
    <mergeCell ref="M636:O636"/>
    <mergeCell ref="F637:H637"/>
    <mergeCell ref="M637:O637"/>
    <mergeCell ref="F628:H628"/>
    <mergeCell ref="M628:O628"/>
    <mergeCell ref="F629:H629"/>
    <mergeCell ref="M629:O629"/>
    <mergeCell ref="F630:H630"/>
    <mergeCell ref="M630:O630"/>
    <mergeCell ref="F631:H631"/>
    <mergeCell ref="M631:O631"/>
    <mergeCell ref="F632:H632"/>
    <mergeCell ref="M632:O632"/>
    <mergeCell ref="F643:H643"/>
    <mergeCell ref="M643:O643"/>
    <mergeCell ref="F644:H644"/>
    <mergeCell ref="M644:O644"/>
    <mergeCell ref="F645:H645"/>
    <mergeCell ref="M645:O645"/>
    <mergeCell ref="F646:H646"/>
    <mergeCell ref="M646:O646"/>
    <mergeCell ref="F647:H647"/>
    <mergeCell ref="M647:O647"/>
    <mergeCell ref="F638:H638"/>
    <mergeCell ref="M638:O638"/>
    <mergeCell ref="F639:H639"/>
    <mergeCell ref="M639:O639"/>
    <mergeCell ref="F640:H640"/>
    <mergeCell ref="M640:O640"/>
    <mergeCell ref="F641:H641"/>
    <mergeCell ref="M641:O641"/>
    <mergeCell ref="F642:H642"/>
    <mergeCell ref="M642:O642"/>
    <mergeCell ref="F653:H653"/>
    <mergeCell ref="M653:O653"/>
    <mergeCell ref="F654:H654"/>
    <mergeCell ref="M654:O654"/>
    <mergeCell ref="F655:H655"/>
    <mergeCell ref="M655:O655"/>
    <mergeCell ref="F656:H656"/>
    <mergeCell ref="M656:O656"/>
    <mergeCell ref="F657:H657"/>
    <mergeCell ref="M657:O657"/>
    <mergeCell ref="F648:H648"/>
    <mergeCell ref="M648:O648"/>
    <mergeCell ref="F649:H649"/>
    <mergeCell ref="M649:O649"/>
    <mergeCell ref="F650:H650"/>
    <mergeCell ref="M650:O650"/>
    <mergeCell ref="F651:H651"/>
    <mergeCell ref="M651:O651"/>
    <mergeCell ref="F652:H652"/>
    <mergeCell ref="M652:O652"/>
    <mergeCell ref="F663:H663"/>
    <mergeCell ref="M663:O663"/>
    <mergeCell ref="F664:H664"/>
    <mergeCell ref="M664:O664"/>
    <mergeCell ref="F665:H665"/>
    <mergeCell ref="M665:O665"/>
    <mergeCell ref="F666:H666"/>
    <mergeCell ref="M666:O666"/>
    <mergeCell ref="F667:H667"/>
    <mergeCell ref="M667:O667"/>
    <mergeCell ref="F658:H658"/>
    <mergeCell ref="M658:O658"/>
    <mergeCell ref="F659:H659"/>
    <mergeCell ref="M659:O659"/>
    <mergeCell ref="F660:H660"/>
    <mergeCell ref="M660:O660"/>
    <mergeCell ref="F661:H661"/>
    <mergeCell ref="M661:O661"/>
    <mergeCell ref="F662:H662"/>
    <mergeCell ref="M662:O662"/>
    <mergeCell ref="F684:H684"/>
    <mergeCell ref="M684:O684"/>
    <mergeCell ref="F685:H685"/>
    <mergeCell ref="M685:O685"/>
    <mergeCell ref="F686:H686"/>
    <mergeCell ref="M686:O686"/>
    <mergeCell ref="F687:H687"/>
    <mergeCell ref="M687:O687"/>
    <mergeCell ref="F678:H678"/>
    <mergeCell ref="M678:O678"/>
    <mergeCell ref="F679:H679"/>
    <mergeCell ref="M679:O679"/>
    <mergeCell ref="F680:H680"/>
    <mergeCell ref="M680:O680"/>
    <mergeCell ref="F681:H681"/>
    <mergeCell ref="M681:O681"/>
    <mergeCell ref="F682:H682"/>
    <mergeCell ref="M682:O682"/>
    <mergeCell ref="F15:H15"/>
    <mergeCell ref="M15:O15"/>
    <mergeCell ref="F16:H16"/>
    <mergeCell ref="M16:O16"/>
    <mergeCell ref="F24:H24"/>
    <mergeCell ref="M24:O24"/>
    <mergeCell ref="F25:H25"/>
    <mergeCell ref="M25:O25"/>
    <mergeCell ref="F26:H26"/>
    <mergeCell ref="M26:O26"/>
    <mergeCell ref="F683:H683"/>
    <mergeCell ref="M683:O683"/>
    <mergeCell ref="F673:H673"/>
    <mergeCell ref="M673:O673"/>
    <mergeCell ref="F674:H674"/>
    <mergeCell ref="M674:O674"/>
    <mergeCell ref="F675:H675"/>
    <mergeCell ref="M675:O675"/>
    <mergeCell ref="F676:H676"/>
    <mergeCell ref="M676:O676"/>
    <mergeCell ref="F677:H677"/>
    <mergeCell ref="M677:O677"/>
    <mergeCell ref="F668:H668"/>
    <mergeCell ref="M668:O668"/>
    <mergeCell ref="F669:H669"/>
    <mergeCell ref="M669:O669"/>
    <mergeCell ref="F670:H670"/>
    <mergeCell ref="M670:O670"/>
    <mergeCell ref="F671:H671"/>
    <mergeCell ref="M671:O671"/>
    <mergeCell ref="F672:H672"/>
    <mergeCell ref="M672:O672"/>
  </mergeCells>
  <phoneticPr fontId="12"/>
  <conditionalFormatting sqref="J4 J6 J8 J21 J27 J32 J91:J691">
    <cfRule type="cellIs" dxfId="92" priority="106" operator="equal">
      <formula>"要選択"</formula>
    </cfRule>
  </conditionalFormatting>
  <conditionalFormatting sqref="B21 B27:B31 B56 B65:B86 B91:B691">
    <cfRule type="cellIs" dxfId="91" priority="105" operator="equal">
      <formula>$J$1</formula>
    </cfRule>
  </conditionalFormatting>
  <conditionalFormatting sqref="B4:B8">
    <cfRule type="cellIs" dxfId="90" priority="102" operator="equal">
      <formula>$J$1</formula>
    </cfRule>
  </conditionalFormatting>
  <conditionalFormatting sqref="J9">
    <cfRule type="cellIs" dxfId="89" priority="93" operator="equal">
      <formula>"要選択"</formula>
    </cfRule>
  </conditionalFormatting>
  <conditionalFormatting sqref="B9">
    <cfRule type="cellIs" dxfId="88" priority="92" operator="equal">
      <formula>$J$1</formula>
    </cfRule>
  </conditionalFormatting>
  <conditionalFormatting sqref="J5">
    <cfRule type="cellIs" dxfId="87" priority="97" operator="equal">
      <formula>"要選択"</formula>
    </cfRule>
  </conditionalFormatting>
  <conditionalFormatting sqref="J7">
    <cfRule type="cellIs" dxfId="86" priority="94" operator="equal">
      <formula>"要選択"</formula>
    </cfRule>
  </conditionalFormatting>
  <conditionalFormatting sqref="J10">
    <cfRule type="cellIs" dxfId="85" priority="91" operator="equal">
      <formula>"要選択"</formula>
    </cfRule>
  </conditionalFormatting>
  <conditionalFormatting sqref="B10">
    <cfRule type="cellIs" dxfId="84" priority="90" operator="equal">
      <formula>$J$1</formula>
    </cfRule>
  </conditionalFormatting>
  <conditionalFormatting sqref="J11">
    <cfRule type="cellIs" dxfId="83" priority="89" operator="equal">
      <formula>"要選択"</formula>
    </cfRule>
  </conditionalFormatting>
  <conditionalFormatting sqref="B11">
    <cfRule type="cellIs" dxfId="82" priority="88" operator="equal">
      <formula>$J$1</formula>
    </cfRule>
  </conditionalFormatting>
  <conditionalFormatting sqref="J12">
    <cfRule type="cellIs" dxfId="81" priority="87" operator="equal">
      <formula>"要選択"</formula>
    </cfRule>
  </conditionalFormatting>
  <conditionalFormatting sqref="B12">
    <cfRule type="cellIs" dxfId="80" priority="86" operator="equal">
      <formula>$J$1</formula>
    </cfRule>
  </conditionalFormatting>
  <conditionalFormatting sqref="J13">
    <cfRule type="cellIs" dxfId="79" priority="85" operator="equal">
      <formula>"要選択"</formula>
    </cfRule>
  </conditionalFormatting>
  <conditionalFormatting sqref="B13">
    <cfRule type="cellIs" dxfId="78" priority="84" operator="equal">
      <formula>$J$1</formula>
    </cfRule>
  </conditionalFormatting>
  <conditionalFormatting sqref="J14">
    <cfRule type="cellIs" dxfId="77" priority="83" operator="equal">
      <formula>"要選択"</formula>
    </cfRule>
  </conditionalFormatting>
  <conditionalFormatting sqref="B14">
    <cfRule type="cellIs" dxfId="76" priority="82" operator="equal">
      <formula>$J$1</formula>
    </cfRule>
  </conditionalFormatting>
  <conditionalFormatting sqref="J17">
    <cfRule type="cellIs" dxfId="75" priority="81" operator="equal">
      <formula>"要選択"</formula>
    </cfRule>
  </conditionalFormatting>
  <conditionalFormatting sqref="B17">
    <cfRule type="cellIs" dxfId="74" priority="80" operator="equal">
      <formula>$J$1</formula>
    </cfRule>
  </conditionalFormatting>
  <conditionalFormatting sqref="J22">
    <cfRule type="cellIs" dxfId="73" priority="79" operator="equal">
      <formula>"要選択"</formula>
    </cfRule>
  </conditionalFormatting>
  <conditionalFormatting sqref="B22">
    <cfRule type="cellIs" dxfId="72" priority="78" operator="equal">
      <formula>$J$1</formula>
    </cfRule>
  </conditionalFormatting>
  <conditionalFormatting sqref="J23">
    <cfRule type="cellIs" dxfId="71" priority="77" operator="equal">
      <formula>"要選択"</formula>
    </cfRule>
  </conditionalFormatting>
  <conditionalFormatting sqref="B23">
    <cfRule type="cellIs" dxfId="70" priority="76" operator="equal">
      <formula>$J$1</formula>
    </cfRule>
  </conditionalFormatting>
  <conditionalFormatting sqref="J18">
    <cfRule type="cellIs" dxfId="69" priority="75" operator="equal">
      <formula>"要選択"</formula>
    </cfRule>
  </conditionalFormatting>
  <conditionalFormatting sqref="B18">
    <cfRule type="cellIs" dxfId="68" priority="74" operator="equal">
      <formula>$J$1</formula>
    </cfRule>
  </conditionalFormatting>
  <conditionalFormatting sqref="J19">
    <cfRule type="cellIs" dxfId="67" priority="73" operator="equal">
      <formula>"要選択"</formula>
    </cfRule>
  </conditionalFormatting>
  <conditionalFormatting sqref="B19">
    <cfRule type="cellIs" dxfId="66" priority="72" operator="equal">
      <formula>$J$1</formula>
    </cfRule>
  </conditionalFormatting>
  <conditionalFormatting sqref="J20">
    <cfRule type="cellIs" dxfId="65" priority="71" operator="equal">
      <formula>"要選択"</formula>
    </cfRule>
  </conditionalFormatting>
  <conditionalFormatting sqref="B20">
    <cfRule type="cellIs" dxfId="64" priority="70" operator="equal">
      <formula>$J$1</formula>
    </cfRule>
  </conditionalFormatting>
  <conditionalFormatting sqref="J15">
    <cfRule type="cellIs" dxfId="63" priority="69" operator="equal">
      <formula>"要選択"</formula>
    </cfRule>
  </conditionalFormatting>
  <conditionalFormatting sqref="B15">
    <cfRule type="cellIs" dxfId="62" priority="68" operator="equal">
      <formula>$J$1</formula>
    </cfRule>
  </conditionalFormatting>
  <conditionalFormatting sqref="J16">
    <cfRule type="cellIs" dxfId="61" priority="67" operator="equal">
      <formula>"要選択"</formula>
    </cfRule>
  </conditionalFormatting>
  <conditionalFormatting sqref="B16">
    <cfRule type="cellIs" dxfId="60" priority="66" operator="equal">
      <formula>$J$1</formula>
    </cfRule>
  </conditionalFormatting>
  <conditionalFormatting sqref="J24">
    <cfRule type="cellIs" dxfId="59" priority="65" operator="equal">
      <formula>"要選択"</formula>
    </cfRule>
  </conditionalFormatting>
  <conditionalFormatting sqref="B24">
    <cfRule type="cellIs" dxfId="58" priority="64" operator="equal">
      <formula>$J$1</formula>
    </cfRule>
  </conditionalFormatting>
  <conditionalFormatting sqref="J25">
    <cfRule type="cellIs" dxfId="57" priority="63" operator="equal">
      <formula>"要選択"</formula>
    </cfRule>
  </conditionalFormatting>
  <conditionalFormatting sqref="B25">
    <cfRule type="cellIs" dxfId="56" priority="62" operator="equal">
      <formula>$J$1</formula>
    </cfRule>
  </conditionalFormatting>
  <conditionalFormatting sqref="J26">
    <cfRule type="cellIs" dxfId="55" priority="61" operator="equal">
      <formula>"要選択"</formula>
    </cfRule>
  </conditionalFormatting>
  <conditionalFormatting sqref="B26">
    <cfRule type="cellIs" dxfId="54" priority="60" operator="equal">
      <formula>$J$1</formula>
    </cfRule>
  </conditionalFormatting>
  <conditionalFormatting sqref="J28">
    <cfRule type="cellIs" dxfId="53" priority="59" operator="equal">
      <formula>"要選択"</formula>
    </cfRule>
  </conditionalFormatting>
  <conditionalFormatting sqref="J29">
    <cfRule type="cellIs" dxfId="52" priority="57" operator="equal">
      <formula>"要選択"</formula>
    </cfRule>
  </conditionalFormatting>
  <conditionalFormatting sqref="J30">
    <cfRule type="cellIs" dxfId="51" priority="55" operator="equal">
      <formula>"要選択"</formula>
    </cfRule>
  </conditionalFormatting>
  <conditionalFormatting sqref="J31">
    <cfRule type="cellIs" dxfId="50" priority="54" operator="equal">
      <formula>"要選択"</formula>
    </cfRule>
  </conditionalFormatting>
  <conditionalFormatting sqref="B32:B34 B37:B40">
    <cfRule type="cellIs" dxfId="49" priority="53" operator="equal">
      <formula>$J$1</formula>
    </cfRule>
  </conditionalFormatting>
  <conditionalFormatting sqref="J33">
    <cfRule type="cellIs" dxfId="48" priority="51" operator="equal">
      <formula>"要選択"</formula>
    </cfRule>
  </conditionalFormatting>
  <conditionalFormatting sqref="J34">
    <cfRule type="cellIs" dxfId="47" priority="50" operator="equal">
      <formula>"要選択"</formula>
    </cfRule>
  </conditionalFormatting>
  <conditionalFormatting sqref="J37">
    <cfRule type="cellIs" dxfId="46" priority="49" operator="equal">
      <formula>"要選択"</formula>
    </cfRule>
  </conditionalFormatting>
  <conditionalFormatting sqref="J38:J40">
    <cfRule type="cellIs" dxfId="45" priority="48" operator="equal">
      <formula>"要選択"</formula>
    </cfRule>
  </conditionalFormatting>
  <conditionalFormatting sqref="B36">
    <cfRule type="cellIs" dxfId="44" priority="47" operator="equal">
      <formula>$J$1</formula>
    </cfRule>
  </conditionalFormatting>
  <conditionalFormatting sqref="J36">
    <cfRule type="cellIs" dxfId="43" priority="46" operator="equal">
      <formula>"要選択"</formula>
    </cfRule>
  </conditionalFormatting>
  <conditionalFormatting sqref="B35">
    <cfRule type="cellIs" dxfId="42" priority="45" operator="equal">
      <formula>$J$1</formula>
    </cfRule>
  </conditionalFormatting>
  <conditionalFormatting sqref="J35">
    <cfRule type="cellIs" dxfId="41" priority="44" operator="equal">
      <formula>"要選択"</formula>
    </cfRule>
  </conditionalFormatting>
  <conditionalFormatting sqref="J43">
    <cfRule type="cellIs" dxfId="40" priority="43" operator="equal">
      <formula>"要選択"</formula>
    </cfRule>
  </conditionalFormatting>
  <conditionalFormatting sqref="B43">
    <cfRule type="cellIs" dxfId="39" priority="42" operator="equal">
      <formula>$J$1</formula>
    </cfRule>
  </conditionalFormatting>
  <conditionalFormatting sqref="J44">
    <cfRule type="cellIs" dxfId="38" priority="41" operator="equal">
      <formula>"要選択"</formula>
    </cfRule>
  </conditionalFormatting>
  <conditionalFormatting sqref="B44">
    <cfRule type="cellIs" dxfId="37" priority="40" operator="equal">
      <formula>$J$1</formula>
    </cfRule>
  </conditionalFormatting>
  <conditionalFormatting sqref="J45">
    <cfRule type="cellIs" dxfId="36" priority="39" operator="equal">
      <formula>"要選択"</formula>
    </cfRule>
  </conditionalFormatting>
  <conditionalFormatting sqref="B45">
    <cfRule type="cellIs" dxfId="35" priority="38" operator="equal">
      <formula>$J$1</formula>
    </cfRule>
  </conditionalFormatting>
  <conditionalFormatting sqref="J46">
    <cfRule type="cellIs" dxfId="34" priority="37" operator="equal">
      <formula>"要選択"</formula>
    </cfRule>
  </conditionalFormatting>
  <conditionalFormatting sqref="B46">
    <cfRule type="cellIs" dxfId="33" priority="36" operator="equal">
      <formula>$J$1</formula>
    </cfRule>
  </conditionalFormatting>
  <conditionalFormatting sqref="J41">
    <cfRule type="cellIs" dxfId="32" priority="35" operator="equal">
      <formula>"要選択"</formula>
    </cfRule>
  </conditionalFormatting>
  <conditionalFormatting sqref="B41">
    <cfRule type="cellIs" dxfId="31" priority="34" operator="equal">
      <formula>$J$1</formula>
    </cfRule>
  </conditionalFormatting>
  <conditionalFormatting sqref="J42">
    <cfRule type="cellIs" dxfId="30" priority="33" operator="equal">
      <formula>"要選択"</formula>
    </cfRule>
  </conditionalFormatting>
  <conditionalFormatting sqref="B42">
    <cfRule type="cellIs" dxfId="29" priority="32" operator="equal">
      <formula>$J$1</formula>
    </cfRule>
  </conditionalFormatting>
  <conditionalFormatting sqref="J47">
    <cfRule type="cellIs" dxfId="28" priority="31" operator="equal">
      <formula>"要選択"</formula>
    </cfRule>
  </conditionalFormatting>
  <conditionalFormatting sqref="J48:J51">
    <cfRule type="cellIs" dxfId="27" priority="29" operator="equal">
      <formula>"要選択"</formula>
    </cfRule>
  </conditionalFormatting>
  <conditionalFormatting sqref="J52:J53">
    <cfRule type="cellIs" dxfId="26" priority="28" operator="equal">
      <formula>"要選択"</formula>
    </cfRule>
  </conditionalFormatting>
  <conditionalFormatting sqref="B47:B53">
    <cfRule type="cellIs" dxfId="25" priority="27" operator="equal">
      <formula>$J$1</formula>
    </cfRule>
  </conditionalFormatting>
  <conditionalFormatting sqref="J60">
    <cfRule type="cellIs" dxfId="24" priority="17" operator="equal">
      <formula>"要選択"</formula>
    </cfRule>
  </conditionalFormatting>
  <conditionalFormatting sqref="J55">
    <cfRule type="cellIs" dxfId="23" priority="15" operator="equal">
      <formula>"要選択"</formula>
    </cfRule>
  </conditionalFormatting>
  <conditionalFormatting sqref="J56">
    <cfRule type="cellIs" dxfId="22" priority="25" operator="equal">
      <formula>"要選択"</formula>
    </cfRule>
  </conditionalFormatting>
  <conditionalFormatting sqref="B57">
    <cfRule type="cellIs" dxfId="21" priority="24" operator="equal">
      <formula>$J$1</formula>
    </cfRule>
  </conditionalFormatting>
  <conditionalFormatting sqref="J57">
    <cfRule type="cellIs" dxfId="20" priority="23" operator="equal">
      <formula>"要選択"</formula>
    </cfRule>
  </conditionalFormatting>
  <conditionalFormatting sqref="B58">
    <cfRule type="cellIs" dxfId="19" priority="22" operator="equal">
      <formula>$J$1</formula>
    </cfRule>
  </conditionalFormatting>
  <conditionalFormatting sqref="J58">
    <cfRule type="cellIs" dxfId="18" priority="21" operator="equal">
      <formula>"要選択"</formula>
    </cfRule>
  </conditionalFormatting>
  <conditionalFormatting sqref="B59">
    <cfRule type="cellIs" dxfId="17" priority="20" operator="equal">
      <formula>$J$1</formula>
    </cfRule>
  </conditionalFormatting>
  <conditionalFormatting sqref="J59">
    <cfRule type="cellIs" dxfId="16" priority="19" operator="equal">
      <formula>"要選択"</formula>
    </cfRule>
  </conditionalFormatting>
  <conditionalFormatting sqref="B60:B64">
    <cfRule type="cellIs" dxfId="15" priority="18" operator="equal">
      <formula>$J$1</formula>
    </cfRule>
  </conditionalFormatting>
  <conditionalFormatting sqref="B55">
    <cfRule type="cellIs" dxfId="14" priority="16" operator="equal">
      <formula>$J$1</formula>
    </cfRule>
  </conditionalFormatting>
  <conditionalFormatting sqref="J54">
    <cfRule type="cellIs" dxfId="13" priority="13" operator="equal">
      <formula>"要選択"</formula>
    </cfRule>
  </conditionalFormatting>
  <conditionalFormatting sqref="B54">
    <cfRule type="cellIs" dxfId="12" priority="14" operator="equal">
      <formula>$J$1</formula>
    </cfRule>
  </conditionalFormatting>
  <conditionalFormatting sqref="J61">
    <cfRule type="cellIs" dxfId="11" priority="12" operator="equal">
      <formula>"要選択"</formula>
    </cfRule>
  </conditionalFormatting>
  <conditionalFormatting sqref="J62">
    <cfRule type="cellIs" dxfId="10" priority="11" operator="equal">
      <formula>"要選択"</formula>
    </cfRule>
  </conditionalFormatting>
  <conditionalFormatting sqref="J63">
    <cfRule type="cellIs" dxfId="9" priority="10" operator="equal">
      <formula>"要選択"</formula>
    </cfRule>
  </conditionalFormatting>
  <conditionalFormatting sqref="J64">
    <cfRule type="cellIs" dxfId="8" priority="9" operator="equal">
      <formula>"要選択"</formula>
    </cfRule>
  </conditionalFormatting>
  <conditionalFormatting sqref="J65:J83">
    <cfRule type="cellIs" dxfId="7" priority="8" operator="equal">
      <formula>"要選択"</formula>
    </cfRule>
  </conditionalFormatting>
  <conditionalFormatting sqref="J84">
    <cfRule type="cellIs" dxfId="6" priority="7" operator="equal">
      <formula>"要選択"</formula>
    </cfRule>
  </conditionalFormatting>
  <conditionalFormatting sqref="J85:J86">
    <cfRule type="cellIs" dxfId="5" priority="5" operator="equal">
      <formula>"要選択"</formula>
    </cfRule>
  </conditionalFormatting>
  <conditionalFormatting sqref="B87:B89">
    <cfRule type="cellIs" dxfId="4" priority="4" operator="equal">
      <formula>$J$1</formula>
    </cfRule>
  </conditionalFormatting>
  <conditionalFormatting sqref="J87:J89">
    <cfRule type="cellIs" dxfId="3" priority="3" operator="equal">
      <formula>"要選択"</formula>
    </cfRule>
  </conditionalFormatting>
  <conditionalFormatting sqref="B90">
    <cfRule type="cellIs" dxfId="2" priority="2" operator="equal">
      <formula>$J$1</formula>
    </cfRule>
  </conditionalFormatting>
  <conditionalFormatting sqref="J90">
    <cfRule type="cellIs" dxfId="1" priority="1" operator="equal">
      <formula>"要選択"</formula>
    </cfRule>
  </conditionalFormatting>
  <dataValidations count="7">
    <dataValidation type="list" allowBlank="1" showInputMessage="1" showErrorMessage="1" sqref="D2" xr:uid="{00000000-0002-0000-0200-000003000000}">
      <formula1>empNo</formula1>
    </dataValidation>
    <dataValidation type="list" allowBlank="1" showInputMessage="1" showErrorMessage="1" sqref="J4:J691" xr:uid="{00000000-0002-0000-0200-000000000000}">
      <formula1>REQ_ID</formula1>
    </dataValidation>
    <dataValidation type="decimal" allowBlank="1" showInputMessage="1" showErrorMessage="1" sqref="K4:L691" xr:uid="{00000000-0002-0000-0200-000001000000}">
      <formula1>0</formula1>
      <formula2>24</formula2>
    </dataValidation>
    <dataValidation type="list" allowBlank="1" showInputMessage="1" showErrorMessage="1" sqref="F4:H691" xr:uid="{00000000-0002-0000-0200-000002000000}">
      <formula1>業務名</formula1>
    </dataValidation>
    <dataValidation type="list" allowBlank="1" showInputMessage="1" showErrorMessage="1" sqref="D4:D691" xr:uid="{00000000-0002-0000-0200-000004000000}">
      <formula1>業務項目</formula1>
    </dataValidation>
    <dataValidation type="list" allowBlank="1" showInputMessage="1" showErrorMessage="1" sqref="E4:E691" xr:uid="{00000000-0002-0000-0200-000005000000}">
      <formula1>業務内容</formula1>
    </dataValidation>
    <dataValidation type="list" allowBlank="1" showInputMessage="1" showErrorMessage="1" sqref="C4:C691" xr:uid="{00000000-0002-0000-0200-000006000000}">
      <formula1>SYSTEM</formula1>
    </dataValidation>
  </dataValidations>
  <pageMargins left="0.41" right="0.35" top="0.31" bottom="0.21" header="0.2" footer="0.21"/>
  <pageSetup paperSize="9" scale="65" orientation="portrait" verticalDpi="300" r:id="rId1"/>
  <headerFooter alignWithMargins="0">
    <oddHeader>&amp;L&amp;A</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B0F0"/>
  </sheetPr>
  <dimension ref="A1:T88"/>
  <sheetViews>
    <sheetView showGridLines="0" zoomScaleNormal="100" zoomScaleSheetLayoutView="100" workbookViewId="0">
      <pane ySplit="3" topLeftCell="A4" activePane="bottomLeft" state="frozen"/>
      <selection activeCell="T546" sqref="T546"/>
      <selection pane="bottomLeft" activeCell="C8" sqref="C8"/>
    </sheetView>
  </sheetViews>
  <sheetFormatPr defaultColWidth="9" defaultRowHeight="11.25" outlineLevelCol="1" x14ac:dyDescent="0.15"/>
  <cols>
    <col min="1" max="1" width="0.875" style="8" customWidth="1"/>
    <col min="2" max="2" width="8.5" style="24" bestFit="1" customWidth="1"/>
    <col min="3" max="3" width="7" style="24" bestFit="1" customWidth="1"/>
    <col min="4" max="4" width="8" style="9" bestFit="1" customWidth="1"/>
    <col min="5" max="5" width="11.75" style="9" bestFit="1" customWidth="1"/>
    <col min="6" max="6" width="9" style="9" bestFit="1" customWidth="1"/>
    <col min="7" max="7" width="3.125" style="9" customWidth="1"/>
    <col min="8" max="8" width="9.125" style="9" bestFit="1" customWidth="1"/>
    <col min="9" max="9" width="6.75" style="9" hidden="1" customWidth="1"/>
    <col min="10" max="10" width="6.75" style="9" bestFit="1" customWidth="1"/>
    <col min="11" max="11" width="7.375" style="9" bestFit="1" customWidth="1"/>
    <col min="12" max="12" width="8" style="9" bestFit="1" customWidth="1"/>
    <col min="13" max="14" width="12.25" style="9" bestFit="1" customWidth="1"/>
    <col min="15" max="15" width="8.375" style="9" customWidth="1"/>
    <col min="16" max="16" width="11.125" style="22" hidden="1" customWidth="1" outlineLevel="1"/>
    <col min="17" max="17" width="20.875" style="22" hidden="1" customWidth="1" outlineLevel="1"/>
    <col min="18" max="18" width="12" style="9" hidden="1" customWidth="1" outlineLevel="1"/>
    <col min="19" max="19" width="21.75" style="9" hidden="1" customWidth="1" outlineLevel="1"/>
    <col min="20" max="20" width="9" style="9" collapsed="1"/>
    <col min="21" max="16384" width="9" style="9"/>
  </cols>
  <sheetData>
    <row r="1" spans="1:19" ht="14.25" customHeight="1" thickBot="1" x14ac:dyDescent="0.2">
      <c r="A1" s="20"/>
      <c r="B1" s="69" t="s">
        <v>87</v>
      </c>
      <c r="C1" s="176"/>
      <c r="D1" s="70" t="s">
        <v>89</v>
      </c>
      <c r="E1" s="71"/>
      <c r="F1" s="353" t="s">
        <v>44</v>
      </c>
      <c r="G1" s="354"/>
      <c r="H1" s="355"/>
      <c r="I1" s="76"/>
      <c r="J1" s="76"/>
      <c r="K1" s="78" t="s">
        <v>30</v>
      </c>
      <c r="L1" s="79"/>
      <c r="M1" s="79"/>
      <c r="N1" s="79"/>
      <c r="O1" s="71"/>
    </row>
    <row r="2" spans="1:19" ht="12" thickBot="1" x14ac:dyDescent="0.2">
      <c r="A2" s="20"/>
      <c r="B2" s="67" t="s">
        <v>88</v>
      </c>
      <c r="C2" s="177"/>
      <c r="D2" s="72">
        <v>918479</v>
      </c>
      <c r="E2" s="73" t="str">
        <f ca="1">IF(ISERROR(VLOOKUP(D2,報告者,2,FALSE)),"←社員番号選択",VLOOKUP(D2,報告者,2,FALSE))</f>
        <v>←社員番号選択</v>
      </c>
      <c r="F2" s="74">
        <v>40725</v>
      </c>
      <c r="G2" s="162" t="s">
        <v>31</v>
      </c>
      <c r="H2" s="75">
        <v>40908</v>
      </c>
      <c r="I2" s="77"/>
      <c r="J2" s="68"/>
      <c r="K2" s="163" t="s">
        <v>45</v>
      </c>
      <c r="L2" s="164"/>
      <c r="M2" s="164"/>
      <c r="N2" s="164"/>
      <c r="O2" s="165"/>
      <c r="P2" s="66" t="s">
        <v>86</v>
      </c>
    </row>
    <row r="3" spans="1:19" ht="23.25" thickBot="1" x14ac:dyDescent="0.2">
      <c r="A3" s="20"/>
      <c r="B3" s="23" t="s">
        <v>27</v>
      </c>
      <c r="C3" s="178" t="s">
        <v>117</v>
      </c>
      <c r="D3" s="175" t="s">
        <v>48</v>
      </c>
      <c r="E3" s="14" t="s">
        <v>49</v>
      </c>
      <c r="F3" s="356" t="s">
        <v>51</v>
      </c>
      <c r="G3" s="356"/>
      <c r="H3" s="357"/>
      <c r="I3" s="14" t="s">
        <v>50</v>
      </c>
      <c r="J3" s="14" t="s">
        <v>79</v>
      </c>
      <c r="K3" s="13" t="s">
        <v>95</v>
      </c>
      <c r="L3" s="13" t="s">
        <v>96</v>
      </c>
      <c r="M3" s="356" t="s">
        <v>9</v>
      </c>
      <c r="N3" s="356"/>
      <c r="O3" s="357"/>
      <c r="P3" s="54" t="s">
        <v>80</v>
      </c>
      <c r="Q3" s="54" t="s">
        <v>73</v>
      </c>
      <c r="R3" s="54" t="s">
        <v>74</v>
      </c>
      <c r="S3" s="54" t="s">
        <v>75</v>
      </c>
    </row>
    <row r="4" spans="1:19" x14ac:dyDescent="0.15">
      <c r="A4" s="9"/>
      <c r="B4" s="180">
        <v>40730</v>
      </c>
      <c r="C4" s="196" t="s">
        <v>118</v>
      </c>
      <c r="D4" s="197" t="s">
        <v>57</v>
      </c>
      <c r="E4" s="197" t="s">
        <v>69</v>
      </c>
      <c r="F4" s="358" t="s">
        <v>70</v>
      </c>
      <c r="G4" s="359"/>
      <c r="H4" s="360"/>
      <c r="I4" s="198" t="e">
        <f t="shared" ref="I4:I35" ca="1" si="0">IF($F4="","",IF(ISERR(VLOOKUP($F4,SOW,2,FALSE)),"-",VLOOKUP($F4,SOW,2,FALSE)))</f>
        <v>#N/A</v>
      </c>
      <c r="J4" s="199" t="str">
        <f>IF(D4="リクエスト","要選択",IF(D4="インシデント","要選択",IF(D4="プロジェクト","要選択","-")))</f>
        <v>-</v>
      </c>
      <c r="K4" s="179">
        <f t="shared" ref="K4:K35" ca="1" si="1">IF(F4="","",IF(ISERROR(VLOOKUP($F4,SOW,3,FALSE)),0,VLOOKUP($F4,SOW,3,FALSE)*24))</f>
        <v>0</v>
      </c>
      <c r="L4" s="183">
        <v>5</v>
      </c>
      <c r="M4" s="361" t="str">
        <f t="shared" ref="M4:M35" si="2">IF($F4&lt;&gt;"",IF($J4&lt;&gt;"-",IF($J4="要選択","REQ_IDを選択して下さい。",IF($J4="","REQ_IDを選択して下さい。",VLOOKUP($J4,REQUEST,2,FALSE))),$F4),"")</f>
        <v>その他</v>
      </c>
      <c r="N4" s="361"/>
      <c r="O4" s="362"/>
      <c r="P4" s="187" t="e">
        <f t="shared" ref="P4:P67" ca="1" si="3">IF($B4&lt;&gt;"",TEXT(TEXT(YEAR($B4),"0000")&amp;TEXT(MONTH($B4),"00")&amp;$I4,"@"),"")</f>
        <v>#N/A</v>
      </c>
      <c r="Q4" s="188" t="e">
        <f t="shared" ref="Q4:Q67" ca="1" si="4">IF($B4&lt;&gt;"",TEXT(TEXT(YEAR($B4),"0000")&amp;TEXT(MONTH($B4),"00")&amp;$I4&amp;"@"&amp;LEFT($E$2,SEARCH("　",$E$2,1)-1)&amp;"@"&amp;L4,"@"),"")</f>
        <v>#N/A</v>
      </c>
      <c r="R4" s="188" t="str">
        <f t="shared" ref="R4:R67" si="5">IF($B4&lt;&gt;"",TEXT(TEXT(YEAR($B4),"0000")&amp;TEXT(MONTH($B4),"00")&amp;$J4,"@"),"")</f>
        <v>201107-</v>
      </c>
      <c r="S4" s="189" t="e">
        <f t="shared" ref="S4:S67" ca="1" si="6">IF($B4&lt;&gt;"",TEXT(YEAR($B4),"0000")&amp;TEXT(MONTH($B4),"00")&amp;$J4&amp;"@"&amp;LEFT($E$2,SEARCH("　",$E$2,1)-1)&amp;"@"&amp;L4,"")</f>
        <v>#VALUE!</v>
      </c>
    </row>
    <row r="5" spans="1:19" x14ac:dyDescent="0.15">
      <c r="A5" s="9"/>
      <c r="B5" s="181">
        <v>40730</v>
      </c>
      <c r="C5" s="200" t="s">
        <v>120</v>
      </c>
      <c r="D5" s="201" t="s">
        <v>60</v>
      </c>
      <c r="E5" s="201" t="s">
        <v>59</v>
      </c>
      <c r="F5" s="363" t="s">
        <v>62</v>
      </c>
      <c r="G5" s="364"/>
      <c r="H5" s="365"/>
      <c r="I5" s="202" t="e">
        <f t="shared" ca="1" si="0"/>
        <v>#N/A</v>
      </c>
      <c r="J5" s="203" t="s">
        <v>53</v>
      </c>
      <c r="K5" s="52">
        <f t="shared" ca="1" si="1"/>
        <v>0</v>
      </c>
      <c r="L5" s="184">
        <v>5</v>
      </c>
      <c r="M5" s="366" t="e">
        <f t="shared" ca="1" si="2"/>
        <v>#N/A</v>
      </c>
      <c r="N5" s="366"/>
      <c r="O5" s="367"/>
      <c r="P5" s="190" t="e">
        <f t="shared" ca="1" si="3"/>
        <v>#N/A</v>
      </c>
      <c r="Q5" s="191" t="e">
        <f t="shared" ca="1" si="4"/>
        <v>#N/A</v>
      </c>
      <c r="R5" s="191" t="str">
        <f t="shared" si="5"/>
        <v>201107REQ0002</v>
      </c>
      <c r="S5" s="192" t="e">
        <f t="shared" ca="1" si="6"/>
        <v>#VALUE!</v>
      </c>
    </row>
    <row r="6" spans="1:19" x14ac:dyDescent="0.15">
      <c r="A6" s="9"/>
      <c r="B6" s="181">
        <v>40730</v>
      </c>
      <c r="C6" s="200" t="s">
        <v>120</v>
      </c>
      <c r="D6" s="201" t="s">
        <v>56</v>
      </c>
      <c r="E6" s="201" t="s">
        <v>63</v>
      </c>
      <c r="F6" s="363" t="s">
        <v>64</v>
      </c>
      <c r="G6" s="364"/>
      <c r="H6" s="365"/>
      <c r="I6" s="202" t="e">
        <f t="shared" ca="1" si="0"/>
        <v>#N/A</v>
      </c>
      <c r="J6" s="203" t="str">
        <f t="shared" ref="J6:J69" si="7">IF(D6="リクエスト","要選択",IF(D6="インシデント","要選択",IF(D6="プロジェクト","要選択","-")))</f>
        <v>-</v>
      </c>
      <c r="K6" s="52">
        <f t="shared" ca="1" si="1"/>
        <v>0</v>
      </c>
      <c r="L6" s="184">
        <v>5</v>
      </c>
      <c r="M6" s="366" t="str">
        <f t="shared" si="2"/>
        <v>WCS定期点検</v>
      </c>
      <c r="N6" s="366"/>
      <c r="O6" s="367"/>
      <c r="P6" s="190" t="e">
        <f t="shared" ca="1" si="3"/>
        <v>#N/A</v>
      </c>
      <c r="Q6" s="191" t="e">
        <f t="shared" ca="1" si="4"/>
        <v>#N/A</v>
      </c>
      <c r="R6" s="191" t="str">
        <f t="shared" si="5"/>
        <v>201107-</v>
      </c>
      <c r="S6" s="192" t="e">
        <f t="shared" ca="1" si="6"/>
        <v>#VALUE!</v>
      </c>
    </row>
    <row r="7" spans="1:19" x14ac:dyDescent="0.15">
      <c r="B7" s="181">
        <v>40730</v>
      </c>
      <c r="C7" s="200" t="s">
        <v>118</v>
      </c>
      <c r="D7" s="201" t="s">
        <v>68</v>
      </c>
      <c r="E7" s="201" t="s">
        <v>58</v>
      </c>
      <c r="F7" s="363" t="s">
        <v>119</v>
      </c>
      <c r="G7" s="364"/>
      <c r="H7" s="365"/>
      <c r="I7" s="202" t="e">
        <f t="shared" ca="1" si="0"/>
        <v>#N/A</v>
      </c>
      <c r="J7" s="203" t="str">
        <f t="shared" si="7"/>
        <v>要選択</v>
      </c>
      <c r="K7" s="52">
        <f t="shared" ca="1" si="1"/>
        <v>0</v>
      </c>
      <c r="L7" s="184">
        <v>5</v>
      </c>
      <c r="M7" s="366" t="str">
        <f t="shared" si="2"/>
        <v>REQ_IDを選択して下さい。</v>
      </c>
      <c r="N7" s="366"/>
      <c r="O7" s="367"/>
      <c r="P7" s="190" t="e">
        <f t="shared" ca="1" si="3"/>
        <v>#N/A</v>
      </c>
      <c r="Q7" s="191" t="e">
        <f t="shared" ca="1" si="4"/>
        <v>#N/A</v>
      </c>
      <c r="R7" s="191" t="str">
        <f t="shared" si="5"/>
        <v>201107要選択</v>
      </c>
      <c r="S7" s="192" t="e">
        <f t="shared" ca="1" si="6"/>
        <v>#VALUE!</v>
      </c>
    </row>
    <row r="8" spans="1:19" x14ac:dyDescent="0.15">
      <c r="B8" s="181">
        <v>40730</v>
      </c>
      <c r="C8" s="200" t="s">
        <v>70</v>
      </c>
      <c r="D8" s="201" t="s">
        <v>66</v>
      </c>
      <c r="E8" s="201" t="s">
        <v>65</v>
      </c>
      <c r="F8" s="363" t="s">
        <v>61</v>
      </c>
      <c r="G8" s="364"/>
      <c r="H8" s="365"/>
      <c r="I8" s="202" t="e">
        <f t="shared" ca="1" si="0"/>
        <v>#N/A</v>
      </c>
      <c r="J8" s="203" t="s">
        <v>54</v>
      </c>
      <c r="K8" s="52">
        <f t="shared" ca="1" si="1"/>
        <v>0</v>
      </c>
      <c r="L8" s="185">
        <v>6</v>
      </c>
      <c r="M8" s="366" t="e">
        <f t="shared" ca="1" si="2"/>
        <v>#N/A</v>
      </c>
      <c r="N8" s="366"/>
      <c r="O8" s="367"/>
      <c r="P8" s="190" t="e">
        <f t="shared" ca="1" si="3"/>
        <v>#N/A</v>
      </c>
      <c r="Q8" s="191" t="e">
        <f t="shared" ca="1" si="4"/>
        <v>#N/A</v>
      </c>
      <c r="R8" s="191" t="str">
        <f t="shared" si="5"/>
        <v>201107REQ0010</v>
      </c>
      <c r="S8" s="192" t="e">
        <f t="shared" ca="1" si="6"/>
        <v>#VALUE!</v>
      </c>
    </row>
    <row r="9" spans="1:19" x14ac:dyDescent="0.15">
      <c r="B9" s="181"/>
      <c r="C9" s="200"/>
      <c r="D9" s="201"/>
      <c r="E9" s="201"/>
      <c r="F9" s="363"/>
      <c r="G9" s="364"/>
      <c r="H9" s="365"/>
      <c r="I9" s="202" t="str">
        <f t="shared" si="0"/>
        <v/>
      </c>
      <c r="J9" s="203" t="str">
        <f t="shared" si="7"/>
        <v>-</v>
      </c>
      <c r="K9" s="52" t="str">
        <f t="shared" si="1"/>
        <v/>
      </c>
      <c r="L9" s="185"/>
      <c r="M9" s="366" t="str">
        <f t="shared" si="2"/>
        <v/>
      </c>
      <c r="N9" s="366"/>
      <c r="O9" s="367"/>
      <c r="P9" s="190" t="str">
        <f t="shared" si="3"/>
        <v/>
      </c>
      <c r="Q9" s="191" t="str">
        <f t="shared" si="4"/>
        <v/>
      </c>
      <c r="R9" s="191" t="str">
        <f t="shared" si="5"/>
        <v/>
      </c>
      <c r="S9" s="192" t="str">
        <f t="shared" si="6"/>
        <v/>
      </c>
    </row>
    <row r="10" spans="1:19" x14ac:dyDescent="0.15">
      <c r="A10" s="9"/>
      <c r="B10" s="181"/>
      <c r="C10" s="200"/>
      <c r="D10" s="201"/>
      <c r="E10" s="201"/>
      <c r="F10" s="363"/>
      <c r="G10" s="364"/>
      <c r="H10" s="365"/>
      <c r="I10" s="202" t="str">
        <f t="shared" si="0"/>
        <v/>
      </c>
      <c r="J10" s="203" t="str">
        <f t="shared" si="7"/>
        <v>-</v>
      </c>
      <c r="K10" s="52" t="str">
        <f t="shared" si="1"/>
        <v/>
      </c>
      <c r="L10" s="184"/>
      <c r="M10" s="366" t="str">
        <f t="shared" si="2"/>
        <v/>
      </c>
      <c r="N10" s="366"/>
      <c r="O10" s="367"/>
      <c r="P10" s="190" t="str">
        <f t="shared" si="3"/>
        <v/>
      </c>
      <c r="Q10" s="191" t="str">
        <f t="shared" si="4"/>
        <v/>
      </c>
      <c r="R10" s="191" t="str">
        <f t="shared" si="5"/>
        <v/>
      </c>
      <c r="S10" s="192" t="str">
        <f t="shared" si="6"/>
        <v/>
      </c>
    </row>
    <row r="11" spans="1:19" x14ac:dyDescent="0.15">
      <c r="B11" s="181"/>
      <c r="C11" s="200"/>
      <c r="D11" s="201"/>
      <c r="E11" s="201"/>
      <c r="F11" s="363"/>
      <c r="G11" s="364"/>
      <c r="H11" s="365"/>
      <c r="I11" s="202" t="str">
        <f t="shared" si="0"/>
        <v/>
      </c>
      <c r="J11" s="203" t="str">
        <f t="shared" si="7"/>
        <v>-</v>
      </c>
      <c r="K11" s="52" t="str">
        <f t="shared" si="1"/>
        <v/>
      </c>
      <c r="L11" s="185"/>
      <c r="M11" s="366" t="str">
        <f t="shared" si="2"/>
        <v/>
      </c>
      <c r="N11" s="366"/>
      <c r="O11" s="367"/>
      <c r="P11" s="190" t="str">
        <f t="shared" si="3"/>
        <v/>
      </c>
      <c r="Q11" s="191" t="str">
        <f t="shared" si="4"/>
        <v/>
      </c>
      <c r="R11" s="191" t="str">
        <f t="shared" si="5"/>
        <v/>
      </c>
      <c r="S11" s="192" t="str">
        <f t="shared" si="6"/>
        <v/>
      </c>
    </row>
    <row r="12" spans="1:19" x14ac:dyDescent="0.15">
      <c r="B12" s="181"/>
      <c r="C12" s="200"/>
      <c r="D12" s="201"/>
      <c r="E12" s="201"/>
      <c r="F12" s="363"/>
      <c r="G12" s="364"/>
      <c r="H12" s="365"/>
      <c r="I12" s="202" t="str">
        <f t="shared" si="0"/>
        <v/>
      </c>
      <c r="J12" s="203" t="str">
        <f t="shared" si="7"/>
        <v>-</v>
      </c>
      <c r="K12" s="52" t="str">
        <f t="shared" si="1"/>
        <v/>
      </c>
      <c r="L12" s="184"/>
      <c r="M12" s="366" t="str">
        <f t="shared" si="2"/>
        <v/>
      </c>
      <c r="N12" s="366"/>
      <c r="O12" s="367"/>
      <c r="P12" s="190" t="str">
        <f t="shared" si="3"/>
        <v/>
      </c>
      <c r="Q12" s="191" t="str">
        <f t="shared" si="4"/>
        <v/>
      </c>
      <c r="R12" s="191" t="str">
        <f t="shared" si="5"/>
        <v/>
      </c>
      <c r="S12" s="192" t="str">
        <f t="shared" si="6"/>
        <v/>
      </c>
    </row>
    <row r="13" spans="1:19" x14ac:dyDescent="0.15">
      <c r="A13" s="9"/>
      <c r="B13" s="181"/>
      <c r="C13" s="200"/>
      <c r="D13" s="201"/>
      <c r="E13" s="201"/>
      <c r="F13" s="363"/>
      <c r="G13" s="364"/>
      <c r="H13" s="365"/>
      <c r="I13" s="202" t="str">
        <f t="shared" si="0"/>
        <v/>
      </c>
      <c r="J13" s="203" t="str">
        <f t="shared" si="7"/>
        <v>-</v>
      </c>
      <c r="K13" s="52" t="str">
        <f t="shared" si="1"/>
        <v/>
      </c>
      <c r="L13" s="184"/>
      <c r="M13" s="366" t="str">
        <f t="shared" si="2"/>
        <v/>
      </c>
      <c r="N13" s="366"/>
      <c r="O13" s="367"/>
      <c r="P13" s="190" t="str">
        <f t="shared" si="3"/>
        <v/>
      </c>
      <c r="Q13" s="191" t="str">
        <f t="shared" si="4"/>
        <v/>
      </c>
      <c r="R13" s="191" t="str">
        <f t="shared" si="5"/>
        <v/>
      </c>
      <c r="S13" s="192" t="str">
        <f t="shared" si="6"/>
        <v/>
      </c>
    </row>
    <row r="14" spans="1:19" x14ac:dyDescent="0.15">
      <c r="B14" s="181"/>
      <c r="C14" s="200"/>
      <c r="D14" s="201"/>
      <c r="E14" s="201"/>
      <c r="F14" s="363"/>
      <c r="G14" s="364"/>
      <c r="H14" s="365"/>
      <c r="I14" s="202" t="str">
        <f t="shared" si="0"/>
        <v/>
      </c>
      <c r="J14" s="203" t="str">
        <f t="shared" si="7"/>
        <v>-</v>
      </c>
      <c r="K14" s="52" t="str">
        <f t="shared" si="1"/>
        <v/>
      </c>
      <c r="L14" s="184"/>
      <c r="M14" s="366" t="str">
        <f t="shared" si="2"/>
        <v/>
      </c>
      <c r="N14" s="366"/>
      <c r="O14" s="367"/>
      <c r="P14" s="190" t="str">
        <f t="shared" si="3"/>
        <v/>
      </c>
      <c r="Q14" s="191" t="str">
        <f t="shared" si="4"/>
        <v/>
      </c>
      <c r="R14" s="191" t="str">
        <f t="shared" si="5"/>
        <v/>
      </c>
      <c r="S14" s="192" t="str">
        <f t="shared" si="6"/>
        <v/>
      </c>
    </row>
    <row r="15" spans="1:19" x14ac:dyDescent="0.15">
      <c r="B15" s="181"/>
      <c r="C15" s="200"/>
      <c r="D15" s="201"/>
      <c r="E15" s="201"/>
      <c r="F15" s="363"/>
      <c r="G15" s="364"/>
      <c r="H15" s="365"/>
      <c r="I15" s="202" t="str">
        <f t="shared" si="0"/>
        <v/>
      </c>
      <c r="J15" s="203" t="str">
        <f t="shared" si="7"/>
        <v>-</v>
      </c>
      <c r="K15" s="52" t="str">
        <f t="shared" si="1"/>
        <v/>
      </c>
      <c r="L15" s="184"/>
      <c r="M15" s="366" t="str">
        <f t="shared" si="2"/>
        <v/>
      </c>
      <c r="N15" s="366"/>
      <c r="O15" s="367"/>
      <c r="P15" s="190" t="str">
        <f t="shared" si="3"/>
        <v/>
      </c>
      <c r="Q15" s="191" t="str">
        <f t="shared" si="4"/>
        <v/>
      </c>
      <c r="R15" s="191" t="str">
        <f t="shared" si="5"/>
        <v/>
      </c>
      <c r="S15" s="192" t="str">
        <f t="shared" si="6"/>
        <v/>
      </c>
    </row>
    <row r="16" spans="1:19" x14ac:dyDescent="0.15">
      <c r="B16" s="181"/>
      <c r="C16" s="200"/>
      <c r="D16" s="201"/>
      <c r="E16" s="201"/>
      <c r="F16" s="363"/>
      <c r="G16" s="364"/>
      <c r="H16" s="365"/>
      <c r="I16" s="202" t="str">
        <f t="shared" si="0"/>
        <v/>
      </c>
      <c r="J16" s="203" t="str">
        <f t="shared" si="7"/>
        <v>-</v>
      </c>
      <c r="K16" s="52" t="str">
        <f t="shared" si="1"/>
        <v/>
      </c>
      <c r="L16" s="184"/>
      <c r="M16" s="366" t="str">
        <f t="shared" si="2"/>
        <v/>
      </c>
      <c r="N16" s="366"/>
      <c r="O16" s="367"/>
      <c r="P16" s="190" t="str">
        <f t="shared" si="3"/>
        <v/>
      </c>
      <c r="Q16" s="191" t="str">
        <f t="shared" si="4"/>
        <v/>
      </c>
      <c r="R16" s="191" t="str">
        <f t="shared" si="5"/>
        <v/>
      </c>
      <c r="S16" s="192" t="str">
        <f t="shared" si="6"/>
        <v/>
      </c>
    </row>
    <row r="17" spans="1:19" x14ac:dyDescent="0.15">
      <c r="A17" s="20"/>
      <c r="B17" s="181"/>
      <c r="C17" s="200"/>
      <c r="D17" s="201"/>
      <c r="E17" s="201"/>
      <c r="F17" s="363"/>
      <c r="G17" s="364"/>
      <c r="H17" s="365"/>
      <c r="I17" s="202" t="str">
        <f t="shared" si="0"/>
        <v/>
      </c>
      <c r="J17" s="203" t="str">
        <f t="shared" si="7"/>
        <v>-</v>
      </c>
      <c r="K17" s="52" t="str">
        <f t="shared" si="1"/>
        <v/>
      </c>
      <c r="L17" s="184"/>
      <c r="M17" s="366" t="str">
        <f t="shared" si="2"/>
        <v/>
      </c>
      <c r="N17" s="366"/>
      <c r="O17" s="367"/>
      <c r="P17" s="190" t="str">
        <f t="shared" si="3"/>
        <v/>
      </c>
      <c r="Q17" s="191" t="str">
        <f t="shared" si="4"/>
        <v/>
      </c>
      <c r="R17" s="191" t="str">
        <f t="shared" si="5"/>
        <v/>
      </c>
      <c r="S17" s="192" t="str">
        <f t="shared" si="6"/>
        <v/>
      </c>
    </row>
    <row r="18" spans="1:19" x14ac:dyDescent="0.15">
      <c r="A18" s="20"/>
      <c r="B18" s="181"/>
      <c r="C18" s="200"/>
      <c r="D18" s="201"/>
      <c r="E18" s="201"/>
      <c r="F18" s="363"/>
      <c r="G18" s="364"/>
      <c r="H18" s="365"/>
      <c r="I18" s="202" t="str">
        <f t="shared" si="0"/>
        <v/>
      </c>
      <c r="J18" s="203" t="str">
        <f t="shared" si="7"/>
        <v>-</v>
      </c>
      <c r="K18" s="52" t="str">
        <f t="shared" si="1"/>
        <v/>
      </c>
      <c r="L18" s="184"/>
      <c r="M18" s="366" t="str">
        <f t="shared" si="2"/>
        <v/>
      </c>
      <c r="N18" s="366"/>
      <c r="O18" s="367"/>
      <c r="P18" s="190" t="str">
        <f t="shared" si="3"/>
        <v/>
      </c>
      <c r="Q18" s="191" t="str">
        <f t="shared" si="4"/>
        <v/>
      </c>
      <c r="R18" s="191" t="str">
        <f t="shared" si="5"/>
        <v/>
      </c>
      <c r="S18" s="192" t="str">
        <f t="shared" si="6"/>
        <v/>
      </c>
    </row>
    <row r="19" spans="1:19" x14ac:dyDescent="0.15">
      <c r="A19" s="20"/>
      <c r="B19" s="181"/>
      <c r="C19" s="200"/>
      <c r="D19" s="201"/>
      <c r="E19" s="201"/>
      <c r="F19" s="363"/>
      <c r="G19" s="364"/>
      <c r="H19" s="365"/>
      <c r="I19" s="202" t="str">
        <f t="shared" si="0"/>
        <v/>
      </c>
      <c r="J19" s="203" t="str">
        <f t="shared" si="7"/>
        <v>-</v>
      </c>
      <c r="K19" s="52" t="str">
        <f t="shared" si="1"/>
        <v/>
      </c>
      <c r="L19" s="184"/>
      <c r="M19" s="366" t="str">
        <f t="shared" si="2"/>
        <v/>
      </c>
      <c r="N19" s="366"/>
      <c r="O19" s="367"/>
      <c r="P19" s="190" t="str">
        <f t="shared" si="3"/>
        <v/>
      </c>
      <c r="Q19" s="191" t="str">
        <f t="shared" si="4"/>
        <v/>
      </c>
      <c r="R19" s="191" t="str">
        <f t="shared" si="5"/>
        <v/>
      </c>
      <c r="S19" s="192" t="str">
        <f t="shared" si="6"/>
        <v/>
      </c>
    </row>
    <row r="20" spans="1:19" x14ac:dyDescent="0.15">
      <c r="A20" s="9"/>
      <c r="B20" s="181"/>
      <c r="C20" s="200"/>
      <c r="D20" s="201"/>
      <c r="E20" s="201"/>
      <c r="F20" s="363"/>
      <c r="G20" s="364"/>
      <c r="H20" s="365"/>
      <c r="I20" s="202" t="str">
        <f t="shared" si="0"/>
        <v/>
      </c>
      <c r="J20" s="203" t="str">
        <f t="shared" si="7"/>
        <v>-</v>
      </c>
      <c r="K20" s="52" t="str">
        <f t="shared" si="1"/>
        <v/>
      </c>
      <c r="L20" s="184"/>
      <c r="M20" s="366" t="str">
        <f t="shared" si="2"/>
        <v/>
      </c>
      <c r="N20" s="366"/>
      <c r="O20" s="367"/>
      <c r="P20" s="190" t="str">
        <f t="shared" si="3"/>
        <v/>
      </c>
      <c r="Q20" s="191" t="str">
        <f t="shared" si="4"/>
        <v/>
      </c>
      <c r="R20" s="191" t="str">
        <f t="shared" si="5"/>
        <v/>
      </c>
      <c r="S20" s="192" t="str">
        <f t="shared" si="6"/>
        <v/>
      </c>
    </row>
    <row r="21" spans="1:19" x14ac:dyDescent="0.15">
      <c r="A21" s="21" t="s">
        <v>46</v>
      </c>
      <c r="B21" s="181"/>
      <c r="C21" s="200"/>
      <c r="D21" s="201"/>
      <c r="E21" s="201"/>
      <c r="F21" s="363"/>
      <c r="G21" s="364"/>
      <c r="H21" s="365"/>
      <c r="I21" s="202" t="str">
        <f t="shared" si="0"/>
        <v/>
      </c>
      <c r="J21" s="203" t="str">
        <f t="shared" si="7"/>
        <v>-</v>
      </c>
      <c r="K21" s="52" t="str">
        <f t="shared" si="1"/>
        <v/>
      </c>
      <c r="L21" s="184"/>
      <c r="M21" s="366" t="str">
        <f t="shared" si="2"/>
        <v/>
      </c>
      <c r="N21" s="366"/>
      <c r="O21" s="367"/>
      <c r="P21" s="190" t="str">
        <f t="shared" si="3"/>
        <v/>
      </c>
      <c r="Q21" s="191" t="str">
        <f t="shared" si="4"/>
        <v/>
      </c>
      <c r="R21" s="191" t="str">
        <f t="shared" si="5"/>
        <v/>
      </c>
      <c r="S21" s="192" t="str">
        <f t="shared" si="6"/>
        <v/>
      </c>
    </row>
    <row r="22" spans="1:19" x14ac:dyDescent="0.15">
      <c r="A22" s="20"/>
      <c r="B22" s="181"/>
      <c r="C22" s="200"/>
      <c r="D22" s="201"/>
      <c r="E22" s="201"/>
      <c r="F22" s="363"/>
      <c r="G22" s="364"/>
      <c r="H22" s="365"/>
      <c r="I22" s="202" t="str">
        <f t="shared" si="0"/>
        <v/>
      </c>
      <c r="J22" s="203" t="str">
        <f t="shared" si="7"/>
        <v>-</v>
      </c>
      <c r="K22" s="52" t="str">
        <f t="shared" si="1"/>
        <v/>
      </c>
      <c r="L22" s="184"/>
      <c r="M22" s="366" t="str">
        <f t="shared" si="2"/>
        <v/>
      </c>
      <c r="N22" s="366"/>
      <c r="O22" s="367"/>
      <c r="P22" s="190" t="str">
        <f t="shared" si="3"/>
        <v/>
      </c>
      <c r="Q22" s="191" t="str">
        <f t="shared" si="4"/>
        <v/>
      </c>
      <c r="R22" s="191" t="str">
        <f t="shared" si="5"/>
        <v/>
      </c>
      <c r="S22" s="192" t="str">
        <f t="shared" si="6"/>
        <v/>
      </c>
    </row>
    <row r="23" spans="1:19" x14ac:dyDescent="0.15">
      <c r="A23" s="20"/>
      <c r="B23" s="181"/>
      <c r="C23" s="200"/>
      <c r="D23" s="201"/>
      <c r="E23" s="201"/>
      <c r="F23" s="363"/>
      <c r="G23" s="364"/>
      <c r="H23" s="365"/>
      <c r="I23" s="202" t="str">
        <f t="shared" si="0"/>
        <v/>
      </c>
      <c r="J23" s="203" t="str">
        <f t="shared" si="7"/>
        <v>-</v>
      </c>
      <c r="K23" s="52" t="str">
        <f t="shared" si="1"/>
        <v/>
      </c>
      <c r="L23" s="184"/>
      <c r="M23" s="366" t="str">
        <f t="shared" si="2"/>
        <v/>
      </c>
      <c r="N23" s="366"/>
      <c r="O23" s="367"/>
      <c r="P23" s="190" t="str">
        <f t="shared" si="3"/>
        <v/>
      </c>
      <c r="Q23" s="191" t="str">
        <f t="shared" si="4"/>
        <v/>
      </c>
      <c r="R23" s="191" t="str">
        <f t="shared" si="5"/>
        <v/>
      </c>
      <c r="S23" s="192" t="str">
        <f t="shared" si="6"/>
        <v/>
      </c>
    </row>
    <row r="24" spans="1:19" x14ac:dyDescent="0.15">
      <c r="A24" s="20"/>
      <c r="B24" s="181"/>
      <c r="C24" s="200"/>
      <c r="D24" s="201"/>
      <c r="E24" s="201"/>
      <c r="F24" s="363"/>
      <c r="G24" s="364"/>
      <c r="H24" s="365"/>
      <c r="I24" s="202" t="str">
        <f t="shared" si="0"/>
        <v/>
      </c>
      <c r="J24" s="203" t="str">
        <f t="shared" si="7"/>
        <v>-</v>
      </c>
      <c r="K24" s="52" t="str">
        <f t="shared" si="1"/>
        <v/>
      </c>
      <c r="L24" s="184"/>
      <c r="M24" s="366" t="str">
        <f t="shared" si="2"/>
        <v/>
      </c>
      <c r="N24" s="366"/>
      <c r="O24" s="367"/>
      <c r="P24" s="190" t="str">
        <f t="shared" si="3"/>
        <v/>
      </c>
      <c r="Q24" s="191" t="str">
        <f t="shared" si="4"/>
        <v/>
      </c>
      <c r="R24" s="191" t="str">
        <f t="shared" si="5"/>
        <v/>
      </c>
      <c r="S24" s="192" t="str">
        <f t="shared" si="6"/>
        <v/>
      </c>
    </row>
    <row r="25" spans="1:19" x14ac:dyDescent="0.15">
      <c r="A25" s="20"/>
      <c r="B25" s="181"/>
      <c r="C25" s="200"/>
      <c r="D25" s="201"/>
      <c r="E25" s="201"/>
      <c r="F25" s="363"/>
      <c r="G25" s="364"/>
      <c r="H25" s="365"/>
      <c r="I25" s="202" t="str">
        <f t="shared" si="0"/>
        <v/>
      </c>
      <c r="J25" s="203" t="str">
        <f t="shared" si="7"/>
        <v>-</v>
      </c>
      <c r="K25" s="52" t="str">
        <f t="shared" si="1"/>
        <v/>
      </c>
      <c r="L25" s="184"/>
      <c r="M25" s="366" t="str">
        <f t="shared" si="2"/>
        <v/>
      </c>
      <c r="N25" s="366"/>
      <c r="O25" s="367"/>
      <c r="P25" s="190" t="str">
        <f t="shared" si="3"/>
        <v/>
      </c>
      <c r="Q25" s="191" t="str">
        <f t="shared" si="4"/>
        <v/>
      </c>
      <c r="R25" s="191" t="str">
        <f t="shared" si="5"/>
        <v/>
      </c>
      <c r="S25" s="192" t="str">
        <f t="shared" si="6"/>
        <v/>
      </c>
    </row>
    <row r="26" spans="1:19" x14ac:dyDescent="0.15">
      <c r="A26" s="9"/>
      <c r="B26" s="181"/>
      <c r="C26" s="200"/>
      <c r="D26" s="201"/>
      <c r="E26" s="201"/>
      <c r="F26" s="363"/>
      <c r="G26" s="364"/>
      <c r="H26" s="365"/>
      <c r="I26" s="202" t="str">
        <f t="shared" si="0"/>
        <v/>
      </c>
      <c r="J26" s="203" t="str">
        <f t="shared" si="7"/>
        <v>-</v>
      </c>
      <c r="K26" s="52" t="str">
        <f t="shared" si="1"/>
        <v/>
      </c>
      <c r="L26" s="184"/>
      <c r="M26" s="366" t="str">
        <f t="shared" si="2"/>
        <v/>
      </c>
      <c r="N26" s="366"/>
      <c r="O26" s="367"/>
      <c r="P26" s="190" t="str">
        <f t="shared" si="3"/>
        <v/>
      </c>
      <c r="Q26" s="191" t="str">
        <f t="shared" si="4"/>
        <v/>
      </c>
      <c r="R26" s="191" t="str">
        <f t="shared" si="5"/>
        <v/>
      </c>
      <c r="S26" s="192" t="str">
        <f t="shared" si="6"/>
        <v/>
      </c>
    </row>
    <row r="27" spans="1:19" x14ac:dyDescent="0.15">
      <c r="A27" s="9"/>
      <c r="B27" s="181"/>
      <c r="C27" s="200"/>
      <c r="D27" s="201"/>
      <c r="E27" s="201"/>
      <c r="F27" s="363"/>
      <c r="G27" s="364"/>
      <c r="H27" s="365"/>
      <c r="I27" s="202" t="str">
        <f t="shared" si="0"/>
        <v/>
      </c>
      <c r="J27" s="203" t="str">
        <f t="shared" si="7"/>
        <v>-</v>
      </c>
      <c r="K27" s="52" t="str">
        <f t="shared" si="1"/>
        <v/>
      </c>
      <c r="L27" s="184"/>
      <c r="M27" s="366" t="str">
        <f t="shared" si="2"/>
        <v/>
      </c>
      <c r="N27" s="366"/>
      <c r="O27" s="367"/>
      <c r="P27" s="190" t="str">
        <f t="shared" si="3"/>
        <v/>
      </c>
      <c r="Q27" s="191" t="str">
        <f t="shared" si="4"/>
        <v/>
      </c>
      <c r="R27" s="191" t="str">
        <f t="shared" si="5"/>
        <v/>
      </c>
      <c r="S27" s="192" t="str">
        <f t="shared" si="6"/>
        <v/>
      </c>
    </row>
    <row r="28" spans="1:19" x14ac:dyDescent="0.15">
      <c r="B28" s="181"/>
      <c r="C28" s="200"/>
      <c r="D28" s="201"/>
      <c r="E28" s="201"/>
      <c r="F28" s="363"/>
      <c r="G28" s="364"/>
      <c r="H28" s="365"/>
      <c r="I28" s="202" t="str">
        <f t="shared" si="0"/>
        <v/>
      </c>
      <c r="J28" s="203" t="str">
        <f t="shared" si="7"/>
        <v>-</v>
      </c>
      <c r="K28" s="52" t="str">
        <f t="shared" si="1"/>
        <v/>
      </c>
      <c r="L28" s="184"/>
      <c r="M28" s="366" t="str">
        <f t="shared" si="2"/>
        <v/>
      </c>
      <c r="N28" s="366"/>
      <c r="O28" s="367"/>
      <c r="P28" s="190" t="str">
        <f t="shared" si="3"/>
        <v/>
      </c>
      <c r="Q28" s="191" t="str">
        <f t="shared" si="4"/>
        <v/>
      </c>
      <c r="R28" s="191" t="str">
        <f t="shared" si="5"/>
        <v/>
      </c>
      <c r="S28" s="192" t="str">
        <f t="shared" si="6"/>
        <v/>
      </c>
    </row>
    <row r="29" spans="1:19" x14ac:dyDescent="0.15">
      <c r="B29" s="181"/>
      <c r="C29" s="200"/>
      <c r="D29" s="201"/>
      <c r="E29" s="201"/>
      <c r="F29" s="363"/>
      <c r="G29" s="364"/>
      <c r="H29" s="365"/>
      <c r="I29" s="202" t="str">
        <f t="shared" si="0"/>
        <v/>
      </c>
      <c r="J29" s="203" t="str">
        <f t="shared" si="7"/>
        <v>-</v>
      </c>
      <c r="K29" s="52" t="str">
        <f t="shared" si="1"/>
        <v/>
      </c>
      <c r="L29" s="184"/>
      <c r="M29" s="366" t="str">
        <f t="shared" si="2"/>
        <v/>
      </c>
      <c r="N29" s="366"/>
      <c r="O29" s="367"/>
      <c r="P29" s="190" t="str">
        <f t="shared" si="3"/>
        <v/>
      </c>
      <c r="Q29" s="191" t="str">
        <f t="shared" si="4"/>
        <v/>
      </c>
      <c r="R29" s="191" t="str">
        <f t="shared" si="5"/>
        <v/>
      </c>
      <c r="S29" s="192" t="str">
        <f t="shared" si="6"/>
        <v/>
      </c>
    </row>
    <row r="30" spans="1:19" x14ac:dyDescent="0.15">
      <c r="A30" s="21" t="s">
        <v>46</v>
      </c>
      <c r="B30" s="181"/>
      <c r="C30" s="200"/>
      <c r="D30" s="201"/>
      <c r="E30" s="201"/>
      <c r="F30" s="363"/>
      <c r="G30" s="364"/>
      <c r="H30" s="365"/>
      <c r="I30" s="202" t="str">
        <f t="shared" si="0"/>
        <v/>
      </c>
      <c r="J30" s="203" t="str">
        <f t="shared" si="7"/>
        <v>-</v>
      </c>
      <c r="K30" s="52" t="str">
        <f t="shared" si="1"/>
        <v/>
      </c>
      <c r="L30" s="184"/>
      <c r="M30" s="366" t="str">
        <f t="shared" si="2"/>
        <v/>
      </c>
      <c r="N30" s="366"/>
      <c r="O30" s="367"/>
      <c r="P30" s="190" t="str">
        <f t="shared" si="3"/>
        <v/>
      </c>
      <c r="Q30" s="191" t="str">
        <f t="shared" si="4"/>
        <v/>
      </c>
      <c r="R30" s="191" t="str">
        <f t="shared" si="5"/>
        <v/>
      </c>
      <c r="S30" s="192" t="str">
        <f t="shared" si="6"/>
        <v/>
      </c>
    </row>
    <row r="31" spans="1:19" x14ac:dyDescent="0.15">
      <c r="A31" s="21" t="s">
        <v>46</v>
      </c>
      <c r="B31" s="181"/>
      <c r="C31" s="200"/>
      <c r="D31" s="201"/>
      <c r="E31" s="201"/>
      <c r="F31" s="363"/>
      <c r="G31" s="364"/>
      <c r="H31" s="365"/>
      <c r="I31" s="202" t="str">
        <f t="shared" si="0"/>
        <v/>
      </c>
      <c r="J31" s="203" t="str">
        <f t="shared" si="7"/>
        <v>-</v>
      </c>
      <c r="K31" s="52" t="str">
        <f t="shared" si="1"/>
        <v/>
      </c>
      <c r="L31" s="184"/>
      <c r="M31" s="366" t="str">
        <f t="shared" si="2"/>
        <v/>
      </c>
      <c r="N31" s="366"/>
      <c r="O31" s="367"/>
      <c r="P31" s="190" t="str">
        <f t="shared" si="3"/>
        <v/>
      </c>
      <c r="Q31" s="191" t="str">
        <f t="shared" si="4"/>
        <v/>
      </c>
      <c r="R31" s="191" t="str">
        <f t="shared" si="5"/>
        <v/>
      </c>
      <c r="S31" s="192" t="str">
        <f t="shared" si="6"/>
        <v/>
      </c>
    </row>
    <row r="32" spans="1:19" x14ac:dyDescent="0.15">
      <c r="A32" s="21" t="s">
        <v>46</v>
      </c>
      <c r="B32" s="181"/>
      <c r="C32" s="200"/>
      <c r="D32" s="201"/>
      <c r="E32" s="201"/>
      <c r="F32" s="363"/>
      <c r="G32" s="364"/>
      <c r="H32" s="365"/>
      <c r="I32" s="202" t="str">
        <f t="shared" si="0"/>
        <v/>
      </c>
      <c r="J32" s="203" t="str">
        <f t="shared" si="7"/>
        <v>-</v>
      </c>
      <c r="K32" s="52" t="str">
        <f t="shared" si="1"/>
        <v/>
      </c>
      <c r="L32" s="184"/>
      <c r="M32" s="366" t="str">
        <f t="shared" si="2"/>
        <v/>
      </c>
      <c r="N32" s="366"/>
      <c r="O32" s="367"/>
      <c r="P32" s="190" t="str">
        <f t="shared" si="3"/>
        <v/>
      </c>
      <c r="Q32" s="191" t="str">
        <f t="shared" si="4"/>
        <v/>
      </c>
      <c r="R32" s="191" t="str">
        <f t="shared" si="5"/>
        <v/>
      </c>
      <c r="S32" s="192" t="str">
        <f t="shared" si="6"/>
        <v/>
      </c>
    </row>
    <row r="33" spans="1:19" x14ac:dyDescent="0.15">
      <c r="A33" s="21" t="s">
        <v>46</v>
      </c>
      <c r="B33" s="181"/>
      <c r="C33" s="200"/>
      <c r="D33" s="201"/>
      <c r="E33" s="201"/>
      <c r="F33" s="363"/>
      <c r="G33" s="364"/>
      <c r="H33" s="365"/>
      <c r="I33" s="202" t="str">
        <f t="shared" si="0"/>
        <v/>
      </c>
      <c r="J33" s="203" t="str">
        <f t="shared" si="7"/>
        <v>-</v>
      </c>
      <c r="K33" s="52" t="str">
        <f t="shared" si="1"/>
        <v/>
      </c>
      <c r="L33" s="184"/>
      <c r="M33" s="366" t="str">
        <f t="shared" si="2"/>
        <v/>
      </c>
      <c r="N33" s="366"/>
      <c r="O33" s="367"/>
      <c r="P33" s="190" t="str">
        <f t="shared" si="3"/>
        <v/>
      </c>
      <c r="Q33" s="191" t="str">
        <f t="shared" si="4"/>
        <v/>
      </c>
      <c r="R33" s="191" t="str">
        <f t="shared" si="5"/>
        <v/>
      </c>
      <c r="S33" s="192" t="str">
        <f t="shared" si="6"/>
        <v/>
      </c>
    </row>
    <row r="34" spans="1:19" x14ac:dyDescent="0.15">
      <c r="A34" s="20"/>
      <c r="B34" s="181"/>
      <c r="C34" s="200"/>
      <c r="D34" s="201"/>
      <c r="E34" s="201"/>
      <c r="F34" s="363"/>
      <c r="G34" s="364"/>
      <c r="H34" s="365"/>
      <c r="I34" s="202" t="str">
        <f t="shared" si="0"/>
        <v/>
      </c>
      <c r="J34" s="203" t="str">
        <f t="shared" si="7"/>
        <v>-</v>
      </c>
      <c r="K34" s="52" t="str">
        <f t="shared" si="1"/>
        <v/>
      </c>
      <c r="L34" s="184"/>
      <c r="M34" s="366" t="str">
        <f t="shared" si="2"/>
        <v/>
      </c>
      <c r="N34" s="366"/>
      <c r="O34" s="367"/>
      <c r="P34" s="190" t="str">
        <f t="shared" si="3"/>
        <v/>
      </c>
      <c r="Q34" s="191" t="str">
        <f t="shared" si="4"/>
        <v/>
      </c>
      <c r="R34" s="191" t="str">
        <f t="shared" si="5"/>
        <v/>
      </c>
      <c r="S34" s="192" t="str">
        <f t="shared" si="6"/>
        <v/>
      </c>
    </row>
    <row r="35" spans="1:19" x14ac:dyDescent="0.15">
      <c r="A35" s="20"/>
      <c r="B35" s="181"/>
      <c r="C35" s="200"/>
      <c r="D35" s="201"/>
      <c r="E35" s="201"/>
      <c r="F35" s="363"/>
      <c r="G35" s="364"/>
      <c r="H35" s="365"/>
      <c r="I35" s="202" t="str">
        <f t="shared" si="0"/>
        <v/>
      </c>
      <c r="J35" s="203" t="str">
        <f t="shared" si="7"/>
        <v>-</v>
      </c>
      <c r="K35" s="52" t="str">
        <f t="shared" si="1"/>
        <v/>
      </c>
      <c r="L35" s="184"/>
      <c r="M35" s="366" t="str">
        <f t="shared" si="2"/>
        <v/>
      </c>
      <c r="N35" s="366"/>
      <c r="O35" s="367"/>
      <c r="P35" s="190" t="str">
        <f t="shared" si="3"/>
        <v/>
      </c>
      <c r="Q35" s="191" t="str">
        <f t="shared" si="4"/>
        <v/>
      </c>
      <c r="R35" s="191" t="str">
        <f t="shared" si="5"/>
        <v/>
      </c>
      <c r="S35" s="192" t="str">
        <f t="shared" si="6"/>
        <v/>
      </c>
    </row>
    <row r="36" spans="1:19" x14ac:dyDescent="0.15">
      <c r="A36" s="20"/>
      <c r="B36" s="181"/>
      <c r="C36" s="200"/>
      <c r="D36" s="201"/>
      <c r="E36" s="201"/>
      <c r="F36" s="363"/>
      <c r="G36" s="364"/>
      <c r="H36" s="365"/>
      <c r="I36" s="202" t="str">
        <f t="shared" ref="I36:I67" si="8">IF($F36="","",IF(ISERR(VLOOKUP($F36,SOW,2,FALSE)),"-",VLOOKUP($F36,SOW,2,FALSE)))</f>
        <v/>
      </c>
      <c r="J36" s="203" t="str">
        <f t="shared" si="7"/>
        <v>-</v>
      </c>
      <c r="K36" s="52" t="str">
        <f t="shared" ref="K36:K67" si="9">IF(F36="","",IF(ISERROR(VLOOKUP($F36,SOW,3,FALSE)),0,VLOOKUP($F36,SOW,3,FALSE)*24))</f>
        <v/>
      </c>
      <c r="L36" s="184"/>
      <c r="M36" s="366" t="str">
        <f t="shared" ref="M36:M67" si="10">IF($F36&lt;&gt;"",IF($J36&lt;&gt;"-",IF($J36="要選択","REQ_IDを選択して下さい。",IF($J36="","REQ_IDを選択して下さい。",VLOOKUP($J36,REQUEST,2,FALSE))),$F36),"")</f>
        <v/>
      </c>
      <c r="N36" s="366"/>
      <c r="O36" s="367"/>
      <c r="P36" s="190" t="str">
        <f t="shared" si="3"/>
        <v/>
      </c>
      <c r="Q36" s="191" t="str">
        <f t="shared" si="4"/>
        <v/>
      </c>
      <c r="R36" s="191" t="str">
        <f t="shared" si="5"/>
        <v/>
      </c>
      <c r="S36" s="192" t="str">
        <f t="shared" si="6"/>
        <v/>
      </c>
    </row>
    <row r="37" spans="1:19" x14ac:dyDescent="0.15">
      <c r="A37" s="20"/>
      <c r="B37" s="181"/>
      <c r="C37" s="200"/>
      <c r="D37" s="201"/>
      <c r="E37" s="201"/>
      <c r="F37" s="363"/>
      <c r="G37" s="364"/>
      <c r="H37" s="365"/>
      <c r="I37" s="202" t="str">
        <f t="shared" si="8"/>
        <v/>
      </c>
      <c r="J37" s="203" t="str">
        <f t="shared" si="7"/>
        <v>-</v>
      </c>
      <c r="K37" s="52" t="str">
        <f t="shared" si="9"/>
        <v/>
      </c>
      <c r="L37" s="184"/>
      <c r="M37" s="366" t="str">
        <f t="shared" si="10"/>
        <v/>
      </c>
      <c r="N37" s="366"/>
      <c r="O37" s="367"/>
      <c r="P37" s="190" t="str">
        <f t="shared" si="3"/>
        <v/>
      </c>
      <c r="Q37" s="191" t="str">
        <f t="shared" si="4"/>
        <v/>
      </c>
      <c r="R37" s="191" t="str">
        <f t="shared" si="5"/>
        <v/>
      </c>
      <c r="S37" s="192" t="str">
        <f t="shared" si="6"/>
        <v/>
      </c>
    </row>
    <row r="38" spans="1:19" x14ac:dyDescent="0.15">
      <c r="A38" s="9"/>
      <c r="B38" s="181"/>
      <c r="C38" s="200"/>
      <c r="D38" s="201"/>
      <c r="E38" s="201"/>
      <c r="F38" s="363"/>
      <c r="G38" s="364"/>
      <c r="H38" s="365"/>
      <c r="I38" s="202" t="str">
        <f t="shared" si="8"/>
        <v/>
      </c>
      <c r="J38" s="203" t="str">
        <f t="shared" si="7"/>
        <v>-</v>
      </c>
      <c r="K38" s="52" t="str">
        <f t="shared" si="9"/>
        <v/>
      </c>
      <c r="L38" s="184"/>
      <c r="M38" s="366" t="str">
        <f t="shared" si="10"/>
        <v/>
      </c>
      <c r="N38" s="366"/>
      <c r="O38" s="367"/>
      <c r="P38" s="190" t="str">
        <f t="shared" si="3"/>
        <v/>
      </c>
      <c r="Q38" s="191" t="str">
        <f t="shared" si="4"/>
        <v/>
      </c>
      <c r="R38" s="191" t="str">
        <f t="shared" si="5"/>
        <v/>
      </c>
      <c r="S38" s="192" t="str">
        <f t="shared" si="6"/>
        <v/>
      </c>
    </row>
    <row r="39" spans="1:19" x14ac:dyDescent="0.15">
      <c r="A39" s="9"/>
      <c r="B39" s="181"/>
      <c r="C39" s="200"/>
      <c r="D39" s="201"/>
      <c r="E39" s="201"/>
      <c r="F39" s="363"/>
      <c r="G39" s="364"/>
      <c r="H39" s="365"/>
      <c r="I39" s="202" t="str">
        <f t="shared" si="8"/>
        <v/>
      </c>
      <c r="J39" s="203" t="str">
        <f t="shared" si="7"/>
        <v>-</v>
      </c>
      <c r="K39" s="52" t="str">
        <f t="shared" si="9"/>
        <v/>
      </c>
      <c r="L39" s="184"/>
      <c r="M39" s="366" t="str">
        <f t="shared" si="10"/>
        <v/>
      </c>
      <c r="N39" s="366"/>
      <c r="O39" s="367"/>
      <c r="P39" s="190" t="str">
        <f t="shared" si="3"/>
        <v/>
      </c>
      <c r="Q39" s="191" t="str">
        <f t="shared" si="4"/>
        <v/>
      </c>
      <c r="R39" s="191" t="str">
        <f t="shared" si="5"/>
        <v/>
      </c>
      <c r="S39" s="192" t="str">
        <f t="shared" si="6"/>
        <v/>
      </c>
    </row>
    <row r="40" spans="1:19" x14ac:dyDescent="0.15">
      <c r="B40" s="181"/>
      <c r="C40" s="200"/>
      <c r="D40" s="201"/>
      <c r="E40" s="201"/>
      <c r="F40" s="363"/>
      <c r="G40" s="364"/>
      <c r="H40" s="365"/>
      <c r="I40" s="202" t="str">
        <f t="shared" si="8"/>
        <v/>
      </c>
      <c r="J40" s="203" t="str">
        <f t="shared" si="7"/>
        <v>-</v>
      </c>
      <c r="K40" s="52" t="str">
        <f t="shared" si="9"/>
        <v/>
      </c>
      <c r="L40" s="184"/>
      <c r="M40" s="366" t="str">
        <f t="shared" si="10"/>
        <v/>
      </c>
      <c r="N40" s="366"/>
      <c r="O40" s="367"/>
      <c r="P40" s="190" t="str">
        <f t="shared" si="3"/>
        <v/>
      </c>
      <c r="Q40" s="191" t="str">
        <f t="shared" si="4"/>
        <v/>
      </c>
      <c r="R40" s="191" t="str">
        <f t="shared" si="5"/>
        <v/>
      </c>
      <c r="S40" s="192" t="str">
        <f t="shared" si="6"/>
        <v/>
      </c>
    </row>
    <row r="41" spans="1:19" ht="11.25" customHeight="1" x14ac:dyDescent="0.15">
      <c r="B41" s="181"/>
      <c r="C41" s="200"/>
      <c r="D41" s="201"/>
      <c r="E41" s="201"/>
      <c r="F41" s="363"/>
      <c r="G41" s="364"/>
      <c r="H41" s="365"/>
      <c r="I41" s="202" t="str">
        <f t="shared" si="8"/>
        <v/>
      </c>
      <c r="J41" s="203" t="str">
        <f t="shared" si="7"/>
        <v>-</v>
      </c>
      <c r="K41" s="52" t="str">
        <f t="shared" si="9"/>
        <v/>
      </c>
      <c r="L41" s="185"/>
      <c r="M41" s="366" t="str">
        <f t="shared" si="10"/>
        <v/>
      </c>
      <c r="N41" s="366"/>
      <c r="O41" s="367"/>
      <c r="P41" s="190" t="str">
        <f t="shared" si="3"/>
        <v/>
      </c>
      <c r="Q41" s="191" t="str">
        <f t="shared" si="4"/>
        <v/>
      </c>
      <c r="R41" s="191" t="str">
        <f t="shared" si="5"/>
        <v/>
      </c>
      <c r="S41" s="192" t="str">
        <f t="shared" si="6"/>
        <v/>
      </c>
    </row>
    <row r="42" spans="1:19" ht="11.25" customHeight="1" x14ac:dyDescent="0.15">
      <c r="B42" s="181"/>
      <c r="C42" s="200"/>
      <c r="D42" s="201"/>
      <c r="E42" s="201"/>
      <c r="F42" s="363"/>
      <c r="G42" s="364"/>
      <c r="H42" s="365"/>
      <c r="I42" s="202" t="str">
        <f t="shared" si="8"/>
        <v/>
      </c>
      <c r="J42" s="203" t="str">
        <f t="shared" si="7"/>
        <v>-</v>
      </c>
      <c r="K42" s="52" t="str">
        <f t="shared" si="9"/>
        <v/>
      </c>
      <c r="L42" s="185"/>
      <c r="M42" s="366" t="str">
        <f t="shared" si="10"/>
        <v/>
      </c>
      <c r="N42" s="366"/>
      <c r="O42" s="367"/>
      <c r="P42" s="190" t="str">
        <f t="shared" si="3"/>
        <v/>
      </c>
      <c r="Q42" s="191" t="str">
        <f t="shared" si="4"/>
        <v/>
      </c>
      <c r="R42" s="191" t="str">
        <f t="shared" si="5"/>
        <v/>
      </c>
      <c r="S42" s="192" t="str">
        <f t="shared" si="6"/>
        <v/>
      </c>
    </row>
    <row r="43" spans="1:19" ht="11.25" customHeight="1" x14ac:dyDescent="0.15">
      <c r="A43" s="9"/>
      <c r="B43" s="181"/>
      <c r="C43" s="200"/>
      <c r="D43" s="201"/>
      <c r="E43" s="201"/>
      <c r="F43" s="363"/>
      <c r="G43" s="364"/>
      <c r="H43" s="365"/>
      <c r="I43" s="202" t="str">
        <f t="shared" si="8"/>
        <v/>
      </c>
      <c r="J43" s="203" t="str">
        <f t="shared" si="7"/>
        <v>-</v>
      </c>
      <c r="K43" s="52" t="str">
        <f t="shared" si="9"/>
        <v/>
      </c>
      <c r="L43" s="184"/>
      <c r="M43" s="366" t="str">
        <f t="shared" si="10"/>
        <v/>
      </c>
      <c r="N43" s="366"/>
      <c r="O43" s="367"/>
      <c r="P43" s="190" t="str">
        <f t="shared" si="3"/>
        <v/>
      </c>
      <c r="Q43" s="191" t="str">
        <f t="shared" si="4"/>
        <v/>
      </c>
      <c r="R43" s="191" t="str">
        <f t="shared" si="5"/>
        <v/>
      </c>
      <c r="S43" s="192" t="str">
        <f t="shared" si="6"/>
        <v/>
      </c>
    </row>
    <row r="44" spans="1:19" ht="11.25" customHeight="1" x14ac:dyDescent="0.15">
      <c r="B44" s="181"/>
      <c r="C44" s="200"/>
      <c r="D44" s="201"/>
      <c r="E44" s="201"/>
      <c r="F44" s="363"/>
      <c r="G44" s="364"/>
      <c r="H44" s="365"/>
      <c r="I44" s="202" t="str">
        <f t="shared" si="8"/>
        <v/>
      </c>
      <c r="J44" s="203" t="str">
        <f t="shared" si="7"/>
        <v>-</v>
      </c>
      <c r="K44" s="52" t="str">
        <f t="shared" si="9"/>
        <v/>
      </c>
      <c r="L44" s="185"/>
      <c r="M44" s="366" t="str">
        <f t="shared" si="10"/>
        <v/>
      </c>
      <c r="N44" s="366"/>
      <c r="O44" s="367"/>
      <c r="P44" s="190" t="str">
        <f t="shared" si="3"/>
        <v/>
      </c>
      <c r="Q44" s="191" t="str">
        <f t="shared" si="4"/>
        <v/>
      </c>
      <c r="R44" s="191" t="str">
        <f t="shared" si="5"/>
        <v/>
      </c>
      <c r="S44" s="192" t="str">
        <f t="shared" si="6"/>
        <v/>
      </c>
    </row>
    <row r="45" spans="1:19" x14ac:dyDescent="0.15">
      <c r="A45" s="9"/>
      <c r="B45" s="181"/>
      <c r="C45" s="200"/>
      <c r="D45" s="201"/>
      <c r="E45" s="201"/>
      <c r="F45" s="363"/>
      <c r="G45" s="364"/>
      <c r="H45" s="365"/>
      <c r="I45" s="202" t="str">
        <f t="shared" si="8"/>
        <v/>
      </c>
      <c r="J45" s="203" t="str">
        <f t="shared" si="7"/>
        <v>-</v>
      </c>
      <c r="K45" s="52" t="str">
        <f t="shared" si="9"/>
        <v/>
      </c>
      <c r="L45" s="184"/>
      <c r="M45" s="366" t="str">
        <f t="shared" si="10"/>
        <v/>
      </c>
      <c r="N45" s="366"/>
      <c r="O45" s="367"/>
      <c r="P45" s="190" t="str">
        <f t="shared" si="3"/>
        <v/>
      </c>
      <c r="Q45" s="191" t="str">
        <f t="shared" si="4"/>
        <v/>
      </c>
      <c r="R45" s="191" t="str">
        <f t="shared" si="5"/>
        <v/>
      </c>
      <c r="S45" s="192" t="str">
        <f t="shared" si="6"/>
        <v/>
      </c>
    </row>
    <row r="46" spans="1:19" ht="11.25" customHeight="1" x14ac:dyDescent="0.15">
      <c r="A46" s="20"/>
      <c r="B46" s="181"/>
      <c r="C46" s="200"/>
      <c r="D46" s="201"/>
      <c r="E46" s="201"/>
      <c r="F46" s="363"/>
      <c r="G46" s="364"/>
      <c r="H46" s="365"/>
      <c r="I46" s="202" t="str">
        <f t="shared" si="8"/>
        <v/>
      </c>
      <c r="J46" s="203" t="str">
        <f t="shared" si="7"/>
        <v>-</v>
      </c>
      <c r="K46" s="52" t="str">
        <f t="shared" si="9"/>
        <v/>
      </c>
      <c r="L46" s="184"/>
      <c r="M46" s="366" t="str">
        <f t="shared" si="10"/>
        <v/>
      </c>
      <c r="N46" s="366"/>
      <c r="O46" s="367"/>
      <c r="P46" s="190" t="str">
        <f t="shared" si="3"/>
        <v/>
      </c>
      <c r="Q46" s="191" t="str">
        <f t="shared" si="4"/>
        <v/>
      </c>
      <c r="R46" s="191" t="str">
        <f t="shared" si="5"/>
        <v/>
      </c>
      <c r="S46" s="192" t="str">
        <f t="shared" si="6"/>
        <v/>
      </c>
    </row>
    <row r="47" spans="1:19" ht="11.25" customHeight="1" x14ac:dyDescent="0.15">
      <c r="A47" s="21" t="s">
        <v>46</v>
      </c>
      <c r="B47" s="181"/>
      <c r="C47" s="200"/>
      <c r="D47" s="201"/>
      <c r="E47" s="201"/>
      <c r="F47" s="363"/>
      <c r="G47" s="364"/>
      <c r="H47" s="365"/>
      <c r="I47" s="202" t="str">
        <f t="shared" si="8"/>
        <v/>
      </c>
      <c r="J47" s="203" t="str">
        <f t="shared" si="7"/>
        <v>-</v>
      </c>
      <c r="K47" s="52" t="str">
        <f t="shared" si="9"/>
        <v/>
      </c>
      <c r="L47" s="184"/>
      <c r="M47" s="366" t="str">
        <f t="shared" si="10"/>
        <v/>
      </c>
      <c r="N47" s="366"/>
      <c r="O47" s="367"/>
      <c r="P47" s="190" t="str">
        <f t="shared" si="3"/>
        <v/>
      </c>
      <c r="Q47" s="191" t="str">
        <f t="shared" si="4"/>
        <v/>
      </c>
      <c r="R47" s="191" t="str">
        <f t="shared" si="5"/>
        <v/>
      </c>
      <c r="S47" s="192" t="str">
        <f t="shared" si="6"/>
        <v/>
      </c>
    </row>
    <row r="48" spans="1:19" ht="11.25" customHeight="1" x14ac:dyDescent="0.15">
      <c r="A48" s="21"/>
      <c r="B48" s="181"/>
      <c r="C48" s="200"/>
      <c r="D48" s="201"/>
      <c r="E48" s="201"/>
      <c r="F48" s="363"/>
      <c r="G48" s="364"/>
      <c r="H48" s="365"/>
      <c r="I48" s="202" t="str">
        <f t="shared" si="8"/>
        <v/>
      </c>
      <c r="J48" s="203" t="str">
        <f t="shared" si="7"/>
        <v>-</v>
      </c>
      <c r="K48" s="52" t="str">
        <f t="shared" si="9"/>
        <v/>
      </c>
      <c r="L48" s="184"/>
      <c r="M48" s="366" t="str">
        <f t="shared" si="10"/>
        <v/>
      </c>
      <c r="N48" s="366"/>
      <c r="O48" s="367"/>
      <c r="P48" s="190" t="str">
        <f t="shared" si="3"/>
        <v/>
      </c>
      <c r="Q48" s="191" t="str">
        <f t="shared" si="4"/>
        <v/>
      </c>
      <c r="R48" s="191" t="str">
        <f t="shared" si="5"/>
        <v/>
      </c>
      <c r="S48" s="192" t="str">
        <f t="shared" si="6"/>
        <v/>
      </c>
    </row>
    <row r="49" spans="1:19" ht="11.25" customHeight="1" x14ac:dyDescent="0.15">
      <c r="A49" s="21"/>
      <c r="B49" s="181"/>
      <c r="C49" s="200"/>
      <c r="D49" s="201"/>
      <c r="E49" s="201"/>
      <c r="F49" s="363"/>
      <c r="G49" s="364"/>
      <c r="H49" s="365"/>
      <c r="I49" s="202" t="str">
        <f t="shared" si="8"/>
        <v/>
      </c>
      <c r="J49" s="203" t="str">
        <f t="shared" si="7"/>
        <v>-</v>
      </c>
      <c r="K49" s="52" t="str">
        <f t="shared" si="9"/>
        <v/>
      </c>
      <c r="L49" s="184"/>
      <c r="M49" s="366" t="str">
        <f t="shared" si="10"/>
        <v/>
      </c>
      <c r="N49" s="366"/>
      <c r="O49" s="367"/>
      <c r="P49" s="190" t="str">
        <f t="shared" si="3"/>
        <v/>
      </c>
      <c r="Q49" s="191" t="str">
        <f t="shared" si="4"/>
        <v/>
      </c>
      <c r="R49" s="191" t="str">
        <f t="shared" si="5"/>
        <v/>
      </c>
      <c r="S49" s="192" t="str">
        <f t="shared" si="6"/>
        <v/>
      </c>
    </row>
    <row r="50" spans="1:19" ht="11.25" customHeight="1" x14ac:dyDescent="0.15">
      <c r="A50" s="20"/>
      <c r="B50" s="181"/>
      <c r="C50" s="200"/>
      <c r="D50" s="201"/>
      <c r="E50" s="201"/>
      <c r="F50" s="363"/>
      <c r="G50" s="364"/>
      <c r="H50" s="365"/>
      <c r="I50" s="202" t="str">
        <f t="shared" si="8"/>
        <v/>
      </c>
      <c r="J50" s="203" t="str">
        <f t="shared" si="7"/>
        <v>-</v>
      </c>
      <c r="K50" s="52" t="str">
        <f t="shared" si="9"/>
        <v/>
      </c>
      <c r="L50" s="184"/>
      <c r="M50" s="366" t="str">
        <f t="shared" si="10"/>
        <v/>
      </c>
      <c r="N50" s="366"/>
      <c r="O50" s="367"/>
      <c r="P50" s="190" t="str">
        <f t="shared" si="3"/>
        <v/>
      </c>
      <c r="Q50" s="191" t="str">
        <f t="shared" si="4"/>
        <v/>
      </c>
      <c r="R50" s="191" t="str">
        <f t="shared" si="5"/>
        <v/>
      </c>
      <c r="S50" s="192" t="str">
        <f t="shared" si="6"/>
        <v/>
      </c>
    </row>
    <row r="51" spans="1:19" ht="11.25" customHeight="1" x14ac:dyDescent="0.15">
      <c r="A51" s="20"/>
      <c r="B51" s="181"/>
      <c r="C51" s="200"/>
      <c r="D51" s="201"/>
      <c r="E51" s="201"/>
      <c r="F51" s="363"/>
      <c r="G51" s="364"/>
      <c r="H51" s="365"/>
      <c r="I51" s="202" t="str">
        <f t="shared" si="8"/>
        <v/>
      </c>
      <c r="J51" s="203" t="str">
        <f t="shared" si="7"/>
        <v>-</v>
      </c>
      <c r="K51" s="52" t="str">
        <f t="shared" si="9"/>
        <v/>
      </c>
      <c r="L51" s="184"/>
      <c r="M51" s="366" t="str">
        <f t="shared" si="10"/>
        <v/>
      </c>
      <c r="N51" s="366"/>
      <c r="O51" s="367"/>
      <c r="P51" s="190" t="str">
        <f t="shared" si="3"/>
        <v/>
      </c>
      <c r="Q51" s="191" t="str">
        <f t="shared" si="4"/>
        <v/>
      </c>
      <c r="R51" s="191" t="str">
        <f t="shared" si="5"/>
        <v/>
      </c>
      <c r="S51" s="192" t="str">
        <f t="shared" si="6"/>
        <v/>
      </c>
    </row>
    <row r="52" spans="1:19" ht="11.25" customHeight="1" x14ac:dyDescent="0.15">
      <c r="A52" s="9"/>
      <c r="B52" s="181"/>
      <c r="C52" s="200"/>
      <c r="D52" s="201"/>
      <c r="E52" s="201"/>
      <c r="F52" s="363"/>
      <c r="G52" s="364"/>
      <c r="H52" s="365"/>
      <c r="I52" s="202" t="str">
        <f t="shared" si="8"/>
        <v/>
      </c>
      <c r="J52" s="203" t="str">
        <f t="shared" si="7"/>
        <v>-</v>
      </c>
      <c r="K52" s="52" t="str">
        <f t="shared" si="9"/>
        <v/>
      </c>
      <c r="L52" s="184"/>
      <c r="M52" s="366" t="str">
        <f t="shared" si="10"/>
        <v/>
      </c>
      <c r="N52" s="366"/>
      <c r="O52" s="367"/>
      <c r="P52" s="190" t="str">
        <f t="shared" si="3"/>
        <v/>
      </c>
      <c r="Q52" s="191" t="str">
        <f t="shared" si="4"/>
        <v/>
      </c>
      <c r="R52" s="191" t="str">
        <f t="shared" si="5"/>
        <v/>
      </c>
      <c r="S52" s="192" t="str">
        <f t="shared" si="6"/>
        <v/>
      </c>
    </row>
    <row r="53" spans="1:19" ht="11.25" customHeight="1" x14ac:dyDescent="0.15">
      <c r="A53" s="21" t="s">
        <v>46</v>
      </c>
      <c r="B53" s="181"/>
      <c r="C53" s="200"/>
      <c r="D53" s="201"/>
      <c r="E53" s="201"/>
      <c r="F53" s="363"/>
      <c r="G53" s="364"/>
      <c r="H53" s="365"/>
      <c r="I53" s="202" t="str">
        <f t="shared" si="8"/>
        <v/>
      </c>
      <c r="J53" s="203" t="str">
        <f t="shared" si="7"/>
        <v>-</v>
      </c>
      <c r="K53" s="52" t="str">
        <f t="shared" si="9"/>
        <v/>
      </c>
      <c r="L53" s="184"/>
      <c r="M53" s="366" t="str">
        <f t="shared" si="10"/>
        <v/>
      </c>
      <c r="N53" s="366"/>
      <c r="O53" s="367"/>
      <c r="P53" s="190" t="str">
        <f t="shared" si="3"/>
        <v/>
      </c>
      <c r="Q53" s="191" t="str">
        <f t="shared" si="4"/>
        <v/>
      </c>
      <c r="R53" s="191" t="str">
        <f t="shared" si="5"/>
        <v/>
      </c>
      <c r="S53" s="192" t="str">
        <f t="shared" si="6"/>
        <v/>
      </c>
    </row>
    <row r="54" spans="1:19" ht="11.25" customHeight="1" x14ac:dyDescent="0.15">
      <c r="A54" s="20"/>
      <c r="B54" s="181"/>
      <c r="C54" s="200"/>
      <c r="D54" s="201"/>
      <c r="E54" s="201"/>
      <c r="F54" s="363"/>
      <c r="G54" s="364"/>
      <c r="H54" s="365"/>
      <c r="I54" s="202" t="str">
        <f t="shared" si="8"/>
        <v/>
      </c>
      <c r="J54" s="203" t="str">
        <f t="shared" si="7"/>
        <v>-</v>
      </c>
      <c r="K54" s="52" t="str">
        <f t="shared" si="9"/>
        <v/>
      </c>
      <c r="L54" s="184"/>
      <c r="M54" s="366" t="str">
        <f t="shared" si="10"/>
        <v/>
      </c>
      <c r="N54" s="366"/>
      <c r="O54" s="367"/>
      <c r="P54" s="190" t="str">
        <f t="shared" si="3"/>
        <v/>
      </c>
      <c r="Q54" s="191" t="str">
        <f t="shared" si="4"/>
        <v/>
      </c>
      <c r="R54" s="191" t="str">
        <f t="shared" si="5"/>
        <v/>
      </c>
      <c r="S54" s="192" t="str">
        <f t="shared" si="6"/>
        <v/>
      </c>
    </row>
    <row r="55" spans="1:19" ht="11.25" customHeight="1" x14ac:dyDescent="0.15">
      <c r="A55" s="21"/>
      <c r="B55" s="181"/>
      <c r="C55" s="200"/>
      <c r="D55" s="201"/>
      <c r="E55" s="201"/>
      <c r="F55" s="363"/>
      <c r="G55" s="364"/>
      <c r="H55" s="365"/>
      <c r="I55" s="202" t="str">
        <f t="shared" si="8"/>
        <v/>
      </c>
      <c r="J55" s="203" t="str">
        <f t="shared" si="7"/>
        <v>-</v>
      </c>
      <c r="K55" s="52" t="str">
        <f t="shared" si="9"/>
        <v/>
      </c>
      <c r="L55" s="184"/>
      <c r="M55" s="366" t="str">
        <f t="shared" si="10"/>
        <v/>
      </c>
      <c r="N55" s="366"/>
      <c r="O55" s="367"/>
      <c r="P55" s="190" t="str">
        <f t="shared" si="3"/>
        <v/>
      </c>
      <c r="Q55" s="191" t="str">
        <f t="shared" si="4"/>
        <v/>
      </c>
      <c r="R55" s="191" t="str">
        <f t="shared" si="5"/>
        <v/>
      </c>
      <c r="S55" s="192" t="str">
        <f t="shared" si="6"/>
        <v/>
      </c>
    </row>
    <row r="56" spans="1:19" ht="11.25" customHeight="1" x14ac:dyDescent="0.15">
      <c r="A56" s="21"/>
      <c r="B56" s="181"/>
      <c r="C56" s="200"/>
      <c r="D56" s="201"/>
      <c r="E56" s="201"/>
      <c r="F56" s="363"/>
      <c r="G56" s="364"/>
      <c r="H56" s="365"/>
      <c r="I56" s="202" t="str">
        <f t="shared" si="8"/>
        <v/>
      </c>
      <c r="J56" s="203" t="str">
        <f t="shared" si="7"/>
        <v>-</v>
      </c>
      <c r="K56" s="52" t="str">
        <f t="shared" si="9"/>
        <v/>
      </c>
      <c r="L56" s="184"/>
      <c r="M56" s="366" t="str">
        <f t="shared" si="10"/>
        <v/>
      </c>
      <c r="N56" s="366"/>
      <c r="O56" s="367"/>
      <c r="P56" s="190" t="str">
        <f t="shared" si="3"/>
        <v/>
      </c>
      <c r="Q56" s="191" t="str">
        <f t="shared" si="4"/>
        <v/>
      </c>
      <c r="R56" s="191" t="str">
        <f t="shared" si="5"/>
        <v/>
      </c>
      <c r="S56" s="192" t="str">
        <f t="shared" si="6"/>
        <v/>
      </c>
    </row>
    <row r="57" spans="1:19" ht="11.25" customHeight="1" x14ac:dyDescent="0.15">
      <c r="A57" s="20"/>
      <c r="B57" s="181"/>
      <c r="C57" s="200"/>
      <c r="D57" s="201"/>
      <c r="E57" s="201"/>
      <c r="F57" s="363"/>
      <c r="G57" s="364"/>
      <c r="H57" s="365"/>
      <c r="I57" s="202" t="str">
        <f t="shared" si="8"/>
        <v/>
      </c>
      <c r="J57" s="203" t="str">
        <f t="shared" si="7"/>
        <v>-</v>
      </c>
      <c r="K57" s="52" t="str">
        <f t="shared" si="9"/>
        <v/>
      </c>
      <c r="L57" s="184"/>
      <c r="M57" s="366" t="str">
        <f t="shared" si="10"/>
        <v/>
      </c>
      <c r="N57" s="366"/>
      <c r="O57" s="367"/>
      <c r="P57" s="190" t="str">
        <f t="shared" si="3"/>
        <v/>
      </c>
      <c r="Q57" s="191" t="str">
        <f t="shared" si="4"/>
        <v/>
      </c>
      <c r="R57" s="191" t="str">
        <f t="shared" si="5"/>
        <v/>
      </c>
      <c r="S57" s="192" t="str">
        <f t="shared" si="6"/>
        <v/>
      </c>
    </row>
    <row r="58" spans="1:19" ht="11.25" customHeight="1" x14ac:dyDescent="0.15">
      <c r="A58" s="9"/>
      <c r="B58" s="181"/>
      <c r="C58" s="200"/>
      <c r="D58" s="201"/>
      <c r="E58" s="201"/>
      <c r="F58" s="363"/>
      <c r="G58" s="364"/>
      <c r="H58" s="365"/>
      <c r="I58" s="202" t="str">
        <f t="shared" si="8"/>
        <v/>
      </c>
      <c r="J58" s="203" t="str">
        <f t="shared" si="7"/>
        <v>-</v>
      </c>
      <c r="K58" s="52" t="str">
        <f t="shared" si="9"/>
        <v/>
      </c>
      <c r="L58" s="184"/>
      <c r="M58" s="366" t="str">
        <f t="shared" si="10"/>
        <v/>
      </c>
      <c r="N58" s="366"/>
      <c r="O58" s="367"/>
      <c r="P58" s="190" t="str">
        <f t="shared" si="3"/>
        <v/>
      </c>
      <c r="Q58" s="191" t="str">
        <f t="shared" si="4"/>
        <v/>
      </c>
      <c r="R58" s="191" t="str">
        <f t="shared" si="5"/>
        <v/>
      </c>
      <c r="S58" s="192" t="str">
        <f t="shared" si="6"/>
        <v/>
      </c>
    </row>
    <row r="59" spans="1:19" ht="11.25" customHeight="1" x14ac:dyDescent="0.15">
      <c r="A59" s="21" t="s">
        <v>46</v>
      </c>
      <c r="B59" s="181"/>
      <c r="C59" s="200"/>
      <c r="D59" s="201"/>
      <c r="E59" s="201"/>
      <c r="F59" s="363"/>
      <c r="G59" s="364"/>
      <c r="H59" s="365"/>
      <c r="I59" s="202" t="str">
        <f t="shared" si="8"/>
        <v/>
      </c>
      <c r="J59" s="203" t="str">
        <f t="shared" si="7"/>
        <v>-</v>
      </c>
      <c r="K59" s="52" t="str">
        <f t="shared" si="9"/>
        <v/>
      </c>
      <c r="L59" s="184"/>
      <c r="M59" s="366" t="str">
        <f t="shared" si="10"/>
        <v/>
      </c>
      <c r="N59" s="366"/>
      <c r="O59" s="367"/>
      <c r="P59" s="190" t="str">
        <f t="shared" si="3"/>
        <v/>
      </c>
      <c r="Q59" s="191" t="str">
        <f t="shared" si="4"/>
        <v/>
      </c>
      <c r="R59" s="191" t="str">
        <f t="shared" si="5"/>
        <v/>
      </c>
      <c r="S59" s="192" t="str">
        <f t="shared" si="6"/>
        <v/>
      </c>
    </row>
    <row r="60" spans="1:19" ht="11.25" customHeight="1" x14ac:dyDescent="0.15">
      <c r="A60" s="20"/>
      <c r="B60" s="181"/>
      <c r="C60" s="200"/>
      <c r="D60" s="201"/>
      <c r="E60" s="201"/>
      <c r="F60" s="363"/>
      <c r="G60" s="364"/>
      <c r="H60" s="365"/>
      <c r="I60" s="202" t="str">
        <f t="shared" si="8"/>
        <v/>
      </c>
      <c r="J60" s="203" t="str">
        <f t="shared" si="7"/>
        <v>-</v>
      </c>
      <c r="K60" s="52" t="str">
        <f t="shared" si="9"/>
        <v/>
      </c>
      <c r="L60" s="184"/>
      <c r="M60" s="366" t="str">
        <f t="shared" si="10"/>
        <v/>
      </c>
      <c r="N60" s="366"/>
      <c r="O60" s="367"/>
      <c r="P60" s="190" t="str">
        <f t="shared" si="3"/>
        <v/>
      </c>
      <c r="Q60" s="191" t="str">
        <f t="shared" si="4"/>
        <v/>
      </c>
      <c r="R60" s="191" t="str">
        <f t="shared" si="5"/>
        <v/>
      </c>
      <c r="S60" s="192" t="str">
        <f t="shared" si="6"/>
        <v/>
      </c>
    </row>
    <row r="61" spans="1:19" ht="11.25" customHeight="1" x14ac:dyDescent="0.15">
      <c r="A61" s="20"/>
      <c r="B61" s="181"/>
      <c r="C61" s="200"/>
      <c r="D61" s="201"/>
      <c r="E61" s="201"/>
      <c r="F61" s="363"/>
      <c r="G61" s="364"/>
      <c r="H61" s="365"/>
      <c r="I61" s="202" t="str">
        <f t="shared" si="8"/>
        <v/>
      </c>
      <c r="J61" s="203" t="str">
        <f t="shared" si="7"/>
        <v>-</v>
      </c>
      <c r="K61" s="52" t="str">
        <f t="shared" si="9"/>
        <v/>
      </c>
      <c r="L61" s="184"/>
      <c r="M61" s="366" t="str">
        <f t="shared" si="10"/>
        <v/>
      </c>
      <c r="N61" s="366"/>
      <c r="O61" s="367"/>
      <c r="P61" s="190" t="str">
        <f t="shared" si="3"/>
        <v/>
      </c>
      <c r="Q61" s="191" t="str">
        <f t="shared" si="4"/>
        <v/>
      </c>
      <c r="R61" s="191" t="str">
        <f t="shared" si="5"/>
        <v/>
      </c>
      <c r="S61" s="192" t="str">
        <f t="shared" si="6"/>
        <v/>
      </c>
    </row>
    <row r="62" spans="1:19" x14ac:dyDescent="0.15">
      <c r="A62" s="20"/>
      <c r="B62" s="181"/>
      <c r="C62" s="200"/>
      <c r="D62" s="201"/>
      <c r="E62" s="201"/>
      <c r="F62" s="363"/>
      <c r="G62" s="364"/>
      <c r="H62" s="365"/>
      <c r="I62" s="202" t="str">
        <f t="shared" si="8"/>
        <v/>
      </c>
      <c r="J62" s="203" t="str">
        <f t="shared" si="7"/>
        <v>-</v>
      </c>
      <c r="K62" s="52" t="str">
        <f t="shared" si="9"/>
        <v/>
      </c>
      <c r="L62" s="184"/>
      <c r="M62" s="366" t="str">
        <f t="shared" si="10"/>
        <v/>
      </c>
      <c r="N62" s="366"/>
      <c r="O62" s="367"/>
      <c r="P62" s="190" t="str">
        <f t="shared" si="3"/>
        <v/>
      </c>
      <c r="Q62" s="191" t="str">
        <f t="shared" si="4"/>
        <v/>
      </c>
      <c r="R62" s="191" t="str">
        <f t="shared" si="5"/>
        <v/>
      </c>
      <c r="S62" s="192" t="str">
        <f t="shared" si="6"/>
        <v/>
      </c>
    </row>
    <row r="63" spans="1:19" x14ac:dyDescent="0.15">
      <c r="A63" s="20"/>
      <c r="B63" s="181"/>
      <c r="C63" s="200"/>
      <c r="D63" s="201"/>
      <c r="E63" s="201"/>
      <c r="F63" s="363"/>
      <c r="G63" s="364"/>
      <c r="H63" s="365"/>
      <c r="I63" s="202" t="str">
        <f t="shared" si="8"/>
        <v/>
      </c>
      <c r="J63" s="203" t="str">
        <f t="shared" si="7"/>
        <v>-</v>
      </c>
      <c r="K63" s="52" t="str">
        <f t="shared" si="9"/>
        <v/>
      </c>
      <c r="L63" s="184"/>
      <c r="M63" s="366" t="str">
        <f t="shared" si="10"/>
        <v/>
      </c>
      <c r="N63" s="366"/>
      <c r="O63" s="367"/>
      <c r="P63" s="190" t="str">
        <f t="shared" si="3"/>
        <v/>
      </c>
      <c r="Q63" s="191" t="str">
        <f t="shared" si="4"/>
        <v/>
      </c>
      <c r="R63" s="191" t="str">
        <f t="shared" si="5"/>
        <v/>
      </c>
      <c r="S63" s="192" t="str">
        <f t="shared" si="6"/>
        <v/>
      </c>
    </row>
    <row r="64" spans="1:19" x14ac:dyDescent="0.15">
      <c r="A64" s="20"/>
      <c r="B64" s="181"/>
      <c r="C64" s="200"/>
      <c r="D64" s="201"/>
      <c r="E64" s="201"/>
      <c r="F64" s="363"/>
      <c r="G64" s="364"/>
      <c r="H64" s="365"/>
      <c r="I64" s="202" t="str">
        <f t="shared" si="8"/>
        <v/>
      </c>
      <c r="J64" s="203" t="str">
        <f t="shared" si="7"/>
        <v>-</v>
      </c>
      <c r="K64" s="52" t="str">
        <f t="shared" si="9"/>
        <v/>
      </c>
      <c r="L64" s="184"/>
      <c r="M64" s="366" t="str">
        <f t="shared" si="10"/>
        <v/>
      </c>
      <c r="N64" s="366"/>
      <c r="O64" s="367"/>
      <c r="P64" s="190" t="str">
        <f t="shared" si="3"/>
        <v/>
      </c>
      <c r="Q64" s="191" t="str">
        <f t="shared" si="4"/>
        <v/>
      </c>
      <c r="R64" s="191" t="str">
        <f t="shared" si="5"/>
        <v/>
      </c>
      <c r="S64" s="192" t="str">
        <f t="shared" si="6"/>
        <v/>
      </c>
    </row>
    <row r="65" spans="1:19" x14ac:dyDescent="0.15">
      <c r="A65" s="9"/>
      <c r="B65" s="181"/>
      <c r="C65" s="200"/>
      <c r="D65" s="201"/>
      <c r="E65" s="201"/>
      <c r="F65" s="363"/>
      <c r="G65" s="364"/>
      <c r="H65" s="365"/>
      <c r="I65" s="202" t="str">
        <f t="shared" si="8"/>
        <v/>
      </c>
      <c r="J65" s="203" t="str">
        <f t="shared" si="7"/>
        <v>-</v>
      </c>
      <c r="K65" s="52" t="str">
        <f t="shared" si="9"/>
        <v/>
      </c>
      <c r="L65" s="184"/>
      <c r="M65" s="366" t="str">
        <f t="shared" si="10"/>
        <v/>
      </c>
      <c r="N65" s="366"/>
      <c r="O65" s="367"/>
      <c r="P65" s="190" t="str">
        <f t="shared" si="3"/>
        <v/>
      </c>
      <c r="Q65" s="191" t="str">
        <f t="shared" si="4"/>
        <v/>
      </c>
      <c r="R65" s="191" t="str">
        <f t="shared" si="5"/>
        <v/>
      </c>
      <c r="S65" s="192" t="str">
        <f t="shared" si="6"/>
        <v/>
      </c>
    </row>
    <row r="66" spans="1:19" x14ac:dyDescent="0.15">
      <c r="A66" s="9"/>
      <c r="B66" s="181"/>
      <c r="C66" s="200"/>
      <c r="D66" s="201"/>
      <c r="E66" s="201"/>
      <c r="F66" s="363"/>
      <c r="G66" s="364"/>
      <c r="H66" s="365"/>
      <c r="I66" s="202" t="str">
        <f t="shared" si="8"/>
        <v/>
      </c>
      <c r="J66" s="203" t="str">
        <f t="shared" si="7"/>
        <v>-</v>
      </c>
      <c r="K66" s="52" t="str">
        <f t="shared" si="9"/>
        <v/>
      </c>
      <c r="L66" s="184"/>
      <c r="M66" s="366" t="str">
        <f t="shared" si="10"/>
        <v/>
      </c>
      <c r="N66" s="366"/>
      <c r="O66" s="367"/>
      <c r="P66" s="190" t="str">
        <f t="shared" si="3"/>
        <v/>
      </c>
      <c r="Q66" s="191" t="str">
        <f t="shared" si="4"/>
        <v/>
      </c>
      <c r="R66" s="191" t="str">
        <f t="shared" si="5"/>
        <v/>
      </c>
      <c r="S66" s="192" t="str">
        <f t="shared" si="6"/>
        <v/>
      </c>
    </row>
    <row r="67" spans="1:19" x14ac:dyDescent="0.15">
      <c r="A67" s="9"/>
      <c r="B67" s="181"/>
      <c r="C67" s="200"/>
      <c r="D67" s="201"/>
      <c r="E67" s="201"/>
      <c r="F67" s="363"/>
      <c r="G67" s="364"/>
      <c r="H67" s="365"/>
      <c r="I67" s="202" t="str">
        <f t="shared" si="8"/>
        <v/>
      </c>
      <c r="J67" s="203" t="str">
        <f t="shared" si="7"/>
        <v>-</v>
      </c>
      <c r="K67" s="52" t="str">
        <f t="shared" si="9"/>
        <v/>
      </c>
      <c r="L67" s="184"/>
      <c r="M67" s="366" t="str">
        <f t="shared" si="10"/>
        <v/>
      </c>
      <c r="N67" s="366"/>
      <c r="O67" s="367"/>
      <c r="P67" s="190" t="str">
        <f t="shared" si="3"/>
        <v/>
      </c>
      <c r="Q67" s="191" t="str">
        <f t="shared" si="4"/>
        <v/>
      </c>
      <c r="R67" s="191" t="str">
        <f t="shared" si="5"/>
        <v/>
      </c>
      <c r="S67" s="192" t="str">
        <f t="shared" si="6"/>
        <v/>
      </c>
    </row>
    <row r="68" spans="1:19" x14ac:dyDescent="0.15">
      <c r="B68" s="181"/>
      <c r="C68" s="200"/>
      <c r="D68" s="201"/>
      <c r="E68" s="201"/>
      <c r="F68" s="363"/>
      <c r="G68" s="364"/>
      <c r="H68" s="365"/>
      <c r="I68" s="202" t="str">
        <f t="shared" ref="I68:I88" si="11">IF($F68="","",IF(ISERR(VLOOKUP($F68,SOW,2,FALSE)),"-",VLOOKUP($F68,SOW,2,FALSE)))</f>
        <v/>
      </c>
      <c r="J68" s="203" t="str">
        <f t="shared" si="7"/>
        <v>-</v>
      </c>
      <c r="K68" s="52" t="str">
        <f t="shared" ref="K68:K88" si="12">IF(F68="","",IF(ISERROR(VLOOKUP($F68,SOW,3,FALSE)),0,VLOOKUP($F68,SOW,3,FALSE)*24))</f>
        <v/>
      </c>
      <c r="L68" s="184"/>
      <c r="M68" s="366" t="str">
        <f t="shared" ref="M68:M88" si="13">IF($F68&lt;&gt;"",IF($J68&lt;&gt;"-",IF($J68="要選択","REQ_IDを選択して下さい。",IF($J68="","REQ_IDを選択して下さい。",VLOOKUP($J68,REQUEST,2,FALSE))),$F68),"")</f>
        <v/>
      </c>
      <c r="N68" s="366"/>
      <c r="O68" s="367"/>
      <c r="P68" s="190" t="str">
        <f t="shared" ref="P68:P88" si="14">IF($B68&lt;&gt;"",TEXT(TEXT(YEAR($B68),"0000")&amp;TEXT(MONTH($B68),"00")&amp;$I68,"@"),"")</f>
        <v/>
      </c>
      <c r="Q68" s="191" t="str">
        <f t="shared" ref="Q68:Q88" si="15">IF($B68&lt;&gt;"",TEXT(TEXT(YEAR($B68),"0000")&amp;TEXT(MONTH($B68),"00")&amp;$I68&amp;"@"&amp;LEFT($E$2,SEARCH("　",$E$2,1)-1)&amp;"@"&amp;L68,"@"),"")</f>
        <v/>
      </c>
      <c r="R68" s="191" t="str">
        <f t="shared" ref="R68:R88" si="16">IF($B68&lt;&gt;"",TEXT(TEXT(YEAR($B68),"0000")&amp;TEXT(MONTH($B68),"00")&amp;$J68,"@"),"")</f>
        <v/>
      </c>
      <c r="S68" s="192" t="str">
        <f t="shared" ref="S68:S88" si="17">IF($B68&lt;&gt;"",TEXT(YEAR($B68),"0000")&amp;TEXT(MONTH($B68),"00")&amp;$J68&amp;"@"&amp;LEFT($E$2,SEARCH("　",$E$2,1)-1)&amp;"@"&amp;L68,"")</f>
        <v/>
      </c>
    </row>
    <row r="69" spans="1:19" x14ac:dyDescent="0.15">
      <c r="B69" s="181"/>
      <c r="C69" s="200"/>
      <c r="D69" s="201"/>
      <c r="E69" s="201"/>
      <c r="F69" s="363"/>
      <c r="G69" s="364"/>
      <c r="H69" s="365"/>
      <c r="I69" s="202" t="str">
        <f t="shared" si="11"/>
        <v/>
      </c>
      <c r="J69" s="203" t="str">
        <f t="shared" si="7"/>
        <v>-</v>
      </c>
      <c r="K69" s="52" t="str">
        <f t="shared" si="12"/>
        <v/>
      </c>
      <c r="L69" s="185"/>
      <c r="M69" s="366" t="str">
        <f t="shared" si="13"/>
        <v/>
      </c>
      <c r="N69" s="366"/>
      <c r="O69" s="367"/>
      <c r="P69" s="190" t="str">
        <f t="shared" si="14"/>
        <v/>
      </c>
      <c r="Q69" s="191" t="str">
        <f t="shared" si="15"/>
        <v/>
      </c>
      <c r="R69" s="191" t="str">
        <f t="shared" si="16"/>
        <v/>
      </c>
      <c r="S69" s="192" t="str">
        <f t="shared" si="17"/>
        <v/>
      </c>
    </row>
    <row r="70" spans="1:19" x14ac:dyDescent="0.15">
      <c r="B70" s="181"/>
      <c r="C70" s="200"/>
      <c r="D70" s="201"/>
      <c r="E70" s="201"/>
      <c r="F70" s="363"/>
      <c r="G70" s="364"/>
      <c r="H70" s="365"/>
      <c r="I70" s="202" t="str">
        <f t="shared" si="11"/>
        <v/>
      </c>
      <c r="J70" s="203" t="str">
        <f t="shared" ref="J70:J88" si="18">IF(D70="リクエスト","要選択",IF(D70="インシデント","要選択",IF(D70="プロジェクト","要選択","-")))</f>
        <v>-</v>
      </c>
      <c r="K70" s="52" t="str">
        <f t="shared" si="12"/>
        <v/>
      </c>
      <c r="L70" s="185"/>
      <c r="M70" s="366" t="str">
        <f t="shared" si="13"/>
        <v/>
      </c>
      <c r="N70" s="366"/>
      <c r="O70" s="367"/>
      <c r="P70" s="190" t="str">
        <f t="shared" si="14"/>
        <v/>
      </c>
      <c r="Q70" s="191" t="str">
        <f t="shared" si="15"/>
        <v/>
      </c>
      <c r="R70" s="191" t="str">
        <f t="shared" si="16"/>
        <v/>
      </c>
      <c r="S70" s="192" t="str">
        <f t="shared" si="17"/>
        <v/>
      </c>
    </row>
    <row r="71" spans="1:19" x14ac:dyDescent="0.15">
      <c r="B71" s="181"/>
      <c r="C71" s="200"/>
      <c r="D71" s="201"/>
      <c r="E71" s="201"/>
      <c r="F71" s="363"/>
      <c r="G71" s="364"/>
      <c r="H71" s="365"/>
      <c r="I71" s="202" t="str">
        <f t="shared" si="11"/>
        <v/>
      </c>
      <c r="J71" s="203" t="str">
        <f t="shared" si="18"/>
        <v>-</v>
      </c>
      <c r="K71" s="52" t="str">
        <f t="shared" si="12"/>
        <v/>
      </c>
      <c r="L71" s="185"/>
      <c r="M71" s="366" t="str">
        <f t="shared" si="13"/>
        <v/>
      </c>
      <c r="N71" s="366"/>
      <c r="O71" s="367"/>
      <c r="P71" s="190" t="str">
        <f t="shared" si="14"/>
        <v/>
      </c>
      <c r="Q71" s="191" t="str">
        <f t="shared" si="15"/>
        <v/>
      </c>
      <c r="R71" s="191" t="str">
        <f t="shared" si="16"/>
        <v/>
      </c>
      <c r="S71" s="192" t="str">
        <f t="shared" si="17"/>
        <v/>
      </c>
    </row>
    <row r="72" spans="1:19" x14ac:dyDescent="0.15">
      <c r="B72" s="181"/>
      <c r="C72" s="200"/>
      <c r="D72" s="201"/>
      <c r="E72" s="201"/>
      <c r="F72" s="363"/>
      <c r="G72" s="364"/>
      <c r="H72" s="365"/>
      <c r="I72" s="202" t="str">
        <f t="shared" si="11"/>
        <v/>
      </c>
      <c r="J72" s="203" t="str">
        <f t="shared" si="18"/>
        <v>-</v>
      </c>
      <c r="K72" s="52" t="str">
        <f t="shared" si="12"/>
        <v/>
      </c>
      <c r="L72" s="184"/>
      <c r="M72" s="366" t="str">
        <f t="shared" si="13"/>
        <v/>
      </c>
      <c r="N72" s="366"/>
      <c r="O72" s="367"/>
      <c r="P72" s="190" t="str">
        <f t="shared" si="14"/>
        <v/>
      </c>
      <c r="Q72" s="191" t="str">
        <f t="shared" si="15"/>
        <v/>
      </c>
      <c r="R72" s="191" t="str">
        <f t="shared" si="16"/>
        <v/>
      </c>
      <c r="S72" s="192" t="str">
        <f t="shared" si="17"/>
        <v/>
      </c>
    </row>
    <row r="73" spans="1:19" x14ac:dyDescent="0.15">
      <c r="A73" s="9"/>
      <c r="B73" s="181"/>
      <c r="C73" s="200"/>
      <c r="D73" s="201"/>
      <c r="E73" s="201"/>
      <c r="F73" s="363"/>
      <c r="G73" s="364"/>
      <c r="H73" s="365"/>
      <c r="I73" s="202" t="str">
        <f t="shared" si="11"/>
        <v/>
      </c>
      <c r="J73" s="203" t="str">
        <f t="shared" si="18"/>
        <v>-</v>
      </c>
      <c r="K73" s="52" t="str">
        <f t="shared" si="12"/>
        <v/>
      </c>
      <c r="L73" s="184"/>
      <c r="M73" s="366" t="str">
        <f t="shared" si="13"/>
        <v/>
      </c>
      <c r="N73" s="366"/>
      <c r="O73" s="367"/>
      <c r="P73" s="190" t="str">
        <f t="shared" si="14"/>
        <v/>
      </c>
      <c r="Q73" s="191" t="str">
        <f t="shared" si="15"/>
        <v/>
      </c>
      <c r="R73" s="191" t="str">
        <f t="shared" si="16"/>
        <v/>
      </c>
      <c r="S73" s="192" t="str">
        <f t="shared" si="17"/>
        <v/>
      </c>
    </row>
    <row r="74" spans="1:19" x14ac:dyDescent="0.15">
      <c r="A74" s="9"/>
      <c r="B74" s="181"/>
      <c r="C74" s="200"/>
      <c r="D74" s="201"/>
      <c r="E74" s="201"/>
      <c r="F74" s="363"/>
      <c r="G74" s="364"/>
      <c r="H74" s="365"/>
      <c r="I74" s="202" t="str">
        <f t="shared" si="11"/>
        <v/>
      </c>
      <c r="J74" s="203" t="str">
        <f t="shared" si="18"/>
        <v>-</v>
      </c>
      <c r="K74" s="52" t="str">
        <f t="shared" si="12"/>
        <v/>
      </c>
      <c r="L74" s="184"/>
      <c r="M74" s="366" t="str">
        <f t="shared" si="13"/>
        <v/>
      </c>
      <c r="N74" s="366"/>
      <c r="O74" s="367"/>
      <c r="P74" s="190" t="str">
        <f t="shared" si="14"/>
        <v/>
      </c>
      <c r="Q74" s="191" t="str">
        <f t="shared" si="15"/>
        <v/>
      </c>
      <c r="R74" s="191" t="str">
        <f t="shared" si="16"/>
        <v/>
      </c>
      <c r="S74" s="192" t="str">
        <f t="shared" si="17"/>
        <v/>
      </c>
    </row>
    <row r="75" spans="1:19" x14ac:dyDescent="0.15">
      <c r="A75" s="20"/>
      <c r="B75" s="181"/>
      <c r="C75" s="200"/>
      <c r="D75" s="201"/>
      <c r="E75" s="201"/>
      <c r="F75" s="363"/>
      <c r="G75" s="364"/>
      <c r="H75" s="365"/>
      <c r="I75" s="202" t="str">
        <f t="shared" si="11"/>
        <v/>
      </c>
      <c r="J75" s="203" t="str">
        <f t="shared" si="18"/>
        <v>-</v>
      </c>
      <c r="K75" s="52" t="str">
        <f t="shared" si="12"/>
        <v/>
      </c>
      <c r="L75" s="184"/>
      <c r="M75" s="366" t="str">
        <f t="shared" si="13"/>
        <v/>
      </c>
      <c r="N75" s="366"/>
      <c r="O75" s="367"/>
      <c r="P75" s="190" t="str">
        <f t="shared" si="14"/>
        <v/>
      </c>
      <c r="Q75" s="191" t="str">
        <f t="shared" si="15"/>
        <v/>
      </c>
      <c r="R75" s="191" t="str">
        <f t="shared" si="16"/>
        <v/>
      </c>
      <c r="S75" s="192" t="str">
        <f t="shared" si="17"/>
        <v/>
      </c>
    </row>
    <row r="76" spans="1:19" x14ac:dyDescent="0.15">
      <c r="A76" s="20"/>
      <c r="B76" s="181"/>
      <c r="C76" s="200"/>
      <c r="D76" s="201"/>
      <c r="E76" s="201"/>
      <c r="F76" s="363"/>
      <c r="G76" s="364"/>
      <c r="H76" s="365"/>
      <c r="I76" s="202" t="str">
        <f t="shared" si="11"/>
        <v/>
      </c>
      <c r="J76" s="203" t="str">
        <f t="shared" si="18"/>
        <v>-</v>
      </c>
      <c r="K76" s="52" t="str">
        <f t="shared" si="12"/>
        <v/>
      </c>
      <c r="L76" s="184"/>
      <c r="M76" s="366" t="str">
        <f t="shared" si="13"/>
        <v/>
      </c>
      <c r="N76" s="366"/>
      <c r="O76" s="367"/>
      <c r="P76" s="190" t="str">
        <f t="shared" si="14"/>
        <v/>
      </c>
      <c r="Q76" s="191" t="str">
        <f t="shared" si="15"/>
        <v/>
      </c>
      <c r="R76" s="191" t="str">
        <f t="shared" si="16"/>
        <v/>
      </c>
      <c r="S76" s="192" t="str">
        <f t="shared" si="17"/>
        <v/>
      </c>
    </row>
    <row r="77" spans="1:19" x14ac:dyDescent="0.15">
      <c r="A77" s="20"/>
      <c r="B77" s="181"/>
      <c r="C77" s="200"/>
      <c r="D77" s="201"/>
      <c r="E77" s="201"/>
      <c r="F77" s="363"/>
      <c r="G77" s="364"/>
      <c r="H77" s="365"/>
      <c r="I77" s="202" t="str">
        <f t="shared" si="11"/>
        <v/>
      </c>
      <c r="J77" s="203" t="str">
        <f t="shared" si="18"/>
        <v>-</v>
      </c>
      <c r="K77" s="52" t="str">
        <f t="shared" si="12"/>
        <v/>
      </c>
      <c r="L77" s="184"/>
      <c r="M77" s="366" t="str">
        <f t="shared" si="13"/>
        <v/>
      </c>
      <c r="N77" s="366"/>
      <c r="O77" s="367"/>
      <c r="P77" s="190" t="str">
        <f t="shared" si="14"/>
        <v/>
      </c>
      <c r="Q77" s="191" t="str">
        <f t="shared" si="15"/>
        <v/>
      </c>
      <c r="R77" s="191" t="str">
        <f t="shared" si="16"/>
        <v/>
      </c>
      <c r="S77" s="192" t="str">
        <f t="shared" si="17"/>
        <v/>
      </c>
    </row>
    <row r="78" spans="1:19" x14ac:dyDescent="0.15">
      <c r="A78" s="21" t="s">
        <v>46</v>
      </c>
      <c r="B78" s="181"/>
      <c r="C78" s="200"/>
      <c r="D78" s="201"/>
      <c r="E78" s="201"/>
      <c r="F78" s="363"/>
      <c r="G78" s="364"/>
      <c r="H78" s="365"/>
      <c r="I78" s="202" t="str">
        <f t="shared" si="11"/>
        <v/>
      </c>
      <c r="J78" s="203" t="str">
        <f t="shared" si="18"/>
        <v>-</v>
      </c>
      <c r="K78" s="52" t="str">
        <f t="shared" si="12"/>
        <v/>
      </c>
      <c r="L78" s="184"/>
      <c r="M78" s="366" t="str">
        <f t="shared" si="13"/>
        <v/>
      </c>
      <c r="N78" s="366"/>
      <c r="O78" s="367"/>
      <c r="P78" s="190" t="str">
        <f t="shared" si="14"/>
        <v/>
      </c>
      <c r="Q78" s="191" t="str">
        <f t="shared" si="15"/>
        <v/>
      </c>
      <c r="R78" s="191" t="str">
        <f t="shared" si="16"/>
        <v/>
      </c>
      <c r="S78" s="192" t="str">
        <f t="shared" si="17"/>
        <v/>
      </c>
    </row>
    <row r="79" spans="1:19" x14ac:dyDescent="0.15">
      <c r="A79" s="21"/>
      <c r="B79" s="181"/>
      <c r="C79" s="200"/>
      <c r="D79" s="201"/>
      <c r="E79" s="201"/>
      <c r="F79" s="363"/>
      <c r="G79" s="364"/>
      <c r="H79" s="365"/>
      <c r="I79" s="202" t="str">
        <f t="shared" si="11"/>
        <v/>
      </c>
      <c r="J79" s="203" t="str">
        <f t="shared" si="18"/>
        <v>-</v>
      </c>
      <c r="K79" s="52" t="str">
        <f t="shared" si="12"/>
        <v/>
      </c>
      <c r="L79" s="184"/>
      <c r="M79" s="366" t="str">
        <f t="shared" si="13"/>
        <v/>
      </c>
      <c r="N79" s="366"/>
      <c r="O79" s="367"/>
      <c r="P79" s="190" t="str">
        <f t="shared" si="14"/>
        <v/>
      </c>
      <c r="Q79" s="191" t="str">
        <f t="shared" si="15"/>
        <v/>
      </c>
      <c r="R79" s="191" t="str">
        <f t="shared" si="16"/>
        <v/>
      </c>
      <c r="S79" s="192" t="str">
        <f t="shared" si="17"/>
        <v/>
      </c>
    </row>
    <row r="80" spans="1:19" x14ac:dyDescent="0.15">
      <c r="A80" s="20"/>
      <c r="B80" s="181"/>
      <c r="C80" s="200"/>
      <c r="D80" s="201"/>
      <c r="E80" s="201"/>
      <c r="F80" s="363"/>
      <c r="G80" s="364"/>
      <c r="H80" s="365"/>
      <c r="I80" s="202" t="str">
        <f t="shared" si="11"/>
        <v/>
      </c>
      <c r="J80" s="203" t="str">
        <f t="shared" si="18"/>
        <v>-</v>
      </c>
      <c r="K80" s="52" t="str">
        <f t="shared" si="12"/>
        <v/>
      </c>
      <c r="L80" s="184"/>
      <c r="M80" s="366" t="str">
        <f t="shared" si="13"/>
        <v/>
      </c>
      <c r="N80" s="366"/>
      <c r="O80" s="367"/>
      <c r="P80" s="190" t="str">
        <f t="shared" si="14"/>
        <v/>
      </c>
      <c r="Q80" s="191" t="str">
        <f t="shared" si="15"/>
        <v/>
      </c>
      <c r="R80" s="191" t="str">
        <f t="shared" si="16"/>
        <v/>
      </c>
      <c r="S80" s="192" t="str">
        <f t="shared" si="17"/>
        <v/>
      </c>
    </row>
    <row r="81" spans="1:19" x14ac:dyDescent="0.15">
      <c r="A81" s="9"/>
      <c r="B81" s="181"/>
      <c r="C81" s="200"/>
      <c r="D81" s="201"/>
      <c r="E81" s="201"/>
      <c r="F81" s="363"/>
      <c r="G81" s="364"/>
      <c r="H81" s="365"/>
      <c r="I81" s="202" t="str">
        <f t="shared" si="11"/>
        <v/>
      </c>
      <c r="J81" s="203" t="str">
        <f t="shared" si="18"/>
        <v>-</v>
      </c>
      <c r="K81" s="52" t="str">
        <f t="shared" si="12"/>
        <v/>
      </c>
      <c r="L81" s="184"/>
      <c r="M81" s="366" t="str">
        <f t="shared" si="13"/>
        <v/>
      </c>
      <c r="N81" s="366"/>
      <c r="O81" s="367"/>
      <c r="P81" s="190" t="str">
        <f t="shared" si="14"/>
        <v/>
      </c>
      <c r="Q81" s="191" t="str">
        <f t="shared" si="15"/>
        <v/>
      </c>
      <c r="R81" s="191" t="str">
        <f t="shared" si="16"/>
        <v/>
      </c>
      <c r="S81" s="192" t="str">
        <f t="shared" si="17"/>
        <v/>
      </c>
    </row>
    <row r="82" spans="1:19" x14ac:dyDescent="0.15">
      <c r="A82" s="9"/>
      <c r="B82" s="181"/>
      <c r="C82" s="200"/>
      <c r="D82" s="201"/>
      <c r="E82" s="201"/>
      <c r="F82" s="363"/>
      <c r="G82" s="364"/>
      <c r="H82" s="365"/>
      <c r="I82" s="202" t="str">
        <f t="shared" si="11"/>
        <v/>
      </c>
      <c r="J82" s="203" t="str">
        <f t="shared" si="18"/>
        <v>-</v>
      </c>
      <c r="K82" s="52" t="str">
        <f t="shared" si="12"/>
        <v/>
      </c>
      <c r="L82" s="184"/>
      <c r="M82" s="366" t="str">
        <f t="shared" si="13"/>
        <v/>
      </c>
      <c r="N82" s="366"/>
      <c r="O82" s="367"/>
      <c r="P82" s="190" t="str">
        <f t="shared" si="14"/>
        <v/>
      </c>
      <c r="Q82" s="191" t="str">
        <f t="shared" si="15"/>
        <v/>
      </c>
      <c r="R82" s="191" t="str">
        <f t="shared" si="16"/>
        <v/>
      </c>
      <c r="S82" s="192" t="str">
        <f t="shared" si="17"/>
        <v/>
      </c>
    </row>
    <row r="83" spans="1:19" x14ac:dyDescent="0.15">
      <c r="B83" s="181"/>
      <c r="C83" s="200"/>
      <c r="D83" s="201"/>
      <c r="E83" s="201"/>
      <c r="F83" s="363"/>
      <c r="G83" s="364"/>
      <c r="H83" s="365"/>
      <c r="I83" s="202" t="str">
        <f t="shared" si="11"/>
        <v/>
      </c>
      <c r="J83" s="203" t="str">
        <f t="shared" si="18"/>
        <v>-</v>
      </c>
      <c r="K83" s="52" t="str">
        <f t="shared" si="12"/>
        <v/>
      </c>
      <c r="L83" s="184"/>
      <c r="M83" s="366" t="str">
        <f t="shared" si="13"/>
        <v/>
      </c>
      <c r="N83" s="366"/>
      <c r="O83" s="367"/>
      <c r="P83" s="190" t="str">
        <f t="shared" si="14"/>
        <v/>
      </c>
      <c r="Q83" s="191" t="str">
        <f t="shared" si="15"/>
        <v/>
      </c>
      <c r="R83" s="191" t="str">
        <f t="shared" si="16"/>
        <v/>
      </c>
      <c r="S83" s="192" t="str">
        <f t="shared" si="17"/>
        <v/>
      </c>
    </row>
    <row r="84" spans="1:19" x14ac:dyDescent="0.15">
      <c r="B84" s="181"/>
      <c r="C84" s="200"/>
      <c r="D84" s="201"/>
      <c r="E84" s="201"/>
      <c r="F84" s="363"/>
      <c r="G84" s="364"/>
      <c r="H84" s="365"/>
      <c r="I84" s="202" t="str">
        <f t="shared" si="11"/>
        <v/>
      </c>
      <c r="J84" s="203" t="str">
        <f t="shared" si="18"/>
        <v>-</v>
      </c>
      <c r="K84" s="52" t="str">
        <f t="shared" si="12"/>
        <v/>
      </c>
      <c r="L84" s="184"/>
      <c r="M84" s="366" t="str">
        <f t="shared" si="13"/>
        <v/>
      </c>
      <c r="N84" s="366"/>
      <c r="O84" s="367"/>
      <c r="P84" s="190" t="str">
        <f t="shared" si="14"/>
        <v/>
      </c>
      <c r="Q84" s="191" t="str">
        <f t="shared" si="15"/>
        <v/>
      </c>
      <c r="R84" s="191" t="str">
        <f t="shared" si="16"/>
        <v/>
      </c>
      <c r="S84" s="192" t="str">
        <f t="shared" si="17"/>
        <v/>
      </c>
    </row>
    <row r="85" spans="1:19" x14ac:dyDescent="0.15">
      <c r="B85" s="181"/>
      <c r="C85" s="200"/>
      <c r="D85" s="201"/>
      <c r="E85" s="201"/>
      <c r="F85" s="363"/>
      <c r="G85" s="364"/>
      <c r="H85" s="365"/>
      <c r="I85" s="202" t="str">
        <f t="shared" si="11"/>
        <v/>
      </c>
      <c r="J85" s="203" t="str">
        <f t="shared" si="18"/>
        <v>-</v>
      </c>
      <c r="K85" s="52" t="str">
        <f t="shared" si="12"/>
        <v/>
      </c>
      <c r="L85" s="184"/>
      <c r="M85" s="366" t="str">
        <f t="shared" si="13"/>
        <v/>
      </c>
      <c r="N85" s="366"/>
      <c r="O85" s="367"/>
      <c r="P85" s="190" t="str">
        <f t="shared" si="14"/>
        <v/>
      </c>
      <c r="Q85" s="191" t="str">
        <f t="shared" si="15"/>
        <v/>
      </c>
      <c r="R85" s="191" t="str">
        <f t="shared" si="16"/>
        <v/>
      </c>
      <c r="S85" s="192" t="str">
        <f t="shared" si="17"/>
        <v/>
      </c>
    </row>
    <row r="86" spans="1:19" x14ac:dyDescent="0.15">
      <c r="B86" s="181"/>
      <c r="C86" s="200"/>
      <c r="D86" s="201"/>
      <c r="E86" s="201"/>
      <c r="F86" s="363"/>
      <c r="G86" s="364"/>
      <c r="H86" s="365"/>
      <c r="I86" s="202" t="str">
        <f t="shared" si="11"/>
        <v/>
      </c>
      <c r="J86" s="203" t="str">
        <f t="shared" si="18"/>
        <v>-</v>
      </c>
      <c r="K86" s="52" t="str">
        <f t="shared" si="12"/>
        <v/>
      </c>
      <c r="L86" s="184"/>
      <c r="M86" s="366" t="str">
        <f t="shared" si="13"/>
        <v/>
      </c>
      <c r="N86" s="366"/>
      <c r="O86" s="367"/>
      <c r="P86" s="190" t="str">
        <f t="shared" si="14"/>
        <v/>
      </c>
      <c r="Q86" s="191" t="str">
        <f t="shared" si="15"/>
        <v/>
      </c>
      <c r="R86" s="191" t="str">
        <f t="shared" si="16"/>
        <v/>
      </c>
      <c r="S86" s="192" t="str">
        <f t="shared" si="17"/>
        <v/>
      </c>
    </row>
    <row r="87" spans="1:19" x14ac:dyDescent="0.15">
      <c r="B87" s="181"/>
      <c r="C87" s="200"/>
      <c r="D87" s="201"/>
      <c r="E87" s="201"/>
      <c r="F87" s="363"/>
      <c r="G87" s="364"/>
      <c r="H87" s="365"/>
      <c r="I87" s="202" t="str">
        <f t="shared" si="11"/>
        <v/>
      </c>
      <c r="J87" s="203" t="str">
        <f t="shared" si="18"/>
        <v>-</v>
      </c>
      <c r="K87" s="52" t="str">
        <f t="shared" si="12"/>
        <v/>
      </c>
      <c r="L87" s="184"/>
      <c r="M87" s="366" t="str">
        <f t="shared" si="13"/>
        <v/>
      </c>
      <c r="N87" s="366"/>
      <c r="O87" s="367"/>
      <c r="P87" s="190" t="str">
        <f t="shared" si="14"/>
        <v/>
      </c>
      <c r="Q87" s="191" t="str">
        <f t="shared" si="15"/>
        <v/>
      </c>
      <c r="R87" s="191" t="str">
        <f t="shared" si="16"/>
        <v/>
      </c>
      <c r="S87" s="192" t="str">
        <f t="shared" si="17"/>
        <v/>
      </c>
    </row>
    <row r="88" spans="1:19" ht="12" thickBot="1" x14ac:dyDescent="0.2">
      <c r="A88" s="9"/>
      <c r="B88" s="182"/>
      <c r="C88" s="204"/>
      <c r="D88" s="205"/>
      <c r="E88" s="205"/>
      <c r="F88" s="368"/>
      <c r="G88" s="369"/>
      <c r="H88" s="370"/>
      <c r="I88" s="206" t="str">
        <f t="shared" si="11"/>
        <v/>
      </c>
      <c r="J88" s="207" t="str">
        <f t="shared" si="18"/>
        <v>-</v>
      </c>
      <c r="K88" s="53" t="str">
        <f t="shared" si="12"/>
        <v/>
      </c>
      <c r="L88" s="186"/>
      <c r="M88" s="371" t="str">
        <f t="shared" si="13"/>
        <v/>
      </c>
      <c r="N88" s="371"/>
      <c r="O88" s="372"/>
      <c r="P88" s="193" t="str">
        <f t="shared" si="14"/>
        <v/>
      </c>
      <c r="Q88" s="194" t="str">
        <f t="shared" si="15"/>
        <v/>
      </c>
      <c r="R88" s="194" t="str">
        <f t="shared" si="16"/>
        <v/>
      </c>
      <c r="S88" s="195" t="str">
        <f t="shared" si="17"/>
        <v/>
      </c>
    </row>
  </sheetData>
  <mergeCells count="173">
    <mergeCell ref="F87:H87"/>
    <mergeCell ref="M87:O87"/>
    <mergeCell ref="F88:H88"/>
    <mergeCell ref="M88:O88"/>
    <mergeCell ref="F84:H84"/>
    <mergeCell ref="M84:O84"/>
    <mergeCell ref="F85:H85"/>
    <mergeCell ref="M85:O85"/>
    <mergeCell ref="F86:H86"/>
    <mergeCell ref="M86:O86"/>
    <mergeCell ref="F81:H81"/>
    <mergeCell ref="M81:O81"/>
    <mergeCell ref="F82:H82"/>
    <mergeCell ref="M82:O82"/>
    <mergeCell ref="F83:H83"/>
    <mergeCell ref="M83:O83"/>
    <mergeCell ref="F78:H78"/>
    <mergeCell ref="M78:O78"/>
    <mergeCell ref="F79:H79"/>
    <mergeCell ref="M79:O79"/>
    <mergeCell ref="F80:H80"/>
    <mergeCell ref="M80:O80"/>
    <mergeCell ref="F75:H75"/>
    <mergeCell ref="M75:O75"/>
    <mergeCell ref="F76:H76"/>
    <mergeCell ref="M76:O76"/>
    <mergeCell ref="F77:H77"/>
    <mergeCell ref="M77:O77"/>
    <mergeCell ref="F72:H72"/>
    <mergeCell ref="M72:O72"/>
    <mergeCell ref="F73:H73"/>
    <mergeCell ref="M73:O73"/>
    <mergeCell ref="F74:H74"/>
    <mergeCell ref="M74:O74"/>
    <mergeCell ref="F69:H69"/>
    <mergeCell ref="M69:O69"/>
    <mergeCell ref="F70:H70"/>
    <mergeCell ref="M70:O70"/>
    <mergeCell ref="F71:H71"/>
    <mergeCell ref="M71:O71"/>
    <mergeCell ref="F66:H66"/>
    <mergeCell ref="M66:O66"/>
    <mergeCell ref="F67:H67"/>
    <mergeCell ref="M67:O67"/>
    <mergeCell ref="F68:H68"/>
    <mergeCell ref="M68:O68"/>
    <mergeCell ref="F63:H63"/>
    <mergeCell ref="M63:O63"/>
    <mergeCell ref="F64:H64"/>
    <mergeCell ref="M64:O64"/>
    <mergeCell ref="F65:H65"/>
    <mergeCell ref="M65:O65"/>
    <mergeCell ref="F60:H60"/>
    <mergeCell ref="M60:O60"/>
    <mergeCell ref="F61:H61"/>
    <mergeCell ref="M61:O61"/>
    <mergeCell ref="F62:H62"/>
    <mergeCell ref="M62:O62"/>
    <mergeCell ref="F57:H57"/>
    <mergeCell ref="M57:O57"/>
    <mergeCell ref="F58:H58"/>
    <mergeCell ref="M58:O58"/>
    <mergeCell ref="F59:H59"/>
    <mergeCell ref="M59:O59"/>
    <mergeCell ref="F54:H54"/>
    <mergeCell ref="M54:O54"/>
    <mergeCell ref="F55:H55"/>
    <mergeCell ref="M55:O55"/>
    <mergeCell ref="F56:H56"/>
    <mergeCell ref="M56:O56"/>
    <mergeCell ref="F51:H51"/>
    <mergeCell ref="M51:O51"/>
    <mergeCell ref="F52:H52"/>
    <mergeCell ref="M52:O52"/>
    <mergeCell ref="F53:H53"/>
    <mergeCell ref="M53:O53"/>
    <mergeCell ref="F48:H48"/>
    <mergeCell ref="M48:O48"/>
    <mergeCell ref="F49:H49"/>
    <mergeCell ref="M49:O49"/>
    <mergeCell ref="F50:H50"/>
    <mergeCell ref="M50:O50"/>
    <mergeCell ref="F45:H45"/>
    <mergeCell ref="M45:O45"/>
    <mergeCell ref="F46:H46"/>
    <mergeCell ref="M46:O46"/>
    <mergeCell ref="F47:H47"/>
    <mergeCell ref="M47:O47"/>
    <mergeCell ref="F42:H42"/>
    <mergeCell ref="M42:O42"/>
    <mergeCell ref="F43:H43"/>
    <mergeCell ref="M43:O43"/>
    <mergeCell ref="F44:H44"/>
    <mergeCell ref="M44:O44"/>
    <mergeCell ref="F39:H39"/>
    <mergeCell ref="M39:O39"/>
    <mergeCell ref="F40:H40"/>
    <mergeCell ref="M40:O40"/>
    <mergeCell ref="F41:H41"/>
    <mergeCell ref="M41:O41"/>
    <mergeCell ref="F36:H36"/>
    <mergeCell ref="M36:O36"/>
    <mergeCell ref="F37:H37"/>
    <mergeCell ref="M37:O37"/>
    <mergeCell ref="F38:H38"/>
    <mergeCell ref="M38:O38"/>
    <mergeCell ref="F33:H33"/>
    <mergeCell ref="M33:O33"/>
    <mergeCell ref="F34:H34"/>
    <mergeCell ref="M34:O34"/>
    <mergeCell ref="F35:H35"/>
    <mergeCell ref="M35:O35"/>
    <mergeCell ref="F30:H30"/>
    <mergeCell ref="M30:O30"/>
    <mergeCell ref="F31:H31"/>
    <mergeCell ref="M31:O31"/>
    <mergeCell ref="F32:H32"/>
    <mergeCell ref="M32:O32"/>
    <mergeCell ref="F27:H27"/>
    <mergeCell ref="M27:O27"/>
    <mergeCell ref="F28:H28"/>
    <mergeCell ref="M28:O28"/>
    <mergeCell ref="F29:H29"/>
    <mergeCell ref="M29:O29"/>
    <mergeCell ref="F24:H24"/>
    <mergeCell ref="M24:O24"/>
    <mergeCell ref="F25:H25"/>
    <mergeCell ref="M25:O25"/>
    <mergeCell ref="F26:H26"/>
    <mergeCell ref="M26:O26"/>
    <mergeCell ref="F21:H21"/>
    <mergeCell ref="M21:O21"/>
    <mergeCell ref="F22:H22"/>
    <mergeCell ref="M22:O22"/>
    <mergeCell ref="F23:H23"/>
    <mergeCell ref="M23:O23"/>
    <mergeCell ref="F18:H18"/>
    <mergeCell ref="M18:O18"/>
    <mergeCell ref="F19:H19"/>
    <mergeCell ref="M19:O19"/>
    <mergeCell ref="F20:H20"/>
    <mergeCell ref="M20:O20"/>
    <mergeCell ref="F15:H15"/>
    <mergeCell ref="M15:O15"/>
    <mergeCell ref="F16:H16"/>
    <mergeCell ref="M16:O16"/>
    <mergeCell ref="F17:H17"/>
    <mergeCell ref="M17:O17"/>
    <mergeCell ref="F12:H12"/>
    <mergeCell ref="M12:O12"/>
    <mergeCell ref="F13:H13"/>
    <mergeCell ref="M13:O13"/>
    <mergeCell ref="F14:H14"/>
    <mergeCell ref="M14:O14"/>
    <mergeCell ref="F10:H10"/>
    <mergeCell ref="M10:O10"/>
    <mergeCell ref="F11:H11"/>
    <mergeCell ref="M11:O11"/>
    <mergeCell ref="F6:H6"/>
    <mergeCell ref="M6:O6"/>
    <mergeCell ref="F7:H7"/>
    <mergeCell ref="M7:O7"/>
    <mergeCell ref="F8:H8"/>
    <mergeCell ref="M8:O8"/>
    <mergeCell ref="F1:H1"/>
    <mergeCell ref="F3:H3"/>
    <mergeCell ref="M3:O3"/>
    <mergeCell ref="F4:H4"/>
    <mergeCell ref="M4:O4"/>
    <mergeCell ref="F5:H5"/>
    <mergeCell ref="M5:O5"/>
    <mergeCell ref="F9:H9"/>
    <mergeCell ref="M9:O9"/>
  </mergeCells>
  <phoneticPr fontId="8"/>
  <conditionalFormatting sqref="J4:J88">
    <cfRule type="cellIs" dxfId="0" priority="1" operator="equal">
      <formula>"要選択"</formula>
    </cfRule>
  </conditionalFormatting>
  <dataValidations count="7">
    <dataValidation type="list" allowBlank="1" showInputMessage="1" showErrorMessage="1" sqref="C4:C88" xr:uid="{00000000-0002-0000-0300-000000000000}">
      <formula1>SYSTEM</formula1>
    </dataValidation>
    <dataValidation type="list" allowBlank="1" showInputMessage="1" showErrorMessage="1" sqref="E4:E88" xr:uid="{00000000-0002-0000-0300-000001000000}">
      <formula1>業務内容</formula1>
    </dataValidation>
    <dataValidation type="list" allowBlank="1" showInputMessage="1" showErrorMessage="1" sqref="D4:D88" xr:uid="{00000000-0002-0000-0300-000002000000}">
      <formula1>業務項目</formula1>
    </dataValidation>
    <dataValidation type="list" allowBlank="1" showInputMessage="1" showErrorMessage="1" sqref="D2" xr:uid="{00000000-0002-0000-0300-000003000000}">
      <formula1>empNo</formula1>
    </dataValidation>
    <dataValidation type="list" allowBlank="1" showInputMessage="1" showErrorMessage="1" sqref="F4:H88" xr:uid="{00000000-0002-0000-0300-000004000000}">
      <formula1>業務名</formula1>
    </dataValidation>
    <dataValidation type="decimal" allowBlank="1" showInputMessage="1" showErrorMessage="1" sqref="K4:L88" xr:uid="{00000000-0002-0000-0300-000005000000}">
      <formula1>0</formula1>
      <formula2>24</formula2>
    </dataValidation>
    <dataValidation type="list" allowBlank="1" showInputMessage="1" showErrorMessage="1" sqref="J4:J88" xr:uid="{00000000-0002-0000-0300-000006000000}">
      <formula1>REQ_ID</formula1>
    </dataValidation>
  </dataValidations>
  <pageMargins left="0.41" right="0.35" top="0.31" bottom="0.21" header="0.2" footer="0.21"/>
  <pageSetup paperSize="9" scale="65" orientation="portrait" verticalDpi="300" r:id="rId1"/>
  <headerFooter alignWithMargins="0">
    <oddHeader>&amp;L&amp;A</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1:R4069"/>
  <sheetViews>
    <sheetView showGridLines="0" topLeftCell="I13" zoomScale="80" zoomScaleNormal="80" workbookViewId="0">
      <selection activeCell="P19" sqref="P19"/>
    </sheetView>
  </sheetViews>
  <sheetFormatPr defaultRowHeight="13.5" x14ac:dyDescent="0.15"/>
  <cols>
    <col min="1" max="1" width="1.875" customWidth="1"/>
    <col min="2" max="2" width="12.25" bestFit="1" customWidth="1"/>
    <col min="3" max="3" width="6" bestFit="1" customWidth="1"/>
    <col min="4" max="4" width="6" customWidth="1"/>
    <col min="5" max="5" width="11.25" bestFit="1" customWidth="1"/>
    <col min="6" max="6" width="2.875" style="43" customWidth="1"/>
    <col min="7" max="7" width="10.5" bestFit="1" customWidth="1"/>
    <col min="8" max="8" width="12.625" bestFit="1" customWidth="1"/>
    <col min="9" max="9" width="2.875" style="43" customWidth="1"/>
    <col min="10" max="10" width="56.625" customWidth="1"/>
    <col min="11" max="11" width="8.75" bestFit="1" customWidth="1"/>
    <col min="12" max="12" width="10" bestFit="1" customWidth="1"/>
    <col min="13" max="13" width="8.5" bestFit="1" customWidth="1"/>
    <col min="14" max="14" width="9.25" style="43" customWidth="1"/>
    <col min="15" max="15" width="9.75" bestFit="1" customWidth="1"/>
    <col min="16" max="16" width="73.125" bestFit="1" customWidth="1"/>
    <col min="17" max="18" width="8.5" bestFit="1" customWidth="1"/>
  </cols>
  <sheetData>
    <row r="1" spans="2:18" x14ac:dyDescent="0.15">
      <c r="B1" s="51" t="s">
        <v>8</v>
      </c>
      <c r="G1" s="51" t="s">
        <v>76</v>
      </c>
      <c r="J1" s="51" t="s">
        <v>85</v>
      </c>
      <c r="M1" t="s">
        <v>71</v>
      </c>
      <c r="O1" s="51" t="s">
        <v>84</v>
      </c>
      <c r="Q1" t="s">
        <v>71</v>
      </c>
      <c r="R1" t="s">
        <v>72</v>
      </c>
    </row>
    <row r="2" spans="2:18" x14ac:dyDescent="0.15">
      <c r="B2" s="62" t="s">
        <v>40</v>
      </c>
      <c r="C2" s="45">
        <v>0.75</v>
      </c>
      <c r="D2" s="63" t="s">
        <v>10</v>
      </c>
      <c r="E2" s="62" t="s">
        <v>15</v>
      </c>
      <c r="F2" s="44"/>
      <c r="G2" s="62" t="s">
        <v>55</v>
      </c>
      <c r="H2" s="62" t="s">
        <v>77</v>
      </c>
      <c r="I2" s="44"/>
      <c r="J2" s="62" t="s">
        <v>51</v>
      </c>
      <c r="K2" s="62" t="s">
        <v>67</v>
      </c>
      <c r="L2" s="62" t="s">
        <v>52</v>
      </c>
      <c r="M2" s="64">
        <v>40730</v>
      </c>
      <c r="N2" s="49" t="s">
        <v>219</v>
      </c>
      <c r="O2" s="62" t="s">
        <v>79</v>
      </c>
      <c r="P2" s="62" t="s">
        <v>78</v>
      </c>
      <c r="Q2" s="64">
        <v>40730</v>
      </c>
      <c r="R2" s="64" t="s">
        <v>121</v>
      </c>
    </row>
    <row r="3" spans="2:18" x14ac:dyDescent="0.15">
      <c r="B3" s="62" t="s">
        <v>41</v>
      </c>
      <c r="C3" s="5">
        <v>0.91666666666666663</v>
      </c>
      <c r="D3" s="4" t="s">
        <v>12</v>
      </c>
      <c r="E3" s="7" t="s">
        <v>16</v>
      </c>
      <c r="F3" s="44"/>
      <c r="G3" s="7">
        <v>20594</v>
      </c>
      <c r="H3" s="25" t="s">
        <v>150</v>
      </c>
      <c r="I3" s="44"/>
      <c r="J3" s="7">
        <f>[1]業務定義!$J5</f>
        <v>0</v>
      </c>
      <c r="K3" s="7">
        <f>[1]業務定義!$A5</f>
        <v>0</v>
      </c>
      <c r="L3" s="208"/>
      <c r="M3" s="65">
        <f ca="1">SUMIF(日報!$P:$P,TEXT(YEAR($M$2),"0000")&amp;TEXT(MONTH($M$2),"00")&amp;$K3,日報!$L:$L)</f>
        <v>0</v>
      </c>
      <c r="N3" s="50"/>
      <c r="O3" s="7" t="str">
        <f>"REQ"&amp;TEXT([2]RequestList!$A4,"0000")</f>
        <v>REQ14526</v>
      </c>
      <c r="P3" s="7" t="str">
        <f>[2]RequestList!$J4</f>
        <v>extract MyAV store data / My店舗コード切り替え後の監視</v>
      </c>
      <c r="Q3" s="65">
        <f>SUMIF(日報!$R:$R,TEXT(YEAR($Q$2),"0000")&amp;TEXT(MONTH($Q$2),"00")&amp;$O3,日報!$L:$L)</f>
        <v>0</v>
      </c>
      <c r="R3" s="65">
        <f ca="1">SUMIF(日報!$J:$J,$O3,日報!$L:$L)</f>
        <v>0</v>
      </c>
    </row>
    <row r="4" spans="2:18" x14ac:dyDescent="0.15">
      <c r="B4" s="62" t="s">
        <v>42</v>
      </c>
      <c r="C4" s="5">
        <v>0.91666666666666663</v>
      </c>
      <c r="D4" s="4" t="s">
        <v>4</v>
      </c>
      <c r="E4" s="7" t="s">
        <v>17</v>
      </c>
      <c r="F4" s="44"/>
      <c r="G4" s="7">
        <v>20691</v>
      </c>
      <c r="H4" s="26" t="s">
        <v>129</v>
      </c>
      <c r="I4" s="44"/>
      <c r="J4" s="7" t="str">
        <f>[3]業務定義!$J6</f>
        <v>Digital Business SupportShop Locator問合せ対応/サービスリクエスト/チケット起票問合せ対応/サービスリクエスト/チケット起票</v>
      </c>
      <c r="K4" s="7" t="str">
        <f>[3]業務定義!$A6</f>
        <v>D.B.001</v>
      </c>
      <c r="L4" s="208"/>
      <c r="M4" s="65">
        <f ca="1">SUMIF(日報!$P:$P,TEXT(YEAR($M$2),"0000")&amp;TEXT(MONTH($M$2),"00")&amp;$K4,日報!$L:$L)</f>
        <v>0</v>
      </c>
      <c r="N4" s="318" t="str">
        <f>IF([3]業務定義!$I6="Y","要選択","-")</f>
        <v>要選択</v>
      </c>
      <c r="O4" s="7" t="str">
        <f>"REQ"&amp;TEXT([2]RequestList!$A5,"0000")</f>
        <v>REQ21538</v>
      </c>
      <c r="P4" s="7" t="str">
        <f>[2]RequestList!$J5</f>
        <v xml:space="preserve">【Inquiry】Automation of Adhoc Workflows || REQ000016283393 </v>
      </c>
      <c r="Q4" s="65">
        <f>SUMIF(日報!$R:$R,TEXT(YEAR($Q$2),"0000")&amp;TEXT(MONTH($Q$2),"00")&amp;$O4,日報!$L:$L)</f>
        <v>0</v>
      </c>
      <c r="R4" s="65">
        <f ca="1">SUMIF(日報!$J:$J,$O4,日報!$L:$L)</f>
        <v>0</v>
      </c>
    </row>
    <row r="5" spans="2:18" x14ac:dyDescent="0.15">
      <c r="B5" s="62" t="s">
        <v>43</v>
      </c>
      <c r="C5" s="5">
        <v>1.25</v>
      </c>
      <c r="D5" s="4" t="s">
        <v>13</v>
      </c>
      <c r="E5" s="7" t="s">
        <v>22</v>
      </c>
      <c r="F5" s="44"/>
      <c r="G5" s="7">
        <v>20955</v>
      </c>
      <c r="H5" s="26" t="s">
        <v>139</v>
      </c>
      <c r="I5" s="44"/>
      <c r="J5" s="7" t="str">
        <f>[3]業務定義!$J7</f>
        <v>Digital Business SupportShop LocatorBusiness Test SupportBusiness Test Support</v>
      </c>
      <c r="K5" s="7" t="str">
        <f>[3]業務定義!$A7</f>
        <v>D.B.002</v>
      </c>
      <c r="L5" s="208"/>
      <c r="M5" s="65">
        <f ca="1">SUMIF(日報!$P:$P,TEXT(YEAR($M$2),"0000")&amp;TEXT(MONTH($M$2),"00")&amp;$K5,日報!$L:$L)</f>
        <v>0</v>
      </c>
      <c r="N5" s="318" t="str">
        <f>IF([3]業務定義!$I7="Y","要選択","-")</f>
        <v>要選択</v>
      </c>
      <c r="O5" s="7" t="str">
        <f>"REQ"&amp;TEXT([2]RequestList!$A6,"0000")</f>
        <v>REQ21539</v>
      </c>
      <c r="P5" s="7" t="str">
        <f>[2]RequestList!$J6</f>
        <v>移行失敗者のCPポイント付与</v>
      </c>
      <c r="Q5" s="65">
        <f>SUMIF(日報!$R:$R,TEXT(YEAR($Q$2),"0000")&amp;TEXT(MONTH($Q$2),"00")&amp;$O5,日報!$L:$L)</f>
        <v>0</v>
      </c>
      <c r="R5" s="65">
        <f ca="1">SUMIF(日報!$J:$J,$O5,日報!$L:$L)</f>
        <v>0</v>
      </c>
    </row>
    <row r="6" spans="2:18" x14ac:dyDescent="0.15">
      <c r="B6" s="1"/>
      <c r="E6" s="7" t="s">
        <v>18</v>
      </c>
      <c r="F6" s="44"/>
      <c r="G6" s="7" t="s">
        <v>144</v>
      </c>
      <c r="H6" s="212" t="s">
        <v>138</v>
      </c>
      <c r="I6" s="44"/>
      <c r="J6" s="7" t="str">
        <f>[3]業務定義!$J8</f>
        <v>Digital Business SupportShop Locator定期地図位置修正（四半期）定期地図位置修正（四半期）</v>
      </c>
      <c r="K6" s="7" t="str">
        <f>[3]業務定義!$A8</f>
        <v>D.B.003</v>
      </c>
      <c r="L6" s="208"/>
      <c r="M6" s="65">
        <f ca="1">SUMIF(日報!$P:$P,TEXT(YEAR($M$2),"0000")&amp;TEXT(MONTH($M$2),"00")&amp;$K6,日報!$L:$L)</f>
        <v>0</v>
      </c>
      <c r="N6" s="318" t="str">
        <f>IF([3]業務定義!$I8="Y","要選択","-")</f>
        <v>要選択</v>
      </c>
      <c r="O6" s="7" t="str">
        <f>"REQ"&amp;TEXT([2]RequestList!$A7,"0000")</f>
        <v>REQ21540</v>
      </c>
      <c r="P6" s="7" t="str">
        <f>[2]RequestList!$J7</f>
        <v>MBOX Projectの設定について</v>
      </c>
      <c r="Q6" s="65">
        <f>SUMIF(日報!$R:$R,TEXT(YEAR($Q$2),"0000")&amp;TEXT(MONTH($Q$2),"00")&amp;$O6,日報!$L:$L)</f>
        <v>0</v>
      </c>
      <c r="R6" s="65">
        <f ca="1">SUMIF(日報!$J:$J,$O6,日報!$L:$L)</f>
        <v>0</v>
      </c>
    </row>
    <row r="7" spans="2:18" x14ac:dyDescent="0.15">
      <c r="E7" s="7" t="s">
        <v>19</v>
      </c>
      <c r="F7" s="210"/>
      <c r="G7" s="7" t="s">
        <v>145</v>
      </c>
      <c r="H7" s="213" t="s">
        <v>149</v>
      </c>
      <c r="I7" s="211"/>
      <c r="J7" s="7" t="str">
        <f>[3]業務定義!$J9</f>
        <v>Digital Business SupportShop LocatorIncident &amp; Risk ManagementIncident &amp; Risk Management</v>
      </c>
      <c r="K7" s="7" t="str">
        <f>[3]業務定義!$A9</f>
        <v>D.B.004</v>
      </c>
      <c r="L7" s="208"/>
      <c r="M7" s="65">
        <f ca="1">SUMIF(日報!$P:$P,TEXT(YEAR($M$2),"0000")&amp;TEXT(MONTH($M$2),"00")&amp;$K7,日報!$L:$L)</f>
        <v>0</v>
      </c>
      <c r="N7" s="318" t="str">
        <f>IF([3]業務定義!$I9="Y","要選択","-")</f>
        <v>要選択</v>
      </c>
      <c r="O7" s="7" t="str">
        <f>"REQ"&amp;TEXT([2]RequestList!$A8,"0000")</f>
        <v>REQ21541</v>
      </c>
      <c r="P7" s="7" t="str">
        <f>[2]RequestList!$J8</f>
        <v>VCJIT004_0002170_ITリクエスト申請(IT Request)【ARS変更依頼_担当者不在時代理担当者登録　松下綾花さん】</v>
      </c>
      <c r="Q7" s="65">
        <f>SUMIF(日報!$R:$R,TEXT(YEAR($Q$2),"0000")&amp;TEXT(MONTH($Q$2),"00")&amp;$O7,日報!$L:$L)</f>
        <v>0</v>
      </c>
      <c r="R7" s="65">
        <f ca="1">SUMIF(日報!$J:$J,$O7,日報!$L:$L)</f>
        <v>0</v>
      </c>
    </row>
    <row r="8" spans="2:18" x14ac:dyDescent="0.15">
      <c r="E8" s="7" t="s">
        <v>20</v>
      </c>
      <c r="G8" s="301" t="s">
        <v>167</v>
      </c>
      <c r="H8" s="301" t="s">
        <v>181</v>
      </c>
      <c r="J8" s="7" t="str">
        <f>[3]業務定義!$J10</f>
        <v>Digital Business SupportShop Locatorその他依頼作業その他依頼作業</v>
      </c>
      <c r="K8" s="7" t="str">
        <f>[3]業務定義!$A10</f>
        <v>D.B.005</v>
      </c>
      <c r="L8" s="208"/>
      <c r="M8" s="65">
        <f ca="1">SUMIF(日報!$P:$P,TEXT(YEAR($M$2),"0000")&amp;TEXT(MONTH($M$2),"00")&amp;$K8,日報!$L:$L)</f>
        <v>0</v>
      </c>
      <c r="N8" s="318" t="str">
        <f>IF([3]業務定義!$I10="Y","要選択","-")</f>
        <v>要選択</v>
      </c>
      <c r="O8" s="7" t="str">
        <f>"REQ"&amp;TEXT([2]RequestList!$A9,"0000")</f>
        <v>REQ21542</v>
      </c>
      <c r="P8" s="7" t="str">
        <f>[2]RequestList!$J9</f>
        <v>MBOXアカウント作成</v>
      </c>
      <c r="Q8" s="65">
        <f>SUMIF(日報!$R:$R,TEXT(YEAR($Q$2),"0000")&amp;TEXT(MONTH($Q$2),"00")&amp;$O8,日報!$L:$L)</f>
        <v>0</v>
      </c>
      <c r="R8" s="65">
        <f ca="1">SUMIF(日報!$J:$J,$O8,日報!$L:$L)</f>
        <v>0</v>
      </c>
    </row>
    <row r="9" spans="2:18" x14ac:dyDescent="0.15">
      <c r="E9" s="7" t="s">
        <v>21</v>
      </c>
      <c r="G9" s="7" t="s">
        <v>182</v>
      </c>
      <c r="H9" s="301" t="s">
        <v>183</v>
      </c>
      <c r="J9" s="7" t="str">
        <f>[3]業務定義!$J11</f>
        <v>Digital Business SupportMyACUVUE+問合せ対応/サービスリクエスト/チケット起票問合せ対応/サービスリクエスト/チケット起票</v>
      </c>
      <c r="K9" s="7" t="str">
        <f>[3]業務定義!$A11</f>
        <v>D.B.006</v>
      </c>
      <c r="L9" s="208"/>
      <c r="M9" s="65">
        <f ca="1">SUMIF(日報!$P:$P,TEXT(YEAR($M$2),"0000")&amp;TEXT(MONTH($M$2),"00")&amp;$K9,日報!$L:$L)</f>
        <v>0</v>
      </c>
      <c r="N9" s="318" t="str">
        <f>IF([3]業務定義!$I11="Y","要選択","-")</f>
        <v>要選択</v>
      </c>
      <c r="O9" s="7" t="str">
        <f>"REQ"&amp;TEXT([2]RequestList!$A10,"0000")</f>
        <v>REQ21543</v>
      </c>
      <c r="P9" s="7" t="str">
        <f>[2]RequestList!$J10</f>
        <v>SFDCアカウント登録・変更</v>
      </c>
      <c r="Q9" s="65">
        <f>SUMIF(日報!$R:$R,TEXT(YEAR($Q$2),"0000")&amp;TEXT(MONTH($Q$2),"00")&amp;$O9,日報!$L:$L)</f>
        <v>0</v>
      </c>
      <c r="R9" s="65">
        <f ca="1">SUMIF(日報!$J:$J,$O9,日報!$L:$L)</f>
        <v>0</v>
      </c>
    </row>
    <row r="10" spans="2:18" x14ac:dyDescent="0.15">
      <c r="E10" s="7" t="s">
        <v>23</v>
      </c>
      <c r="G10" s="7"/>
      <c r="H10" s="301"/>
      <c r="J10" s="7" t="str">
        <f>[3]業務定義!$J12</f>
        <v>Digital Business SupportMyACUVUE+Business Test SupportBusiness Test Support</v>
      </c>
      <c r="K10" s="7" t="str">
        <f>[3]業務定義!$A12</f>
        <v>D.B.007</v>
      </c>
      <c r="L10" s="208"/>
      <c r="M10" s="65">
        <f ca="1">SUMIF(日報!$P:$P,TEXT(YEAR($M$2),"0000")&amp;TEXT(MONTH($M$2),"00")&amp;$K10,日報!$L:$L)</f>
        <v>0</v>
      </c>
      <c r="N10" s="318" t="str">
        <f>IF([3]業務定義!$I12="Y","要選択","-")</f>
        <v>要選択</v>
      </c>
      <c r="O10" s="7" t="str">
        <f>"REQ"&amp;TEXT([2]RequestList!$A11,"0000")</f>
        <v>REQ21544</v>
      </c>
      <c r="P10" s="7" t="str">
        <f>[2]RequestList!$J11</f>
        <v>SFDCアカウント変更</v>
      </c>
      <c r="Q10" s="65">
        <f>SUMIF(日報!$R:$R,TEXT(YEAR($Q$2),"0000")&amp;TEXT(MONTH($Q$2),"00")&amp;$O10,日報!$L:$L)</f>
        <v>0</v>
      </c>
      <c r="R10" s="65">
        <f ca="1">SUMIF(日報!$J:$J,$O10,日報!$L:$L)</f>
        <v>0</v>
      </c>
    </row>
    <row r="11" spans="2:18" x14ac:dyDescent="0.15">
      <c r="E11" s="7" t="s">
        <v>47</v>
      </c>
      <c r="G11" s="7"/>
      <c r="H11" s="301"/>
      <c r="J11" s="7" t="str">
        <f>[3]業務定義!$J13</f>
        <v>Digital Business SupportMyACUVUE+その他依頼作業その他依頼作業</v>
      </c>
      <c r="K11" s="7" t="str">
        <f>[3]業務定義!$A13</f>
        <v>D.B.008</v>
      </c>
      <c r="L11" s="208"/>
      <c r="M11" s="65">
        <f ca="1">SUMIF(日報!$P:$P,TEXT(YEAR($M$2),"0000")&amp;TEXT(MONTH($M$2),"00")&amp;$K11,日報!$L:$L)</f>
        <v>0</v>
      </c>
      <c r="N11" s="318" t="str">
        <f>IF([3]業務定義!$I13="Y","要選択","-")</f>
        <v>要選択</v>
      </c>
      <c r="O11" s="7" t="str">
        <f>"REQ"&amp;TEXT([2]RequestList!$A12,"0000")</f>
        <v>REQ21545</v>
      </c>
      <c r="P11" s="7" t="str">
        <f>[2]RequestList!$J12</f>
        <v>J-flow承認ワークフローについて</v>
      </c>
      <c r="Q11" s="65">
        <f>SUMIF(日報!$R:$R,TEXT(YEAR($Q$2),"0000")&amp;TEXT(MONTH($Q$2),"00")&amp;$O11,日報!$L:$L)</f>
        <v>0</v>
      </c>
      <c r="R11" s="65">
        <f ca="1">SUMIF(日報!$J:$J,$O11,日報!$L:$L)</f>
        <v>0</v>
      </c>
    </row>
    <row r="12" spans="2:18" x14ac:dyDescent="0.15">
      <c r="E12" s="7" t="s">
        <v>5</v>
      </c>
      <c r="G12" s="7"/>
      <c r="H12" s="301"/>
      <c r="J12" s="7" t="str">
        <f>[3]業務定義!$J14</f>
        <v>Digital Business SupporteCommerce(AOS &amp; Teikibin)問合せ対応/サービスリクエスト/チケット起票問合せ対応/サービスリクエスト/チケット起票</v>
      </c>
      <c r="K12" s="7" t="str">
        <f>[3]業務定義!$A14</f>
        <v>D.B.009</v>
      </c>
      <c r="L12" s="208"/>
      <c r="M12" s="65">
        <f ca="1">SUMIF(日報!$P:$P,TEXT(YEAR($M$2),"0000")&amp;TEXT(MONTH($M$2),"00")&amp;$K12,日報!$L:$L)</f>
        <v>0</v>
      </c>
      <c r="N12" s="318" t="str">
        <f>IF([3]業務定義!$I14="Y","要選択","-")</f>
        <v>要選択</v>
      </c>
      <c r="O12" s="7" t="str">
        <f>"REQ"&amp;TEXT([2]RequestList!$A13,"0000")</f>
        <v>REQ21546</v>
      </c>
      <c r="P12" s="7" t="str">
        <f>[2]RequestList!$J13</f>
        <v>MBOX権限付与</v>
      </c>
      <c r="Q12" s="65">
        <f>SUMIF(日報!$R:$R,TEXT(YEAR($Q$2),"0000")&amp;TEXT(MONTH($Q$2),"00")&amp;$O12,日報!$L:$L)</f>
        <v>0</v>
      </c>
      <c r="R12" s="65">
        <f ca="1">SUMIF(日報!$J:$J,$O12,日報!$L:$L)</f>
        <v>0</v>
      </c>
    </row>
    <row r="13" spans="2:18" x14ac:dyDescent="0.15">
      <c r="G13" s="7"/>
      <c r="H13" s="301"/>
      <c r="J13" s="7" t="str">
        <f>[3]業務定義!$J15</f>
        <v>Digital Business SupporteCommerce(AOS &amp; Teikibin)Business Test SupportBusiness Test Support</v>
      </c>
      <c r="K13" s="7" t="str">
        <f>[3]業務定義!$A15</f>
        <v>D.B.010</v>
      </c>
      <c r="L13" s="208"/>
      <c r="M13" s="65">
        <f ca="1">SUMIF(日報!$P:$P,TEXT(YEAR($M$2),"0000")&amp;TEXT(MONTH($M$2),"00")&amp;$K13,日報!$L:$L)</f>
        <v>0</v>
      </c>
      <c r="N13" s="318" t="str">
        <f>IF([3]業務定義!$I15="Y","要選択","-")</f>
        <v>要選択</v>
      </c>
      <c r="O13" s="7" t="str">
        <f>"REQ"&amp;TEXT([2]RequestList!$A14,"0000")</f>
        <v>REQ21547</v>
      </c>
      <c r="P13" s="7" t="str">
        <f>[2]RequestList!$J14</f>
        <v>ITリクエスト申請(IT Request)【ARS変更依頼_担当者不在時代理担当者登録　舟見良太さん】</v>
      </c>
      <c r="Q13" s="65">
        <f>SUMIF(日報!$R:$R,TEXT(YEAR($Q$2),"0000")&amp;TEXT(MONTH($Q$2),"00")&amp;$O13,日報!$L:$L)</f>
        <v>0</v>
      </c>
      <c r="R13" s="65">
        <f ca="1">SUMIF(日報!$J:$J,$O13,日報!$L:$L)</f>
        <v>0</v>
      </c>
    </row>
    <row r="14" spans="2:18" x14ac:dyDescent="0.15">
      <c r="J14" s="7" t="str">
        <f>[3]業務定義!$J16</f>
        <v>Digital Business SupporteCommerce(AOS &amp; Teikibin)Incident &amp; Risk ManagementIncident &amp; Risk Management</v>
      </c>
      <c r="K14" s="7" t="str">
        <f>[3]業務定義!$A16</f>
        <v>D.B.011</v>
      </c>
      <c r="L14" s="208"/>
      <c r="M14" s="65">
        <f ca="1">SUMIF(日報!$P:$P,TEXT(YEAR($M$2),"0000")&amp;TEXT(MONTH($M$2),"00")&amp;$K14,日報!$L:$L)</f>
        <v>0</v>
      </c>
      <c r="N14" s="318" t="str">
        <f>IF([3]業務定義!$I16="Y","要選択","-")</f>
        <v>要選択</v>
      </c>
      <c r="O14" s="7" t="str">
        <f>"REQ"&amp;TEXT([2]RequestList!$A15,"0000")</f>
        <v>REQ21549</v>
      </c>
      <c r="P14" s="7" t="str">
        <f>[2]RequestList!$J15</f>
        <v>テストデータ作成</v>
      </c>
      <c r="Q14" s="65">
        <f>SUMIF(日報!$R:$R,TEXT(YEAR($Q$2),"0000")&amp;TEXT(MONTH($Q$2),"00")&amp;$O14,日報!$L:$L)</f>
        <v>0</v>
      </c>
      <c r="R14" s="65">
        <f ca="1">SUMIF(日報!$J:$J,$O14,日報!$L:$L)</f>
        <v>10</v>
      </c>
    </row>
    <row r="15" spans="2:18" x14ac:dyDescent="0.15">
      <c r="J15" s="7" t="str">
        <f>[3]業務定義!$J17</f>
        <v>Digital Business SupporteCommerce(AOS &amp; Teikibin)その他依頼作業その他依頼作業</v>
      </c>
      <c r="K15" s="7" t="str">
        <f>[3]業務定義!$A17</f>
        <v>D.B.012</v>
      </c>
      <c r="L15" s="208"/>
      <c r="M15" s="65">
        <f ca="1">SUMIF(日報!$P:$P,TEXT(YEAR($M$2),"0000")&amp;TEXT(MONTH($M$2),"00")&amp;$K15,日報!$L:$L)</f>
        <v>0</v>
      </c>
      <c r="N15" s="318" t="str">
        <f>IF([3]業務定義!$I17="Y","要選択","-")</f>
        <v>要選択</v>
      </c>
      <c r="O15" s="7" t="str">
        <f>"REQ"&amp;TEXT([2]RequestList!$A16,"0000")</f>
        <v>REQ21550</v>
      </c>
      <c r="P15" s="7" t="str">
        <f>[2]RequestList!$J16</f>
        <v>日次CRMアップロードが失敗</v>
      </c>
      <c r="Q15" s="65">
        <f>SUMIF(日報!$R:$R,TEXT(YEAR($Q$2),"0000")&amp;TEXT(MONTH($Q$2),"00")&amp;$O15,日報!$L:$L)</f>
        <v>0</v>
      </c>
      <c r="R15" s="65">
        <f ca="1">SUMIF(日報!$J:$J,$O15,日報!$L:$L)</f>
        <v>0</v>
      </c>
    </row>
    <row r="16" spans="2:18" x14ac:dyDescent="0.15">
      <c r="J16" s="7" t="str">
        <f>[3]業務定義!$J18</f>
        <v>Digital Business SupportCommonMonthly ReportingMonthly Reporting</v>
      </c>
      <c r="K16" s="7" t="str">
        <f>[3]業務定義!$A18</f>
        <v>D.B.013</v>
      </c>
      <c r="L16" s="208"/>
      <c r="M16" s="65">
        <f ca="1">SUMIF(日報!$P:$P,TEXT(YEAR($M$2),"0000")&amp;TEXT(MONTH($M$2),"00")&amp;$K16,日報!$L:$L)</f>
        <v>0</v>
      </c>
      <c r="N16" s="318" t="str">
        <f>IF([3]業務定義!$I18="Y","要選択","-")</f>
        <v>-</v>
      </c>
      <c r="O16" s="7" t="str">
        <f>"REQ"&amp;TEXT([2]RequestList!$A17,"0000")</f>
        <v>REQ21551</v>
      </c>
      <c r="P16" s="7" t="str">
        <f>[2]RequestList!$J17</f>
        <v>HTMLリストとARS施設情報の一覧作成</v>
      </c>
      <c r="Q16" s="65">
        <f>SUMIF(日報!$R:$R,TEXT(YEAR($Q$2),"0000")&amp;TEXT(MONTH($Q$2),"00")&amp;$O16,日報!$L:$L)</f>
        <v>0</v>
      </c>
      <c r="R16" s="65">
        <f ca="1">SUMIF(日報!$J:$J,$O16,日報!$L:$L)</f>
        <v>0</v>
      </c>
    </row>
    <row r="17" spans="10:18" x14ac:dyDescent="0.15">
      <c r="J17" s="7" t="str">
        <f>[3]業務定義!$J19</f>
        <v>Digital Business SupportCommonその他依頼作業その他依頼作業</v>
      </c>
      <c r="K17" s="7" t="str">
        <f>[3]業務定義!$A19</f>
        <v>D.B.014</v>
      </c>
      <c r="L17" s="208"/>
      <c r="M17" s="65">
        <f ca="1">SUMIF(日報!$P:$P,TEXT(YEAR($M$2),"0000")&amp;TEXT(MONTH($M$2),"00")&amp;$K17,日報!$L:$L)</f>
        <v>0</v>
      </c>
      <c r="N17" s="318" t="str">
        <f>IF([3]業務定義!$I19="Y","要選択","-")</f>
        <v>要選択</v>
      </c>
      <c r="O17" s="7" t="str">
        <f>"REQ"&amp;TEXT([2]RequestList!$A18,"0000")</f>
        <v>REQ21552</v>
      </c>
      <c r="P17" s="7" t="str">
        <f>[2]RequestList!$J18</f>
        <v>HTMLリストとARS施設情報の一覧作成</v>
      </c>
      <c r="Q17" s="65">
        <f>SUMIF(日報!$R:$R,TEXT(YEAR($Q$2),"0000")&amp;TEXT(MONTH($Q$2),"00")&amp;$O17,日報!$L:$L)</f>
        <v>0</v>
      </c>
      <c r="R17" s="65">
        <f ca="1">SUMIF(日報!$J:$J,$O17,日報!$L:$L)</f>
        <v>0</v>
      </c>
    </row>
    <row r="18" spans="10:18" x14ac:dyDescent="0.15">
      <c r="J18" s="7" t="str">
        <f>[3]業務定義!$J20</f>
        <v>Analytics Local ServicePanorama問い合わせ問い合わせ</v>
      </c>
      <c r="K18" s="7" t="str">
        <f>[3]業務定義!$A20</f>
        <v>A.L.001</v>
      </c>
      <c r="L18" s="208"/>
      <c r="M18" s="65">
        <f ca="1">SUMIF(日報!$P:$P,TEXT(YEAR($M$2),"0000")&amp;TEXT(MONTH($M$2),"00")&amp;$K18,日報!$L:$L)</f>
        <v>0</v>
      </c>
      <c r="N18" s="318" t="str">
        <f>IF([3]業務定義!$I20="Y","要選択","-")</f>
        <v>要選択</v>
      </c>
      <c r="O18" s="7" t="str">
        <f>"REQ"&amp;TEXT([2]RequestList!$A19,"0000")</f>
        <v>REQ21553</v>
      </c>
      <c r="P18" s="7" t="str">
        <f>[2]RequestList!$J19</f>
        <v>コンテンツ更新依頼のIRISチケット作成</v>
      </c>
      <c r="Q18" s="65">
        <f>SUMIF(日報!$R:$R,TEXT(YEAR($Q$2),"0000")&amp;TEXT(MONTH($Q$2),"00")&amp;$O18,日報!$L:$L)</f>
        <v>0</v>
      </c>
      <c r="R18" s="65">
        <f ca="1">SUMIF(日報!$J:$J,$O18,日報!$L:$L)</f>
        <v>0</v>
      </c>
    </row>
    <row r="19" spans="10:18" x14ac:dyDescent="0.15">
      <c r="J19" s="7" t="str">
        <f>[3]業務定義!$J21</f>
        <v>Analytics Local ServicePanoramaインシデントハンドリングインシデントハンドリング</v>
      </c>
      <c r="K19" s="7" t="str">
        <f>[3]業務定義!$A21</f>
        <v>A.L.002</v>
      </c>
      <c r="L19" s="208"/>
      <c r="M19" s="65">
        <f ca="1">SUMIF(日報!$P:$P,TEXT(YEAR($M$2),"0000")&amp;TEXT(MONTH($M$2),"00")&amp;$K19,日報!$L:$L)</f>
        <v>0</v>
      </c>
      <c r="N19" s="318" t="str">
        <f>IF([3]業務定義!$I21="Y","要選択","-")</f>
        <v>要選択</v>
      </c>
      <c r="O19" s="7" t="str">
        <f>"REQ"&amp;TEXT([2]RequestList!$A20,"0000")</f>
        <v>REQ21554</v>
      </c>
      <c r="P19" s="7" t="str">
        <f>[2]RequestList!$J20</f>
        <v>フリーワード検索提案資料作成</v>
      </c>
      <c r="Q19" s="65">
        <f>SUMIF(日報!$R:$R,TEXT(YEAR($Q$2),"0000")&amp;TEXT(MONTH($Q$2),"00")&amp;$O19,日報!$L:$L)</f>
        <v>0</v>
      </c>
      <c r="R19" s="65">
        <f ca="1">SUMIF(日報!$J:$J,$O19,日報!$L:$L)</f>
        <v>50</v>
      </c>
    </row>
    <row r="20" spans="10:18" x14ac:dyDescent="0.15">
      <c r="J20" s="7" t="str">
        <f>[3]業務定義!$J22</f>
        <v>Analytics Local ServicePanoramaインターフェースチェックインターフェースチェック</v>
      </c>
      <c r="K20" s="7" t="str">
        <f>[3]業務定義!$A22</f>
        <v>A.L.003</v>
      </c>
      <c r="L20" s="208"/>
      <c r="M20" s="65">
        <f ca="1">SUMIF(日報!$P:$P,TEXT(YEAR($M$2),"0000")&amp;TEXT(MONTH($M$2),"00")&amp;$K20,日報!$L:$L)</f>
        <v>0</v>
      </c>
      <c r="N20" s="318" t="str">
        <f>IF([3]業務定義!$I22="Y","要選択","-")</f>
        <v>-</v>
      </c>
      <c r="O20" s="7" t="str">
        <f>"REQ"&amp;TEXT([2]RequestList!$A21,"0000")</f>
        <v>REQ21555</v>
      </c>
      <c r="P20" s="7" t="str">
        <f>[2]RequestList!$J21</f>
        <v>KPI集計（取り扱い店検索)</v>
      </c>
      <c r="Q20" s="65">
        <f>SUMIF(日報!$R:$R,TEXT(YEAR($Q$2),"0000")&amp;TEXT(MONTH($Q$2),"00")&amp;$O20,日報!$L:$L)</f>
        <v>0</v>
      </c>
      <c r="R20" s="65">
        <f ca="1">SUMIF(日報!$J:$J,$O20,日報!$L:$L)</f>
        <v>0</v>
      </c>
    </row>
    <row r="21" spans="10:18" x14ac:dyDescent="0.15">
      <c r="J21" s="7" t="str">
        <f>[3]業務定義!$J23</f>
        <v>Analytics Local ServicePanorama検証・調査検証・調査</v>
      </c>
      <c r="K21" s="7" t="str">
        <f>[3]業務定義!$A23</f>
        <v>A.L.004</v>
      </c>
      <c r="L21" s="208"/>
      <c r="M21" s="65">
        <f ca="1">SUMIF(日報!$P:$P,TEXT(YEAR($M$2),"0000")&amp;TEXT(MONTH($M$2),"00")&amp;$K21,日報!$L:$L)</f>
        <v>0</v>
      </c>
      <c r="N21" s="318" t="str">
        <f>IF([3]業務定義!$I23="Y","要選択","-")</f>
        <v>要選択</v>
      </c>
      <c r="O21" s="7" t="str">
        <f>"REQ"&amp;TEXT([2]RequestList!$A22,"0000")</f>
        <v>REQ21556</v>
      </c>
      <c r="P21" s="7" t="str">
        <f>[2]RequestList!$J22</f>
        <v>KPI集計（AOS/JELS)</v>
      </c>
      <c r="Q21" s="65">
        <f>SUMIF(日報!$R:$R,TEXT(YEAR($Q$2),"0000")&amp;TEXT(MONTH($Q$2),"00")&amp;$O21,日報!$L:$L)</f>
        <v>0</v>
      </c>
      <c r="R21" s="65">
        <f ca="1">SUMIF(日報!$J:$J,$O21,日報!$L:$L)</f>
        <v>0</v>
      </c>
    </row>
    <row r="22" spans="10:18" x14ac:dyDescent="0.15">
      <c r="J22" s="7" t="str">
        <f>[3]業務定義!$J24</f>
        <v>Analytics Local ServicePanoramaリクエスト分析/開発サポートリクエスト分析/開発サポート</v>
      </c>
      <c r="K22" s="7" t="str">
        <f>[3]業務定義!$A24</f>
        <v>A.L.005</v>
      </c>
      <c r="L22" s="208"/>
      <c r="M22" s="65">
        <f ca="1">SUMIF(日報!$P:$P,TEXT(YEAR($M$2),"0000")&amp;TEXT(MONTH($M$2),"00")&amp;$K22,日報!$L:$L)</f>
        <v>0</v>
      </c>
      <c r="N22" s="318" t="str">
        <f>IF([3]業務定義!$I24="Y","要選択","-")</f>
        <v>要選択</v>
      </c>
      <c r="O22" s="7" t="str">
        <f>"REQ"&amp;TEXT([2]RequestList!$A23,"0000")</f>
        <v>REQ21557</v>
      </c>
      <c r="P22" s="7" t="str">
        <f>[2]RequestList!$J23</f>
        <v>KPI集計（Eagle)</v>
      </c>
      <c r="Q22" s="65">
        <f>SUMIF(日報!$R:$R,TEXT(YEAR($Q$2),"0000")&amp;TEXT(MONTH($Q$2),"00")&amp;$O22,日報!$L:$L)</f>
        <v>0</v>
      </c>
      <c r="R22" s="65">
        <f ca="1">SUMIF(日報!$J:$J,$O22,日報!$L:$L)</f>
        <v>0</v>
      </c>
    </row>
    <row r="23" spans="10:18" x14ac:dyDescent="0.15">
      <c r="J23" s="7" t="str">
        <f>[3]業務定義!$J25</f>
        <v>JFLOW &amp; Other SupportSupport問い合わせJFLOW</v>
      </c>
      <c r="K23" s="7" t="str">
        <f>[3]業務定義!$A25</f>
        <v>J.S.001</v>
      </c>
      <c r="L23" s="208"/>
      <c r="M23" s="65">
        <f ca="1">SUMIF(日報!$P:$P,TEXT(YEAR($M$2),"0000")&amp;TEXT(MONTH($M$2),"00")&amp;$K23,日報!$L:$L)</f>
        <v>0</v>
      </c>
      <c r="N23" s="318" t="str">
        <f>IF([3]業務定義!$I25="Y","要選択","-")</f>
        <v>要選択</v>
      </c>
      <c r="O23" s="7" t="str">
        <f>"REQ"&amp;TEXT([2]RequestList!$A24,"0000")</f>
        <v>REQ21558</v>
      </c>
      <c r="P23" s="7" t="str">
        <f>[2]RequestList!$J24</f>
        <v>crontab update / crontab祝日対応</v>
      </c>
      <c r="Q23" s="65">
        <f>SUMIF(日報!$R:$R,TEXT(YEAR($Q$2),"0000")&amp;TEXT(MONTH($Q$2),"00")&amp;$O23,日報!$L:$L)</f>
        <v>0</v>
      </c>
      <c r="R23" s="65">
        <f ca="1">SUMIF(日報!$J:$J,$O23,日報!$L:$L)</f>
        <v>0</v>
      </c>
    </row>
    <row r="24" spans="10:18" x14ac:dyDescent="0.15">
      <c r="J24" s="7" t="str">
        <f>[3]業務定義!$J26</f>
        <v>JFLOW &amp; Other SupportSupport問い合わせOther EUS</v>
      </c>
      <c r="K24" s="7" t="str">
        <f>[3]業務定義!$A26</f>
        <v>J.S.002</v>
      </c>
      <c r="L24" s="208"/>
      <c r="M24" s="65">
        <f ca="1">SUMIF(日報!$P:$P,TEXT(YEAR($M$2),"0000")&amp;TEXT(MONTH($M$2),"00")&amp;$K24,日報!$L:$L)</f>
        <v>0</v>
      </c>
      <c r="N24" s="318" t="str">
        <f>IF([3]業務定義!$I26="Y","要選択","-")</f>
        <v>要選択</v>
      </c>
      <c r="O24" s="7" t="str">
        <f>"REQ"&amp;TEXT([2]RequestList!$A25,"0000")</f>
        <v>REQ21559</v>
      </c>
      <c r="P24" s="7" t="str">
        <f>[2]RequestList!$J25</f>
        <v>AOS/JELSドキュメント更新</v>
      </c>
      <c r="Q24" s="65">
        <f>SUMIF(日報!$R:$R,TEXT(YEAR($Q$2),"0000")&amp;TEXT(MONTH($Q$2),"00")&amp;$O24,日報!$L:$L)</f>
        <v>0</v>
      </c>
      <c r="R24" s="65">
        <f ca="1">SUMIF(日報!$J:$J,$O24,日報!$L:$L)</f>
        <v>0</v>
      </c>
    </row>
    <row r="25" spans="10:18" x14ac:dyDescent="0.15">
      <c r="J25" s="7" t="str">
        <f>[3]業務定義!$J27</f>
        <v>JFLOW &amp; Other SupportSupport問い合わせIntranet</v>
      </c>
      <c r="K25" s="7" t="str">
        <f>[3]業務定義!$A27</f>
        <v>J.S.003</v>
      </c>
      <c r="L25" s="208"/>
      <c r="M25" s="65">
        <f ca="1">SUMIF(日報!$P:$P,TEXT(YEAR($M$2),"0000")&amp;TEXT(MONTH($M$2),"00")&amp;$K25,日報!$L:$L)</f>
        <v>0</v>
      </c>
      <c r="N25" s="318" t="str">
        <f>IF([3]業務定義!$I27="Y","要選択","-")</f>
        <v>要選択</v>
      </c>
      <c r="O25" s="7" t="str">
        <f>"REQ"&amp;TEXT([2]RequestList!$A26,"0000")</f>
        <v>REQ21560</v>
      </c>
      <c r="P25" s="7" t="str">
        <f>[2]RequestList!$J26</f>
        <v>Eagleドキュメント更新</v>
      </c>
      <c r="Q25" s="65">
        <f>SUMIF(日報!$R:$R,TEXT(YEAR($Q$2),"0000")&amp;TEXT(MONTH($Q$2),"00")&amp;$O25,日報!$L:$L)</f>
        <v>0</v>
      </c>
      <c r="R25" s="65">
        <f ca="1">SUMIF(日報!$J:$J,$O25,日報!$L:$L)</f>
        <v>0</v>
      </c>
    </row>
    <row r="26" spans="10:18" x14ac:dyDescent="0.15">
      <c r="J26" s="7" t="str">
        <f>[3]業務定義!$J28</f>
        <v>JFLOW &amp; Other SupportSupportインシデントハンドリングインシデントハンドリング</v>
      </c>
      <c r="K26" s="7" t="str">
        <f>[3]業務定義!$A28</f>
        <v>J.S.004</v>
      </c>
      <c r="L26" s="208"/>
      <c r="M26" s="65">
        <f ca="1">SUMIF(日報!$P:$P,TEXT(YEAR($M$2),"0000")&amp;TEXT(MONTH($M$2),"00")&amp;$K26,日報!$L:$L)</f>
        <v>0</v>
      </c>
      <c r="N26" s="318" t="str">
        <f>IF([3]業務定義!$I28="Y","要選択","-")</f>
        <v>要選択</v>
      </c>
      <c r="O26" s="7" t="str">
        <f>"REQ"&amp;TEXT([2]RequestList!$A27,"0000")</f>
        <v>REQ21561</v>
      </c>
      <c r="P26" s="7" t="str">
        <f>[2]RequestList!$J27</f>
        <v>Eagle Postal Code Data Refresh / 郵便番号マスタ更新</v>
      </c>
      <c r="Q26" s="65">
        <f>SUMIF(日報!$R:$R,TEXT(YEAR($Q$2),"0000")&amp;TEXT(MONTH($Q$2),"00")&amp;$O26,日報!$L:$L)</f>
        <v>0</v>
      </c>
      <c r="R26" s="65">
        <f ca="1">SUMIF(日報!$J:$J,$O26,日報!$L:$L)</f>
        <v>0</v>
      </c>
    </row>
    <row r="27" spans="10:18" x14ac:dyDescent="0.15">
      <c r="J27" s="7" t="str">
        <f>[3]業務定義!$J29</f>
        <v>JFLOW &amp; Other SupportBasic SupportService RequestJFLOW</v>
      </c>
      <c r="K27" s="7" t="str">
        <f>[3]業務定義!$A29</f>
        <v>J.S.005</v>
      </c>
      <c r="L27" s="208"/>
      <c r="M27" s="65">
        <f ca="1">SUMIF(日報!$P:$P,TEXT(YEAR($M$2),"0000")&amp;TEXT(MONTH($M$2),"00")&amp;$K27,日報!$L:$L)</f>
        <v>0</v>
      </c>
      <c r="N27" s="318" t="str">
        <f>IF([3]業務定義!$I29="Y","要選択","-")</f>
        <v>要選択</v>
      </c>
      <c r="O27" s="7" t="str">
        <f>"REQ"&amp;TEXT([2]RequestList!$A28,"0000")</f>
        <v>REQ21562</v>
      </c>
      <c r="P27" s="7" t="str">
        <f>[2]RequestList!$J28</f>
        <v>Eagle定例</v>
      </c>
      <c r="Q27" s="65">
        <f>SUMIF(日報!$R:$R,TEXT(YEAR($Q$2),"0000")&amp;TEXT(MONTH($Q$2),"00")&amp;$O27,日報!$L:$L)</f>
        <v>0</v>
      </c>
      <c r="R27" s="65">
        <f ca="1">SUMIF(日報!$J:$J,$O27,日報!$L:$L)</f>
        <v>0</v>
      </c>
    </row>
    <row r="28" spans="10:18" x14ac:dyDescent="0.15">
      <c r="J28" s="7" t="str">
        <f>[3]業務定義!$J30</f>
        <v>JFLOW &amp; Other SupportBasic SupportService RequestOther EUS</v>
      </c>
      <c r="K28" s="7" t="str">
        <f>[3]業務定義!$A30</f>
        <v>J.S.006</v>
      </c>
      <c r="L28" s="208"/>
      <c r="M28" s="65">
        <f ca="1">SUMIF(日報!$P:$P,TEXT(YEAR($M$2),"0000")&amp;TEXT(MONTH($M$2),"00")&amp;$K28,日報!$L:$L)</f>
        <v>0</v>
      </c>
      <c r="N28" s="318" t="str">
        <f>IF([3]業務定義!$I30="Y","要選択","-")</f>
        <v>要選択</v>
      </c>
      <c r="O28" s="7" t="str">
        <f>"REQ"&amp;TEXT([2]RequestList!$A29,"0000")</f>
        <v>REQ21563</v>
      </c>
      <c r="P28" s="7" t="str">
        <f>[2]RequestList!$J29</f>
        <v>SAPとtableauの金額相異</v>
      </c>
      <c r="Q28" s="65">
        <f>SUMIF(日報!$R:$R,TEXT(YEAR($Q$2),"0000")&amp;TEXT(MONTH($Q$2),"00")&amp;$O28,日報!$L:$L)</f>
        <v>0</v>
      </c>
      <c r="R28" s="65">
        <f ca="1">SUMIF(日報!$J:$J,$O28,日報!$L:$L)</f>
        <v>0</v>
      </c>
    </row>
    <row r="29" spans="10:18" x14ac:dyDescent="0.15">
      <c r="J29" s="7" t="str">
        <f>[3]業務定義!$J31</f>
        <v>JFLOW &amp; Other SupportBasic SupportService RequestIntranet</v>
      </c>
      <c r="K29" s="7" t="str">
        <f>[3]業務定義!$A31</f>
        <v>J.S.007</v>
      </c>
      <c r="L29" s="208"/>
      <c r="M29" s="65">
        <f ca="1">SUMIF(日報!$P:$P,TEXT(YEAR($M$2),"0000")&amp;TEXT(MONTH($M$2),"00")&amp;$K29,日報!$L:$L)</f>
        <v>0</v>
      </c>
      <c r="N29" s="318" t="str">
        <f>IF([3]業務定義!$I31="Y","要選択","-")</f>
        <v>要選択</v>
      </c>
      <c r="O29" s="7" t="str">
        <f>"REQ"&amp;TEXT([2]RequestList!$A30,"0000")</f>
        <v>REQ21564</v>
      </c>
      <c r="P29" s="7" t="str">
        <f>[2]RequestList!$J30</f>
        <v>VX dashboard 年越しによる不具合解消依頼</v>
      </c>
      <c r="Q29" s="65">
        <f>SUMIF(日報!$R:$R,TEXT(YEAR($Q$2),"0000")&amp;TEXT(MONTH($Q$2),"00")&amp;$O29,日報!$L:$L)</f>
        <v>0</v>
      </c>
      <c r="R29" s="65">
        <f ca="1">SUMIF(日報!$J:$J,$O29,日報!$L:$L)</f>
        <v>0</v>
      </c>
    </row>
    <row r="30" spans="10:18" x14ac:dyDescent="0.15">
      <c r="J30" s="7" t="str">
        <f>[3]業務定義!$J32</f>
        <v>JFLOW &amp; Other SupportMaintenanceSmall changeJFLOW</v>
      </c>
      <c r="K30" s="7" t="str">
        <f>[3]業務定義!$A32</f>
        <v>J.S.008</v>
      </c>
      <c r="L30" s="208"/>
      <c r="M30" s="65">
        <f ca="1">SUMIF(日報!$P:$P,TEXT(YEAR($M$2),"0000")&amp;TEXT(MONTH($M$2),"00")&amp;$K30,日報!$L:$L)</f>
        <v>0</v>
      </c>
      <c r="N30" s="318" t="str">
        <f>IF([3]業務定義!$I32="Y","要選択","-")</f>
        <v>要選択</v>
      </c>
      <c r="O30" s="7" t="str">
        <f>"REQ"&amp;TEXT([2]RequestList!$A31,"0000")</f>
        <v>REQ21565</v>
      </c>
      <c r="P30" s="7" t="str">
        <f>[2]RequestList!$J31</f>
        <v>アサイン担当者の変更</v>
      </c>
      <c r="Q30" s="65">
        <f>SUMIF(日報!$R:$R,TEXT(YEAR($Q$2),"0000")&amp;TEXT(MONTH($Q$2),"00")&amp;$O30,日報!$L:$L)</f>
        <v>0</v>
      </c>
      <c r="R30" s="65">
        <f ca="1">SUMIF(日報!$J:$J,$O30,日報!$L:$L)</f>
        <v>0</v>
      </c>
    </row>
    <row r="31" spans="10:18" x14ac:dyDescent="0.15">
      <c r="J31" s="7" t="str">
        <f>[3]業務定義!$J33</f>
        <v>JFLOW &amp; Other SupportMaintenanceSmall changeIntranet</v>
      </c>
      <c r="K31" s="7" t="str">
        <f>[3]業務定義!$A33</f>
        <v>J.S.009</v>
      </c>
      <c r="L31" s="208"/>
      <c r="M31" s="65">
        <f ca="1">SUMIF(日報!$P:$P,TEXT(YEAR($M$2),"0000")&amp;TEXT(MONTH($M$2),"00")&amp;$K31,日報!$L:$L)</f>
        <v>0</v>
      </c>
      <c r="N31" s="318" t="str">
        <f>IF([3]業務定義!$I33="Y","要選択","-")</f>
        <v>要選択</v>
      </c>
      <c r="O31" s="7" t="str">
        <f>"REQ"&amp;TEXT([2]RequestList!$A32,"0000")</f>
        <v>REQ21566</v>
      </c>
      <c r="P31" s="7" t="str">
        <f>[2]RequestList!$J32</f>
        <v>ARS QA環境用のアカウントを作成</v>
      </c>
      <c r="Q31" s="65">
        <f>SUMIF(日報!$R:$R,TEXT(YEAR($Q$2),"0000")&amp;TEXT(MONTH($Q$2),"00")&amp;$O31,日報!$L:$L)</f>
        <v>0</v>
      </c>
      <c r="R31" s="65">
        <f ca="1">SUMIF(日報!$J:$J,$O31,日報!$L:$L)</f>
        <v>0</v>
      </c>
    </row>
    <row r="32" spans="10:18" x14ac:dyDescent="0.15">
      <c r="J32" s="7" t="str">
        <f>[3]業務定義!$J34</f>
        <v>JFLOW &amp; Other SupportMaintenanceコンサルサービスOther EUS</v>
      </c>
      <c r="K32" s="7" t="str">
        <f>[3]業務定義!$A34</f>
        <v>J.S.010</v>
      </c>
      <c r="L32" s="208"/>
      <c r="M32" s="65">
        <f ca="1">SUMIF(日報!$P:$P,TEXT(YEAR($M$2),"0000")&amp;TEXT(MONTH($M$2),"00")&amp;$K32,日報!$L:$L)</f>
        <v>0</v>
      </c>
      <c r="N32" s="318" t="str">
        <f>IF([3]業務定義!$I34="Y","要選択","-")</f>
        <v>要選択</v>
      </c>
      <c r="O32" s="7" t="str">
        <f>"REQ"&amp;TEXT([2]RequestList!$A33,"0000")</f>
        <v>REQ21567</v>
      </c>
      <c r="P32" s="7" t="str">
        <f>[2]RequestList!$J33</f>
        <v>MBOX接続障害の改善</v>
      </c>
      <c r="Q32" s="65">
        <f>SUMIF(日報!$R:$R,TEXT(YEAR($Q$2),"0000")&amp;TEXT(MONTH($Q$2),"00")&amp;$O32,日報!$L:$L)</f>
        <v>0</v>
      </c>
      <c r="R32" s="65">
        <f ca="1">SUMIF(日報!$J:$J,$O32,日報!$L:$L)</f>
        <v>0</v>
      </c>
    </row>
    <row r="33" spans="10:18" x14ac:dyDescent="0.15">
      <c r="J33" s="7" t="str">
        <f>[3]業務定義!$J35</f>
        <v>SFE Local SupportSupport問い合わせ問い合わせ</v>
      </c>
      <c r="K33" s="7" t="str">
        <f>[3]業務定義!$A35</f>
        <v>S.L.001</v>
      </c>
      <c r="L33" s="208"/>
      <c r="M33" s="65">
        <f ca="1">SUMIF(日報!$P:$P,TEXT(YEAR($M$2),"0000")&amp;TEXT(MONTH($M$2),"00")&amp;$K33,日報!$L:$L)</f>
        <v>0</v>
      </c>
      <c r="N33" s="318" t="str">
        <f>IF([3]業務定義!$I35="Y","要選択","-")</f>
        <v>要選択</v>
      </c>
      <c r="O33" s="7" t="str">
        <f>"REQ"&amp;TEXT([2]RequestList!$A34,"0000")</f>
        <v>REQ21568</v>
      </c>
      <c r="P33" s="7" t="str">
        <f>[2]RequestList!$J34</f>
        <v>MyAcuvue DST SIT実施及びスクリプト作成</v>
      </c>
      <c r="Q33" s="65">
        <f>SUMIF(日報!$R:$R,TEXT(YEAR($Q$2),"0000")&amp;TEXT(MONTH($Q$2),"00")&amp;$O33,日報!$L:$L)</f>
        <v>0</v>
      </c>
      <c r="R33" s="65">
        <f ca="1">SUMIF(日報!$J:$J,$O33,日報!$L:$L)</f>
        <v>362.25</v>
      </c>
    </row>
    <row r="34" spans="10:18" x14ac:dyDescent="0.15">
      <c r="J34" s="7" t="str">
        <f>[3]業務定義!$J36</f>
        <v>SFE Local SupportSupportインシデントハンドリングインシデントハンドリング</v>
      </c>
      <c r="K34" s="7" t="str">
        <f>[3]業務定義!$A36</f>
        <v>S.L.002</v>
      </c>
      <c r="L34" s="208"/>
      <c r="M34" s="65">
        <f ca="1">SUMIF(日報!$P:$P,TEXT(YEAR($M$2),"0000")&amp;TEXT(MONTH($M$2),"00")&amp;$K34,日報!$L:$L)</f>
        <v>0</v>
      </c>
      <c r="N34" s="318" t="str">
        <f>IF([3]業務定義!$I36="Y","要選択","-")</f>
        <v>要選択</v>
      </c>
      <c r="O34" s="7" t="str">
        <f>"REQ"&amp;TEXT([2]RequestList!$A35,"0000")</f>
        <v>REQ21569</v>
      </c>
      <c r="P34" s="7" t="str">
        <f>[2]RequestList!$J35</f>
        <v>Store Locator DST SIT実施及びスクリプト作成</v>
      </c>
      <c r="Q34" s="65">
        <f>SUMIF(日報!$R:$R,TEXT(YEAR($Q$2),"0000")&amp;TEXT(MONTH($Q$2),"00")&amp;$O34,日報!$L:$L)</f>
        <v>0</v>
      </c>
      <c r="R34" s="65">
        <f ca="1">SUMIF(日報!$J:$J,$O34,日報!$L:$L)</f>
        <v>36</v>
      </c>
    </row>
    <row r="35" spans="10:18" x14ac:dyDescent="0.15">
      <c r="J35" s="7" t="str">
        <f>[3]業務定義!$J37</f>
        <v>SFE Local SupportBasic SupportService Requestアカウント管理（登録、変更、削除・検証・調査) 依頼</v>
      </c>
      <c r="K35" s="7" t="str">
        <f>[3]業務定義!$A37</f>
        <v>S.L.003</v>
      </c>
      <c r="L35" s="208"/>
      <c r="M35" s="65">
        <f ca="1">SUMIF(日報!$P:$P,TEXT(YEAR($M$2),"0000")&amp;TEXT(MONTH($M$2),"00")&amp;$K35,日報!$L:$L)</f>
        <v>0</v>
      </c>
      <c r="N35" s="318" t="str">
        <f>IF([3]業務定義!$I37="Y","要選択","-")</f>
        <v>要選択</v>
      </c>
      <c r="O35" s="7" t="str">
        <f>"REQ"&amp;TEXT([2]RequestList!$A36,"0000")</f>
        <v>REQ21570</v>
      </c>
      <c r="P35" s="7" t="str">
        <f>[2]RequestList!$J36</f>
        <v>データベースのパッチ適用によるJ-FLOW停止日程の確認</v>
      </c>
      <c r="Q35" s="65">
        <f>SUMIF(日報!$R:$R,TEXT(YEAR($Q$2),"0000")&amp;TEXT(MONTH($Q$2),"00")&amp;$O35,日報!$L:$L)</f>
        <v>0</v>
      </c>
      <c r="R35" s="65">
        <f ca="1">SUMIF(日報!$J:$J,$O35,日報!$L:$L)</f>
        <v>0</v>
      </c>
    </row>
    <row r="36" spans="10:18" x14ac:dyDescent="0.15">
      <c r="J36" s="7" t="str">
        <f>[3]業務定義!$J38</f>
        <v>SFE Local SupportBasic SupportService RequestDaily Interface Check</v>
      </c>
      <c r="K36" s="7" t="str">
        <f>[3]業務定義!$A38</f>
        <v>S.L.004</v>
      </c>
      <c r="L36" s="208"/>
      <c r="M36" s="65">
        <f ca="1">SUMIF(日報!$P:$P,TEXT(YEAR($M$2),"0000")&amp;TEXT(MONTH($M$2),"00")&amp;$K36,日報!$L:$L)</f>
        <v>0</v>
      </c>
      <c r="N36" s="318" t="str">
        <f>IF([3]業務定義!$I38="Y","要選択","-")</f>
        <v>-</v>
      </c>
      <c r="O36" s="7" t="str">
        <f>"REQ"&amp;TEXT([2]RequestList!$A37,"0000")</f>
        <v>REQ21571</v>
      </c>
      <c r="P36" s="7" t="str">
        <f>[2]RequestList!$J37</f>
        <v>J-FLOW 通知メール宛先よりユーザー削除</v>
      </c>
      <c r="Q36" s="65">
        <f>SUMIF(日報!$R:$R,TEXT(YEAR($Q$2),"0000")&amp;TEXT(MONTH($Q$2),"00")&amp;$O36,日報!$L:$L)</f>
        <v>0</v>
      </c>
      <c r="R36" s="65">
        <f ca="1">SUMIF(日報!$J:$J,$O36,日報!$L:$L)</f>
        <v>0</v>
      </c>
    </row>
    <row r="37" spans="10:18" x14ac:dyDescent="0.15">
      <c r="J37" s="7" t="str">
        <f>[3]業務定義!$J39</f>
        <v>SFE Local SupportMaintenanceコンサルサービスコンサルサービス</v>
      </c>
      <c r="K37" s="7" t="str">
        <f>[3]業務定義!$A39</f>
        <v>S.L.005</v>
      </c>
      <c r="L37" s="208"/>
      <c r="M37" s="65">
        <f ca="1">SUMIF(日報!$P:$P,TEXT(YEAR($M$2),"0000")&amp;TEXT(MONTH($M$2),"00")&amp;$K37,日報!$L:$L)</f>
        <v>0</v>
      </c>
      <c r="N37" s="318" t="str">
        <f>IF([3]業務定義!$I39="Y","要選択","-")</f>
        <v>要選択</v>
      </c>
      <c r="O37" s="7" t="str">
        <f>"REQ"&amp;TEXT([2]RequestList!$A38,"0000")</f>
        <v>REQ21572</v>
      </c>
      <c r="P37" s="7" t="str">
        <f>[2]RequestList!$J38</f>
        <v>SAPバッチの動作時間について</v>
      </c>
      <c r="Q37" s="65">
        <f>SUMIF(日報!$R:$R,TEXT(YEAR($Q$2),"0000")&amp;TEXT(MONTH($Q$2),"00")&amp;$O37,日報!$L:$L)</f>
        <v>0</v>
      </c>
      <c r="R37" s="65">
        <f ca="1">SUMIF(日報!$J:$J,$O37,日報!$L:$L)</f>
        <v>0</v>
      </c>
    </row>
    <row r="38" spans="10:18" x14ac:dyDescent="0.15">
      <c r="J38" s="7" t="str">
        <f>[3]業務定義!$J40</f>
        <v>SC Run SupportEagleL1 Support問合せ</v>
      </c>
      <c r="K38" s="7" t="str">
        <f>[3]業務定義!$A40</f>
        <v>S.R.001</v>
      </c>
      <c r="L38" s="208"/>
      <c r="M38" s="65">
        <f ca="1">SUMIF(日報!$P:$P,TEXT(YEAR($M$2),"0000")&amp;TEXT(MONTH($M$2),"00")&amp;$K38,日報!$L:$L)</f>
        <v>0</v>
      </c>
      <c r="N38" s="318" t="str">
        <f>IF([3]業務定義!$I40="Y","要選択","-")</f>
        <v>要選択</v>
      </c>
      <c r="O38" s="7" t="str">
        <f>"REQ"&amp;TEXT([2]RequestList!$A39,"0000")</f>
        <v>REQ21573</v>
      </c>
      <c r="P38" s="7" t="str">
        <f>[2]RequestList!$J39</f>
        <v>MBOX接続障害の改善</v>
      </c>
      <c r="Q38" s="65">
        <f>SUMIF(日報!$R:$R,TEXT(YEAR($Q$2),"0000")&amp;TEXT(MONTH($Q$2),"00")&amp;$O38,日報!$L:$L)</f>
        <v>0</v>
      </c>
      <c r="R38" s="65">
        <f ca="1">SUMIF(日報!$J:$J,$O38,日報!$L:$L)</f>
        <v>0</v>
      </c>
    </row>
    <row r="39" spans="10:18" x14ac:dyDescent="0.15">
      <c r="J39" s="7" t="str">
        <f>[3]業務定義!$J41</f>
        <v>SC Run SupportEagleL1 Supportインシデントハンドリング</v>
      </c>
      <c r="K39" s="7" t="str">
        <f>[3]業務定義!$A41</f>
        <v>S.R.002</v>
      </c>
      <c r="L39" s="208"/>
      <c r="M39" s="65">
        <f ca="1">SUMIF(日報!$P:$P,TEXT(YEAR($M$2),"0000")&amp;TEXT(MONTH($M$2),"00")&amp;$K39,日報!$L:$L)</f>
        <v>0</v>
      </c>
      <c r="N39" s="318" t="str">
        <f>IF([3]業務定義!$I41="Y","要選択","-")</f>
        <v>要選択</v>
      </c>
      <c r="O39" s="7" t="str">
        <f>"REQ"&amp;TEXT([2]RequestList!$A40,"0000")</f>
        <v>REQ21574</v>
      </c>
      <c r="P39" s="7" t="str">
        <f>[2]RequestList!$J40</f>
        <v>ITリクエスト申請(IT Request)【ARSサーバアクセス権：山崎義一】　アクセス権限の追加</v>
      </c>
      <c r="Q39" s="65">
        <f>SUMIF(日報!$R:$R,TEXT(YEAR($Q$2),"0000")&amp;TEXT(MONTH($Q$2),"00")&amp;$O39,日報!$L:$L)</f>
        <v>0</v>
      </c>
      <c r="R39" s="65">
        <f ca="1">SUMIF(日報!$J:$J,$O39,日報!$L:$L)</f>
        <v>0</v>
      </c>
    </row>
    <row r="40" spans="10:18" x14ac:dyDescent="0.15">
      <c r="J40" s="7" t="str">
        <f>[3]業務定義!$J42</f>
        <v>SC Run SupportEagleDaily CheckDaily Check</v>
      </c>
      <c r="K40" s="7" t="str">
        <f>[3]業務定義!$A42</f>
        <v>S.R.003</v>
      </c>
      <c r="L40" s="208"/>
      <c r="M40" s="65">
        <f ca="1">SUMIF(日報!$P:$P,TEXT(YEAR($M$2),"0000")&amp;TEXT(MONTH($M$2),"00")&amp;$K40,日報!$L:$L)</f>
        <v>0</v>
      </c>
      <c r="N40" s="318" t="str">
        <f>IF([3]業務定義!$I42="Y","要選択","-")</f>
        <v>-</v>
      </c>
      <c r="O40" s="7" t="str">
        <f>"REQ"&amp;TEXT([2]RequestList!$A41,"0000")</f>
        <v>REQ21575</v>
      </c>
      <c r="P40" s="7" t="str">
        <f>[2]RequestList!$J41</f>
        <v>workday&amp;delivery_date check / 翌月以降の休業日確認</v>
      </c>
      <c r="Q40" s="65">
        <f>SUMIF(日報!$R:$R,TEXT(YEAR($Q$2),"0000")&amp;TEXT(MONTH($Q$2),"00")&amp;$O40,日報!$L:$L)</f>
        <v>0</v>
      </c>
      <c r="R40" s="65">
        <f ca="1">SUMIF(日報!$J:$J,$O40,日報!$L:$L)</f>
        <v>0</v>
      </c>
    </row>
    <row r="41" spans="10:18" x14ac:dyDescent="0.15">
      <c r="J41" s="7" t="str">
        <f>[3]業務定義!$J43</f>
        <v>SC Run SupportARSL1 Support問合せ</v>
      </c>
      <c r="K41" s="7" t="str">
        <f>[3]業務定義!$A43</f>
        <v>S.R.004</v>
      </c>
      <c r="L41" s="208"/>
      <c r="M41" s="65">
        <f ca="1">SUMIF(日報!$P:$P,TEXT(YEAR($M$2),"0000")&amp;TEXT(MONTH($M$2),"00")&amp;$K41,日報!$L:$L)</f>
        <v>0</v>
      </c>
      <c r="N41" s="318" t="str">
        <f>IF([3]業務定義!$I43="Y","要選択","-")</f>
        <v>要選択</v>
      </c>
      <c r="O41" s="7" t="str">
        <f>"REQ"&amp;TEXT([2]RequestList!$A42,"0000")</f>
        <v>REQ21576</v>
      </c>
      <c r="P41" s="7" t="str">
        <f>[2]RequestList!$J42</f>
        <v>POS support / LOTの体系追加について</v>
      </c>
      <c r="Q41" s="65">
        <f>SUMIF(日報!$R:$R,TEXT(YEAR($Q$2),"0000")&amp;TEXT(MONTH($Q$2),"00")&amp;$O41,日報!$L:$L)</f>
        <v>0</v>
      </c>
      <c r="R41" s="65">
        <f ca="1">SUMIF(日報!$J:$J,$O41,日報!$L:$L)</f>
        <v>0</v>
      </c>
    </row>
    <row r="42" spans="10:18" x14ac:dyDescent="0.15">
      <c r="J42" s="7" t="str">
        <f>[3]業務定義!$J44</f>
        <v>SC Run SupportARSL1 Supportインシデントハンドリング</v>
      </c>
      <c r="K42" s="7" t="str">
        <f>[3]業務定義!$A44</f>
        <v>S.R.005</v>
      </c>
      <c r="L42" s="208"/>
      <c r="M42" s="65">
        <f ca="1">SUMIF(日報!$P:$P,TEXT(YEAR($M$2),"0000")&amp;TEXT(MONTH($M$2),"00")&amp;$K42,日報!$L:$L)</f>
        <v>0</v>
      </c>
      <c r="N42" s="318" t="str">
        <f>IF([3]業務定義!$I44="Y","要選択","-")</f>
        <v>要選択</v>
      </c>
      <c r="O42" s="7" t="str">
        <f>"REQ"&amp;TEXT([2]RequestList!$A43,"0000")</f>
        <v>REQ21577</v>
      </c>
      <c r="P42" s="7" t="str">
        <f>[2]RequestList!$J43</f>
        <v>アウトレット数・売り上げ集計依頼</v>
      </c>
      <c r="Q42" s="65">
        <f>SUMIF(日報!$R:$R,TEXT(YEAR($Q$2),"0000")&amp;TEXT(MONTH($Q$2),"00")&amp;$O42,日報!$L:$L)</f>
        <v>0</v>
      </c>
      <c r="R42" s="65">
        <f ca="1">SUMIF(日報!$J:$J,$O42,日報!$L:$L)</f>
        <v>0</v>
      </c>
    </row>
    <row r="43" spans="10:18" x14ac:dyDescent="0.15">
      <c r="J43" s="7" t="str">
        <f>[3]業務定義!$J45</f>
        <v>SC Run SupportARSDaily CheckDaily Check</v>
      </c>
      <c r="K43" s="7" t="str">
        <f>[3]業務定義!$A45</f>
        <v>S.R.006</v>
      </c>
      <c r="L43" s="208"/>
      <c r="M43" s="65">
        <f ca="1">SUMIF(日報!$P:$P,TEXT(YEAR($M$2),"0000")&amp;TEXT(MONTH($M$2),"00")&amp;$K43,日報!$L:$L)</f>
        <v>0</v>
      </c>
      <c r="N43" s="318" t="str">
        <f>IF([3]業務定義!$I45="Y","要選択","-")</f>
        <v>要選択</v>
      </c>
      <c r="O43" s="7" t="str">
        <f>"REQ"&amp;TEXT([2]RequestList!$A44,"0000")</f>
        <v>REQ21578</v>
      </c>
      <c r="P43" s="7" t="str">
        <f>[2]RequestList!$J44</f>
        <v>IRIS申請について</v>
      </c>
      <c r="Q43" s="65">
        <f>SUMIF(日報!$R:$R,TEXT(YEAR($Q$2),"0000")&amp;TEXT(MONTH($Q$2),"00")&amp;$O43,日報!$L:$L)</f>
        <v>0</v>
      </c>
      <c r="R43" s="65">
        <f ca="1">SUMIF(日報!$J:$J,$O43,日報!$L:$L)</f>
        <v>0</v>
      </c>
    </row>
    <row r="44" spans="10:18" x14ac:dyDescent="0.15">
      <c r="J44" s="7" t="str">
        <f>[3]業務定義!$J46</f>
        <v>SC Service RequestEagleService RequestService Request</v>
      </c>
      <c r="K44" s="7" t="str">
        <f>[3]業務定義!$A46</f>
        <v>S.S.001</v>
      </c>
      <c r="L44" s="208"/>
      <c r="M44" s="65">
        <f ca="1">SUMIF(日報!$P:$P,TEXT(YEAR($M$2),"0000")&amp;TEXT(MONTH($M$2),"00")&amp;$K44,日報!$L:$L)</f>
        <v>0</v>
      </c>
      <c r="N44" s="318" t="str">
        <f>IF([3]業務定義!$I46="Y","要選択","-")</f>
        <v>要選択</v>
      </c>
      <c r="O44" s="7" t="str">
        <f>"REQ"&amp;TEXT([2]RequestList!$A45,"0000")</f>
        <v>REQ21579</v>
      </c>
      <c r="P44" s="7" t="str">
        <f>[2]RequestList!$J45</f>
        <v>INVエラー</v>
      </c>
      <c r="Q44" s="65">
        <f>SUMIF(日報!$R:$R,TEXT(YEAR($Q$2),"0000")&amp;TEXT(MONTH($Q$2),"00")&amp;$O44,日報!$L:$L)</f>
        <v>0</v>
      </c>
      <c r="R44" s="65">
        <f ca="1">SUMIF(日報!$J:$J,$O44,日報!$L:$L)</f>
        <v>0</v>
      </c>
    </row>
    <row r="45" spans="10:18" x14ac:dyDescent="0.15">
      <c r="J45" s="7" t="str">
        <f>[3]業務定義!$J47</f>
        <v>SC Service RequestARSService RequestService Request</v>
      </c>
      <c r="K45" s="7" t="str">
        <f>[3]業務定義!$A47</f>
        <v>S.S.002</v>
      </c>
      <c r="L45" s="208"/>
      <c r="M45" s="65">
        <f ca="1">SUMIF(日報!$P:$P,TEXT(YEAR($M$2),"0000")&amp;TEXT(MONTH($M$2),"00")&amp;$K45,日報!$L:$L)</f>
        <v>0</v>
      </c>
      <c r="N45" s="318" t="str">
        <f>IF([3]業務定義!$I47="Y","要選択","-")</f>
        <v>要選択</v>
      </c>
      <c r="O45" s="7" t="str">
        <f>"REQ"&amp;TEXT([2]RequestList!$A46,"0000")</f>
        <v>REQ21580</v>
      </c>
      <c r="P45" s="7" t="str">
        <f>[2]RequestList!$J46</f>
        <v xml:space="preserve">本番環境にてパスワードリセット実施
</v>
      </c>
      <c r="Q45" s="65">
        <f>SUMIF(日報!$R:$R,TEXT(YEAR($Q$2),"0000")&amp;TEXT(MONTH($Q$2),"00")&amp;$O45,日報!$L:$L)</f>
        <v>0</v>
      </c>
      <c r="R45" s="65">
        <f ca="1">SUMIF(日報!$J:$J,$O45,日報!$L:$L)</f>
        <v>0</v>
      </c>
    </row>
    <row r="46" spans="10:18" x14ac:dyDescent="0.15">
      <c r="J46" s="7" t="str">
        <f>[3]業務定義!$J48</f>
        <v>SC Service RequestARSEnhancementEnhancement</v>
      </c>
      <c r="K46" s="7" t="str">
        <f>[3]業務定義!$A48</f>
        <v>S.S.003</v>
      </c>
      <c r="L46" s="208"/>
      <c r="M46" s="65">
        <f ca="1">SUMIF(日報!$P:$P,TEXT(YEAR($M$2),"0000")&amp;TEXT(MONTH($M$2),"00")&amp;$K46,日報!$L:$L)</f>
        <v>0</v>
      </c>
      <c r="N46" s="318" t="str">
        <f>IF([3]業務定義!$I48="Y","要選択","-")</f>
        <v>要選択</v>
      </c>
      <c r="O46" s="7" t="str">
        <f>"REQ"&amp;TEXT([2]RequestList!$A47,"0000")</f>
        <v>REQ21581</v>
      </c>
      <c r="P46" s="7" t="str">
        <f>[2]RequestList!$J47</f>
        <v>メール送信エラー</v>
      </c>
      <c r="Q46" s="65">
        <f>SUMIF(日報!$R:$R,TEXT(YEAR($Q$2),"0000")&amp;TEXT(MONTH($Q$2),"00")&amp;$O46,日報!$L:$L)</f>
        <v>0</v>
      </c>
      <c r="R46" s="65">
        <f ca="1">SUMIF(日報!$J:$J,$O46,日報!$L:$L)</f>
        <v>0</v>
      </c>
    </row>
    <row r="47" spans="10:18" x14ac:dyDescent="0.15">
      <c r="J47" s="7" t="str">
        <f>[3]業務定義!$J49</f>
        <v>ConsumerL1L1L1</v>
      </c>
      <c r="K47" s="7" t="str">
        <f>[3]業務定義!$A49</f>
        <v>Con001</v>
      </c>
      <c r="L47" s="208"/>
      <c r="M47" s="65">
        <f ca="1">SUMIF(日報!$P:$P,TEXT(YEAR($M$2),"0000")&amp;TEXT(MONTH($M$2),"00")&amp;$K47,日報!$L:$L)</f>
        <v>0</v>
      </c>
      <c r="N47" s="318" t="str">
        <f>IF([3]業務定義!$I49="Y","要選択","-")</f>
        <v>-</v>
      </c>
      <c r="O47" s="7" t="str">
        <f>"REQ"&amp;TEXT([2]RequestList!$A48,"0000")</f>
        <v>REQ21582</v>
      </c>
      <c r="P47" s="7" t="str">
        <f>[2]RequestList!$J48</f>
        <v>NewGroupNumECPIdImportエラー</v>
      </c>
      <c r="Q47" s="65">
        <f>SUMIF(日報!$R:$R,TEXT(YEAR($Q$2),"0000")&amp;TEXT(MONTH($Q$2),"00")&amp;$O47,日報!$L:$L)</f>
        <v>0</v>
      </c>
      <c r="R47" s="65">
        <f ca="1">SUMIF(日報!$J:$J,$O47,日報!$L:$L)</f>
        <v>0</v>
      </c>
    </row>
    <row r="48" spans="10:18" x14ac:dyDescent="0.15">
      <c r="J48" s="7" t="str">
        <f>[3]業務定義!$J50</f>
        <v>ConsumerL2L2L2</v>
      </c>
      <c r="K48" s="7" t="str">
        <f>[3]業務定義!$A50</f>
        <v>Con002</v>
      </c>
      <c r="L48" s="208"/>
      <c r="M48" s="65">
        <f ca="1">SUMIF(日報!$P:$P,TEXT(YEAR($M$2),"0000")&amp;TEXT(MONTH($M$2),"00")&amp;$K48,日報!$L:$L)</f>
        <v>0</v>
      </c>
      <c r="N48" s="318" t="str">
        <f>IF([3]業務定義!$I50="Y","要選択","-")</f>
        <v>-</v>
      </c>
      <c r="O48" s="7" t="str">
        <f>"REQ"&amp;TEXT([2]RequestList!$A49,"0000")</f>
        <v>REQ21583</v>
      </c>
      <c r="P48" s="7" t="str">
        <f>[2]RequestList!$J49</f>
        <v>【確認依頼】返品受付票作成時のメール送信について</v>
      </c>
      <c r="Q48" s="65">
        <f>SUMIF(日報!$R:$R,TEXT(YEAR($Q$2),"0000")&amp;TEXT(MONTH($Q$2),"00")&amp;$O48,日報!$L:$L)</f>
        <v>0</v>
      </c>
      <c r="R48" s="65">
        <f ca="1">SUMIF(日報!$J:$J,$O48,日報!$L:$L)</f>
        <v>0</v>
      </c>
    </row>
    <row r="49" spans="10:18" x14ac:dyDescent="0.15">
      <c r="J49" s="7" t="str">
        <f>[3]業務定義!$J51</f>
        <v>AS管理ASComplianceWire受講</v>
      </c>
      <c r="K49" s="7" t="str">
        <f>[3]業務定義!$A51</f>
        <v>AS001</v>
      </c>
      <c r="L49" s="208"/>
      <c r="M49" s="65">
        <f ca="1">SUMIF(日報!$P:$P,TEXT(YEAR($M$2),"0000")&amp;TEXT(MONTH($M$2),"00")&amp;$K49,日報!$L:$L)</f>
        <v>0</v>
      </c>
      <c r="N49" s="318" t="str">
        <f>IF([3]業務定義!$I51="Y","要選択","-")</f>
        <v>-</v>
      </c>
      <c r="O49" s="7" t="str">
        <f>"REQ"&amp;TEXT([2]RequestList!$A50,"0000")</f>
        <v>REQ21584</v>
      </c>
      <c r="P49" s="7" t="str">
        <f>[2]RequestList!$J50</f>
        <v>【確認依頼】追加返品受付票作成時のメール送信について</v>
      </c>
      <c r="Q49" s="65">
        <f>SUMIF(日報!$R:$R,TEXT(YEAR($Q$2),"0000")&amp;TEXT(MONTH($Q$2),"00")&amp;$O49,日報!$L:$L)</f>
        <v>0</v>
      </c>
      <c r="R49" s="65">
        <f ca="1">SUMIF(日報!$J:$J,$O49,日報!$L:$L)</f>
        <v>0</v>
      </c>
    </row>
    <row r="50" spans="10:18" x14ac:dyDescent="0.15">
      <c r="J50" s="7" t="str">
        <f>[3]業務定義!$J52</f>
        <v>AS管理MtgITASとのMeeting</v>
      </c>
      <c r="K50" s="7" t="str">
        <f>[3]業務定義!$A52</f>
        <v>AS002</v>
      </c>
      <c r="L50" s="208"/>
      <c r="M50" s="65">
        <f ca="1">SUMIF(日報!$P:$P,TEXT(YEAR($M$2),"0000")&amp;TEXT(MONTH($M$2),"00")&amp;$K50,日報!$L:$L)</f>
        <v>0</v>
      </c>
      <c r="N50" s="318" t="str">
        <f>IF([3]業務定義!$I52="Y","要選択","-")</f>
        <v>-</v>
      </c>
      <c r="O50" s="7" t="str">
        <f>"REQ"&amp;TEXT([2]RequestList!$A51,"0000")</f>
        <v>REQ21585</v>
      </c>
      <c r="P50" s="7" t="str">
        <f>[2]RequestList!$J51</f>
        <v>QA環境　SFDCからのI/Fファイルの取込依頼</v>
      </c>
      <c r="Q50" s="65">
        <f>SUMIF(日報!$R:$R,TEXT(YEAR($Q$2),"0000")&amp;TEXT(MONTH($Q$2),"00")&amp;$O50,日報!$L:$L)</f>
        <v>0</v>
      </c>
      <c r="R50" s="65">
        <f ca="1">SUMIF(日報!$J:$J,$O50,日報!$L:$L)</f>
        <v>0</v>
      </c>
    </row>
    <row r="51" spans="10:18" x14ac:dyDescent="0.15">
      <c r="J51" s="7" t="str">
        <f>[3]業務定義!$J53</f>
        <v>AS管理報告・報告書作成報告・報告書作成</v>
      </c>
      <c r="K51" s="7" t="str">
        <f>[3]業務定義!$A53</f>
        <v>AS003</v>
      </c>
      <c r="L51" s="208"/>
      <c r="M51" s="65">
        <f ca="1">SUMIF(日報!$P:$P,TEXT(YEAR($M$2),"0000")&amp;TEXT(MONTH($M$2),"00")&amp;$K51,日報!$L:$L)</f>
        <v>0</v>
      </c>
      <c r="N51" s="318" t="str">
        <f>IF([3]業務定義!$I53="Y","要選択","-")</f>
        <v>-</v>
      </c>
      <c r="O51" s="7" t="str">
        <f>"REQ"&amp;TEXT([2]RequestList!$A52,"0000")</f>
        <v>REQ21586</v>
      </c>
      <c r="P51" s="7" t="str">
        <f>[2]RequestList!$J52</f>
        <v>MyACUVUE1.0管理画面アカウント棚卸し作業</v>
      </c>
      <c r="Q51" s="65">
        <f>SUMIF(日報!$R:$R,TEXT(YEAR($Q$2),"0000")&amp;TEXT(MONTH($Q$2),"00")&amp;$O51,日報!$L:$L)</f>
        <v>0</v>
      </c>
      <c r="R51" s="65">
        <f ca="1">SUMIF(日報!$J:$J,$O51,日報!$L:$L)</f>
        <v>0</v>
      </c>
    </row>
    <row r="52" spans="10:18" x14ac:dyDescent="0.15">
      <c r="J52" s="7" t="str">
        <f>[3]業務定義!$J54</f>
        <v>SCSKSCSK作業各種作業メール、勤怠</v>
      </c>
      <c r="K52" s="7" t="str">
        <f>[3]業務定義!$A54</f>
        <v>SCSK001</v>
      </c>
      <c r="L52" s="208"/>
      <c r="M52" s="65">
        <f ca="1">SUMIF(日報!$P:$P,TEXT(YEAR($M$2),"0000")&amp;TEXT(MONTH($M$2),"00")&amp;$K52,日報!$L:$L)</f>
        <v>0</v>
      </c>
      <c r="N52" s="318" t="str">
        <f>IF([3]業務定義!$I54="Y","要選択","-")</f>
        <v>-</v>
      </c>
      <c r="O52" s="7" t="str">
        <f>"REQ"&amp;TEXT([2]RequestList!$A53,"0000")</f>
        <v>REQ21587</v>
      </c>
      <c r="P52" s="7" t="str">
        <f>[2]RequestList!$J53</f>
        <v>問い合わせ画面のポップアップ対応について</v>
      </c>
      <c r="Q52" s="65">
        <f>SUMIF(日報!$R:$R,TEXT(YEAR($Q$2),"0000")&amp;TEXT(MONTH($Q$2),"00")&amp;$O52,日報!$L:$L)</f>
        <v>0</v>
      </c>
      <c r="R52" s="65">
        <f ca="1">SUMIF(日報!$J:$J,$O52,日報!$L:$L)</f>
        <v>0</v>
      </c>
    </row>
    <row r="53" spans="10:18" x14ac:dyDescent="0.15">
      <c r="J53" s="7" t="str">
        <f>[3]業務定義!$J55</f>
        <v>SCSKSCSK作業各種作業報告書作成</v>
      </c>
      <c r="K53" s="7" t="str">
        <f>[3]業務定義!$A55</f>
        <v>SCSK002</v>
      </c>
      <c r="L53" s="208"/>
      <c r="M53" s="65">
        <f ca="1">SUMIF(日報!$P:$P,TEXT(YEAR($M$2),"0000")&amp;TEXT(MONTH($M$2),"00")&amp;$K53,日報!$L:$L)</f>
        <v>0</v>
      </c>
      <c r="N53" s="318" t="str">
        <f>IF([3]業務定義!$I55="Y","要選択","-")</f>
        <v>-</v>
      </c>
      <c r="O53" s="7" t="str">
        <f>"REQ"&amp;TEXT([2]RequestList!$A54,"0000")</f>
        <v>REQ21588</v>
      </c>
      <c r="P53" s="7" t="str">
        <f>[2]RequestList!$J54</f>
        <v>【確認依頼】返品受付票のメール送信の処理について</v>
      </c>
      <c r="Q53" s="65">
        <f>SUMIF(日報!$R:$R,TEXT(YEAR($Q$2),"0000")&amp;TEXT(MONTH($Q$2),"00")&amp;$O53,日報!$L:$L)</f>
        <v>0</v>
      </c>
      <c r="R53" s="65">
        <f ca="1">SUMIF(日報!$J:$J,$O53,日報!$L:$L)</f>
        <v>0</v>
      </c>
    </row>
    <row r="54" spans="10:18" x14ac:dyDescent="0.15">
      <c r="J54" s="7" t="str">
        <f>[3]業務定義!$J56</f>
        <v>SCSKSCSK作業各種作業研修・セミナー参加</v>
      </c>
      <c r="K54" s="7" t="str">
        <f>[3]業務定義!$A56</f>
        <v>SCSK003</v>
      </c>
      <c r="L54" s="208"/>
      <c r="M54" s="65">
        <f ca="1">SUMIF(日報!$P:$P,TEXT(YEAR($M$2),"0000")&amp;TEXT(MONTH($M$2),"00")&amp;$K54,日報!$L:$L)</f>
        <v>0</v>
      </c>
      <c r="N54" s="318" t="str">
        <f>IF([3]業務定義!$I56="Y","要選択","-")</f>
        <v>-</v>
      </c>
      <c r="O54" s="7" t="str">
        <f>"REQ"&amp;TEXT([2]RequestList!$A55,"0000")</f>
        <v>REQ21589</v>
      </c>
      <c r="P54" s="7" t="str">
        <f>[2]RequestList!$J55</f>
        <v>価格マスタ取り込みエラー</v>
      </c>
      <c r="Q54" s="65">
        <f>SUMIF(日報!$R:$R,TEXT(YEAR($Q$2),"0000")&amp;TEXT(MONTH($Q$2),"00")&amp;$O54,日報!$L:$L)</f>
        <v>0</v>
      </c>
      <c r="R54" s="65">
        <f ca="1">SUMIF(日報!$J:$J,$O54,日報!$L:$L)</f>
        <v>0</v>
      </c>
    </row>
    <row r="55" spans="10:18" x14ac:dyDescent="0.15">
      <c r="J55" s="7" t="str">
        <f>[3]業務定義!$J57</f>
        <v>SCSKSCSK作業各種作業その他作業</v>
      </c>
      <c r="K55" s="7" t="str">
        <f>[3]業務定義!$A57</f>
        <v>SCSK004</v>
      </c>
      <c r="L55" s="208"/>
      <c r="M55" s="65">
        <f ca="1">SUMIF(日報!$P:$P,TEXT(YEAR($M$2),"0000")&amp;TEXT(MONTH($M$2),"00")&amp;$K55,日報!$L:$L)</f>
        <v>0</v>
      </c>
      <c r="N55" s="318" t="str">
        <f>IF([3]業務定義!$I57="Y","要選択","-")</f>
        <v>-</v>
      </c>
      <c r="O55" s="7" t="str">
        <f>"REQ"&amp;TEXT([2]RequestList!$A56,"0000")</f>
        <v>REQ21590</v>
      </c>
      <c r="P55" s="7" t="str">
        <f>[2]RequestList!$J56</f>
        <v>AOS/JELSテストコード</v>
      </c>
      <c r="Q55" s="65">
        <f>SUMIF(日報!$R:$R,TEXT(YEAR($Q$2),"0000")&amp;TEXT(MONTH($Q$2),"00")&amp;$O55,日報!$L:$L)</f>
        <v>0</v>
      </c>
      <c r="R55" s="65">
        <f ca="1">SUMIF(日報!$J:$J,$O55,日報!$L:$L)</f>
        <v>0</v>
      </c>
    </row>
    <row r="56" spans="10:18" x14ac:dyDescent="0.15">
      <c r="J56" s="7" t="str">
        <f>[3]業務定義!$J58</f>
        <v>SCSKSCSK作業各種作業提案・見積</v>
      </c>
      <c r="K56" s="7" t="str">
        <f>[3]業務定義!$A58</f>
        <v>SCSK005</v>
      </c>
      <c r="L56" s="208"/>
      <c r="M56" s="65">
        <f ca="1">SUMIF(日報!$P:$P,TEXT(YEAR($M$2),"0000")&amp;TEXT(MONTH($M$2),"00")&amp;$K56,日報!$L:$L)</f>
        <v>0</v>
      </c>
      <c r="N56" s="318" t="str">
        <f>IF([3]業務定義!$I58="Y","要選択","-")</f>
        <v>-</v>
      </c>
      <c r="O56" s="7" t="str">
        <f>"REQ"&amp;TEXT([2]RequestList!$A57,"0000")</f>
        <v>REQ21591</v>
      </c>
      <c r="P56" s="7" t="str">
        <f>[2]RequestList!$J57</f>
        <v>Tableauの2020年のDataについて</v>
      </c>
      <c r="Q56" s="65">
        <f>SUMIF(日報!$R:$R,TEXT(YEAR($Q$2),"0000")&amp;TEXT(MONTH($Q$2),"00")&amp;$O56,日報!$L:$L)</f>
        <v>0</v>
      </c>
      <c r="R56" s="65">
        <f ca="1">SUMIF(日報!$J:$J,$O56,日報!$L:$L)</f>
        <v>0</v>
      </c>
    </row>
    <row r="57" spans="10:18" x14ac:dyDescent="0.15">
      <c r="J57" s="7" t="str">
        <f>[3]業務定義!$J59</f>
        <v>SCSKSCSK作業各種作業Consumer様運用サポート</v>
      </c>
      <c r="K57" s="7" t="str">
        <f>[3]業務定義!$A59</f>
        <v>SCSK006</v>
      </c>
      <c r="L57" s="208"/>
      <c r="M57" s="65">
        <f ca="1">SUMIF(日報!$P:$P,TEXT(YEAR($M$2),"0000")&amp;TEXT(MONTH($M$2),"00")&amp;$K57,日報!$L:$L)</f>
        <v>0</v>
      </c>
      <c r="N57" s="318" t="str">
        <f>IF([3]業務定義!$I59="Y","要選択","-")</f>
        <v>-</v>
      </c>
      <c r="O57" s="7" t="str">
        <f>"REQ"&amp;TEXT([2]RequestList!$A58,"0000")</f>
        <v>REQ21592</v>
      </c>
      <c r="P57" s="7" t="str">
        <f>[2]RequestList!$J58</f>
        <v>Panoramaの全Dashboard / Workbookを参照できない</v>
      </c>
      <c r="Q57" s="65">
        <f>SUMIF(日報!$R:$R,TEXT(YEAR($Q$2),"0000")&amp;TEXT(MONTH($Q$2),"00")&amp;$O57,日報!$L:$L)</f>
        <v>0</v>
      </c>
      <c r="R57" s="65">
        <f ca="1">SUMIF(日報!$J:$J,$O57,日報!$L:$L)</f>
        <v>0</v>
      </c>
    </row>
    <row r="58" spans="10:18" x14ac:dyDescent="0.15">
      <c r="J58" s="7" t="str">
        <f>[3]業務定義!$J60</f>
        <v/>
      </c>
      <c r="K58" s="7">
        <f>[3]業務定義!$A60</f>
        <v>0</v>
      </c>
      <c r="L58" s="208"/>
      <c r="M58" s="65">
        <f ca="1">SUMIF(日報!$P:$P,TEXT(YEAR($M$2),"0000")&amp;TEXT(MONTH($M$2),"00")&amp;$K58,日報!$L:$L)</f>
        <v>0</v>
      </c>
      <c r="N58" s="318" t="str">
        <f>IF([3]業務定義!$I60="Y","要選択","-")</f>
        <v>-</v>
      </c>
      <c r="O58" s="7" t="str">
        <f>"REQ"&amp;TEXT([2]RequestList!$A59,"0000")</f>
        <v>REQ21593</v>
      </c>
      <c r="P58" s="7" t="str">
        <f>[2]RequestList!$J59</f>
        <v>Paymetricエラー</v>
      </c>
      <c r="Q58" s="65">
        <f>SUMIF(日報!$R:$R,TEXT(YEAR($Q$2),"0000")&amp;TEXT(MONTH($Q$2),"00")&amp;$O58,日報!$L:$L)</f>
        <v>0</v>
      </c>
      <c r="R58" s="65">
        <f ca="1">SUMIF(日報!$J:$J,$O58,日報!$L:$L)</f>
        <v>0</v>
      </c>
    </row>
    <row r="59" spans="10:18" x14ac:dyDescent="0.15">
      <c r="J59" s="7" t="str">
        <f>[3]業務定義!$J61</f>
        <v/>
      </c>
      <c r="K59" s="7">
        <f>[3]業務定義!$A61</f>
        <v>0</v>
      </c>
      <c r="L59" s="208"/>
      <c r="M59" s="65">
        <f ca="1">SUMIF(日報!$P:$P,TEXT(YEAR($M$2),"0000")&amp;TEXT(MONTH($M$2),"00")&amp;$K59,日報!$L:$L)</f>
        <v>0</v>
      </c>
      <c r="N59" s="318" t="str">
        <f>IF([3]業務定義!$I61="Y","要選択","-")</f>
        <v>-</v>
      </c>
      <c r="O59" s="7" t="str">
        <f>"REQ"&amp;TEXT([2]RequestList!$A60,"0000")</f>
        <v>REQ21594</v>
      </c>
      <c r="P59" s="7" t="str">
        <f>[2]RequestList!$J60</f>
        <v>Sales order連携データの提供</v>
      </c>
      <c r="Q59" s="65">
        <f>SUMIF(日報!$R:$R,TEXT(YEAR($Q$2),"0000")&amp;TEXT(MONTH($Q$2),"00")&amp;$O59,日報!$L:$L)</f>
        <v>0</v>
      </c>
      <c r="R59" s="65">
        <f ca="1">SUMIF(日報!$J:$J,$O59,日報!$L:$L)</f>
        <v>0</v>
      </c>
    </row>
    <row r="60" spans="10:18" x14ac:dyDescent="0.15">
      <c r="J60" s="7" t="str">
        <f>[3]業務定義!$J62</f>
        <v/>
      </c>
      <c r="K60" s="7">
        <f>[3]業務定義!$A62</f>
        <v>0</v>
      </c>
      <c r="L60" s="208"/>
      <c r="M60" s="65">
        <f ca="1">SUMIF(日報!$P:$P,TEXT(YEAR($M$2),"0000")&amp;TEXT(MONTH($M$2),"00")&amp;$K60,日報!$L:$L)</f>
        <v>0</v>
      </c>
      <c r="N60" s="318" t="str">
        <f>IF([3]業務定義!$I62="Y","要選択","-")</f>
        <v>-</v>
      </c>
      <c r="O60" s="7" t="str">
        <f>"REQ"&amp;TEXT([2]RequestList!$A61,"0000")</f>
        <v>REQ21595</v>
      </c>
      <c r="P60" s="7" t="str">
        <f>[2]RequestList!$J61</f>
        <v>ARSアカウントの作成</v>
      </c>
      <c r="Q60" s="65">
        <f>SUMIF(日報!$R:$R,TEXT(YEAR($Q$2),"0000")&amp;TEXT(MONTH($Q$2),"00")&amp;$O60,日報!$L:$L)</f>
        <v>0</v>
      </c>
      <c r="R60" s="65">
        <f ca="1">SUMIF(日報!$J:$J,$O60,日報!$L:$L)</f>
        <v>0</v>
      </c>
    </row>
    <row r="61" spans="10:18" x14ac:dyDescent="0.15">
      <c r="J61" s="7" t="str">
        <f>[3]業務定義!$J63</f>
        <v/>
      </c>
      <c r="K61" s="7">
        <f>[3]業務定義!$A63</f>
        <v>0</v>
      </c>
      <c r="L61" s="208"/>
      <c r="M61" s="65">
        <f ca="1">SUMIF(日報!$P:$P,TEXT(YEAR($M$2),"0000")&amp;TEXT(MONTH($M$2),"00")&amp;$K61,日報!$L:$L)</f>
        <v>0</v>
      </c>
      <c r="N61" s="318" t="str">
        <f>IF([3]業務定義!$I63="Y","要選択","-")</f>
        <v>-</v>
      </c>
      <c r="O61" s="7" t="str">
        <f>"REQ"&amp;TEXT([2]RequestList!$A62,"0000")</f>
        <v>REQ21596</v>
      </c>
      <c r="P61" s="7" t="str">
        <f>[2]RequestList!$J62</f>
        <v>【確認依頼】返品受付票作成時のメール送信について</v>
      </c>
      <c r="Q61" s="65">
        <f>SUMIF(日報!$R:$R,TEXT(YEAR($Q$2),"0000")&amp;TEXT(MONTH($Q$2),"00")&amp;$O61,日報!$L:$L)</f>
        <v>0</v>
      </c>
      <c r="R61" s="65">
        <f ca="1">SUMIF(日報!$J:$J,$O61,日報!$L:$L)</f>
        <v>0</v>
      </c>
    </row>
    <row r="62" spans="10:18" x14ac:dyDescent="0.15">
      <c r="J62" s="7" t="str">
        <f>[3]業務定義!$J64</f>
        <v/>
      </c>
      <c r="K62" s="7">
        <f>[3]業務定義!$A64</f>
        <v>0</v>
      </c>
      <c r="L62" s="208"/>
      <c r="M62" s="65">
        <f ca="1">SUMIF(日報!$P:$P,TEXT(YEAR($M$2),"0000")&amp;TEXT(MONTH($M$2),"00")&amp;$K62,日報!$L:$L)</f>
        <v>0</v>
      </c>
      <c r="N62" s="318" t="str">
        <f>IF([3]業務定義!$I64="Y","要選択","-")</f>
        <v>-</v>
      </c>
      <c r="O62" s="7" t="str">
        <f>"REQ"&amp;TEXT([2]RequestList!$A63,"0000")</f>
        <v>REQ21597</v>
      </c>
      <c r="P62" s="7" t="str">
        <f>[2]RequestList!$J63</f>
        <v>QA環境　SFDCからのI/Fファイルの取込依頼</v>
      </c>
      <c r="Q62" s="65">
        <f>SUMIF(日報!$R:$R,TEXT(YEAR($Q$2),"0000")&amp;TEXT(MONTH($Q$2),"00")&amp;$O62,日報!$L:$L)</f>
        <v>0</v>
      </c>
      <c r="R62" s="65">
        <f ca="1">SUMIF(日報!$J:$J,$O62,日報!$L:$L)</f>
        <v>0</v>
      </c>
    </row>
    <row r="63" spans="10:18" x14ac:dyDescent="0.15">
      <c r="J63" s="7" t="str">
        <f>[3]業務定義!$J65</f>
        <v/>
      </c>
      <c r="K63" s="7">
        <f>[3]業務定義!$A65</f>
        <v>0</v>
      </c>
      <c r="L63" s="208"/>
      <c r="M63" s="65">
        <f ca="1">SUMIF(日報!$P:$P,TEXT(YEAR($M$2),"0000")&amp;TEXT(MONTH($M$2),"00")&amp;$K63,日報!$L:$L)</f>
        <v>0</v>
      </c>
      <c r="N63" s="318" t="str">
        <f>IF([3]業務定義!$I65="Y","要選択","-")</f>
        <v>-</v>
      </c>
      <c r="O63" s="7" t="str">
        <f>"REQ"&amp;TEXT([2]RequestList!$A64,"0000")</f>
        <v>REQ21598</v>
      </c>
      <c r="P63" s="7" t="str">
        <f>[2]RequestList!$J64</f>
        <v>ARS問い合わせ画面変更依頼</v>
      </c>
      <c r="Q63" s="65">
        <f>SUMIF(日報!$R:$R,TEXT(YEAR($Q$2),"0000")&amp;TEXT(MONTH($Q$2),"00")&amp;$O63,日報!$L:$L)</f>
        <v>0</v>
      </c>
      <c r="R63" s="65">
        <f ca="1">SUMIF(日報!$J:$J,$O63,日報!$L:$L)</f>
        <v>0</v>
      </c>
    </row>
    <row r="64" spans="10:18" x14ac:dyDescent="0.15">
      <c r="J64" s="7" t="str">
        <f>[3]業務定義!$J66</f>
        <v/>
      </c>
      <c r="K64" s="7">
        <f>[3]業務定義!$A66</f>
        <v>0</v>
      </c>
      <c r="L64" s="208"/>
      <c r="M64" s="65">
        <f ca="1">SUMIF(日報!$P:$P,TEXT(YEAR($M$2),"0000")&amp;TEXT(MONTH($M$2),"00")&amp;$K64,日報!$L:$L)</f>
        <v>0</v>
      </c>
      <c r="N64" s="318" t="str">
        <f>IF([3]業務定義!$I66="Y","要選択","-")</f>
        <v>-</v>
      </c>
      <c r="O64" s="7" t="str">
        <f>"REQ"&amp;TEXT([2]RequestList!$A65,"0000")</f>
        <v>REQ21599</v>
      </c>
      <c r="P64" s="7" t="str">
        <f>[2]RequestList!$J65</f>
        <v>バッチMBOXとの接続エラー</v>
      </c>
      <c r="Q64" s="65">
        <f>SUMIF(日報!$R:$R,TEXT(YEAR($Q$2),"0000")&amp;TEXT(MONTH($Q$2),"00")&amp;$O64,日報!$L:$L)</f>
        <v>0</v>
      </c>
      <c r="R64" s="65">
        <f ca="1">SUMIF(日報!$J:$J,$O64,日報!$L:$L)</f>
        <v>0</v>
      </c>
    </row>
    <row r="65" spans="10:18" x14ac:dyDescent="0.15">
      <c r="J65" s="7" t="str">
        <f>[3]業務定義!$J67</f>
        <v/>
      </c>
      <c r="K65" s="7">
        <f>[3]業務定義!$A67</f>
        <v>0</v>
      </c>
      <c r="L65" s="208"/>
      <c r="M65" s="65">
        <f ca="1">SUMIF(日報!$P:$P,TEXT(YEAR($M$2),"0000")&amp;TEXT(MONTH($M$2),"00")&amp;$K65,日報!$L:$L)</f>
        <v>0</v>
      </c>
      <c r="N65" s="318" t="str">
        <f>IF([3]業務定義!$I67="Y","要選択","-")</f>
        <v>-</v>
      </c>
      <c r="O65" s="7" t="str">
        <f>"REQ"&amp;TEXT([2]RequestList!$A66,"0000")</f>
        <v>REQ21600</v>
      </c>
      <c r="P65" s="7" t="str">
        <f>[2]RequestList!$J66</f>
        <v xml:space="preserve"> ARS 返品データの調査</v>
      </c>
      <c r="Q65" s="65">
        <f>SUMIF(日報!$R:$R,TEXT(YEAR($Q$2),"0000")&amp;TEXT(MONTH($Q$2),"00")&amp;$O65,日報!$L:$L)</f>
        <v>0</v>
      </c>
      <c r="R65" s="65">
        <f ca="1">SUMIF(日報!$J:$J,$O65,日報!$L:$L)</f>
        <v>0</v>
      </c>
    </row>
    <row r="66" spans="10:18" x14ac:dyDescent="0.15">
      <c r="J66" s="7" t="str">
        <f>[3]業務定義!$J68</f>
        <v/>
      </c>
      <c r="K66" s="7">
        <f>[3]業務定義!$A68</f>
        <v>0</v>
      </c>
      <c r="L66" s="208"/>
      <c r="M66" s="65">
        <f ca="1">SUMIF(日報!$P:$P,TEXT(YEAR($M$2),"0000")&amp;TEXT(MONTH($M$2),"00")&amp;$K66,日報!$L:$L)</f>
        <v>0</v>
      </c>
      <c r="N66" s="318" t="str">
        <f>IF([3]業務定義!$I68="Y","要選択","-")</f>
        <v>-</v>
      </c>
      <c r="O66" s="7" t="str">
        <f>"REQ"&amp;TEXT([2]RequestList!$A67,"0000")</f>
        <v>REQ21601</v>
      </c>
      <c r="P66" s="7" t="str">
        <f>[2]RequestList!$J67</f>
        <v>バッチMBOXとの接続エラー</v>
      </c>
      <c r="Q66" s="65">
        <f>SUMIF(日報!$R:$R,TEXT(YEAR($Q$2),"0000")&amp;TEXT(MONTH($Q$2),"00")&amp;$O66,日報!$L:$L)</f>
        <v>0</v>
      </c>
      <c r="R66" s="65">
        <f ca="1">SUMIF(日報!$J:$J,$O66,日報!$L:$L)</f>
        <v>0</v>
      </c>
    </row>
    <row r="67" spans="10:18" x14ac:dyDescent="0.15">
      <c r="J67" s="7" t="str">
        <f>[3]業務定義!$J69</f>
        <v/>
      </c>
      <c r="K67" s="7">
        <f>[3]業務定義!$A69</f>
        <v>0</v>
      </c>
      <c r="L67" s="208"/>
      <c r="M67" s="65">
        <f ca="1">SUMIF(日報!$P:$P,TEXT(YEAR($M$2),"0000")&amp;TEXT(MONTH($M$2),"00")&amp;$K67,日報!$L:$L)</f>
        <v>0</v>
      </c>
      <c r="N67" s="318" t="str">
        <f>IF([3]業務定義!$I69="Y","要選択","-")</f>
        <v>-</v>
      </c>
      <c r="O67" s="7" t="str">
        <f>"REQ"&amp;TEXT([2]RequestList!$A68,"0000")</f>
        <v>REQ21602</v>
      </c>
      <c r="P67" s="7" t="str">
        <f>[2]RequestList!$J68</f>
        <v>JFLOWで申請を送る方法を教えてほしい</v>
      </c>
      <c r="Q67" s="65">
        <f>SUMIF(日報!$R:$R,TEXT(YEAR($Q$2),"0000")&amp;TEXT(MONTH($Q$2),"00")&amp;$O67,日報!$L:$L)</f>
        <v>0</v>
      </c>
      <c r="R67" s="65">
        <f ca="1">SUMIF(日報!$J:$J,$O67,日報!$L:$L)</f>
        <v>0</v>
      </c>
    </row>
    <row r="68" spans="10:18" x14ac:dyDescent="0.15">
      <c r="J68" s="7" t="str">
        <f>[3]業務定義!$J70</f>
        <v/>
      </c>
      <c r="K68" s="7">
        <f>[3]業務定義!$A70</f>
        <v>0</v>
      </c>
      <c r="L68" s="208"/>
      <c r="M68" s="65">
        <f ca="1">SUMIF(日報!$P:$P,TEXT(YEAR($M$2),"0000")&amp;TEXT(MONTH($M$2),"00")&amp;$K68,日報!$L:$L)</f>
        <v>0</v>
      </c>
      <c r="N68" s="318" t="str">
        <f>IF([3]業務定義!$I70="Y","要選択","-")</f>
        <v>-</v>
      </c>
      <c r="O68" s="7" t="str">
        <f>"REQ"&amp;TEXT([2]RequestList!$A69,"0000")</f>
        <v>REQ21603</v>
      </c>
      <c r="P68" s="7" t="str">
        <f>[2]RequestList!$J69</f>
        <v>VCJQR002の承認プロセス確認について</v>
      </c>
      <c r="Q68" s="65">
        <f>SUMIF(日報!$R:$R,TEXT(YEAR($Q$2),"0000")&amp;TEXT(MONTH($Q$2),"00")&amp;$O68,日報!$L:$L)</f>
        <v>0</v>
      </c>
      <c r="R68" s="65">
        <f ca="1">SUMIF(日報!$J:$J,$O68,日報!$L:$L)</f>
        <v>0</v>
      </c>
    </row>
    <row r="69" spans="10:18" x14ac:dyDescent="0.15">
      <c r="J69" s="7" t="str">
        <f>[3]業務定義!$J71</f>
        <v/>
      </c>
      <c r="K69" s="7">
        <f>[3]業務定義!$A71</f>
        <v>0</v>
      </c>
      <c r="L69" s="208"/>
      <c r="M69" s="65">
        <f ca="1">SUMIF(日報!$P:$P,TEXT(YEAR($M$2),"0000")&amp;TEXT(MONTH($M$2),"00")&amp;$K69,日報!$L:$L)</f>
        <v>0</v>
      </c>
      <c r="N69" s="318" t="str">
        <f>IF([3]業務定義!$I71="Y","要選択","-")</f>
        <v>-</v>
      </c>
      <c r="O69" s="7" t="str">
        <f>"REQ"&amp;TEXT([2]RequestList!$A70,"0000")</f>
        <v>REQ21604</v>
      </c>
      <c r="P69" s="7" t="str">
        <f>[2]RequestList!$J70</f>
        <v>2019年得意先別AOS,定期便売上データ集計</v>
      </c>
      <c r="Q69" s="65">
        <f>SUMIF(日報!$R:$R,TEXT(YEAR($Q$2),"0000")&amp;TEXT(MONTH($Q$2),"00")&amp;$O69,日報!$L:$L)</f>
        <v>0</v>
      </c>
      <c r="R69" s="65">
        <f ca="1">SUMIF(日報!$J:$J,$O69,日報!$L:$L)</f>
        <v>0</v>
      </c>
    </row>
    <row r="70" spans="10:18" x14ac:dyDescent="0.15">
      <c r="J70" s="7" t="str">
        <f>[3]業務定義!$J72</f>
        <v/>
      </c>
      <c r="K70" s="7">
        <f>[3]業務定義!$A72</f>
        <v>0</v>
      </c>
      <c r="L70" s="208"/>
      <c r="M70" s="65">
        <f ca="1">SUMIF(日報!$P:$P,TEXT(YEAR($M$2),"0000")&amp;TEXT(MONTH($M$2),"00")&amp;$K70,日報!$L:$L)</f>
        <v>0</v>
      </c>
      <c r="N70" s="318" t="str">
        <f>IF([3]業務定義!$I72="Y","要選択","-")</f>
        <v>-</v>
      </c>
      <c r="O70" s="7" t="str">
        <f>"REQ"&amp;TEXT([2]RequestList!$A71,"0000")</f>
        <v>REQ21605</v>
      </c>
      <c r="P70" s="7" t="str">
        <f>[2]RequestList!$J71</f>
        <v>バーコードフォントの調査</v>
      </c>
      <c r="Q70" s="65">
        <f>SUMIF(日報!$R:$R,TEXT(YEAR($Q$2),"0000")&amp;TEXT(MONTH($Q$2),"00")&amp;$O70,日報!$L:$L)</f>
        <v>0</v>
      </c>
      <c r="R70" s="65">
        <f ca="1">SUMIF(日報!$J:$J,$O70,日報!$L:$L)</f>
        <v>0</v>
      </c>
    </row>
    <row r="71" spans="10:18" x14ac:dyDescent="0.15">
      <c r="J71" s="7" t="str">
        <f>[3]業務定義!$J73</f>
        <v/>
      </c>
      <c r="K71" s="7">
        <f>[3]業務定義!$A73</f>
        <v>0</v>
      </c>
      <c r="L71" s="208"/>
      <c r="M71" s="65">
        <f ca="1">SUMIF(日報!$P:$P,TEXT(YEAR($M$2),"0000")&amp;TEXT(MONTH($M$2),"00")&amp;$K71,日報!$L:$L)</f>
        <v>0</v>
      </c>
      <c r="N71" s="318" t="str">
        <f>IF([3]業務定義!$I73="Y","要選択","-")</f>
        <v>-</v>
      </c>
      <c r="O71" s="7" t="str">
        <f>"REQ"&amp;TEXT([2]RequestList!$A72,"0000")</f>
        <v>REQ21606</v>
      </c>
      <c r="P71" s="7" t="str">
        <f>[2]RequestList!$J72</f>
        <v>Eagleタスク状況の確認</v>
      </c>
      <c r="Q71" s="65">
        <f>SUMIF(日報!$R:$R,TEXT(YEAR($Q$2),"0000")&amp;TEXT(MONTH($Q$2),"00")&amp;$O71,日報!$L:$L)</f>
        <v>0</v>
      </c>
      <c r="R71" s="65">
        <f ca="1">SUMIF(日報!$J:$J,$O71,日報!$L:$L)</f>
        <v>0</v>
      </c>
    </row>
    <row r="72" spans="10:18" x14ac:dyDescent="0.15">
      <c r="J72" s="7" t="str">
        <f>[3]業務定義!$J74</f>
        <v/>
      </c>
      <c r="K72" s="7">
        <f>[3]業務定義!$A74</f>
        <v>0</v>
      </c>
      <c r="L72" s="208"/>
      <c r="M72" s="65">
        <f ca="1">SUMIF(日報!$P:$P,TEXT(YEAR($M$2),"0000")&amp;TEXT(MONTH($M$2),"00")&amp;$K72,日報!$L:$L)</f>
        <v>0</v>
      </c>
      <c r="N72" s="318" t="str">
        <f>IF([3]業務定義!$I74="Y","要選択","-")</f>
        <v>-</v>
      </c>
      <c r="O72" s="7" t="str">
        <f>"REQ"&amp;TEXT([2]RequestList!$A73,"0000")</f>
        <v>REQ21607</v>
      </c>
      <c r="P72" s="7" t="str">
        <f>[2]RequestList!$J73</f>
        <v>JJVPro Userの抽出</v>
      </c>
      <c r="Q72" s="65">
        <f>SUMIF(日報!$R:$R,TEXT(YEAR($Q$2),"0000")&amp;TEXT(MONTH($Q$2),"00")&amp;$O72,日報!$L:$L)</f>
        <v>0</v>
      </c>
      <c r="R72" s="65">
        <f ca="1">SUMIF(日報!$J:$J,$O72,日報!$L:$L)</f>
        <v>0</v>
      </c>
    </row>
    <row r="73" spans="10:18" x14ac:dyDescent="0.15">
      <c r="J73" s="7" t="str">
        <f>[3]業務定義!$J75</f>
        <v/>
      </c>
      <c r="K73" s="7">
        <f>[3]業務定義!$A75</f>
        <v>0</v>
      </c>
      <c r="L73" s="208"/>
      <c r="M73" s="65">
        <f ca="1">SUMIF(日報!$P:$P,TEXT(YEAR($M$2),"0000")&amp;TEXT(MONTH($M$2),"00")&amp;$K73,日報!$L:$L)</f>
        <v>0</v>
      </c>
      <c r="N73" s="318" t="str">
        <f>IF([3]業務定義!$I75="Y","要選択","-")</f>
        <v>-</v>
      </c>
      <c r="O73" s="7" t="str">
        <f>"REQ"&amp;TEXT([2]RequestList!$A74,"0000")</f>
        <v>REQ21608</v>
      </c>
      <c r="P73" s="7" t="str">
        <f>[2]RequestList!$J74</f>
        <v>POS区分についての問い合わせ</v>
      </c>
      <c r="Q73" s="65">
        <f>SUMIF(日報!$R:$R,TEXT(YEAR($Q$2),"0000")&amp;TEXT(MONTH($Q$2),"00")&amp;$O73,日報!$L:$L)</f>
        <v>0</v>
      </c>
      <c r="R73" s="65">
        <f ca="1">SUMIF(日報!$J:$J,$O73,日報!$L:$L)</f>
        <v>0</v>
      </c>
    </row>
    <row r="74" spans="10:18" x14ac:dyDescent="0.15">
      <c r="J74" s="7" t="str">
        <f>[3]業務定義!$J76</f>
        <v/>
      </c>
      <c r="K74" s="7">
        <f>[3]業務定義!$A76</f>
        <v>0</v>
      </c>
      <c r="L74" s="208"/>
      <c r="M74" s="65">
        <f ca="1">SUMIF(日報!$P:$P,TEXT(YEAR($M$2),"0000")&amp;TEXT(MONTH($M$2),"00")&amp;$K74,日報!$L:$L)</f>
        <v>0</v>
      </c>
      <c r="N74" s="318" t="str">
        <f>IF([3]業務定義!$I76="Y","要選択","-")</f>
        <v>-</v>
      </c>
      <c r="O74" s="7" t="str">
        <f>"REQ"&amp;TEXT([2]RequestList!$A75,"0000")</f>
        <v>REQ21609</v>
      </c>
      <c r="P74" s="7" t="str">
        <f>[2]RequestList!$J75</f>
        <v>POS区分についての問い合わせ</v>
      </c>
      <c r="Q74" s="65">
        <f>SUMIF(日報!$R:$R,TEXT(YEAR($Q$2),"0000")&amp;TEXT(MONTH($Q$2),"00")&amp;$O74,日報!$L:$L)</f>
        <v>0</v>
      </c>
      <c r="R74" s="65">
        <f ca="1">SUMIF(日報!$J:$J,$O74,日報!$L:$L)</f>
        <v>0</v>
      </c>
    </row>
    <row r="75" spans="10:18" x14ac:dyDescent="0.15">
      <c r="J75" s="7" t="str">
        <f>[3]業務定義!$J77</f>
        <v/>
      </c>
      <c r="K75" s="7">
        <f>[3]業務定義!$A77</f>
        <v>0</v>
      </c>
      <c r="L75" s="208"/>
      <c r="M75" s="65">
        <f ca="1">SUMIF(日報!$P:$P,TEXT(YEAR($M$2),"0000")&amp;TEXT(MONTH($M$2),"00")&amp;$K75,日報!$L:$L)</f>
        <v>0</v>
      </c>
      <c r="N75" s="318" t="str">
        <f>IF([3]業務定義!$I77="Y","要選択","-")</f>
        <v>-</v>
      </c>
      <c r="O75" s="7" t="str">
        <f>"REQ"&amp;TEXT([2]RequestList!$A76,"0000")</f>
        <v>REQ21610</v>
      </c>
      <c r="P75" s="7" t="str">
        <f>[2]RequestList!$J76</f>
        <v>TritonAフラグの新設</v>
      </c>
      <c r="Q75" s="65">
        <f>SUMIF(日報!$R:$R,TEXT(YEAR($Q$2),"0000")&amp;TEXT(MONTH($Q$2),"00")&amp;$O75,日報!$L:$L)</f>
        <v>0</v>
      </c>
      <c r="R75" s="65">
        <f ca="1">SUMIF(日報!$J:$J,$O75,日報!$L:$L)</f>
        <v>0</v>
      </c>
    </row>
    <row r="76" spans="10:18" x14ac:dyDescent="0.15">
      <c r="J76" s="7" t="str">
        <f>[3]業務定義!$J78</f>
        <v/>
      </c>
      <c r="K76" s="7">
        <f>[3]業務定義!$A78</f>
        <v>0</v>
      </c>
      <c r="L76" s="208"/>
      <c r="M76" s="65">
        <f ca="1">SUMIF(日報!$P:$P,TEXT(YEAR($M$2),"0000")&amp;TEXT(MONTH($M$2),"00")&amp;$K76,日報!$L:$L)</f>
        <v>0</v>
      </c>
      <c r="N76" s="318" t="str">
        <f>IF([3]業務定義!$I78="Y","要選択","-")</f>
        <v>-</v>
      </c>
      <c r="O76" s="7" t="str">
        <f>"REQ"&amp;TEXT([2]RequestList!$A77,"0000")</f>
        <v>REQ21611</v>
      </c>
      <c r="P76" s="7" t="str">
        <f>[2]RequestList!$J77</f>
        <v>高野さんの権限変更</v>
      </c>
      <c r="Q76" s="65">
        <f>SUMIF(日報!$R:$R,TEXT(YEAR($Q$2),"0000")&amp;TEXT(MONTH($Q$2),"00")&amp;$O76,日報!$L:$L)</f>
        <v>0</v>
      </c>
      <c r="R76" s="65">
        <f ca="1">SUMIF(日報!$J:$J,$O76,日報!$L:$L)</f>
        <v>0</v>
      </c>
    </row>
    <row r="77" spans="10:18" x14ac:dyDescent="0.15">
      <c r="J77" s="7" t="str">
        <f>[3]業務定義!$J79</f>
        <v/>
      </c>
      <c r="K77" s="7">
        <f>[3]業務定義!$A79</f>
        <v>0</v>
      </c>
      <c r="L77" s="208"/>
      <c r="M77" s="65">
        <f ca="1">SUMIF(日報!$P:$P,TEXT(YEAR($M$2),"0000")&amp;TEXT(MONTH($M$2),"00")&amp;$K77,日報!$L:$L)</f>
        <v>0</v>
      </c>
      <c r="N77" s="318" t="str">
        <f>IF([3]業務定義!$I79="Y","要選択","-")</f>
        <v>-</v>
      </c>
      <c r="O77" s="7" t="str">
        <f>"REQ"&amp;TEXT([2]RequestList!$A78,"0000")</f>
        <v>REQ21612</v>
      </c>
      <c r="P77" s="7" t="str">
        <f>[2]RequestList!$J78</f>
        <v>安西さんのStagingアドレス変更</v>
      </c>
      <c r="Q77" s="65">
        <f>SUMIF(日報!$R:$R,TEXT(YEAR($Q$2),"0000")&amp;TEXT(MONTH($Q$2),"00")&amp;$O77,日報!$L:$L)</f>
        <v>0</v>
      </c>
      <c r="R77" s="65">
        <f ca="1">SUMIF(日報!$J:$J,$O77,日報!$L:$L)</f>
        <v>0</v>
      </c>
    </row>
    <row r="78" spans="10:18" x14ac:dyDescent="0.15">
      <c r="J78" s="7" t="str">
        <f>[3]業務定義!$J80</f>
        <v/>
      </c>
      <c r="K78" s="7">
        <f>[3]業務定義!$A80</f>
        <v>0</v>
      </c>
      <c r="L78" s="208"/>
      <c r="M78" s="65">
        <f ca="1">SUMIF(日報!$P:$P,TEXT(YEAR($M$2),"0000")&amp;TEXT(MONTH($M$2),"00")&amp;$K78,日報!$L:$L)</f>
        <v>0</v>
      </c>
      <c r="N78" s="50"/>
      <c r="O78" s="7" t="str">
        <f>"REQ"&amp;TEXT([2]RequestList!$A79,"0000")</f>
        <v>REQ21613</v>
      </c>
      <c r="P78" s="7" t="str">
        <f>[2]RequestList!$J79</f>
        <v>SFDCレポート作成方法</v>
      </c>
      <c r="Q78" s="65">
        <f>SUMIF(日報!$R:$R,TEXT(YEAR($Q$2),"0000")&amp;TEXT(MONTH($Q$2),"00")&amp;$O78,日報!$L:$L)</f>
        <v>0</v>
      </c>
      <c r="R78" s="65">
        <f ca="1">SUMIF(日報!$J:$J,$O78,日報!$L:$L)</f>
        <v>0</v>
      </c>
    </row>
    <row r="79" spans="10:18" x14ac:dyDescent="0.15">
      <c r="J79" s="7" t="str">
        <f>[3]業務定義!$J81</f>
        <v/>
      </c>
      <c r="K79" s="7">
        <f>[3]業務定義!$A81</f>
        <v>0</v>
      </c>
      <c r="L79" s="208"/>
      <c r="M79" s="65">
        <f ca="1">SUMIF(日報!$P:$P,TEXT(YEAR($M$2),"0000")&amp;TEXT(MONTH($M$2),"00")&amp;$K79,日報!$L:$L)</f>
        <v>0</v>
      </c>
      <c r="N79" s="50"/>
      <c r="O79" s="7" t="str">
        <f>"REQ"&amp;TEXT([2]RequestList!$A80,"0000")</f>
        <v>REQ21614</v>
      </c>
      <c r="P79" s="7" t="str">
        <f>[2]RequestList!$J80</f>
        <v>CommunityのTraining</v>
      </c>
      <c r="Q79" s="65">
        <f>SUMIF(日報!$R:$R,TEXT(YEAR($Q$2),"0000")&amp;TEXT(MONTH($Q$2),"00")&amp;$O79,日報!$L:$L)</f>
        <v>0</v>
      </c>
      <c r="R79" s="65">
        <f ca="1">SUMIF(日報!$J:$J,$O79,日報!$L:$L)</f>
        <v>0</v>
      </c>
    </row>
    <row r="80" spans="10:18" x14ac:dyDescent="0.15">
      <c r="J80" s="7" t="str">
        <f>[3]業務定義!$J82</f>
        <v/>
      </c>
      <c r="K80" s="7">
        <f>[3]業務定義!$A82</f>
        <v>0</v>
      </c>
      <c r="L80" s="208"/>
      <c r="M80" s="65">
        <f ca="1">SUMIF(日報!$P:$P,TEXT(YEAR($M$2),"0000")&amp;TEXT(MONTH($M$2),"00")&amp;$K80,日報!$L:$L)</f>
        <v>0</v>
      </c>
      <c r="N80" s="50"/>
      <c r="O80" s="7" t="str">
        <f>"REQ"&amp;TEXT([2]RequestList!$A81,"0000")</f>
        <v>REQ21615</v>
      </c>
      <c r="P80" s="7" t="str">
        <f>[2]RequestList!$J81</f>
        <v>ARSのQA機へのアカウント登録の方法</v>
      </c>
      <c r="Q80" s="65">
        <f>SUMIF(日報!$R:$R,TEXT(YEAR($Q$2),"0000")&amp;TEXT(MONTH($Q$2),"00")&amp;$O80,日報!$L:$L)</f>
        <v>0</v>
      </c>
      <c r="R80" s="65">
        <f ca="1">SUMIF(日報!$J:$J,$O80,日報!$L:$L)</f>
        <v>0</v>
      </c>
    </row>
    <row r="81" spans="10:18" x14ac:dyDescent="0.15">
      <c r="J81" s="7" t="str">
        <f>[3]業務定義!$J83</f>
        <v/>
      </c>
      <c r="K81" s="7">
        <f>[3]業務定義!$A83</f>
        <v>0</v>
      </c>
      <c r="L81" s="208"/>
      <c r="M81" s="65">
        <f ca="1">SUMIF(日報!$P:$P,TEXT(YEAR($M$2),"0000")&amp;TEXT(MONTH($M$2),"00")&amp;$K81,日報!$L:$L)</f>
        <v>0</v>
      </c>
      <c r="N81" s="50"/>
      <c r="O81" s="7" t="str">
        <f>"REQ"&amp;TEXT([2]RequestList!$A82,"0000")</f>
        <v>REQ21616</v>
      </c>
      <c r="P81" s="7" t="str">
        <f>[2]RequestList!$J82</f>
        <v>2020年の祝日カレンダー</v>
      </c>
      <c r="Q81" s="65">
        <f>SUMIF(日報!$R:$R,TEXT(YEAR($Q$2),"0000")&amp;TEXT(MONTH($Q$2),"00")&amp;$O81,日報!$L:$L)</f>
        <v>0</v>
      </c>
      <c r="R81" s="65">
        <f ca="1">SUMIF(日報!$J:$J,$O81,日報!$L:$L)</f>
        <v>0</v>
      </c>
    </row>
    <row r="82" spans="10:18" x14ac:dyDescent="0.15">
      <c r="J82" s="7" t="str">
        <f>[3]業務定義!$J84</f>
        <v/>
      </c>
      <c r="K82" s="7">
        <f>[3]業務定義!$A84</f>
        <v>0</v>
      </c>
      <c r="L82" s="208"/>
      <c r="M82" s="65">
        <f ca="1">SUMIF(日報!$P:$P,TEXT(YEAR($M$2),"0000")&amp;TEXT(MONTH($M$2),"00")&amp;$K82,日報!$L:$L)</f>
        <v>0</v>
      </c>
      <c r="N82" s="50"/>
      <c r="O82" s="7" t="str">
        <f>"REQ"&amp;TEXT([2]RequestList!$A83,"0000")</f>
        <v>REQ21617</v>
      </c>
      <c r="P82" s="7" t="str">
        <f>[2]RequestList!$J83</f>
        <v>DBAT0005.datの位置について</v>
      </c>
      <c r="Q82" s="65">
        <f>SUMIF(日報!$R:$R,TEXT(YEAR($Q$2),"0000")&amp;TEXT(MONTH($Q$2),"00")&amp;$O82,日報!$L:$L)</f>
        <v>0</v>
      </c>
      <c r="R82" s="65">
        <f ca="1">SUMIF(日報!$J:$J,$O82,日報!$L:$L)</f>
        <v>0</v>
      </c>
    </row>
    <row r="83" spans="10:18" x14ac:dyDescent="0.15">
      <c r="J83" s="7" t="str">
        <f>[3]業務定義!$J85</f>
        <v/>
      </c>
      <c r="K83" s="7">
        <f>[3]業務定義!$A85</f>
        <v>0</v>
      </c>
      <c r="L83" s="208"/>
      <c r="M83" s="65">
        <f ca="1">SUMIF(日報!$P:$P,TEXT(YEAR($M$2),"0000")&amp;TEXT(MONTH($M$2),"00")&amp;$K83,日報!$L:$L)</f>
        <v>0</v>
      </c>
      <c r="N83" s="50"/>
      <c r="O83" s="7" t="str">
        <f>"REQ"&amp;TEXT([2]RequestList!$A84,"0000")</f>
        <v>REQ21618</v>
      </c>
      <c r="P83" s="7" t="str">
        <f>[2]RequestList!$J84</f>
        <v>Triton-A(1Dayオアシス乱視)のロット番号の分類コードについて</v>
      </c>
      <c r="Q83" s="65">
        <f>SUMIF(日報!$R:$R,TEXT(YEAR($Q$2),"0000")&amp;TEXT(MONTH($Q$2),"00")&amp;$O83,日報!$L:$L)</f>
        <v>0</v>
      </c>
      <c r="R83" s="65">
        <f ca="1">SUMIF(日報!$J:$J,$O83,日報!$L:$L)</f>
        <v>0</v>
      </c>
    </row>
    <row r="84" spans="10:18" x14ac:dyDescent="0.15">
      <c r="J84" s="7" t="str">
        <f>[3]業務定義!$J86</f>
        <v/>
      </c>
      <c r="K84" s="7">
        <f>[3]業務定義!$A86</f>
        <v>0</v>
      </c>
      <c r="L84" s="208"/>
      <c r="M84" s="65">
        <f ca="1">SUMIF(日報!$P:$P,TEXT(YEAR($M$2),"0000")&amp;TEXT(MONTH($M$2),"00")&amp;$K84,日報!$L:$L)</f>
        <v>0</v>
      </c>
      <c r="N84" s="50"/>
      <c r="O84" s="7" t="str">
        <f>"REQ"&amp;TEXT([2]RequestList!$A85,"0000")</f>
        <v>REQ21619</v>
      </c>
      <c r="P84" s="7" t="str">
        <f>[2]RequestList!$J85</f>
        <v>SFD2ARS USER I/Fの取込失敗</v>
      </c>
      <c r="Q84" s="65">
        <f>SUMIF(日報!$R:$R,TEXT(YEAR($Q$2),"0000")&amp;TEXT(MONTH($Q$2),"00")&amp;$O84,日報!$L:$L)</f>
        <v>0</v>
      </c>
      <c r="R84" s="65">
        <f ca="1">SUMIF(日報!$J:$J,$O84,日報!$L:$L)</f>
        <v>0</v>
      </c>
    </row>
    <row r="85" spans="10:18" x14ac:dyDescent="0.15">
      <c r="J85" s="7" t="str">
        <f>[3]業務定義!$J87</f>
        <v/>
      </c>
      <c r="K85" s="7">
        <f>[3]業務定義!$A87</f>
        <v>0</v>
      </c>
      <c r="L85" s="208"/>
      <c r="M85" s="65">
        <f ca="1">SUMIF(日報!$P:$P,TEXT(YEAR($M$2),"0000")&amp;TEXT(MONTH($M$2),"00")&amp;$K85,日報!$L:$L)</f>
        <v>0</v>
      </c>
      <c r="N85" s="50"/>
      <c r="O85" s="7" t="str">
        <f>"REQ"&amp;TEXT([2]RequestList!$A86,"0000")</f>
        <v>REQ21620</v>
      </c>
      <c r="P85" s="7" t="str">
        <f>[2]RequestList!$J86</f>
        <v>カレンダーの共有方法について</v>
      </c>
      <c r="Q85" s="65">
        <f>SUMIF(日報!$R:$R,TEXT(YEAR($Q$2),"0000")&amp;TEXT(MONTH($Q$2),"00")&amp;$O85,日報!$L:$L)</f>
        <v>0</v>
      </c>
      <c r="R85" s="65">
        <f ca="1">SUMIF(日報!$J:$J,$O85,日報!$L:$L)</f>
        <v>0</v>
      </c>
    </row>
    <row r="86" spans="10:18" x14ac:dyDescent="0.15">
      <c r="J86" s="7" t="str">
        <f>[3]業務定義!$J88</f>
        <v/>
      </c>
      <c r="K86" s="7">
        <f>[3]業務定義!$A88</f>
        <v>0</v>
      </c>
      <c r="L86" s="208"/>
      <c r="M86" s="65">
        <f ca="1">SUMIF(日報!$P:$P,TEXT(YEAR($M$2),"0000")&amp;TEXT(MONTH($M$2),"00")&amp;$K86,日報!$L:$L)</f>
        <v>0</v>
      </c>
      <c r="N86" s="50"/>
      <c r="O86" s="7" t="str">
        <f>"REQ"&amp;TEXT([2]RequestList!$A87,"0000")</f>
        <v>REQ21621</v>
      </c>
      <c r="P86" s="7" t="str">
        <f>[2]RequestList!$J87</f>
        <v>DMSからの品目マスタのローカル品目コードについて</v>
      </c>
      <c r="Q86" s="65">
        <f>SUMIF(日報!$R:$R,TEXT(YEAR($Q$2),"0000")&amp;TEXT(MONTH($Q$2),"00")&amp;$O86,日報!$L:$L)</f>
        <v>0</v>
      </c>
      <c r="R86" s="65">
        <f ca="1">SUMIF(日報!$J:$J,$O86,日報!$L:$L)</f>
        <v>0</v>
      </c>
    </row>
    <row r="87" spans="10:18" x14ac:dyDescent="0.15">
      <c r="J87" s="7" t="str">
        <f>[3]業務定義!$J89</f>
        <v/>
      </c>
      <c r="K87" s="7">
        <f>[3]業務定義!$A89</f>
        <v>0</v>
      </c>
      <c r="L87" s="208"/>
      <c r="M87" s="65">
        <f ca="1">SUMIF(日報!$P:$P,TEXT(YEAR($M$2),"0000")&amp;TEXT(MONTH($M$2),"00")&amp;$K87,日報!$L:$L)</f>
        <v>0</v>
      </c>
      <c r="N87" s="50"/>
      <c r="O87" s="7" t="str">
        <f>"REQ"&amp;TEXT([2]RequestList!$A88,"0000")</f>
        <v>REQ21622</v>
      </c>
      <c r="P87" s="7" t="str">
        <f>[2]RequestList!$J88</f>
        <v>監査対応で返品受付票の施設都合理由の詳細を追加する</v>
      </c>
      <c r="Q87" s="65">
        <f>SUMIF(日報!$R:$R,TEXT(YEAR($Q$2),"0000")&amp;TEXT(MONTH($Q$2),"00")&amp;$O87,日報!$L:$L)</f>
        <v>0</v>
      </c>
      <c r="R87" s="65">
        <f ca="1">SUMIF(日報!$J:$J,$O87,日報!$L:$L)</f>
        <v>0</v>
      </c>
    </row>
    <row r="88" spans="10:18" x14ac:dyDescent="0.15">
      <c r="J88" s="7" t="str">
        <f>[3]業務定義!$J90</f>
        <v/>
      </c>
      <c r="K88" s="7">
        <f>[3]業務定義!$A90</f>
        <v>0</v>
      </c>
      <c r="L88" s="208"/>
      <c r="M88" s="65">
        <f ca="1">SUMIF(日報!$P:$P,TEXT(YEAR($M$2),"0000")&amp;TEXT(MONTH($M$2),"00")&amp;$K88,日報!$L:$L)</f>
        <v>0</v>
      </c>
      <c r="N88" s="50"/>
      <c r="O88" s="7" t="str">
        <f>"REQ"&amp;TEXT([2]RequestList!$A89,"0000")</f>
        <v>REQ21623</v>
      </c>
      <c r="P88" s="7" t="str">
        <f>[2]RequestList!$J89</f>
        <v>DMS2ARS LOT I/Fが失敗</v>
      </c>
      <c r="Q88" s="65">
        <f>SUMIF(日報!$R:$R,TEXT(YEAR($Q$2),"0000")&amp;TEXT(MONTH($Q$2),"00")&amp;$O88,日報!$L:$L)</f>
        <v>0</v>
      </c>
      <c r="R88" s="65">
        <f ca="1">SUMIF(日報!$J:$J,$O88,日報!$L:$L)</f>
        <v>0</v>
      </c>
    </row>
    <row r="89" spans="10:18" x14ac:dyDescent="0.15">
      <c r="J89" s="7" t="str">
        <f>[3]業務定義!$J91</f>
        <v/>
      </c>
      <c r="K89" s="7">
        <f>[3]業務定義!$A91</f>
        <v>0</v>
      </c>
      <c r="L89" s="208"/>
      <c r="M89" s="65">
        <f ca="1">SUMIF(日報!$P:$P,TEXT(YEAR($M$2),"0000")&amp;TEXT(MONTH($M$2),"00")&amp;$K89,日報!$L:$L)</f>
        <v>0</v>
      </c>
      <c r="N89" s="50"/>
      <c r="O89" s="7" t="str">
        <f>"REQ"&amp;TEXT([2]RequestList!$A90,"0000")</f>
        <v>REQ21624</v>
      </c>
      <c r="P89" s="7" t="str">
        <f>[2]RequestList!$J90</f>
        <v>MBOXアカウント作成</v>
      </c>
      <c r="Q89" s="65">
        <f>SUMIF(日報!$R:$R,TEXT(YEAR($Q$2),"0000")&amp;TEXT(MONTH($Q$2),"00")&amp;$O89,日報!$L:$L)</f>
        <v>0</v>
      </c>
      <c r="R89" s="65">
        <f ca="1">SUMIF(日報!$J:$J,$O89,日報!$L:$L)</f>
        <v>0</v>
      </c>
    </row>
    <row r="90" spans="10:18" x14ac:dyDescent="0.15">
      <c r="J90" s="7" t="str">
        <f>[3]業務定義!$J92</f>
        <v/>
      </c>
      <c r="K90" s="7">
        <f>[3]業務定義!$A92</f>
        <v>0</v>
      </c>
      <c r="L90" s="208"/>
      <c r="M90" s="65">
        <f ca="1">SUMIF(日報!$P:$P,TEXT(YEAR($M$2),"0000")&amp;TEXT(MONTH($M$2),"00")&amp;$K90,日報!$L:$L)</f>
        <v>0</v>
      </c>
      <c r="N90" s="50"/>
      <c r="O90" s="7" t="str">
        <f>"REQ"&amp;TEXT([2]RequestList!$A91,"0000")</f>
        <v>REQ21625</v>
      </c>
      <c r="P90" s="7" t="str">
        <f>[2]RequestList!$J91</f>
        <v>Chrome v80の調査</v>
      </c>
      <c r="Q90" s="65">
        <f>SUMIF(日報!$R:$R,TEXT(YEAR($Q$2),"0000")&amp;TEXT(MONTH($Q$2),"00")&amp;$O90,日報!$L:$L)</f>
        <v>0</v>
      </c>
      <c r="R90" s="65">
        <f ca="1">SUMIF(日報!$J:$J,$O90,日報!$L:$L)</f>
        <v>0</v>
      </c>
    </row>
    <row r="91" spans="10:18" x14ac:dyDescent="0.15">
      <c r="J91" s="7" t="str">
        <f>[3]業務定義!$J93</f>
        <v/>
      </c>
      <c r="K91" s="7">
        <f>[3]業務定義!$A93</f>
        <v>0</v>
      </c>
      <c r="L91" s="208"/>
      <c r="M91" s="65">
        <f ca="1">SUMIF(日報!$P:$P,TEXT(YEAR($M$2),"0000")&amp;TEXT(MONTH($M$2),"00")&amp;$K91,日報!$L:$L)</f>
        <v>0</v>
      </c>
      <c r="N91" s="50"/>
      <c r="O91" s="7" t="str">
        <f>"REQ"&amp;TEXT([2]RequestList!$A92,"0000")</f>
        <v>REQ21626</v>
      </c>
      <c r="P91" s="7" t="str">
        <f>[2]RequestList!$J92</f>
        <v>Chrome v80の調査</v>
      </c>
      <c r="Q91" s="65">
        <f>SUMIF(日報!$R:$R,TEXT(YEAR($Q$2),"0000")&amp;TEXT(MONTH($Q$2),"00")&amp;$O91,日報!$L:$L)</f>
        <v>0</v>
      </c>
      <c r="R91" s="65">
        <f ca="1">SUMIF(日報!$J:$J,$O91,日報!$L:$L)</f>
        <v>0</v>
      </c>
    </row>
    <row r="92" spans="10:18" x14ac:dyDescent="0.15">
      <c r="J92" s="7" t="str">
        <f>[3]業務定義!$J94</f>
        <v/>
      </c>
      <c r="K92" s="7">
        <f>[3]業務定義!$A94</f>
        <v>0</v>
      </c>
      <c r="L92" s="208"/>
      <c r="M92" s="65">
        <f ca="1">SUMIF(日報!$P:$P,TEXT(YEAR($M$2),"0000")&amp;TEXT(MONTH($M$2),"00")&amp;$K92,日報!$L:$L)</f>
        <v>0</v>
      </c>
      <c r="N92" s="50"/>
      <c r="O92" s="7" t="str">
        <f>"REQ"&amp;TEXT([2]RequestList!$A93,"0000")</f>
        <v>REQ21627</v>
      </c>
      <c r="P92" s="7" t="str">
        <f>[2]RequestList!$J93</f>
        <v>[J-FLOW] VCJIT004_0002196_ITリクエスト申請(IT Request)【ワークフロー新規登録_得意先紐付け変更申請:隈元量香/笹森ひろみ/角純子】</v>
      </c>
      <c r="Q92" s="65">
        <f>SUMIF(日報!$R:$R,TEXT(YEAR($Q$2),"0000")&amp;TEXT(MONTH($Q$2),"00")&amp;$O92,日報!$L:$L)</f>
        <v>0</v>
      </c>
      <c r="R92" s="65">
        <f ca="1">SUMIF(日報!$J:$J,$O92,日報!$L:$L)</f>
        <v>0</v>
      </c>
    </row>
    <row r="93" spans="10:18" x14ac:dyDescent="0.15">
      <c r="J93" s="7" t="str">
        <f>[3]業務定義!$J95</f>
        <v/>
      </c>
      <c r="K93" s="7">
        <f>[3]業務定義!$A95</f>
        <v>0</v>
      </c>
      <c r="L93" s="208"/>
      <c r="M93" s="65">
        <f ca="1">SUMIF(日報!$P:$P,TEXT(YEAR($M$2),"0000")&amp;TEXT(MONTH($M$2),"00")&amp;$K93,日報!$L:$L)</f>
        <v>0</v>
      </c>
      <c r="N93" s="50"/>
      <c r="O93" s="7" t="str">
        <f>"REQ"&amp;TEXT([2]RequestList!$A94,"0000")</f>
        <v>REQ21628</v>
      </c>
      <c r="P93" s="7" t="str">
        <f>[2]RequestList!$J94</f>
        <v>バートナー店舗抽出(月次)</v>
      </c>
      <c r="Q93" s="65">
        <f>SUMIF(日報!$R:$R,TEXT(YEAR($Q$2),"0000")&amp;TEXT(MONTH($Q$2),"00")&amp;$O93,日報!$L:$L)</f>
        <v>0</v>
      </c>
      <c r="R93" s="65">
        <f ca="1">SUMIF(日報!$J:$J,$O93,日報!$L:$L)</f>
        <v>0</v>
      </c>
    </row>
    <row r="94" spans="10:18" x14ac:dyDescent="0.15">
      <c r="J94" s="7" t="str">
        <f>[3]業務定義!$J96</f>
        <v/>
      </c>
      <c r="K94" s="7">
        <f>[3]業務定義!$A96</f>
        <v>0</v>
      </c>
      <c r="L94" s="208"/>
      <c r="M94" s="65">
        <f ca="1">SUMIF(日報!$P:$P,TEXT(YEAR($M$2),"0000")&amp;TEXT(MONTH($M$2),"00")&amp;$K94,日報!$L:$L)</f>
        <v>0</v>
      </c>
      <c r="N94" s="50"/>
      <c r="O94" s="7" t="str">
        <f>"REQ"&amp;TEXT([2]RequestList!$A95,"0000")</f>
        <v>REQ21629</v>
      </c>
      <c r="P94" s="7" t="str">
        <f>[2]RequestList!$J95</f>
        <v>Sold To MBOX接続エラー</v>
      </c>
      <c r="Q94" s="65">
        <f>SUMIF(日報!$R:$R,TEXT(YEAR($Q$2),"0000")&amp;TEXT(MONTH($Q$2),"00")&amp;$O94,日報!$L:$L)</f>
        <v>0</v>
      </c>
      <c r="R94" s="65">
        <f ca="1">SUMIF(日報!$J:$J,$O94,日報!$L:$L)</f>
        <v>0</v>
      </c>
    </row>
    <row r="95" spans="10:18" x14ac:dyDescent="0.15">
      <c r="J95" s="7" t="str">
        <f>[3]業務定義!$J97</f>
        <v/>
      </c>
      <c r="K95" s="7">
        <f>[3]業務定義!$A97</f>
        <v>0</v>
      </c>
      <c r="L95" s="208"/>
      <c r="M95" s="65">
        <f ca="1">SUMIF(日報!$P:$P,TEXT(YEAR($M$2),"0000")&amp;TEXT(MONTH($M$2),"00")&amp;$K95,日報!$L:$L)</f>
        <v>0</v>
      </c>
      <c r="N95" s="50"/>
      <c r="O95" s="7" t="str">
        <f>"REQ"&amp;TEXT([2]RequestList!$A96,"0000")</f>
        <v>REQ21630</v>
      </c>
      <c r="P95" s="7" t="str">
        <f>[2]RequestList!$J96</f>
        <v>ARSのインシデント　12月</v>
      </c>
      <c r="Q95" s="65">
        <f>SUMIF(日報!$R:$R,TEXT(YEAR($Q$2),"0000")&amp;TEXT(MONTH($Q$2),"00")&amp;$O95,日報!$L:$L)</f>
        <v>0</v>
      </c>
      <c r="R95" s="65">
        <f ca="1">SUMIF(日報!$J:$J,$O95,日報!$L:$L)</f>
        <v>0</v>
      </c>
    </row>
    <row r="96" spans="10:18" x14ac:dyDescent="0.15">
      <c r="J96" s="7" t="str">
        <f>[3]業務定義!$J98</f>
        <v/>
      </c>
      <c r="K96" s="7">
        <f>[3]業務定義!$A98</f>
        <v>0</v>
      </c>
      <c r="L96" s="208"/>
      <c r="M96" s="65">
        <f ca="1">SUMIF(日報!$P:$P,TEXT(YEAR($M$2),"0000")&amp;TEXT(MONTH($M$2),"00")&amp;$K96,日報!$L:$L)</f>
        <v>0</v>
      </c>
      <c r="N96" s="50"/>
      <c r="O96" s="7" t="str">
        <f>"REQ"&amp;TEXT([2]RequestList!$A97,"0000")</f>
        <v>REQ21631</v>
      </c>
      <c r="P96" s="7" t="str">
        <f>[2]RequestList!$J97</f>
        <v>韓さんのアカウント削除</v>
      </c>
      <c r="Q96" s="65">
        <f>SUMIF(日報!$R:$R,TEXT(YEAR($Q$2),"0000")&amp;TEXT(MONTH($Q$2),"00")&amp;$O96,日報!$L:$L)</f>
        <v>0</v>
      </c>
      <c r="R96" s="65">
        <f ca="1">SUMIF(日報!$J:$J,$O96,日報!$L:$L)</f>
        <v>0</v>
      </c>
    </row>
    <row r="97" spans="10:18" x14ac:dyDescent="0.15">
      <c r="J97" s="7" t="str">
        <f>[3]業務定義!$J99</f>
        <v/>
      </c>
      <c r="K97" s="7">
        <f>[3]業務定義!$A99</f>
        <v>0</v>
      </c>
      <c r="L97" s="208"/>
      <c r="M97" s="65">
        <f ca="1">SUMIF(日報!$P:$P,TEXT(YEAR($M$2),"0000")&amp;TEXT(MONTH($M$2),"00")&amp;$K97,日報!$L:$L)</f>
        <v>0</v>
      </c>
      <c r="N97" s="50"/>
      <c r="O97" s="7" t="str">
        <f>"REQ"&amp;TEXT([2]RequestList!$A98,"0000")</f>
        <v>REQ21632</v>
      </c>
      <c r="P97" s="7" t="str">
        <f>[2]RequestList!$J98</f>
        <v>Chatterを一斉投稿したい</v>
      </c>
      <c r="Q97" s="65">
        <f>SUMIF(日報!$R:$R,TEXT(YEAR($Q$2),"0000")&amp;TEXT(MONTH($Q$2),"00")&amp;$O97,日報!$L:$L)</f>
        <v>0</v>
      </c>
      <c r="R97" s="65">
        <f ca="1">SUMIF(日報!$J:$J,$O97,日報!$L:$L)</f>
        <v>0</v>
      </c>
    </row>
    <row r="98" spans="10:18" x14ac:dyDescent="0.15">
      <c r="J98" s="7" t="str">
        <f>[3]業務定義!$J100</f>
        <v/>
      </c>
      <c r="K98" s="7">
        <f>[3]業務定義!$A100</f>
        <v>0</v>
      </c>
      <c r="L98" s="208"/>
      <c r="M98" s="65">
        <f ca="1">SUMIF(日報!$P:$P,TEXT(YEAR($M$2),"0000")&amp;TEXT(MONTH($M$2),"00")&amp;$K98,日報!$L:$L)</f>
        <v>0</v>
      </c>
      <c r="N98" s="50"/>
      <c r="O98" s="7" t="str">
        <f>"REQ"&amp;TEXT([2]RequestList!$A99,"0000")</f>
        <v>REQ21633</v>
      </c>
      <c r="P98" s="7" t="str">
        <f>[2]RequestList!$J99</f>
        <v>1月の担当変更について</v>
      </c>
      <c r="Q98" s="65">
        <f>SUMIF(日報!$R:$R,TEXT(YEAR($Q$2),"0000")&amp;TEXT(MONTH($Q$2),"00")&amp;$O98,日報!$L:$L)</f>
        <v>0</v>
      </c>
      <c r="R98" s="65">
        <f ca="1">SUMIF(日報!$J:$J,$O98,日報!$L:$L)</f>
        <v>0</v>
      </c>
    </row>
    <row r="99" spans="10:18" x14ac:dyDescent="0.15">
      <c r="J99" s="7" t="str">
        <f>[3]業務定義!$J101</f>
        <v/>
      </c>
      <c r="K99" s="7">
        <f>[3]業務定義!$A101</f>
        <v>0</v>
      </c>
      <c r="L99" s="208"/>
      <c r="M99" s="65">
        <f ca="1">SUMIF(日報!$P:$P,TEXT(YEAR($M$2),"0000")&amp;TEXT(MONTH($M$2),"00")&amp;$K99,日報!$L:$L)</f>
        <v>0</v>
      </c>
      <c r="N99" s="50"/>
      <c r="O99" s="7" t="str">
        <f>"REQ"&amp;TEXT([2]RequestList!$A100,"0000")</f>
        <v>REQ21634</v>
      </c>
      <c r="P99" s="7" t="str">
        <f>[2]RequestList!$J100</f>
        <v>ユーザリストビューの提供</v>
      </c>
      <c r="Q99" s="65">
        <f>SUMIF(日報!$R:$R,TEXT(YEAR($Q$2),"0000")&amp;TEXT(MONTH($Q$2),"00")&amp;$O99,日報!$L:$L)</f>
        <v>0</v>
      </c>
      <c r="R99" s="65">
        <f ca="1">SUMIF(日報!$J:$J,$O99,日報!$L:$L)</f>
        <v>0</v>
      </c>
    </row>
    <row r="100" spans="10:18" x14ac:dyDescent="0.15">
      <c r="J100" s="7" t="str">
        <f>[3]業務定義!$J102</f>
        <v/>
      </c>
      <c r="K100" s="7">
        <f>[3]業務定義!$A102</f>
        <v>0</v>
      </c>
      <c r="L100" s="208"/>
      <c r="M100" s="65">
        <f ca="1">SUMIF(日報!$P:$P,TEXT(YEAR($M$2),"0000")&amp;TEXT(MONTH($M$2),"00")&amp;$K100,日報!$L:$L)</f>
        <v>0</v>
      </c>
      <c r="N100" s="50"/>
      <c r="O100" s="7" t="str">
        <f>"REQ"&amp;TEXT([2]RequestList!$A101,"0000")</f>
        <v>REQ21635</v>
      </c>
      <c r="P100" s="7" t="str">
        <f>[2]RequestList!$J101</f>
        <v>RGS承認の権限移譲</v>
      </c>
      <c r="Q100" s="65">
        <f>SUMIF(日報!$R:$R,TEXT(YEAR($Q$2),"0000")&amp;TEXT(MONTH($Q$2),"00")&amp;$O100,日報!$L:$L)</f>
        <v>0</v>
      </c>
      <c r="R100" s="65">
        <f ca="1">SUMIF(日報!$J:$J,$O100,日報!$L:$L)</f>
        <v>0</v>
      </c>
    </row>
    <row r="101" spans="10:18" x14ac:dyDescent="0.15">
      <c r="J101" s="7" t="str">
        <f>[3]業務定義!$J103</f>
        <v/>
      </c>
      <c r="K101" s="7">
        <f>[3]業務定義!$A103</f>
        <v>0</v>
      </c>
      <c r="L101" s="208"/>
      <c r="M101" s="65">
        <f ca="1">SUMIF(日報!$P:$P,TEXT(YEAR($M$2),"0000")&amp;TEXT(MONTH($M$2),"00")&amp;$K101,日報!$L:$L)</f>
        <v>0</v>
      </c>
      <c r="N101" s="50"/>
      <c r="O101" s="7" t="str">
        <f>"REQ"&amp;TEXT([2]RequestList!$A102,"0000")</f>
        <v>REQ21636</v>
      </c>
      <c r="P101" s="7" t="str">
        <f>[2]RequestList!$J102</f>
        <v>Sold To MBOX接続エラー</v>
      </c>
      <c r="Q101" s="65">
        <f>SUMIF(日報!$R:$R,TEXT(YEAR($Q$2),"0000")&amp;TEXT(MONTH($Q$2),"00")&amp;$O101,日報!$L:$L)</f>
        <v>0</v>
      </c>
      <c r="R101" s="65">
        <f ca="1">SUMIF(日報!$J:$J,$O101,日報!$L:$L)</f>
        <v>0</v>
      </c>
    </row>
    <row r="102" spans="10:18" x14ac:dyDescent="0.15">
      <c r="J102" s="7" t="str">
        <f>[3]業務定義!$J104</f>
        <v/>
      </c>
      <c r="K102" s="7">
        <f>[3]業務定義!$A104</f>
        <v>0</v>
      </c>
      <c r="L102" s="208"/>
      <c r="M102" s="65">
        <f ca="1">SUMIF(日報!$P:$P,TEXT(YEAR($M$2),"0000")&amp;TEXT(MONTH($M$2),"00")&amp;$K102,日報!$L:$L)</f>
        <v>0</v>
      </c>
      <c r="O102" s="7" t="str">
        <f>"REQ"&amp;TEXT([2]RequestList!$A103,"0000")</f>
        <v>REQ21637</v>
      </c>
      <c r="P102" s="7" t="str">
        <f>[2]RequestList!$J103</f>
        <v>Sold To ログファイルのスタック</v>
      </c>
      <c r="Q102" s="65">
        <f>SUMIF(日報!$R:$R,TEXT(YEAR($Q$2),"0000")&amp;TEXT(MONTH($Q$2),"00")&amp;$O102,日報!$L:$L)</f>
        <v>0</v>
      </c>
      <c r="R102" s="65">
        <f ca="1">SUMIF(日報!$J:$J,$O102,日報!$L:$L)</f>
        <v>0</v>
      </c>
    </row>
    <row r="103" spans="10:18" x14ac:dyDescent="0.15">
      <c r="J103" s="7" t="str">
        <f>[3]業務定義!$J105</f>
        <v/>
      </c>
      <c r="K103" s="7">
        <f>[3]業務定義!$A105</f>
        <v>0</v>
      </c>
      <c r="L103" s="208"/>
      <c r="M103" s="65">
        <f ca="1">SUMIF(日報!$P:$P,TEXT(YEAR($M$2),"0000")&amp;TEXT(MONTH($M$2),"00")&amp;$K103,日報!$L:$L)</f>
        <v>0</v>
      </c>
      <c r="O103" s="7" t="str">
        <f>"REQ"&amp;TEXT([2]RequestList!$A104,"0000")</f>
        <v>REQ21638</v>
      </c>
      <c r="P103" s="7" t="str">
        <f>[2]RequestList!$J104</f>
        <v>Chatterレポートの問い合わせ</v>
      </c>
      <c r="Q103" s="65">
        <f>SUMIF(日報!$R:$R,TEXT(YEAR($Q$2),"0000")&amp;TEXT(MONTH($Q$2),"00")&amp;$O103,日報!$L:$L)</f>
        <v>0</v>
      </c>
      <c r="R103" s="65">
        <f ca="1">SUMIF(日報!$J:$J,$O103,日報!$L:$L)</f>
        <v>0</v>
      </c>
    </row>
    <row r="104" spans="10:18" x14ac:dyDescent="0.15">
      <c r="J104" s="7" t="str">
        <f>[3]業務定義!$J106</f>
        <v/>
      </c>
      <c r="K104" s="7">
        <f>[3]業務定義!$A106</f>
        <v>0</v>
      </c>
      <c r="L104" s="208"/>
      <c r="M104" s="65">
        <f ca="1">SUMIF(日報!$P:$P,TEXT(YEAR($M$2),"0000")&amp;TEXT(MONTH($M$2),"00")&amp;$K104,日報!$L:$L)</f>
        <v>0</v>
      </c>
      <c r="O104" s="7" t="str">
        <f>"REQ"&amp;TEXT([2]RequestList!$A105,"0000")</f>
        <v>REQ21639</v>
      </c>
      <c r="P104" s="7" t="str">
        <f>[2]RequestList!$J105</f>
        <v>紹介プライオリティの条件</v>
      </c>
      <c r="Q104" s="65">
        <f>SUMIF(日報!$R:$R,TEXT(YEAR($Q$2),"0000")&amp;TEXT(MONTH($Q$2),"00")&amp;$O104,日報!$L:$L)</f>
        <v>0</v>
      </c>
      <c r="R104" s="65">
        <f ca="1">SUMIF(日報!$J:$J,$O104,日報!$L:$L)</f>
        <v>0</v>
      </c>
    </row>
    <row r="105" spans="10:18" x14ac:dyDescent="0.15">
      <c r="J105" s="7" t="str">
        <f>[3]業務定義!$J107</f>
        <v/>
      </c>
      <c r="K105" s="7">
        <f>[3]業務定義!$A107</f>
        <v>0</v>
      </c>
      <c r="L105" s="208"/>
      <c r="M105" s="65">
        <f ca="1">SUMIF(日報!$P:$P,TEXT(YEAR($M$2),"0000")&amp;TEXT(MONTH($M$2),"00")&amp;$K105,日報!$L:$L)</f>
        <v>0</v>
      </c>
      <c r="O105" s="7" t="str">
        <f>"REQ"&amp;TEXT([2]RequestList!$A106,"0000")</f>
        <v>REQ21640</v>
      </c>
      <c r="P105" s="7" t="str">
        <f>[2]RequestList!$J106</f>
        <v>1月の担当変更　ユーザ情報更新</v>
      </c>
      <c r="Q105" s="65">
        <f>SUMIF(日報!$R:$R,TEXT(YEAR($Q$2),"0000")&amp;TEXT(MONTH($Q$2),"00")&amp;$O105,日報!$L:$L)</f>
        <v>0</v>
      </c>
      <c r="R105" s="65">
        <f ca="1">SUMIF(日報!$J:$J,$O105,日報!$L:$L)</f>
        <v>0</v>
      </c>
    </row>
    <row r="106" spans="10:18" x14ac:dyDescent="0.15">
      <c r="J106" s="7" t="str">
        <f>[3]業務定義!$J108</f>
        <v/>
      </c>
      <c r="K106" s="7">
        <f>[3]業務定義!$A108</f>
        <v>0</v>
      </c>
      <c r="L106" s="208"/>
      <c r="M106" s="65">
        <f ca="1">SUMIF(日報!$P:$P,TEXT(YEAR($M$2),"0000")&amp;TEXT(MONTH($M$2),"00")&amp;$K106,日報!$L:$L)</f>
        <v>0</v>
      </c>
      <c r="O106" s="7" t="str">
        <f>"REQ"&amp;TEXT([2]RequestList!$A107,"0000")</f>
        <v>REQ21641</v>
      </c>
      <c r="P106" s="7" t="str">
        <f>[2]RequestList!$J107</f>
        <v>退職されたSIS原田さんのコールログがレポートに反映されない</v>
      </c>
      <c r="Q106" s="65">
        <f>SUMIF(日報!$R:$R,TEXT(YEAR($Q$2),"0000")&amp;TEXT(MONTH($Q$2),"00")&amp;$O106,日報!$L:$L)</f>
        <v>0</v>
      </c>
      <c r="R106" s="65">
        <f ca="1">SUMIF(日報!$J:$J,$O106,日報!$L:$L)</f>
        <v>0</v>
      </c>
    </row>
    <row r="107" spans="10:18" x14ac:dyDescent="0.15">
      <c r="J107" s="7" t="str">
        <f>[3]業務定義!$J109</f>
        <v/>
      </c>
      <c r="K107" s="7">
        <f>[3]業務定義!$A109</f>
        <v>0</v>
      </c>
      <c r="L107" s="208"/>
      <c r="M107" s="65">
        <f ca="1">SUMIF(日報!$P:$P,TEXT(YEAR($M$2),"0000")&amp;TEXT(MONTH($M$2),"00")&amp;$K107,日報!$L:$L)</f>
        <v>0</v>
      </c>
      <c r="O107" s="7" t="str">
        <f>"REQ"&amp;TEXT([2]RequestList!$A108,"0000")</f>
        <v>REQ21642</v>
      </c>
      <c r="P107" s="7" t="str">
        <f>[2]RequestList!$J108</f>
        <v>【Inquiry】Workbook usage dashboardへのアクセス確認</v>
      </c>
      <c r="Q107" s="65">
        <f>SUMIF(日報!$R:$R,TEXT(YEAR($Q$2),"0000")&amp;TEXT(MONTH($Q$2),"00")&amp;$O107,日報!$L:$L)</f>
        <v>0</v>
      </c>
      <c r="R107" s="65">
        <f ca="1">SUMIF(日報!$J:$J,$O107,日報!$L:$L)</f>
        <v>0</v>
      </c>
    </row>
    <row r="108" spans="10:18" x14ac:dyDescent="0.15">
      <c r="J108" s="7" t="str">
        <f>[3]業務定義!$J110</f>
        <v/>
      </c>
      <c r="K108" s="7">
        <f>[3]業務定義!$A110</f>
        <v>0</v>
      </c>
      <c r="L108" s="208"/>
      <c r="M108" s="65">
        <f ca="1">SUMIF(日報!$P:$P,TEXT(YEAR($M$2),"0000")&amp;TEXT(MONTH($M$2),"00")&amp;$K108,日報!$L:$L)</f>
        <v>0</v>
      </c>
      <c r="O108" s="7" t="str">
        <f>"REQ"&amp;TEXT([2]RequestList!$A109,"0000")</f>
        <v>REQ21643</v>
      </c>
      <c r="P108" s="7" t="str">
        <f>[2]RequestList!$J109</f>
        <v>【Inquiry】Tableauの2020年以降の日付が表示されない</v>
      </c>
      <c r="Q108" s="65">
        <f>SUMIF(日報!$R:$R,TEXT(YEAR($Q$2),"0000")&amp;TEXT(MONTH($Q$2),"00")&amp;$O108,日報!$L:$L)</f>
        <v>0</v>
      </c>
      <c r="R108" s="65">
        <f ca="1">SUMIF(日報!$J:$J,$O108,日報!$L:$L)</f>
        <v>0</v>
      </c>
    </row>
    <row r="109" spans="10:18" x14ac:dyDescent="0.15">
      <c r="J109" s="7" t="str">
        <f>[3]業務定義!$J111</f>
        <v/>
      </c>
      <c r="K109" s="7">
        <f>[3]業務定義!$A111</f>
        <v>0</v>
      </c>
      <c r="L109" s="208"/>
      <c r="M109" s="65">
        <f ca="1">SUMIF(日報!$P:$P,TEXT(YEAR($M$2),"0000")&amp;TEXT(MONTH($M$2),"00")&amp;$K109,日報!$L:$L)</f>
        <v>0</v>
      </c>
      <c r="O109" s="7" t="str">
        <f>"REQ"&amp;TEXT([2]RequestList!$A110,"0000")</f>
        <v>REQ21644</v>
      </c>
      <c r="P109" s="7" t="str">
        <f>[2]RequestList!$J110</f>
        <v>DMS品目マスタ追加対応</v>
      </c>
      <c r="Q109" s="65">
        <f>SUMIF(日報!$R:$R,TEXT(YEAR($Q$2),"0000")&amp;TEXT(MONTH($Q$2),"00")&amp;$O109,日報!$L:$L)</f>
        <v>0</v>
      </c>
      <c r="R109" s="65">
        <f ca="1">SUMIF(日報!$J:$J,$O109,日報!$L:$L)</f>
        <v>0</v>
      </c>
    </row>
    <row r="110" spans="10:18" x14ac:dyDescent="0.15">
      <c r="J110" s="7" t="str">
        <f>[3]業務定義!$J112</f>
        <v/>
      </c>
      <c r="K110" s="7">
        <f>[3]業務定義!$A112</f>
        <v>0</v>
      </c>
      <c r="L110" s="208"/>
      <c r="M110" s="65">
        <f ca="1">SUMIF(日報!$P:$P,TEXT(YEAR($M$2),"0000")&amp;TEXT(MONTH($M$2),"00")&amp;$K110,日報!$L:$L)</f>
        <v>0</v>
      </c>
      <c r="O110" s="7" t="str">
        <f>"REQ"&amp;TEXT([2]RequestList!$A111,"0000")</f>
        <v>REQ21645</v>
      </c>
      <c r="P110" s="7" t="str">
        <f>[2]RequestList!$J111</f>
        <v>【Inquiry】以下に関するレポート情報提供
INC000021413069 - Summary of sales between 11/25 - 12/28 are different in SAP and SAP BW</v>
      </c>
      <c r="Q110" s="65">
        <f>SUMIF(日報!$R:$R,TEXT(YEAR($Q$2),"0000")&amp;TEXT(MONTH($Q$2),"00")&amp;$O110,日報!$L:$L)</f>
        <v>0</v>
      </c>
      <c r="R110" s="65">
        <f ca="1">SUMIF(日報!$J:$J,$O110,日報!$L:$L)</f>
        <v>0</v>
      </c>
    </row>
    <row r="111" spans="10:18" x14ac:dyDescent="0.15">
      <c r="J111" s="7" t="str">
        <f>[3]業務定義!$J113</f>
        <v/>
      </c>
      <c r="K111" s="7">
        <f>[3]業務定義!$A113</f>
        <v>0</v>
      </c>
      <c r="L111" s="208"/>
      <c r="M111" s="65">
        <f ca="1">SUMIF(日報!$P:$P,TEXT(YEAR($M$2),"0000")&amp;TEXT(MONTH($M$2),"00")&amp;$K111,日報!$L:$L)</f>
        <v>0</v>
      </c>
      <c r="O111" s="7" t="str">
        <f>"REQ"&amp;TEXT([2]RequestList!$A112,"0000")</f>
        <v>REQ21646</v>
      </c>
      <c r="P111" s="7" t="str">
        <f>[2]RequestList!$J112</f>
        <v>【Inquiry】以下に関するレポート情報提供
INC000021413069 - Summary of sales between 11/25 - 12/28 are different in SAP and SAP BW</v>
      </c>
      <c r="Q111" s="65">
        <f>SUMIF(日報!$R:$R,TEXT(YEAR($Q$2),"0000")&amp;TEXT(MONTH($Q$2),"00")&amp;$O111,日報!$L:$L)</f>
        <v>0</v>
      </c>
      <c r="R111" s="65">
        <f ca="1">SUMIF(日報!$J:$J,$O111,日報!$L:$L)</f>
        <v>0</v>
      </c>
    </row>
    <row r="112" spans="10:18" x14ac:dyDescent="0.15">
      <c r="J112" s="7" t="str">
        <f>[3]業務定義!$J114</f>
        <v/>
      </c>
      <c r="K112" s="7">
        <f>[3]業務定義!$A114</f>
        <v>0</v>
      </c>
      <c r="L112" s="208"/>
      <c r="M112" s="65">
        <f ca="1">SUMIF(日報!$P:$P,TEXT(YEAR($M$2),"0000")&amp;TEXT(MONTH($M$2),"00")&amp;$K112,日報!$L:$L)</f>
        <v>0</v>
      </c>
      <c r="O112" s="7" t="str">
        <f>"REQ"&amp;TEXT([2]RequestList!$A113,"0000")</f>
        <v>REQ21647</v>
      </c>
      <c r="P112" s="7" t="str">
        <f>[2]RequestList!$J113</f>
        <v>【Inquiry】Tableauから店舗単位の売上の抽出依頼</v>
      </c>
      <c r="Q112" s="65">
        <f>SUMIF(日報!$R:$R,TEXT(YEAR($Q$2),"0000")&amp;TEXT(MONTH($Q$2),"00")&amp;$O112,日報!$L:$L)</f>
        <v>0</v>
      </c>
      <c r="R112" s="65">
        <f ca="1">SUMIF(日報!$J:$J,$O112,日報!$L:$L)</f>
        <v>0</v>
      </c>
    </row>
    <row r="113" spans="10:18" x14ac:dyDescent="0.15">
      <c r="J113" s="7" t="str">
        <f>[3]業務定義!$J115</f>
        <v/>
      </c>
      <c r="K113" s="7">
        <f>[3]業務定義!$A115</f>
        <v>0</v>
      </c>
      <c r="L113" s="208"/>
      <c r="M113" s="65">
        <f ca="1">SUMIF(日報!$P:$P,TEXT(YEAR($M$2),"0000")&amp;TEXT(MONTH($M$2),"00")&amp;$K113,日報!$L:$L)</f>
        <v>0</v>
      </c>
      <c r="O113" s="7" t="str">
        <f>"REQ"&amp;TEXT([2]RequestList!$A114,"0000")</f>
        <v>REQ21648</v>
      </c>
      <c r="P113" s="7" t="str">
        <f>[2]RequestList!$J114</f>
        <v>【Inquiry】「VIS-APP-JVC-IT-Users」へのユーザ追加申請依頼</v>
      </c>
      <c r="Q113" s="65">
        <f>SUMIF(日報!$R:$R,TEXT(YEAR($Q$2),"0000")&amp;TEXT(MONTH($Q$2),"00")&amp;$O113,日報!$L:$L)</f>
        <v>0</v>
      </c>
      <c r="R113" s="65">
        <f ca="1">SUMIF(日報!$J:$J,$O113,日報!$L:$L)</f>
        <v>0</v>
      </c>
    </row>
    <row r="114" spans="10:18" x14ac:dyDescent="0.15">
      <c r="J114" s="7" t="str">
        <f>[3]業務定義!$J116</f>
        <v/>
      </c>
      <c r="K114" s="7">
        <f>[3]業務定義!$A116</f>
        <v>0</v>
      </c>
      <c r="L114" s="208"/>
      <c r="M114" s="65">
        <f ca="1">SUMIF(日報!$P:$P,TEXT(YEAR($M$2),"0000")&amp;TEXT(MONTH($M$2),"00")&amp;$K114,日報!$L:$L)</f>
        <v>0</v>
      </c>
      <c r="O114" s="7" t="str">
        <f>"REQ"&amp;TEXT([2]RequestList!$A115,"0000")</f>
        <v>REQ21649</v>
      </c>
      <c r="P114" s="7" t="str">
        <f>[2]RequestList!$J115</f>
        <v>【Inquiry】Tableauからのデータ抽出後のダウンロードデータに関しての調査依頼</v>
      </c>
      <c r="Q114" s="65">
        <f>SUMIF(日報!$R:$R,TEXT(YEAR($Q$2),"0000")&amp;TEXT(MONTH($Q$2),"00")&amp;$O114,日報!$L:$L)</f>
        <v>0</v>
      </c>
      <c r="R114" s="65">
        <f ca="1">SUMIF(日報!$J:$J,$O114,日報!$L:$L)</f>
        <v>0</v>
      </c>
    </row>
    <row r="115" spans="10:18" x14ac:dyDescent="0.15">
      <c r="J115" s="7" t="str">
        <f>[3]業務定義!$J117</f>
        <v/>
      </c>
      <c r="K115" s="7">
        <f>[3]業務定義!$A117</f>
        <v>0</v>
      </c>
      <c r="L115" s="208"/>
      <c r="M115" s="65">
        <f ca="1">SUMIF(日報!$P:$P,TEXT(YEAR($M$2),"0000")&amp;TEXT(MONTH($M$2),"00")&amp;$K115,日報!$L:$L)</f>
        <v>0</v>
      </c>
      <c r="O115" s="7" t="str">
        <f>"REQ"&amp;TEXT([2]RequestList!$A116,"0000")</f>
        <v>REQ21650</v>
      </c>
      <c r="P115" s="7" t="str">
        <f>[2]RequestList!$J116</f>
        <v>【Inquiry】Data Lake Staging（QA）への取込依頼　Customer_DNA、AccountProfile</v>
      </c>
      <c r="Q115" s="65">
        <f>SUMIF(日報!$R:$R,TEXT(YEAR($Q$2),"0000")&amp;TEXT(MONTH($Q$2),"00")&amp;$O115,日報!$L:$L)</f>
        <v>0</v>
      </c>
      <c r="R115" s="65">
        <f ca="1">SUMIF(日報!$J:$J,$O115,日報!$L:$L)</f>
        <v>0</v>
      </c>
    </row>
    <row r="116" spans="10:18" x14ac:dyDescent="0.15">
      <c r="J116" s="7" t="str">
        <f>[3]業務定義!$J118</f>
        <v/>
      </c>
      <c r="K116" s="7">
        <f>[3]業務定義!$A118</f>
        <v>0</v>
      </c>
      <c r="L116" s="208"/>
      <c r="M116" s="65">
        <f ca="1">SUMIF(日報!$P:$P,TEXT(YEAR($M$2),"0000")&amp;TEXT(MONTH($M$2),"00")&amp;$K116,日報!$L:$L)</f>
        <v>0</v>
      </c>
      <c r="O116" s="7" t="str">
        <f>"REQ"&amp;TEXT([2]RequestList!$A117,"0000")</f>
        <v>REQ21651</v>
      </c>
      <c r="P116" s="7" t="str">
        <f>[2]RequestList!$J117</f>
        <v>【Inquiry】VCJ Engine defect - INC000021420718</v>
      </c>
      <c r="Q116" s="65">
        <f>SUMIF(日報!$R:$R,TEXT(YEAR($Q$2),"0000")&amp;TEXT(MONTH($Q$2),"00")&amp;$O116,日報!$L:$L)</f>
        <v>0</v>
      </c>
      <c r="R116" s="65">
        <f ca="1">SUMIF(日報!$J:$J,$O116,日報!$L:$L)</f>
        <v>0</v>
      </c>
    </row>
    <row r="117" spans="10:18" x14ac:dyDescent="0.15">
      <c r="J117" s="7" t="str">
        <f>[3]業務定義!$J119</f>
        <v/>
      </c>
      <c r="K117" s="7">
        <f>[3]業務定義!$A119</f>
        <v>0</v>
      </c>
      <c r="L117" s="208"/>
      <c r="M117" s="65">
        <f ca="1">SUMIF(日報!$P:$P,TEXT(YEAR($M$2),"0000")&amp;TEXT(MONTH($M$2),"00")&amp;$K117,日報!$L:$L)</f>
        <v>0</v>
      </c>
      <c r="O117" s="7" t="str">
        <f>"REQ"&amp;TEXT([2]RequestList!$A118,"0000")</f>
        <v>REQ21652</v>
      </c>
      <c r="P117" s="7" t="str">
        <f>[2]RequestList!$J118</f>
        <v>【Inquiry】JCR- Difference between BW report and BW IF data - INC000020710860</v>
      </c>
      <c r="Q117" s="65">
        <f>SUMIF(日報!$R:$R,TEXT(YEAR($Q$2),"0000")&amp;TEXT(MONTH($Q$2),"00")&amp;$O117,日報!$L:$L)</f>
        <v>0</v>
      </c>
      <c r="R117" s="65">
        <f ca="1">SUMIF(日報!$J:$J,$O117,日報!$L:$L)</f>
        <v>0</v>
      </c>
    </row>
    <row r="118" spans="10:18" x14ac:dyDescent="0.15">
      <c r="J118" s="7" t="str">
        <f>[3]業務定義!$J120</f>
        <v/>
      </c>
      <c r="K118" s="7">
        <f>[3]業務定義!$A120</f>
        <v>0</v>
      </c>
      <c r="L118" s="208"/>
      <c r="M118" s="65">
        <f ca="1">SUMIF(日報!$P:$P,TEXT(YEAR($M$2),"0000")&amp;TEXT(MONTH($M$2),"00")&amp;$K118,日報!$L:$L)</f>
        <v>0</v>
      </c>
      <c r="O118" s="7" t="str">
        <f>"REQ"&amp;TEXT([2]RequestList!$A119,"0000")</f>
        <v>REQ21653</v>
      </c>
      <c r="P118" s="7" t="str">
        <f>[2]RequestList!$J119</f>
        <v>【Inquiry】【ご対応依頼】OAS調光レンズのDX　descriptionとQuantityの数量差異について</v>
      </c>
      <c r="Q118" s="65">
        <f>SUMIF(日報!$R:$R,TEXT(YEAR($Q$2),"0000")&amp;TEXT(MONTH($Q$2),"00")&amp;$O118,日報!$L:$L)</f>
        <v>0</v>
      </c>
      <c r="R118" s="65">
        <f ca="1">SUMIF(日報!$J:$J,$O118,日報!$L:$L)</f>
        <v>0</v>
      </c>
    </row>
    <row r="119" spans="10:18" x14ac:dyDescent="0.15">
      <c r="J119" s="7" t="str">
        <f>[3]業務定義!$J121</f>
        <v/>
      </c>
      <c r="K119" s="7">
        <f>[3]業務定義!$A121</f>
        <v>0</v>
      </c>
      <c r="L119" s="208"/>
      <c r="M119" s="65">
        <f ca="1">SUMIF(日報!$P:$P,TEXT(YEAR($M$2),"0000")&amp;TEXT(MONTH($M$2),"00")&amp;$K119,日報!$L:$L)</f>
        <v>0</v>
      </c>
      <c r="O119" s="7" t="str">
        <f>"REQ"&amp;TEXT([2]RequestList!$A120,"0000")</f>
        <v>REQ21654</v>
      </c>
      <c r="P119" s="7" t="str">
        <f>[2]RequestList!$J120</f>
        <v>【Insident】Panorama　使用不可により、障害アナウンス</v>
      </c>
      <c r="Q119" s="65">
        <f>SUMIF(日報!$R:$R,TEXT(YEAR($Q$2),"0000")&amp;TEXT(MONTH($Q$2),"00")&amp;$O119,日報!$L:$L)</f>
        <v>0</v>
      </c>
      <c r="R119" s="65">
        <f ca="1">SUMIF(日報!$J:$J,$O119,日報!$L:$L)</f>
        <v>0</v>
      </c>
    </row>
    <row r="120" spans="10:18" x14ac:dyDescent="0.15">
      <c r="J120" s="7" t="str">
        <f>[3]業務定義!$J122</f>
        <v/>
      </c>
      <c r="K120" s="7">
        <f>[3]業務定義!$A122</f>
        <v>0</v>
      </c>
      <c r="L120" s="208"/>
      <c r="M120" s="65">
        <f ca="1">SUMIF(日報!$P:$P,TEXT(YEAR($M$2),"0000")&amp;TEXT(MONTH($M$2),"00")&amp;$K120,日報!$L:$L)</f>
        <v>0</v>
      </c>
      <c r="O120" s="7" t="str">
        <f>"REQ"&amp;TEXT([2]RequestList!$A121,"0000")</f>
        <v>REQ21655</v>
      </c>
      <c r="P120" s="7" t="str">
        <f>[2]RequestList!$J121</f>
        <v>【Inquiry】Solace Dashboardに以下のAD Groupのアクセス権の付与依頼</v>
      </c>
      <c r="Q120" s="65">
        <f>SUMIF(日報!$R:$R,TEXT(YEAR($Q$2),"0000")&amp;TEXT(MONTH($Q$2),"00")&amp;$O120,日報!$L:$L)</f>
        <v>0</v>
      </c>
      <c r="R120" s="65">
        <f ca="1">SUMIF(日報!$J:$J,$O120,日報!$L:$L)</f>
        <v>0</v>
      </c>
    </row>
    <row r="121" spans="10:18" x14ac:dyDescent="0.15">
      <c r="J121" s="7" t="str">
        <f>[3]業務定義!$J123</f>
        <v/>
      </c>
      <c r="K121" s="7">
        <f>[3]業務定義!$A123</f>
        <v>0</v>
      </c>
      <c r="L121" s="208"/>
      <c r="M121" s="65">
        <f ca="1">SUMIF(日報!$P:$P,TEXT(YEAR($M$2),"0000")&amp;TEXT(MONTH($M$2),"00")&amp;$K121,日報!$L:$L)</f>
        <v>0</v>
      </c>
      <c r="O121" s="7" t="str">
        <f>"REQ"&amp;TEXT([2]RequestList!$A122,"0000")</f>
        <v>REQ21656</v>
      </c>
      <c r="P121" s="7" t="str">
        <f>[2]RequestList!$J122</f>
        <v>【Inquiry】CDL新テーブルへのアクセス権付依頼</v>
      </c>
      <c r="Q121" s="65">
        <f>SUMIF(日報!$R:$R,TEXT(YEAR($Q$2),"0000")&amp;TEXT(MONTH($Q$2),"00")&amp;$O121,日報!$L:$L)</f>
        <v>0</v>
      </c>
      <c r="R121" s="65">
        <f ca="1">SUMIF(日報!$J:$J,$O121,日報!$L:$L)</f>
        <v>0</v>
      </c>
    </row>
    <row r="122" spans="10:18" x14ac:dyDescent="0.15">
      <c r="J122" s="7" t="str">
        <f>[3]業務定義!$J124</f>
        <v/>
      </c>
      <c r="K122" s="7">
        <f>[3]業務定義!$A124</f>
        <v>0</v>
      </c>
      <c r="L122" s="208"/>
      <c r="M122" s="65">
        <f ca="1">SUMIF(日報!$P:$P,TEXT(YEAR($M$2),"0000")&amp;TEXT(MONTH($M$2),"00")&amp;$K122,日報!$L:$L)</f>
        <v>0</v>
      </c>
      <c r="O122" s="7" t="str">
        <f>"REQ"&amp;TEXT([2]RequestList!$A123,"0000")</f>
        <v>REQ21657</v>
      </c>
      <c r="P122" s="7" t="str">
        <f>[2]RequestList!$J123</f>
        <v>【Inquiry】データ抽出依頼
2019年のAOSと定期便のそれぞれ得意先別の売上情報がほしい</v>
      </c>
      <c r="Q122" s="65">
        <f>SUMIF(日報!$R:$R,TEXT(YEAR($Q$2),"0000")&amp;TEXT(MONTH($Q$2),"00")&amp;$O122,日報!$L:$L)</f>
        <v>0</v>
      </c>
      <c r="R122" s="65">
        <f ca="1">SUMIF(日報!$J:$J,$O122,日報!$L:$L)</f>
        <v>0</v>
      </c>
    </row>
    <row r="123" spans="10:18" x14ac:dyDescent="0.15">
      <c r="J123" s="7" t="str">
        <f>[3]業務定義!$J125</f>
        <v/>
      </c>
      <c r="K123" s="7">
        <f>[3]業務定義!$A125</f>
        <v>0</v>
      </c>
      <c r="L123" s="208"/>
      <c r="M123" s="65">
        <f ca="1">SUMIF(日報!$P:$P,TEXT(YEAR($M$2),"0000")&amp;TEXT(MONTH($M$2),"00")&amp;$K123,日報!$L:$L)</f>
        <v>0</v>
      </c>
      <c r="O123" s="7" t="str">
        <f>"REQ"&amp;TEXT([2]RequestList!$A124,"0000")</f>
        <v>REQ21658</v>
      </c>
      <c r="P123" s="7" t="str">
        <f>[2]RequestList!$J124</f>
        <v>【Inquiry】Demand Generation dashboard で使用しているマニュアルファイル一式の提供依頼</v>
      </c>
      <c r="Q123" s="65">
        <f>SUMIF(日報!$R:$R,TEXT(YEAR($Q$2),"0000")&amp;TEXT(MONTH($Q$2),"00")&amp;$O123,日報!$L:$L)</f>
        <v>0</v>
      </c>
      <c r="R123" s="65">
        <f ca="1">SUMIF(日報!$J:$J,$O123,日報!$L:$L)</f>
        <v>0</v>
      </c>
    </row>
    <row r="124" spans="10:18" x14ac:dyDescent="0.15">
      <c r="J124" s="7" t="str">
        <f>[3]業務定義!$J126</f>
        <v/>
      </c>
      <c r="K124" s="7">
        <f>[3]業務定義!$A126</f>
        <v>0</v>
      </c>
      <c r="L124" s="208"/>
      <c r="M124" s="65">
        <f ca="1">SUMIF(日報!$P:$P,TEXT(YEAR($M$2),"0000")&amp;TEXT(MONTH($M$2),"00")&amp;$K124,日報!$L:$L)</f>
        <v>0</v>
      </c>
      <c r="O124" s="7" t="str">
        <f>"REQ"&amp;TEXT([2]RequestList!$A125,"0000")</f>
        <v>REQ21659</v>
      </c>
      <c r="P124" s="7" t="str">
        <f>[2]RequestList!$J125</f>
        <v>RGS承認の権限移譲</v>
      </c>
      <c r="Q124" s="65">
        <f>SUMIF(日報!$R:$R,TEXT(YEAR($Q$2),"0000")&amp;TEXT(MONTH($Q$2),"00")&amp;$O124,日報!$L:$L)</f>
        <v>0</v>
      </c>
      <c r="R124" s="65">
        <f ca="1">SUMIF(日報!$J:$J,$O124,日報!$L:$L)</f>
        <v>0</v>
      </c>
    </row>
    <row r="125" spans="10:18" x14ac:dyDescent="0.15">
      <c r="J125" s="7" t="str">
        <f>[3]業務定義!$J127</f>
        <v/>
      </c>
      <c r="K125" s="7">
        <f>[3]業務定義!$A127</f>
        <v>0</v>
      </c>
      <c r="L125" s="208"/>
      <c r="M125" s="65">
        <f ca="1">SUMIF(日報!$P:$P,TEXT(YEAR($M$2),"0000")&amp;TEXT(MONTH($M$2),"00")&amp;$K125,日報!$L:$L)</f>
        <v>0</v>
      </c>
      <c r="O125" s="7" t="str">
        <f>"REQ"&amp;TEXT([2]RequestList!$A126,"0000")</f>
        <v>REQ21660</v>
      </c>
      <c r="P125" s="7" t="str">
        <f>[2]RequestList!$J126</f>
        <v>1/31 13時のPOPオーダーについて</v>
      </c>
      <c r="Q125" s="65">
        <f>SUMIF(日報!$R:$R,TEXT(YEAR($Q$2),"0000")&amp;TEXT(MONTH($Q$2),"00")&amp;$O125,日報!$L:$L)</f>
        <v>0</v>
      </c>
      <c r="R125" s="65">
        <f ca="1">SUMIF(日報!$J:$J,$O125,日報!$L:$L)</f>
        <v>0</v>
      </c>
    </row>
    <row r="126" spans="10:18" x14ac:dyDescent="0.15">
      <c r="J126" s="7" t="str">
        <f>[3]業務定義!$J128</f>
        <v/>
      </c>
      <c r="K126" s="7">
        <f>[3]業務定義!$A128</f>
        <v>0</v>
      </c>
      <c r="L126" s="208"/>
      <c r="M126" s="65">
        <f ca="1">SUMIF(日報!$P:$P,TEXT(YEAR($M$2),"0000")&amp;TEXT(MONTH($M$2),"00")&amp;$K126,日報!$L:$L)</f>
        <v>0</v>
      </c>
      <c r="O126" s="7" t="str">
        <f>"REQ"&amp;TEXT([2]RequestList!$A127,"0000")</f>
        <v>REQ21661</v>
      </c>
      <c r="P126" s="7" t="str">
        <f>[2]RequestList!$J127</f>
        <v>DMS2ARS LOT I/Fが失敗</v>
      </c>
      <c r="Q126" s="65">
        <f>SUMIF(日報!$R:$R,TEXT(YEAR($Q$2),"0000")&amp;TEXT(MONTH($Q$2),"00")&amp;$O126,日報!$L:$L)</f>
        <v>0</v>
      </c>
      <c r="R126" s="65">
        <f ca="1">SUMIF(日報!$J:$J,$O126,日報!$L:$L)</f>
        <v>0</v>
      </c>
    </row>
    <row r="127" spans="10:18" x14ac:dyDescent="0.15">
      <c r="J127" s="7" t="str">
        <f>[3]業務定義!$J129</f>
        <v/>
      </c>
      <c r="K127" s="7">
        <f>[3]業務定義!$A129</f>
        <v>0</v>
      </c>
      <c r="L127" s="208"/>
      <c r="M127" s="65">
        <f ca="1">SUMIF(日報!$P:$P,TEXT(YEAR($M$2),"0000")&amp;TEXT(MONTH($M$2),"00")&amp;$K127,日報!$L:$L)</f>
        <v>0</v>
      </c>
      <c r="O127" s="7" t="str">
        <f>"REQ"&amp;TEXT([2]RequestList!$A128,"0000")</f>
        <v>REQ21662</v>
      </c>
      <c r="P127" s="7" t="str">
        <f>[2]RequestList!$J128</f>
        <v>ビジネスルール登録</v>
      </c>
      <c r="Q127" s="65">
        <f>SUMIF(日報!$R:$R,TEXT(YEAR($Q$2),"0000")&amp;TEXT(MONTH($Q$2),"00")&amp;$O127,日報!$L:$L)</f>
        <v>0</v>
      </c>
      <c r="R127" s="65">
        <f ca="1">SUMIF(日報!$J:$J,$O127,日報!$L:$L)</f>
        <v>0</v>
      </c>
    </row>
    <row r="128" spans="10:18" x14ac:dyDescent="0.15">
      <c r="J128" s="7" t="str">
        <f>[3]業務定義!$J130</f>
        <v/>
      </c>
      <c r="K128" s="7">
        <f>[3]業務定義!$A130</f>
        <v>0</v>
      </c>
      <c r="L128" s="208"/>
      <c r="M128" s="65">
        <f ca="1">SUMIF(日報!$P:$P,TEXT(YEAR($M$2),"0000")&amp;TEXT(MONTH($M$2),"00")&amp;$K128,日報!$L:$L)</f>
        <v>0</v>
      </c>
      <c r="O128" s="7" t="str">
        <f>"REQ"&amp;TEXT([2]RequestList!$A129,"0000")</f>
        <v>REQ21663</v>
      </c>
      <c r="P128" s="7" t="str">
        <f>[2]RequestList!$J129</f>
        <v>J-flow権限申請について</v>
      </c>
      <c r="Q128" s="65">
        <f>SUMIF(日報!$R:$R,TEXT(YEAR($Q$2),"0000")&amp;TEXT(MONTH($Q$2),"00")&amp;$O128,日報!$L:$L)</f>
        <v>0</v>
      </c>
      <c r="R128" s="65">
        <f ca="1">SUMIF(日報!$J:$J,$O128,日報!$L:$L)</f>
        <v>0</v>
      </c>
    </row>
    <row r="129" spans="10:18" x14ac:dyDescent="0.15">
      <c r="J129" s="7" t="str">
        <f>[3]業務定義!$J131</f>
        <v/>
      </c>
      <c r="K129" s="7">
        <f>[3]業務定義!$A131</f>
        <v>0</v>
      </c>
      <c r="L129" s="208"/>
      <c r="M129" s="65">
        <f ca="1">SUMIF(日報!$P:$P,TEXT(YEAR($M$2),"0000")&amp;TEXT(MONTH($M$2),"00")&amp;$K129,日報!$L:$L)</f>
        <v>0</v>
      </c>
      <c r="O129" s="7" t="str">
        <f>"REQ"&amp;TEXT([2]RequestList!$A130,"0000")</f>
        <v>REQ21664</v>
      </c>
      <c r="P129" s="7" t="str">
        <f>[2]RequestList!$J130</f>
        <v>海外ユーザ登録及びビジネスルールへの追加</v>
      </c>
      <c r="Q129" s="65">
        <f>SUMIF(日報!$R:$R,TEXT(YEAR($Q$2),"0000")&amp;TEXT(MONTH($Q$2),"00")&amp;$O129,日報!$L:$L)</f>
        <v>0</v>
      </c>
      <c r="R129" s="65">
        <f ca="1">SUMIF(日報!$J:$J,$O129,日報!$L:$L)</f>
        <v>0</v>
      </c>
    </row>
    <row r="130" spans="10:18" x14ac:dyDescent="0.15">
      <c r="J130" s="7" t="str">
        <f>[3]業務定義!$J132</f>
        <v/>
      </c>
      <c r="K130" s="7">
        <f>[3]業務定義!$A132</f>
        <v>0</v>
      </c>
      <c r="L130" s="208"/>
      <c r="M130" s="65">
        <f ca="1">SUMIF(日報!$P:$P,TEXT(YEAR($M$2),"0000")&amp;TEXT(MONTH($M$2),"00")&amp;$K130,日報!$L:$L)</f>
        <v>0</v>
      </c>
      <c r="O130" s="7" t="str">
        <f>"REQ"&amp;TEXT([2]RequestList!$A131,"0000")</f>
        <v>REQ21665</v>
      </c>
      <c r="P130" s="7" t="str">
        <f>[2]RequestList!$J131</f>
        <v>ARS開発スケジュール</v>
      </c>
      <c r="Q130" s="65">
        <f>SUMIF(日報!$R:$R,TEXT(YEAR($Q$2),"0000")&amp;TEXT(MONTH($Q$2),"00")&amp;$O130,日報!$L:$L)</f>
        <v>0</v>
      </c>
      <c r="R130" s="65">
        <f ca="1">SUMIF(日報!$J:$J,$O130,日報!$L:$L)</f>
        <v>0</v>
      </c>
    </row>
    <row r="131" spans="10:18" x14ac:dyDescent="0.15">
      <c r="J131" s="7" t="str">
        <f>[3]業務定義!$J133</f>
        <v/>
      </c>
      <c r="K131" s="7">
        <f>[3]業務定義!$A133</f>
        <v>0</v>
      </c>
      <c r="L131" s="208"/>
      <c r="M131" s="65">
        <f ca="1">SUMIF(日報!$P:$P,TEXT(YEAR($M$2),"0000")&amp;TEXT(MONTH($M$2),"00")&amp;$K131,日報!$L:$L)</f>
        <v>0</v>
      </c>
      <c r="O131" s="7" t="str">
        <f>"REQ"&amp;TEXT([2]RequestList!$A132,"0000")</f>
        <v>REQ21666</v>
      </c>
      <c r="P131" s="7" t="str">
        <f>[2]RequestList!$J132</f>
        <v>ACUVUE定例</v>
      </c>
      <c r="Q131" s="65">
        <f>SUMIF(日報!$R:$R,TEXT(YEAR($Q$2),"0000")&amp;TEXT(MONTH($Q$2),"00")&amp;$O131,日報!$L:$L)</f>
        <v>0</v>
      </c>
      <c r="R131" s="65">
        <f ca="1">SUMIF(日報!$J:$J,$O131,日報!$L:$L)</f>
        <v>0</v>
      </c>
    </row>
    <row r="132" spans="10:18" x14ac:dyDescent="0.15">
      <c r="J132" s="7" t="str">
        <f>[3]業務定義!$J134</f>
        <v/>
      </c>
      <c r="K132" s="7">
        <f>[3]業務定義!$A134</f>
        <v>0</v>
      </c>
      <c r="L132" s="208"/>
      <c r="M132" s="65">
        <f ca="1">SUMIF(日報!$P:$P,TEXT(YEAR($M$2),"0000")&amp;TEXT(MONTH($M$2),"00")&amp;$K132,日報!$L:$L)</f>
        <v>0</v>
      </c>
      <c r="O132" s="7" t="str">
        <f>"REQ"&amp;TEXT([2]RequestList!$A133,"0000")</f>
        <v>REQ21667</v>
      </c>
      <c r="P132" s="7" t="str">
        <f>[2]RequestList!$J133</f>
        <v>Solaceのロットについて</v>
      </c>
      <c r="Q132" s="65">
        <f>SUMIF(日報!$R:$R,TEXT(YEAR($Q$2),"0000")&amp;TEXT(MONTH($Q$2),"00")&amp;$O132,日報!$L:$L)</f>
        <v>0</v>
      </c>
      <c r="R132" s="65">
        <f ca="1">SUMIF(日報!$J:$J,$O132,日報!$L:$L)</f>
        <v>0</v>
      </c>
    </row>
    <row r="133" spans="10:18" x14ac:dyDescent="0.15">
      <c r="J133" s="7" t="str">
        <f>[3]業務定義!$J135</f>
        <v/>
      </c>
      <c r="K133" s="7">
        <f>[3]業務定義!$A135</f>
        <v>0</v>
      </c>
      <c r="L133" s="208"/>
      <c r="M133" s="65">
        <f ca="1">SUMIF(日報!$P:$P,TEXT(YEAR($M$2),"0000")&amp;TEXT(MONTH($M$2),"00")&amp;$K133,日報!$L:$L)</f>
        <v>0</v>
      </c>
      <c r="O133" s="7" t="str">
        <f>"REQ"&amp;TEXT([2]RequestList!$A134,"0000")</f>
        <v>REQ21668</v>
      </c>
      <c r="P133" s="7" t="str">
        <f>[2]RequestList!$J134</f>
        <v>MBOXアカウント登録</v>
      </c>
      <c r="Q133" s="65">
        <f>SUMIF(日報!$R:$R,TEXT(YEAR($Q$2),"0000")&amp;TEXT(MONTH($Q$2),"00")&amp;$O133,日報!$L:$L)</f>
        <v>0</v>
      </c>
      <c r="R133" s="65">
        <f ca="1">SUMIF(日報!$J:$J,$O133,日報!$L:$L)</f>
        <v>0</v>
      </c>
    </row>
    <row r="134" spans="10:18" x14ac:dyDescent="0.15">
      <c r="J134" s="7" t="str">
        <f>[3]業務定義!$J136</f>
        <v/>
      </c>
      <c r="K134" s="7">
        <f>[3]業務定義!$A136</f>
        <v>0</v>
      </c>
      <c r="L134" s="208"/>
      <c r="M134" s="65">
        <f ca="1">SUMIF(日報!$P:$P,TEXT(YEAR($M$2),"0000")&amp;TEXT(MONTH($M$2),"00")&amp;$K134,日報!$L:$L)</f>
        <v>0</v>
      </c>
      <c r="O134" s="7" t="str">
        <f>"REQ"&amp;TEXT([2]RequestList!$A135,"0000")</f>
        <v>REQ21669</v>
      </c>
      <c r="P134" s="7" t="str">
        <f>[2]RequestList!$J135</f>
        <v>AOS誤植</v>
      </c>
      <c r="Q134" s="65">
        <f>SUMIF(日報!$R:$R,TEXT(YEAR($Q$2),"0000")&amp;TEXT(MONTH($Q$2),"00")&amp;$O134,日報!$L:$L)</f>
        <v>0</v>
      </c>
      <c r="R134" s="65">
        <f ca="1">SUMIF(日報!$J:$J,$O134,日報!$L:$L)</f>
        <v>0</v>
      </c>
    </row>
    <row r="135" spans="10:18" x14ac:dyDescent="0.15">
      <c r="J135" s="7" t="str">
        <f>[3]業務定義!$J137</f>
        <v/>
      </c>
      <c r="K135" s="7">
        <f>[3]業務定義!$A137</f>
        <v>0</v>
      </c>
      <c r="L135" s="208"/>
      <c r="M135" s="65">
        <f ca="1">SUMIF(日報!$P:$P,TEXT(YEAR($M$2),"0000")&amp;TEXT(MONTH($M$2),"00")&amp;$K135,日報!$L:$L)</f>
        <v>0</v>
      </c>
      <c r="O135" s="7" t="str">
        <f>"REQ"&amp;TEXT([2]RequestList!$A136,"0000")</f>
        <v>REQ21670</v>
      </c>
      <c r="P135" s="7" t="str">
        <f>[2]RequestList!$J136</f>
        <v>日次CRMアップロードが失敗</v>
      </c>
      <c r="Q135" s="65">
        <f>SUMIF(日報!$R:$R,TEXT(YEAR($Q$2),"0000")&amp;TEXT(MONTH($Q$2),"00")&amp;$O135,日報!$L:$L)</f>
        <v>0</v>
      </c>
      <c r="R135" s="65">
        <f ca="1">SUMIF(日報!$J:$J,$O135,日報!$L:$L)</f>
        <v>0</v>
      </c>
    </row>
    <row r="136" spans="10:18" x14ac:dyDescent="0.15">
      <c r="J136" s="7" t="str">
        <f>[3]業務定義!$J138</f>
        <v/>
      </c>
      <c r="K136" s="7">
        <f>[3]業務定義!$A138</f>
        <v>0</v>
      </c>
      <c r="L136" s="208"/>
      <c r="M136" s="65">
        <f ca="1">SUMIF(日報!$P:$P,TEXT(YEAR($M$2),"0000")&amp;TEXT(MONTH($M$2),"00")&amp;$K136,日報!$L:$L)</f>
        <v>0</v>
      </c>
      <c r="O136" s="7" t="str">
        <f>"REQ"&amp;TEXT([2]RequestList!$A137,"0000")</f>
        <v>REQ21671</v>
      </c>
      <c r="P136" s="7" t="str">
        <f>[2]RequestList!$J137</f>
        <v>DBAT005のTCIへの移管</v>
      </c>
      <c r="Q136" s="65">
        <f>SUMIF(日報!$R:$R,TEXT(YEAR($Q$2),"0000")&amp;TEXT(MONTH($Q$2),"00")&amp;$O136,日報!$L:$L)</f>
        <v>0</v>
      </c>
      <c r="R136" s="65">
        <f ca="1">SUMIF(日報!$J:$J,$O136,日報!$L:$L)</f>
        <v>0</v>
      </c>
    </row>
    <row r="137" spans="10:18" x14ac:dyDescent="0.15">
      <c r="J137" s="7" t="str">
        <f>[3]業務定義!$J139</f>
        <v/>
      </c>
      <c r="K137" s="7">
        <f>[3]業務定義!$A139</f>
        <v>0</v>
      </c>
      <c r="L137" s="208"/>
      <c r="M137" s="65">
        <f ca="1">SUMIF(日報!$P:$P,TEXT(YEAR($M$2),"0000")&amp;TEXT(MONTH($M$2),"00")&amp;$K137,日報!$L:$L)</f>
        <v>0</v>
      </c>
      <c r="O137" s="7" t="str">
        <f>"REQ"&amp;TEXT([2]RequestList!$A138,"0000")</f>
        <v>REQ21672</v>
      </c>
      <c r="P137" s="7" t="str">
        <f>[2]RequestList!$J138</f>
        <v>New incentive report UAT支援</v>
      </c>
      <c r="Q137" s="65">
        <f>SUMIF(日報!$R:$R,TEXT(YEAR($Q$2),"0000")&amp;TEXT(MONTH($Q$2),"00")&amp;$O137,日報!$L:$L)</f>
        <v>0</v>
      </c>
      <c r="R137" s="65">
        <f ca="1">SUMIF(日報!$J:$J,$O137,日報!$L:$L)</f>
        <v>0</v>
      </c>
    </row>
    <row r="138" spans="10:18" x14ac:dyDescent="0.15">
      <c r="J138" s="7" t="str">
        <f>[3]業務定義!$J140</f>
        <v/>
      </c>
      <c r="K138" s="7">
        <f>[3]業務定義!$A140</f>
        <v>0</v>
      </c>
      <c r="L138" s="208"/>
      <c r="M138" s="65">
        <f ca="1">SUMIF(日報!$P:$P,TEXT(YEAR($M$2),"0000")&amp;TEXT(MONTH($M$2),"00")&amp;$K138,日報!$L:$L)</f>
        <v>0</v>
      </c>
      <c r="O138" s="7" t="str">
        <f>"REQ"&amp;TEXT([2]RequestList!$A139,"0000")</f>
        <v>REQ21673</v>
      </c>
      <c r="P138" s="7" t="str">
        <f>[2]RequestList!$J139</f>
        <v>A2Mの購入履歴連携について</v>
      </c>
      <c r="Q138" s="65">
        <f>SUMIF(日報!$R:$R,TEXT(YEAR($Q$2),"0000")&amp;TEXT(MONTH($Q$2),"00")&amp;$O138,日報!$L:$L)</f>
        <v>0</v>
      </c>
      <c r="R138" s="65">
        <f ca="1">SUMIF(日報!$J:$J,$O138,日報!$L:$L)</f>
        <v>0</v>
      </c>
    </row>
    <row r="139" spans="10:18" x14ac:dyDescent="0.15">
      <c r="J139" s="7" t="str">
        <f>[3]業務定義!$J141</f>
        <v/>
      </c>
      <c r="K139" s="7">
        <f>[3]業務定義!$A141</f>
        <v>0</v>
      </c>
      <c r="L139" s="208"/>
      <c r="M139" s="65">
        <f ca="1">SUMIF(日報!$P:$P,TEXT(YEAR($M$2),"0000")&amp;TEXT(MONTH($M$2),"00")&amp;$K139,日報!$L:$L)</f>
        <v>0</v>
      </c>
      <c r="O139" s="7" t="str">
        <f>"REQ"&amp;TEXT([2]RequestList!$A140,"0000")</f>
        <v>REQ21674</v>
      </c>
      <c r="P139" s="7" t="str">
        <f>[2]RequestList!$J140</f>
        <v>テストコード運用開始</v>
      </c>
      <c r="Q139" s="65">
        <f>SUMIF(日報!$R:$R,TEXT(YEAR($Q$2),"0000")&amp;TEXT(MONTH($Q$2),"00")&amp;$O139,日報!$L:$L)</f>
        <v>0</v>
      </c>
      <c r="R139" s="65">
        <f ca="1">SUMIF(日報!$J:$J,$O139,日報!$L:$L)</f>
        <v>0</v>
      </c>
    </row>
    <row r="140" spans="10:18" x14ac:dyDescent="0.15">
      <c r="J140" s="7" t="str">
        <f>[3]業務定義!$J142</f>
        <v/>
      </c>
      <c r="K140" s="7">
        <f>[3]業務定義!$A142</f>
        <v>0</v>
      </c>
      <c r="L140" s="208"/>
      <c r="M140" s="65">
        <f ca="1">SUMIF(日報!$P:$P,TEXT(YEAR($M$2),"0000")&amp;TEXT(MONTH($M$2),"00")&amp;$K140,日報!$L:$L)</f>
        <v>0</v>
      </c>
      <c r="O140" s="7" t="str">
        <f>"REQ"&amp;TEXT([2]RequestList!$A141,"0000")</f>
        <v>REQ21675</v>
      </c>
      <c r="P140" s="7" t="str">
        <f>[2]RequestList!$J141</f>
        <v>SFDCアカウント登録</v>
      </c>
      <c r="Q140" s="65">
        <f>SUMIF(日報!$R:$R,TEXT(YEAR($Q$2),"0000")&amp;TEXT(MONTH($Q$2),"00")&amp;$O140,日報!$L:$L)</f>
        <v>0</v>
      </c>
      <c r="R140" s="65">
        <f ca="1">SUMIF(日報!$J:$J,$O140,日報!$L:$L)</f>
        <v>0</v>
      </c>
    </row>
    <row r="141" spans="10:18" x14ac:dyDescent="0.15">
      <c r="J141" s="7" t="str">
        <f>[3]業務定義!$J143</f>
        <v/>
      </c>
      <c r="K141" s="7">
        <f>[3]業務定義!$A143</f>
        <v>0</v>
      </c>
      <c r="L141" s="208"/>
      <c r="M141" s="65">
        <f ca="1">SUMIF(日報!$P:$P,TEXT(YEAR($M$2),"0000")&amp;TEXT(MONTH($M$2),"00")&amp;$K141,日報!$L:$L)</f>
        <v>0</v>
      </c>
      <c r="O141" s="7" t="str">
        <f>"REQ"&amp;TEXT([2]RequestList!$A142,"0000")</f>
        <v>REQ21676</v>
      </c>
      <c r="P141" s="7" t="str">
        <f>[2]RequestList!$J142</f>
        <v>SFDCアカウント削除</v>
      </c>
      <c r="Q141" s="65">
        <f>SUMIF(日報!$R:$R,TEXT(YEAR($Q$2),"0000")&amp;TEXT(MONTH($Q$2),"00")&amp;$O141,日報!$L:$L)</f>
        <v>0</v>
      </c>
      <c r="R141" s="65">
        <f ca="1">SUMIF(日報!$J:$J,$O141,日報!$L:$L)</f>
        <v>0</v>
      </c>
    </row>
    <row r="142" spans="10:18" x14ac:dyDescent="0.15">
      <c r="J142" s="7" t="str">
        <f>[3]業務定義!$J144</f>
        <v/>
      </c>
      <c r="K142" s="7">
        <f>[3]業務定義!$A144</f>
        <v>0</v>
      </c>
      <c r="L142" s="208"/>
      <c r="M142" s="65">
        <f ca="1">SUMIF(日報!$P:$P,TEXT(YEAR($M$2),"0000")&amp;TEXT(MONTH($M$2),"00")&amp;$K142,日報!$L:$L)</f>
        <v>0</v>
      </c>
      <c r="O142" s="7" t="str">
        <f>"REQ"&amp;TEXT([2]RequestList!$A143,"0000")</f>
        <v>REQ21677</v>
      </c>
      <c r="P142" s="7" t="str">
        <f>[2]RequestList!$J143</f>
        <v>Salesforce mobileの新しいバージョン</v>
      </c>
      <c r="Q142" s="65">
        <f>SUMIF(日報!$R:$R,TEXT(YEAR($Q$2),"0000")&amp;TEXT(MONTH($Q$2),"00")&amp;$O142,日報!$L:$L)</f>
        <v>0</v>
      </c>
      <c r="R142" s="65">
        <f ca="1">SUMIF(日報!$J:$J,$O142,日報!$L:$L)</f>
        <v>0</v>
      </c>
    </row>
    <row r="143" spans="10:18" x14ac:dyDescent="0.15">
      <c r="J143" s="7" t="str">
        <f>[3]業務定義!$J145</f>
        <v/>
      </c>
      <c r="K143" s="7">
        <f>[3]業務定義!$A145</f>
        <v>0</v>
      </c>
      <c r="L143" s="208"/>
      <c r="M143" s="65">
        <f ca="1">SUMIF(日報!$P:$P,TEXT(YEAR($M$2),"0000")&amp;TEXT(MONTH($M$2),"00")&amp;$K143,日報!$L:$L)</f>
        <v>0</v>
      </c>
      <c r="O143" s="7" t="str">
        <f>"REQ"&amp;TEXT([2]RequestList!$A144,"0000")</f>
        <v>REQ21678</v>
      </c>
      <c r="P143" s="7" t="str">
        <f>[2]RequestList!$J144</f>
        <v>VCC得意先　OA調　レポートコンソールでの項目名</v>
      </c>
      <c r="Q143" s="65">
        <f>SUMIF(日報!$R:$R,TEXT(YEAR($Q$2),"0000")&amp;TEXT(MONTH($Q$2),"00")&amp;$O143,日報!$L:$L)</f>
        <v>0</v>
      </c>
      <c r="R143" s="65">
        <f ca="1">SUMIF(日報!$J:$J,$O143,日報!$L:$L)</f>
        <v>0</v>
      </c>
    </row>
    <row r="144" spans="10:18" x14ac:dyDescent="0.15">
      <c r="J144" s="7" t="str">
        <f>[3]業務定義!$J146</f>
        <v/>
      </c>
      <c r="K144" s="7">
        <f>[3]業務定義!$A146</f>
        <v>0</v>
      </c>
      <c r="L144" s="208"/>
      <c r="M144" s="65">
        <f ca="1">SUMIF(日報!$P:$P,TEXT(YEAR($M$2),"0000")&amp;TEXT(MONTH($M$2),"00")&amp;$K144,日報!$L:$L)</f>
        <v>0</v>
      </c>
      <c r="O144" s="7" t="str">
        <f>"REQ"&amp;TEXT([2]RequestList!$A145,"0000")</f>
        <v>REQ21679</v>
      </c>
      <c r="P144" s="7" t="str">
        <f>[2]RequestList!$J145</f>
        <v>30000台の電話番号がININで確認できない</v>
      </c>
      <c r="Q144" s="65">
        <f>SUMIF(日報!$R:$R,TEXT(YEAR($Q$2),"0000")&amp;TEXT(MONTH($Q$2),"00")&amp;$O144,日報!$L:$L)</f>
        <v>0</v>
      </c>
      <c r="R144" s="65">
        <f ca="1">SUMIF(日報!$J:$J,$O144,日報!$L:$L)</f>
        <v>0</v>
      </c>
    </row>
    <row r="145" spans="10:18" x14ac:dyDescent="0.15">
      <c r="J145" s="7" t="str">
        <f>[3]業務定義!$J147</f>
        <v/>
      </c>
      <c r="K145" s="7">
        <f>[3]業務定義!$A147</f>
        <v>0</v>
      </c>
      <c r="L145" s="208"/>
      <c r="M145" s="65">
        <f ca="1">SUMIF(日報!$P:$P,TEXT(YEAR($M$2),"0000")&amp;TEXT(MONTH($M$2),"00")&amp;$K145,日報!$L:$L)</f>
        <v>0</v>
      </c>
      <c r="O145" s="7" t="str">
        <f>"REQ"&amp;TEXT([2]RequestList!$A146,"0000")</f>
        <v>REQ21680</v>
      </c>
      <c r="P145" s="7" t="str">
        <f>[2]RequestList!$J146</f>
        <v>【定期便】初回購入ボーナス付与対象者に抽出されていない人がいる</v>
      </c>
      <c r="Q145" s="65">
        <f>SUMIF(日報!$R:$R,TEXT(YEAR($Q$2),"0000")&amp;TEXT(MONTH($Q$2),"00")&amp;$O145,日報!$L:$L)</f>
        <v>0</v>
      </c>
      <c r="R145" s="65">
        <f ca="1">SUMIF(日報!$J:$J,$O145,日報!$L:$L)</f>
        <v>0</v>
      </c>
    </row>
    <row r="146" spans="10:18" x14ac:dyDescent="0.15">
      <c r="J146" s="7" t="str">
        <f>[3]業務定義!$J148</f>
        <v/>
      </c>
      <c r="K146" s="7">
        <f>[3]業務定義!$A148</f>
        <v>0</v>
      </c>
      <c r="L146" s="208"/>
      <c r="M146" s="65">
        <f ca="1">SUMIF(日報!$P:$P,TEXT(YEAR($M$2),"0000")&amp;TEXT(MONTH($M$2),"00")&amp;$K146,日報!$L:$L)</f>
        <v>0</v>
      </c>
      <c r="O146" s="7" t="str">
        <f>"REQ"&amp;TEXT([2]RequestList!$A147,"0000")</f>
        <v>REQ21681</v>
      </c>
      <c r="P146" s="7" t="str">
        <f>[2]RequestList!$J147</f>
        <v>New incentive report UAT支援</v>
      </c>
      <c r="Q146" s="65">
        <f>SUMIF(日報!$R:$R,TEXT(YEAR($Q$2),"0000")&amp;TEXT(MONTH($Q$2),"00")&amp;$O146,日報!$L:$L)</f>
        <v>0</v>
      </c>
      <c r="R146" s="65">
        <f ca="1">SUMIF(日報!$J:$J,$O146,日報!$L:$L)</f>
        <v>0</v>
      </c>
    </row>
    <row r="147" spans="10:18" x14ac:dyDescent="0.15">
      <c r="J147" s="7" t="str">
        <f>[3]業務定義!$J149</f>
        <v/>
      </c>
      <c r="K147" s="7">
        <f>[3]業務定義!$A149</f>
        <v>0</v>
      </c>
      <c r="L147" s="208"/>
      <c r="M147" s="65">
        <f ca="1">SUMIF(日報!$P:$P,TEXT(YEAR($M$2),"0000")&amp;TEXT(MONTH($M$2),"00")&amp;$K147,日報!$L:$L)</f>
        <v>0</v>
      </c>
      <c r="O147" s="7" t="str">
        <f>"REQ"&amp;TEXT([2]RequestList!$A148,"0000")</f>
        <v>REQ21682</v>
      </c>
      <c r="P147" s="7" t="str">
        <f>[2]RequestList!$J148</f>
        <v>【Other EUS】desktopからlaptopへの機種変更について</v>
      </c>
      <c r="Q147" s="65">
        <f>SUMIF(日報!$R:$R,TEXT(YEAR($Q$2),"0000")&amp;TEXT(MONTH($Q$2),"00")&amp;$O147,日報!$L:$L)</f>
        <v>0</v>
      </c>
      <c r="R147" s="65">
        <f ca="1">SUMIF(日報!$J:$J,$O147,日報!$L:$L)</f>
        <v>0</v>
      </c>
    </row>
    <row r="148" spans="10:18" x14ac:dyDescent="0.15">
      <c r="J148" s="7" t="str">
        <f>[3]業務定義!$J150</f>
        <v/>
      </c>
      <c r="K148" s="7">
        <f>[3]業務定義!$A150</f>
        <v>0</v>
      </c>
      <c r="L148" s="208"/>
      <c r="M148" s="65">
        <f ca="1">SUMIF(日報!$P:$P,TEXT(YEAR($M$2),"0000")&amp;TEXT(MONTH($M$2),"00")&amp;$K148,日報!$L:$L)</f>
        <v>0</v>
      </c>
      <c r="O148" s="7" t="str">
        <f>"REQ"&amp;TEXT([2]RequestList!$A149,"0000")</f>
        <v>REQ21683</v>
      </c>
      <c r="P148" s="7" t="str">
        <f>[2]RequestList!$J149</f>
        <v>Zabbix監視設定変更の依頼</v>
      </c>
      <c r="Q148" s="65">
        <f>SUMIF(日報!$R:$R,TEXT(YEAR($Q$2),"0000")&amp;TEXT(MONTH($Q$2),"00")&amp;$O148,日報!$L:$L)</f>
        <v>0</v>
      </c>
      <c r="R148" s="65">
        <f ca="1">SUMIF(日報!$J:$J,$O148,日報!$L:$L)</f>
        <v>0</v>
      </c>
    </row>
    <row r="149" spans="10:18" x14ac:dyDescent="0.15">
      <c r="J149" s="7" t="str">
        <f>[3]業務定義!$J151</f>
        <v/>
      </c>
      <c r="K149" s="7">
        <f>[3]業務定義!$A151</f>
        <v>0</v>
      </c>
      <c r="L149" s="208"/>
      <c r="M149" s="65">
        <f ca="1">SUMIF(日報!$P:$P,TEXT(YEAR($M$2),"0000")&amp;TEXT(MONTH($M$2),"00")&amp;$K149,日報!$L:$L)</f>
        <v>0</v>
      </c>
      <c r="O149" s="7" t="str">
        <f>"REQ"&amp;TEXT([2]RequestList!$A150,"0000")</f>
        <v>REQ21684</v>
      </c>
      <c r="P149" s="7" t="str">
        <f>[2]RequestList!$J150</f>
        <v>VCC得意先のレポート出力でエラーが発生する</v>
      </c>
      <c r="Q149" s="65">
        <f>SUMIF(日報!$R:$R,TEXT(YEAR($Q$2),"0000")&amp;TEXT(MONTH($Q$2),"00")&amp;$O149,日報!$L:$L)</f>
        <v>0</v>
      </c>
      <c r="R149" s="65">
        <f ca="1">SUMIF(日報!$J:$J,$O149,日報!$L:$L)</f>
        <v>0</v>
      </c>
    </row>
    <row r="150" spans="10:18" x14ac:dyDescent="0.15">
      <c r="J150" s="7" t="str">
        <f>[3]業務定義!$J152</f>
        <v/>
      </c>
      <c r="K150" s="7">
        <f>[3]業務定義!$A152</f>
        <v>0</v>
      </c>
      <c r="L150" s="208"/>
      <c r="M150" s="65">
        <f ca="1">SUMIF(日報!$P:$P,TEXT(YEAR($M$2),"0000")&amp;TEXT(MONTH($M$2),"00")&amp;$K150,日報!$L:$L)</f>
        <v>0</v>
      </c>
      <c r="O150" s="7" t="str">
        <f>"REQ"&amp;TEXT([2]RequestList!$A151,"0000")</f>
        <v>REQ21685</v>
      </c>
      <c r="P150" s="7" t="str">
        <f>[2]RequestList!$J151</f>
        <v>ARS２EGL I/FのMO 90Pフラグについて</v>
      </c>
      <c r="Q150" s="65">
        <f>SUMIF(日報!$R:$R,TEXT(YEAR($Q$2),"0000")&amp;TEXT(MONTH($Q$2),"00")&amp;$O150,日報!$L:$L)</f>
        <v>0</v>
      </c>
      <c r="R150" s="65">
        <f ca="1">SUMIF(日報!$J:$J,$O150,日報!$L:$L)</f>
        <v>0</v>
      </c>
    </row>
    <row r="151" spans="10:18" x14ac:dyDescent="0.15">
      <c r="J151" s="7" t="str">
        <f>[3]業務定義!$J153</f>
        <v/>
      </c>
      <c r="K151" s="7">
        <f>[3]業務定義!$A153</f>
        <v>0</v>
      </c>
      <c r="L151" s="208"/>
      <c r="M151" s="65">
        <f ca="1">SUMIF(日報!$P:$P,TEXT(YEAR($M$2),"0000")&amp;TEXT(MONTH($M$2),"00")&amp;$K151,日報!$L:$L)</f>
        <v>0</v>
      </c>
      <c r="O151" s="7" t="str">
        <f>"REQ"&amp;TEXT([2]RequestList!$A152,"0000")</f>
        <v>REQ21686</v>
      </c>
      <c r="P151" s="7" t="str">
        <f>[2]RequestList!$J152</f>
        <v>ARSアカウントの作成</v>
      </c>
      <c r="Q151" s="65">
        <f>SUMIF(日報!$R:$R,TEXT(YEAR($Q$2),"0000")&amp;TEXT(MONTH($Q$2),"00")&amp;$O151,日報!$L:$L)</f>
        <v>0</v>
      </c>
      <c r="R151" s="65">
        <f ca="1">SUMIF(日報!$J:$J,$O151,日報!$L:$L)</f>
        <v>0</v>
      </c>
    </row>
    <row r="152" spans="10:18" x14ac:dyDescent="0.15">
      <c r="J152" s="7" t="str">
        <f>[3]業務定義!$J154</f>
        <v/>
      </c>
      <c r="K152" s="7">
        <f>[3]業務定義!$A154</f>
        <v>0</v>
      </c>
      <c r="L152" s="208"/>
      <c r="M152" s="65">
        <f ca="1">SUMIF(日報!$P:$P,TEXT(YEAR($M$2),"0000")&amp;TEXT(MONTH($M$2),"00")&amp;$K152,日報!$L:$L)</f>
        <v>0</v>
      </c>
      <c r="O152" s="7" t="str">
        <f>"REQ"&amp;TEXT([2]RequestList!$A153,"0000")</f>
        <v>REQ21687</v>
      </c>
      <c r="P152" s="7" t="str">
        <f>[2]RequestList!$J153</f>
        <v>【確認依頼】ARSエクスポートについて</v>
      </c>
      <c r="Q152" s="65">
        <f>SUMIF(日報!$R:$R,TEXT(YEAR($Q$2),"0000")&amp;TEXT(MONTH($Q$2),"00")&amp;$O152,日報!$L:$L)</f>
        <v>0</v>
      </c>
      <c r="R152" s="65">
        <f ca="1">SUMIF(日報!$J:$J,$O152,日報!$L:$L)</f>
        <v>0</v>
      </c>
    </row>
    <row r="153" spans="10:18" x14ac:dyDescent="0.15">
      <c r="J153" s="7" t="str">
        <f>[3]業務定義!$J155</f>
        <v/>
      </c>
      <c r="K153" s="7">
        <f>[3]業務定義!$A155</f>
        <v>0</v>
      </c>
      <c r="L153" s="208"/>
      <c r="M153" s="65">
        <f ca="1">SUMIF(日報!$P:$P,TEXT(YEAR($M$2),"0000")&amp;TEXT(MONTH($M$2),"00")&amp;$K153,日報!$L:$L)</f>
        <v>0</v>
      </c>
      <c r="O153" s="7" t="str">
        <f>"REQ"&amp;TEXT([2]RequestList!$A154,"0000")</f>
        <v>REQ21688</v>
      </c>
      <c r="P153" s="7" t="str">
        <f>[2]RequestList!$J154</f>
        <v>ARS営業メールアドレス変更</v>
      </c>
      <c r="Q153" s="65">
        <f>SUMIF(日報!$R:$R,TEXT(YEAR($Q$2),"0000")&amp;TEXT(MONTH($Q$2),"00")&amp;$O153,日報!$L:$L)</f>
        <v>0</v>
      </c>
      <c r="R153" s="65">
        <f ca="1">SUMIF(日報!$J:$J,$O153,日報!$L:$L)</f>
        <v>0</v>
      </c>
    </row>
    <row r="154" spans="10:18" x14ac:dyDescent="0.15">
      <c r="J154" s="7" t="str">
        <f>[3]業務定義!$J156</f>
        <v/>
      </c>
      <c r="K154" s="7">
        <f>[3]業務定義!$A156</f>
        <v>0</v>
      </c>
      <c r="L154" s="208"/>
      <c r="M154" s="65">
        <f ca="1">SUMIF(日報!$P:$P,TEXT(YEAR($M$2),"0000")&amp;TEXT(MONTH($M$2),"00")&amp;$K154,日報!$L:$L)</f>
        <v>0</v>
      </c>
      <c r="O154" s="7" t="str">
        <f>"REQ"&amp;TEXT([2]RequestList!$A155,"0000")</f>
        <v>REQ21689</v>
      </c>
      <c r="P154" s="7" t="str">
        <f>[2]RequestList!$J155</f>
        <v>POPキャンセル　建国記念日</v>
      </c>
      <c r="Q154" s="65">
        <f>SUMIF(日報!$R:$R,TEXT(YEAR($Q$2),"0000")&amp;TEXT(MONTH($Q$2),"00")&amp;$O154,日報!$L:$L)</f>
        <v>0</v>
      </c>
      <c r="R154" s="65">
        <f ca="1">SUMIF(日報!$J:$J,$O154,日報!$L:$L)</f>
        <v>0</v>
      </c>
    </row>
    <row r="155" spans="10:18" x14ac:dyDescent="0.15">
      <c r="J155" s="7" t="str">
        <f>[3]業務定義!$J157</f>
        <v/>
      </c>
      <c r="K155" s="7">
        <f>[3]業務定義!$A157</f>
        <v>0</v>
      </c>
      <c r="L155" s="208"/>
      <c r="M155" s="65">
        <f ca="1">SUMIF(日報!$P:$P,TEXT(YEAR($M$2),"0000")&amp;TEXT(MONTH($M$2),"00")&amp;$K155,日報!$L:$L)</f>
        <v>0</v>
      </c>
      <c r="O155" s="7" t="str">
        <f>"REQ"&amp;TEXT([2]RequestList!$A156,"0000")</f>
        <v>REQ21690</v>
      </c>
      <c r="P155" s="7" t="str">
        <f>[2]RequestList!$J156</f>
        <v>ARS KPI 2020/01</v>
      </c>
      <c r="Q155" s="65">
        <f>SUMIF(日報!$R:$R,TEXT(YEAR($Q$2),"0000")&amp;TEXT(MONTH($Q$2),"00")&amp;$O155,日報!$L:$L)</f>
        <v>0</v>
      </c>
      <c r="R155" s="65">
        <f ca="1">SUMIF(日報!$J:$J,$O155,日報!$L:$L)</f>
        <v>0</v>
      </c>
    </row>
    <row r="156" spans="10:18" x14ac:dyDescent="0.15">
      <c r="J156" s="7" t="str">
        <f>[3]業務定義!$J158</f>
        <v/>
      </c>
      <c r="K156" s="7">
        <f>[3]業務定義!$A158</f>
        <v>0</v>
      </c>
      <c r="L156" s="208"/>
      <c r="M156" s="65">
        <f ca="1">SUMIF(日報!$P:$P,TEXT(YEAR($M$2),"0000")&amp;TEXT(MONTH($M$2),"00")&amp;$K156,日報!$L:$L)</f>
        <v>0</v>
      </c>
      <c r="O156" s="7" t="str">
        <f>"REQ"&amp;TEXT([2]RequestList!$A157,"0000")</f>
        <v>REQ21691</v>
      </c>
      <c r="P156" s="7" t="str">
        <f>[2]RequestList!$J157</f>
        <v>【定期便】定期便コードを上書きした場合の注文履歴の表示について</v>
      </c>
      <c r="Q156" s="65">
        <f>SUMIF(日報!$R:$R,TEXT(YEAR($Q$2),"0000")&amp;TEXT(MONTH($Q$2),"00")&amp;$O156,日報!$L:$L)</f>
        <v>0</v>
      </c>
      <c r="R156" s="65">
        <f ca="1">SUMIF(日報!$J:$J,$O156,日報!$L:$L)</f>
        <v>0</v>
      </c>
    </row>
    <row r="157" spans="10:18" x14ac:dyDescent="0.15">
      <c r="J157" s="7" t="str">
        <f>[3]業務定義!$J159</f>
        <v/>
      </c>
      <c r="K157" s="7">
        <f>[3]業務定義!$A159</f>
        <v>0</v>
      </c>
      <c r="L157" s="208"/>
      <c r="M157" s="65">
        <f ca="1">SUMIF(日報!$P:$P,TEXT(YEAR($M$2),"0000")&amp;TEXT(MONTH($M$2),"00")&amp;$K157,日報!$L:$L)</f>
        <v>0</v>
      </c>
      <c r="O157" s="7" t="str">
        <f>"REQ"&amp;TEXT([2]RequestList!$A158,"0000")</f>
        <v>REQ21692</v>
      </c>
      <c r="P157" s="7" t="str">
        <f>[2]RequestList!$J158</f>
        <v>OGSM更新及びタイルのリンク変更</v>
      </c>
      <c r="Q157" s="65">
        <f>SUMIF(日報!$R:$R,TEXT(YEAR($Q$2),"0000")&amp;TEXT(MONTH($Q$2),"00")&amp;$O157,日報!$L:$L)</f>
        <v>0</v>
      </c>
      <c r="R157" s="65">
        <f ca="1">SUMIF(日報!$J:$J,$O157,日報!$L:$L)</f>
        <v>0</v>
      </c>
    </row>
    <row r="158" spans="10:18" x14ac:dyDescent="0.15">
      <c r="J158" s="7" t="str">
        <f>[3]業務定義!$J160</f>
        <v/>
      </c>
      <c r="K158" s="7">
        <f>[3]業務定義!$A160</f>
        <v>0</v>
      </c>
      <c r="L158" s="208"/>
      <c r="M158" s="65">
        <f ca="1">SUMIF(日報!$P:$P,TEXT(YEAR($M$2),"0000")&amp;TEXT(MONTH($M$2),"00")&amp;$K158,日報!$L:$L)</f>
        <v>0</v>
      </c>
      <c r="O158" s="7" t="str">
        <f>"REQ"&amp;TEXT([2]RequestList!$A159,"0000")</f>
        <v>REQ21693</v>
      </c>
      <c r="P158" s="7" t="str">
        <f>[2]RequestList!$J159</f>
        <v>ARS返品受付票作成時のメール送信の条件の変更について</v>
      </c>
      <c r="Q158" s="65">
        <f>SUMIF(日報!$R:$R,TEXT(YEAR($Q$2),"0000")&amp;TEXT(MONTH($Q$2),"00")&amp;$O158,日報!$L:$L)</f>
        <v>0</v>
      </c>
      <c r="R158" s="65">
        <f ca="1">SUMIF(日報!$J:$J,$O158,日報!$L:$L)</f>
        <v>0</v>
      </c>
    </row>
    <row r="159" spans="10:18" x14ac:dyDescent="0.15">
      <c r="J159" s="7" t="str">
        <f>[3]業務定義!$J161</f>
        <v/>
      </c>
      <c r="K159" s="7">
        <f>[3]業務定義!$A161</f>
        <v>0</v>
      </c>
      <c r="L159" s="208"/>
      <c r="M159" s="65">
        <f ca="1">SUMIF(日報!$P:$P,TEXT(YEAR($M$2),"0000")&amp;TEXT(MONTH($M$2),"00")&amp;$K159,日報!$L:$L)</f>
        <v>0</v>
      </c>
      <c r="O159" s="7" t="str">
        <f>"REQ"&amp;TEXT([2]RequestList!$A160,"0000")</f>
        <v>REQ21694</v>
      </c>
      <c r="P159" s="7" t="str">
        <f>[2]RequestList!$J160</f>
        <v>SFDCアカウント変更・登録</v>
      </c>
      <c r="Q159" s="65">
        <f>SUMIF(日報!$R:$R,TEXT(YEAR($Q$2),"0000")&amp;TEXT(MONTH($Q$2),"00")&amp;$O159,日報!$L:$L)</f>
        <v>0</v>
      </c>
      <c r="R159" s="65">
        <f ca="1">SUMIF(日報!$J:$J,$O159,日報!$L:$L)</f>
        <v>0</v>
      </c>
    </row>
    <row r="160" spans="10:18" x14ac:dyDescent="0.15">
      <c r="J160" s="7" t="str">
        <f>[3]業務定義!$J162</f>
        <v/>
      </c>
      <c r="K160" s="7">
        <f>[3]業務定義!$A162</f>
        <v>0</v>
      </c>
      <c r="L160" s="208"/>
      <c r="M160" s="65">
        <f ca="1">SUMIF(日報!$P:$P,TEXT(YEAR($M$2),"0000")&amp;TEXT(MONTH($M$2),"00")&amp;$K160,日報!$L:$L)</f>
        <v>0</v>
      </c>
      <c r="O160" s="7" t="str">
        <f>"REQ"&amp;TEXT([2]RequestList!$A161,"0000")</f>
        <v>REQ21695</v>
      </c>
      <c r="P160" s="7" t="str">
        <f>[2]RequestList!$J161</f>
        <v>ARSとYLC-NET 5Fとのファイル共有方法について</v>
      </c>
      <c r="Q160" s="65">
        <f>SUMIF(日報!$R:$R,TEXT(YEAR($Q$2),"0000")&amp;TEXT(MONTH($Q$2),"00")&amp;$O160,日報!$L:$L)</f>
        <v>0</v>
      </c>
      <c r="R160" s="65">
        <f ca="1">SUMIF(日報!$J:$J,$O160,日報!$L:$L)</f>
        <v>0</v>
      </c>
    </row>
    <row r="161" spans="10:18" x14ac:dyDescent="0.15">
      <c r="J161" s="7" t="str">
        <f>[3]業務定義!$J163</f>
        <v/>
      </c>
      <c r="K161" s="7">
        <f>[3]業務定義!$A163</f>
        <v>0</v>
      </c>
      <c r="L161" s="208"/>
      <c r="M161" s="65">
        <f ca="1">SUMIF(日報!$P:$P,TEXT(YEAR($M$2),"0000")&amp;TEXT(MONTH($M$2),"00")&amp;$K161,日報!$L:$L)</f>
        <v>0</v>
      </c>
      <c r="O161" s="7" t="str">
        <f>"REQ"&amp;TEXT([2]RequestList!$A162,"0000")</f>
        <v>REQ21696</v>
      </c>
      <c r="P161" s="7" t="str">
        <f>[2]RequestList!$J162</f>
        <v>SFDCアカウントの携帯番号の変更</v>
      </c>
      <c r="Q161" s="65">
        <f>SUMIF(日報!$R:$R,TEXT(YEAR($Q$2),"0000")&amp;TEXT(MONTH($Q$2),"00")&amp;$O161,日報!$L:$L)</f>
        <v>0</v>
      </c>
      <c r="R161" s="65">
        <f ca="1">SUMIF(日報!$J:$J,$O161,日報!$L:$L)</f>
        <v>0</v>
      </c>
    </row>
    <row r="162" spans="10:18" x14ac:dyDescent="0.15">
      <c r="J162" s="7" t="str">
        <f>[3]業務定義!$J164</f>
        <v/>
      </c>
      <c r="K162" s="7">
        <f>[3]業務定義!$A164</f>
        <v>0</v>
      </c>
      <c r="L162" s="208"/>
      <c r="M162" s="65">
        <f ca="1">SUMIF(日報!$P:$P,TEXT(YEAR($M$2),"0000")&amp;TEXT(MONTH($M$2),"00")&amp;$K162,日報!$L:$L)</f>
        <v>0</v>
      </c>
      <c r="O162" s="7" t="str">
        <f>"REQ"&amp;TEXT([2]RequestList!$A163,"0000")</f>
        <v>REQ21697</v>
      </c>
      <c r="P162" s="7" t="str">
        <f>[2]RequestList!$J163</f>
        <v>リモートデスクトップ接続権限の確認</v>
      </c>
      <c r="Q162" s="65">
        <f>SUMIF(日報!$R:$R,TEXT(YEAR($Q$2),"0000")&amp;TEXT(MONTH($Q$2),"00")&amp;$O162,日報!$L:$L)</f>
        <v>0</v>
      </c>
      <c r="R162" s="65">
        <f ca="1">SUMIF(日報!$J:$J,$O162,日報!$L:$L)</f>
        <v>0</v>
      </c>
    </row>
    <row r="163" spans="10:18" x14ac:dyDescent="0.15">
      <c r="J163" s="7" t="str">
        <f>[3]業務定義!$J165</f>
        <v/>
      </c>
      <c r="K163" s="7">
        <f>[3]業務定義!$A165</f>
        <v>0</v>
      </c>
      <c r="L163" s="208"/>
      <c r="M163" s="65">
        <f ca="1">SUMIF(日報!$P:$P,TEXT(YEAR($M$2),"0000")&amp;TEXT(MONTH($M$2),"00")&amp;$K163,日報!$L:$L)</f>
        <v>0</v>
      </c>
      <c r="O163" s="7" t="str">
        <f>"REQ"&amp;TEXT([2]RequestList!$A164,"0000")</f>
        <v>REQ21698</v>
      </c>
      <c r="P163" s="7" t="str">
        <f>[2]RequestList!$J164</f>
        <v>【定期便】注文のお知らせメールの箱数が違う</v>
      </c>
      <c r="Q163" s="65">
        <f>SUMIF(日報!$R:$R,TEXT(YEAR($Q$2),"0000")&amp;TEXT(MONTH($Q$2),"00")&amp;$O163,日報!$L:$L)</f>
        <v>0</v>
      </c>
      <c r="R163" s="65">
        <f ca="1">SUMIF(日報!$J:$J,$O163,日報!$L:$L)</f>
        <v>0</v>
      </c>
    </row>
    <row r="164" spans="10:18" x14ac:dyDescent="0.15">
      <c r="J164" s="7" t="str">
        <f>[3]業務定義!$J166</f>
        <v/>
      </c>
      <c r="K164" s="7">
        <f>[3]業務定義!$A166</f>
        <v>0</v>
      </c>
      <c r="L164" s="208"/>
      <c r="M164" s="65">
        <f ca="1">SUMIF(日報!$P:$P,TEXT(YEAR($M$2),"0000")&amp;TEXT(MONTH($M$2),"00")&amp;$K164,日報!$L:$L)</f>
        <v>0</v>
      </c>
      <c r="O164" s="7" t="str">
        <f>"REQ"&amp;TEXT([2]RequestList!$A165,"0000")</f>
        <v>REQ21699</v>
      </c>
      <c r="P164" s="7" t="str">
        <f>[2]RequestList!$J165</f>
        <v>SAP BIアカウント申請</v>
      </c>
      <c r="Q164" s="65">
        <f>SUMIF(日報!$R:$R,TEXT(YEAR($Q$2),"0000")&amp;TEXT(MONTH($Q$2),"00")&amp;$O164,日報!$L:$L)</f>
        <v>0</v>
      </c>
      <c r="R164" s="65">
        <f ca="1">SUMIF(日報!$J:$J,$O164,日報!$L:$L)</f>
        <v>0</v>
      </c>
    </row>
    <row r="165" spans="10:18" x14ac:dyDescent="0.15">
      <c r="J165" s="7" t="str">
        <f>[3]業務定義!$J167</f>
        <v/>
      </c>
      <c r="K165" s="7">
        <f>[3]業務定義!$A167</f>
        <v>0</v>
      </c>
      <c r="L165" s="208"/>
      <c r="M165" s="65">
        <f ca="1">SUMIF(日報!$P:$P,TEXT(YEAR($M$2),"0000")&amp;TEXT(MONTH($M$2),"00")&amp;$K165,日報!$L:$L)</f>
        <v>0</v>
      </c>
      <c r="O165" s="7" t="str">
        <f>"REQ"&amp;TEXT([2]RequestList!$A166,"0000")</f>
        <v>REQ21700</v>
      </c>
      <c r="P165" s="7" t="str">
        <f>[2]RequestList!$J166</f>
        <v>Triton-A/Brand eligibility check Regression test</v>
      </c>
      <c r="Q165" s="65">
        <f>SUMIF(日報!$R:$R,TEXT(YEAR($Q$2),"0000")&amp;TEXT(MONTH($Q$2),"00")&amp;$O165,日報!$L:$L)</f>
        <v>0</v>
      </c>
      <c r="R165" s="65">
        <f ca="1">SUMIF(日報!$J:$J,$O165,日報!$L:$L)</f>
        <v>0</v>
      </c>
    </row>
    <row r="166" spans="10:18" x14ac:dyDescent="0.15">
      <c r="J166" s="7" t="str">
        <f>[3]業務定義!$J168</f>
        <v/>
      </c>
      <c r="K166" s="7">
        <f>[3]業務定義!$A168</f>
        <v>0</v>
      </c>
      <c r="L166" s="208"/>
      <c r="M166" s="65">
        <f ca="1">SUMIF(日報!$P:$P,TEXT(YEAR($M$2),"0000")&amp;TEXT(MONTH($M$2),"00")&amp;$K166,日報!$L:$L)</f>
        <v>0</v>
      </c>
      <c r="O166" s="7" t="str">
        <f>"REQ"&amp;TEXT([2]RequestList!$A167,"0000")</f>
        <v>REQ21701</v>
      </c>
      <c r="P166" s="7" t="str">
        <f>[2]RequestList!$J167</f>
        <v>BCTK005の実行ユーザー変更</v>
      </c>
      <c r="Q166" s="65">
        <f>SUMIF(日報!$R:$R,TEXT(YEAR($Q$2),"0000")&amp;TEXT(MONTH($Q$2),"00")&amp;$O166,日報!$L:$L)</f>
        <v>0</v>
      </c>
      <c r="R166" s="65">
        <f ca="1">SUMIF(日報!$J:$J,$O166,日報!$L:$L)</f>
        <v>0</v>
      </c>
    </row>
    <row r="167" spans="10:18" x14ac:dyDescent="0.15">
      <c r="J167" s="7" t="str">
        <f>[3]業務定義!$J169</f>
        <v/>
      </c>
      <c r="K167" s="7">
        <f>[3]業務定義!$A169</f>
        <v>0</v>
      </c>
      <c r="L167" s="208"/>
      <c r="M167" s="65">
        <f ca="1">SUMIF(日報!$P:$P,TEXT(YEAR($M$2),"0000")&amp;TEXT(MONTH($M$2),"00")&amp;$K167,日報!$L:$L)</f>
        <v>0</v>
      </c>
      <c r="O167" s="7" t="str">
        <f>"REQ"&amp;TEXT([2]RequestList!$A168,"0000")</f>
        <v>REQ21702</v>
      </c>
      <c r="P167" s="7" t="str">
        <f>[2]RequestList!$J168</f>
        <v>ACUVUE管理者サイトID登録</v>
      </c>
      <c r="Q167" s="65">
        <f>SUMIF(日報!$R:$R,TEXT(YEAR($Q$2),"0000")&amp;TEXT(MONTH($Q$2),"00")&amp;$O167,日報!$L:$L)</f>
        <v>0</v>
      </c>
      <c r="R167" s="65">
        <f ca="1">SUMIF(日報!$J:$J,$O167,日報!$L:$L)</f>
        <v>0</v>
      </c>
    </row>
    <row r="168" spans="10:18" x14ac:dyDescent="0.15">
      <c r="J168" s="7" t="str">
        <f>[3]業務定義!$J170</f>
        <v/>
      </c>
      <c r="K168" s="7">
        <f>[3]業務定義!$A170</f>
        <v>0</v>
      </c>
      <c r="L168" s="208"/>
      <c r="M168" s="65">
        <f ca="1">SUMIF(日報!$P:$P,TEXT(YEAR($M$2),"0000")&amp;TEXT(MONTH($M$2),"00")&amp;$K168,日報!$L:$L)</f>
        <v>0</v>
      </c>
      <c r="O168" s="7" t="str">
        <f>"REQ"&amp;TEXT([2]RequestList!$A169,"0000")</f>
        <v>REQ21703</v>
      </c>
      <c r="P168" s="7" t="str">
        <f>[2]RequestList!$J169</f>
        <v>問い合わせ画面に保存ができない</v>
      </c>
      <c r="Q168" s="65">
        <f>SUMIF(日報!$R:$R,TEXT(YEAR($Q$2),"0000")&amp;TEXT(MONTH($Q$2),"00")&amp;$O168,日報!$L:$L)</f>
        <v>0</v>
      </c>
      <c r="R168" s="65">
        <f ca="1">SUMIF(日報!$J:$J,$O168,日報!$L:$L)</f>
        <v>0</v>
      </c>
    </row>
    <row r="169" spans="10:18" x14ac:dyDescent="0.15">
      <c r="J169" s="7" t="str">
        <f>[3]業務定義!$J171</f>
        <v/>
      </c>
      <c r="K169" s="7">
        <f>[3]業務定義!$A171</f>
        <v>0</v>
      </c>
      <c r="L169" s="208"/>
      <c r="M169" s="65">
        <f ca="1">SUMIF(日報!$P:$P,TEXT(YEAR($M$2),"0000")&amp;TEXT(MONTH($M$2),"00")&amp;$K169,日報!$L:$L)</f>
        <v>0</v>
      </c>
      <c r="O169" s="7" t="str">
        <f>"REQ"&amp;TEXT([2]RequestList!$A170,"0000")</f>
        <v>REQ21704</v>
      </c>
      <c r="P169" s="7" t="str">
        <f>[2]RequestList!$J170</f>
        <v>現行環境のOracleDB12.1のサポート期限が来年で切れてしまうため、OracleDB19（最新）のに更新したいとのこと</v>
      </c>
      <c r="Q169" s="65">
        <f>SUMIF(日報!$R:$R,TEXT(YEAR($Q$2),"0000")&amp;TEXT(MONTH($Q$2),"00")&amp;$O169,日報!$L:$L)</f>
        <v>0</v>
      </c>
      <c r="R169" s="65">
        <f ca="1">SUMIF(日報!$J:$J,$O169,日報!$L:$L)</f>
        <v>0</v>
      </c>
    </row>
    <row r="170" spans="10:18" x14ac:dyDescent="0.15">
      <c r="J170" s="7" t="str">
        <f>[3]業務定義!$J172</f>
        <v/>
      </c>
      <c r="K170" s="7">
        <f>[3]業務定義!$A172</f>
        <v>0</v>
      </c>
      <c r="L170" s="208"/>
      <c r="M170" s="65">
        <f ca="1">SUMIF(日報!$P:$P,TEXT(YEAR($M$2),"0000")&amp;TEXT(MONTH($M$2),"00")&amp;$K170,日報!$L:$L)</f>
        <v>0</v>
      </c>
      <c r="O170" s="7" t="str">
        <f>"REQ"&amp;TEXT([2]RequestList!$A171,"0000")</f>
        <v>REQ21705</v>
      </c>
      <c r="P170" s="7" t="str">
        <f>[2]RequestList!$J171</f>
        <v>返品室でSAPに返品入帳される際にはLOT番号も同時に入帳されるのでしょうか？
また、もし返品入帳される際に、LOT番号をSAPに入力されるなら、入帳されたLOT番号をリストとして出力することができるでしょうか？</v>
      </c>
      <c r="Q170" s="65">
        <f>SUMIF(日報!$R:$R,TEXT(YEAR($Q$2),"0000")&amp;TEXT(MONTH($Q$2),"00")&amp;$O170,日報!$L:$L)</f>
        <v>0</v>
      </c>
      <c r="R170" s="65">
        <f ca="1">SUMIF(日報!$J:$J,$O170,日報!$L:$L)</f>
        <v>0</v>
      </c>
    </row>
    <row r="171" spans="10:18" x14ac:dyDescent="0.15">
      <c r="J171" s="7" t="str">
        <f>[3]業務定義!$J173</f>
        <v/>
      </c>
      <c r="K171" s="7">
        <f>[3]業務定義!$A173</f>
        <v>0</v>
      </c>
      <c r="L171" s="208"/>
      <c r="M171" s="65">
        <f ca="1">SUMIF(日報!$P:$P,TEXT(YEAR($M$2),"0000")&amp;TEXT(MONTH($M$2),"00")&amp;$K171,日報!$L:$L)</f>
        <v>0</v>
      </c>
      <c r="O171" s="7" t="str">
        <f>"REQ"&amp;TEXT([2]RequestList!$A172,"0000")</f>
        <v>REQ21706</v>
      </c>
      <c r="P171" s="7" t="str">
        <f>[2]RequestList!$J172</f>
        <v>Copy&amp;Pasteに関わるレポート名の変更</v>
      </c>
      <c r="Q171" s="65">
        <f>SUMIF(日報!$R:$R,TEXT(YEAR($Q$2),"0000")&amp;TEXT(MONTH($Q$2),"00")&amp;$O171,日報!$L:$L)</f>
        <v>0</v>
      </c>
      <c r="R171" s="65">
        <f ca="1">SUMIF(日報!$J:$J,$O171,日報!$L:$L)</f>
        <v>0</v>
      </c>
    </row>
    <row r="172" spans="10:18" x14ac:dyDescent="0.15">
      <c r="J172" s="7" t="str">
        <f>[3]業務定義!$J174</f>
        <v/>
      </c>
      <c r="K172" s="7">
        <f>[3]業務定義!$A174</f>
        <v>0</v>
      </c>
      <c r="L172" s="208"/>
      <c r="M172" s="65">
        <f ca="1">SUMIF(日報!$P:$P,TEXT(YEAR($M$2),"0000")&amp;TEXT(MONTH($M$2),"00")&amp;$K172,日報!$L:$L)</f>
        <v>0</v>
      </c>
      <c r="O172" s="7" t="str">
        <f>"REQ"&amp;TEXT([2]RequestList!$A173,"0000")</f>
        <v>REQ21707</v>
      </c>
      <c r="P172" s="7" t="str">
        <f>[2]RequestList!$J173</f>
        <v>TritonAに関わるキャンペーンについて</v>
      </c>
      <c r="Q172" s="65">
        <f>SUMIF(日報!$R:$R,TEXT(YEAR($Q$2),"0000")&amp;TEXT(MONTH($Q$2),"00")&amp;$O172,日報!$L:$L)</f>
        <v>0</v>
      </c>
      <c r="R172" s="65">
        <f ca="1">SUMIF(日報!$J:$J,$O172,日報!$L:$L)</f>
        <v>0</v>
      </c>
    </row>
    <row r="173" spans="10:18" x14ac:dyDescent="0.15">
      <c r="J173" s="7" t="str">
        <f>[3]業務定義!$J175</f>
        <v/>
      </c>
      <c r="K173" s="7">
        <f>[3]業務定義!$A175</f>
        <v>0</v>
      </c>
      <c r="L173" s="208"/>
      <c r="M173" s="65">
        <f ca="1">SUMIF(日報!$P:$P,TEXT(YEAR($M$2),"0000")&amp;TEXT(MONTH($M$2),"00")&amp;$K173,日報!$L:$L)</f>
        <v>0</v>
      </c>
      <c r="O173" s="7" t="str">
        <f>"REQ"&amp;TEXT([2]RequestList!$A174,"0000")</f>
        <v>REQ21708</v>
      </c>
      <c r="P173" s="7" t="str">
        <f>[2]RequestList!$J174</f>
        <v>Teleサポートの運用について</v>
      </c>
      <c r="Q173" s="65">
        <f>SUMIF(日報!$R:$R,TEXT(YEAR($Q$2),"0000")&amp;TEXT(MONTH($Q$2),"00")&amp;$O173,日報!$L:$L)</f>
        <v>0</v>
      </c>
      <c r="R173" s="65">
        <f ca="1">SUMIF(日報!$J:$J,$O173,日報!$L:$L)</f>
        <v>0</v>
      </c>
    </row>
    <row r="174" spans="10:18" x14ac:dyDescent="0.15">
      <c r="J174" s="7" t="str">
        <f>[3]業務定義!$J176</f>
        <v/>
      </c>
      <c r="K174" s="7">
        <f>[3]業務定義!$A176</f>
        <v>0</v>
      </c>
      <c r="L174" s="208"/>
      <c r="M174" s="65">
        <f ca="1">SUMIF(日報!$P:$P,TEXT(YEAR($M$2),"0000")&amp;TEXT(MONTH($M$2),"00")&amp;$K174,日報!$L:$L)</f>
        <v>0</v>
      </c>
      <c r="O174" s="7" t="str">
        <f>"REQ"&amp;TEXT([2]RequestList!$A175,"0000")</f>
        <v>REQ21709</v>
      </c>
      <c r="P174" s="7" t="str">
        <f>[2]RequestList!$J175</f>
        <v>Chatter投稿数のレポートについて</v>
      </c>
      <c r="Q174" s="65">
        <f>SUMIF(日報!$R:$R,TEXT(YEAR($Q$2),"0000")&amp;TEXT(MONTH($Q$2),"00")&amp;$O174,日報!$L:$L)</f>
        <v>0</v>
      </c>
      <c r="R174" s="65">
        <f ca="1">SUMIF(日報!$J:$J,$O174,日報!$L:$L)</f>
        <v>0</v>
      </c>
    </row>
    <row r="175" spans="10:18" x14ac:dyDescent="0.15">
      <c r="J175" s="7" t="str">
        <f>[3]業務定義!$J177</f>
        <v/>
      </c>
      <c r="K175" s="7">
        <f>[3]業務定義!$A177</f>
        <v>0</v>
      </c>
      <c r="L175" s="208"/>
      <c r="M175" s="65">
        <f ca="1">SUMIF(日報!$P:$P,TEXT(YEAR($M$2),"0000")&amp;TEXT(MONTH($M$2),"00")&amp;$K175,日報!$L:$L)</f>
        <v>0</v>
      </c>
      <c r="O175" s="7" t="str">
        <f>"REQ"&amp;TEXT([2]RequestList!$A176,"0000")</f>
        <v>REQ21710</v>
      </c>
      <c r="P175" s="7" t="str">
        <f>[2]RequestList!$J176</f>
        <v>製品マスタのデコードについて</v>
      </c>
      <c r="Q175" s="65">
        <f>SUMIF(日報!$R:$R,TEXT(YEAR($Q$2),"0000")&amp;TEXT(MONTH($Q$2),"00")&amp;$O175,日報!$L:$L)</f>
        <v>0</v>
      </c>
      <c r="R175" s="65">
        <f ca="1">SUMIF(日報!$J:$J,$O175,日報!$L:$L)</f>
        <v>0</v>
      </c>
    </row>
    <row r="176" spans="10:18" x14ac:dyDescent="0.15">
      <c r="J176" s="7" t="str">
        <f>[3]業務定義!$J178</f>
        <v/>
      </c>
      <c r="K176" s="7">
        <f>[3]業務定義!$A178</f>
        <v>0</v>
      </c>
      <c r="L176" s="208"/>
      <c r="M176" s="65">
        <f ca="1">SUMIF(日報!$P:$P,TEXT(YEAR($M$2),"0000")&amp;TEXT(MONTH($M$2),"00")&amp;$K176,日報!$L:$L)</f>
        <v>0</v>
      </c>
      <c r="O176" s="7" t="str">
        <f>"REQ"&amp;TEXT([2]RequestList!$A177,"0000")</f>
        <v>REQ21711</v>
      </c>
      <c r="P176" s="7" t="str">
        <f>[2]RequestList!$J177</f>
        <v>2/18有効開始のBill toがMBOXへPUTされていない</v>
      </c>
      <c r="Q176" s="65">
        <f>SUMIF(日報!$R:$R,TEXT(YEAR($Q$2),"0000")&amp;TEXT(MONTH($Q$2),"00")&amp;$O176,日報!$L:$L)</f>
        <v>0</v>
      </c>
      <c r="R176" s="65">
        <f ca="1">SUMIF(日報!$J:$J,$O176,日報!$L:$L)</f>
        <v>0</v>
      </c>
    </row>
    <row r="177" spans="10:18" x14ac:dyDescent="0.15">
      <c r="J177" s="7" t="str">
        <f>[3]業務定義!$J179</f>
        <v/>
      </c>
      <c r="K177" s="7">
        <f>[3]業務定義!$A179</f>
        <v>0</v>
      </c>
      <c r="L177" s="208"/>
      <c r="M177" s="65">
        <f ca="1">SUMIF(日報!$P:$P,TEXT(YEAR($M$2),"0000")&amp;TEXT(MONTH($M$2),"00")&amp;$K177,日報!$L:$L)</f>
        <v>0</v>
      </c>
      <c r="O177" s="7" t="str">
        <f>"REQ"&amp;TEXT([2]RequestList!$A178,"0000")</f>
        <v>REQ21712</v>
      </c>
      <c r="P177" s="7" t="str">
        <f>[2]RequestList!$J178</f>
        <v>新野さんのChatter投稿が見られない</v>
      </c>
      <c r="Q177" s="65">
        <f>SUMIF(日報!$R:$R,TEXT(YEAR($Q$2),"0000")&amp;TEXT(MONTH($Q$2),"00")&amp;$O177,日報!$L:$L)</f>
        <v>0</v>
      </c>
      <c r="R177" s="65">
        <f ca="1">SUMIF(日報!$J:$J,$O177,日報!$L:$L)</f>
        <v>0</v>
      </c>
    </row>
    <row r="178" spans="10:18" x14ac:dyDescent="0.15">
      <c r="J178" s="7" t="str">
        <f>[3]業務定義!$J180</f>
        <v/>
      </c>
      <c r="K178" s="7">
        <f>[3]業務定義!$A180</f>
        <v>0</v>
      </c>
      <c r="L178" s="208"/>
      <c r="M178" s="65">
        <f ca="1">SUMIF(日報!$P:$P,TEXT(YEAR($M$2),"0000")&amp;TEXT(MONTH($M$2),"00")&amp;$K178,日報!$L:$L)</f>
        <v>0</v>
      </c>
      <c r="O178" s="7" t="str">
        <f>"REQ"&amp;TEXT([2]RequestList!$A179,"0000")</f>
        <v>REQ21713</v>
      </c>
      <c r="P178" s="7" t="str">
        <f>[2]RequestList!$J179</f>
        <v>Chatterグループの所有者と名称の変更</v>
      </c>
      <c r="Q178" s="65">
        <f>SUMIF(日報!$R:$R,TEXT(YEAR($Q$2),"0000")&amp;TEXT(MONTH($Q$2),"00")&amp;$O178,日報!$L:$L)</f>
        <v>0</v>
      </c>
      <c r="R178" s="65">
        <f ca="1">SUMIF(日報!$J:$J,$O178,日報!$L:$L)</f>
        <v>0</v>
      </c>
    </row>
    <row r="179" spans="10:18" x14ac:dyDescent="0.15">
      <c r="J179" s="7" t="str">
        <f>[3]業務定義!$J181</f>
        <v/>
      </c>
      <c r="K179" s="7">
        <f>[3]業務定義!$A181</f>
        <v>0</v>
      </c>
      <c r="L179" s="208"/>
      <c r="M179" s="65">
        <f ca="1">SUMIF(日報!$P:$P,TEXT(YEAR($M$2),"0000")&amp;TEXT(MONTH($M$2),"00")&amp;$K179,日報!$L:$L)</f>
        <v>0</v>
      </c>
      <c r="O179" s="7" t="str">
        <f>"REQ"&amp;TEXT([2]RequestList!$A180,"0000")</f>
        <v>REQ21714</v>
      </c>
      <c r="P179" s="7" t="str">
        <f>[2]RequestList!$J180</f>
        <v>メール送信履歴確認依頼</v>
      </c>
      <c r="Q179" s="65">
        <f>SUMIF(日報!$R:$R,TEXT(YEAR($Q$2),"0000")&amp;TEXT(MONTH($Q$2),"00")&amp;$O179,日報!$L:$L)</f>
        <v>0</v>
      </c>
      <c r="R179" s="65">
        <f ca="1">SUMIF(日報!$J:$J,$O179,日報!$L:$L)</f>
        <v>0</v>
      </c>
    </row>
    <row r="180" spans="10:18" x14ac:dyDescent="0.15">
      <c r="J180" s="7" t="str">
        <f>[3]業務定義!$J182</f>
        <v/>
      </c>
      <c r="K180" s="7">
        <f>[3]業務定義!$A182</f>
        <v>0</v>
      </c>
      <c r="L180" s="208"/>
      <c r="M180" s="65">
        <f ca="1">SUMIF(日報!$P:$P,TEXT(YEAR($M$2),"0000")&amp;TEXT(MONTH($M$2),"00")&amp;$K180,日報!$L:$L)</f>
        <v>0</v>
      </c>
      <c r="O180" s="7" t="str">
        <f>"REQ"&amp;TEXT([2]RequestList!$A181,"0000")</f>
        <v>REQ21715</v>
      </c>
      <c r="P180" s="7" t="str">
        <f>[2]RequestList!$J181</f>
        <v>Chatter freeアカウント登録</v>
      </c>
      <c r="Q180" s="65">
        <f>SUMIF(日報!$R:$R,TEXT(YEAR($Q$2),"0000")&amp;TEXT(MONTH($Q$2),"00")&amp;$O180,日報!$L:$L)</f>
        <v>0</v>
      </c>
      <c r="R180" s="65">
        <f ca="1">SUMIF(日報!$J:$J,$O180,日報!$L:$L)</f>
        <v>0</v>
      </c>
    </row>
    <row r="181" spans="10:18" x14ac:dyDescent="0.15">
      <c r="J181" s="7" t="str">
        <f>[3]業務定義!$J183</f>
        <v/>
      </c>
      <c r="K181" s="7">
        <f>[3]業務定義!$A183</f>
        <v>0</v>
      </c>
      <c r="L181" s="208"/>
      <c r="M181" s="65">
        <f ca="1">SUMIF(日報!$P:$P,TEXT(YEAR($M$2),"0000")&amp;TEXT(MONTH($M$2),"00")&amp;$K181,日報!$L:$L)</f>
        <v>0</v>
      </c>
      <c r="O181" s="7" t="str">
        <f>"REQ"&amp;TEXT([2]RequestList!$A182,"0000")</f>
        <v>REQ21716</v>
      </c>
      <c r="P181" s="7" t="str">
        <f>[2]RequestList!$J182</f>
        <v>JJVPro Userレポートで安西さんが見れる件数が少ない</v>
      </c>
      <c r="Q181" s="65">
        <f>SUMIF(日報!$R:$R,TEXT(YEAR($Q$2),"0000")&amp;TEXT(MONTH($Q$2),"00")&amp;$O181,日報!$L:$L)</f>
        <v>0</v>
      </c>
      <c r="R181" s="65">
        <f ca="1">SUMIF(日報!$J:$J,$O181,日報!$L:$L)</f>
        <v>0</v>
      </c>
    </row>
    <row r="182" spans="10:18" x14ac:dyDescent="0.15">
      <c r="J182" s="7" t="str">
        <f>[3]業務定義!$J184</f>
        <v/>
      </c>
      <c r="K182" s="7">
        <f>[3]業務定義!$A184</f>
        <v>0</v>
      </c>
      <c r="L182" s="208"/>
      <c r="M182" s="65">
        <f ca="1">SUMIF(日報!$P:$P,TEXT(YEAR($M$2),"0000")&amp;TEXT(MONTH($M$2),"00")&amp;$K182,日報!$L:$L)</f>
        <v>0</v>
      </c>
      <c r="O182" s="7" t="str">
        <f>"REQ"&amp;TEXT([2]RequestList!$A183,"0000")</f>
        <v>REQ21717</v>
      </c>
      <c r="P182" s="7" t="str">
        <f>[2]RequestList!$J183</f>
        <v>Eagle KT</v>
      </c>
      <c r="Q182" s="65">
        <f>SUMIF(日報!$R:$R,TEXT(YEAR($Q$2),"0000")&amp;TEXT(MONTH($Q$2),"00")&amp;$O182,日報!$L:$L)</f>
        <v>0</v>
      </c>
      <c r="R182" s="65">
        <f ca="1">SUMIF(日報!$J:$J,$O182,日報!$L:$L)</f>
        <v>0</v>
      </c>
    </row>
    <row r="183" spans="10:18" x14ac:dyDescent="0.15">
      <c r="J183" s="7" t="str">
        <f>[3]業務定義!$J185</f>
        <v/>
      </c>
      <c r="K183" s="7">
        <f>[3]業務定義!$A185</f>
        <v>0</v>
      </c>
      <c r="L183" s="208"/>
      <c r="M183" s="65">
        <f ca="1">SUMIF(日報!$P:$P,TEXT(YEAR($M$2),"0000")&amp;TEXT(MONTH($M$2),"00")&amp;$K183,日報!$L:$L)</f>
        <v>0</v>
      </c>
      <c r="O183" s="7" t="str">
        <f>"REQ"&amp;TEXT([2]RequestList!$A184,"0000")</f>
        <v>REQ21718</v>
      </c>
      <c r="P183" s="7" t="str">
        <f>[2]RequestList!$J184</f>
        <v>Windowsアカウントパスワード変更</v>
      </c>
      <c r="Q183" s="65">
        <f>SUMIF(日報!$R:$R,TEXT(YEAR($Q$2),"0000")&amp;TEXT(MONTH($Q$2),"00")&amp;$O183,日報!$L:$L)</f>
        <v>0</v>
      </c>
      <c r="R183" s="65">
        <f ca="1">SUMIF(日報!$J:$J,$O183,日報!$L:$L)</f>
        <v>0</v>
      </c>
    </row>
    <row r="184" spans="10:18" x14ac:dyDescent="0.15">
      <c r="J184" s="7" t="str">
        <f>[3]業務定義!$J186</f>
        <v/>
      </c>
      <c r="K184" s="7">
        <f>[3]業務定義!$A186</f>
        <v>0</v>
      </c>
      <c r="L184" s="208"/>
      <c r="M184" s="65">
        <f ca="1">SUMIF(日報!$P:$P,TEXT(YEAR($M$2),"0000")&amp;TEXT(MONTH($M$2),"00")&amp;$K184,日報!$L:$L)</f>
        <v>0</v>
      </c>
      <c r="O184" s="7" t="str">
        <f>"REQ"&amp;TEXT([2]RequestList!$A185,"0000")</f>
        <v>REQ21719</v>
      </c>
      <c r="P184" s="7" t="str">
        <f>[2]RequestList!$J185</f>
        <v>MBOX新規作成について</v>
      </c>
      <c r="Q184" s="65">
        <f>SUMIF(日報!$R:$R,TEXT(YEAR($Q$2),"0000")&amp;TEXT(MONTH($Q$2),"00")&amp;$O184,日報!$L:$L)</f>
        <v>0</v>
      </c>
      <c r="R184" s="65">
        <f ca="1">SUMIF(日報!$J:$J,$O184,日報!$L:$L)</f>
        <v>0</v>
      </c>
    </row>
    <row r="185" spans="10:18" x14ac:dyDescent="0.15">
      <c r="J185" s="7" t="str">
        <f>[3]業務定義!$J187</f>
        <v/>
      </c>
      <c r="K185" s="7">
        <f>[3]業務定義!$A187</f>
        <v>0</v>
      </c>
      <c r="L185" s="208"/>
      <c r="M185" s="65">
        <f ca="1">SUMIF(日報!$P:$P,TEXT(YEAR($M$2),"0000")&amp;TEXT(MONTH($M$2),"00")&amp;$K185,日報!$L:$L)</f>
        <v>0</v>
      </c>
      <c r="O185" s="7" t="str">
        <f>"REQ"&amp;TEXT([2]RequestList!$A186,"0000")</f>
        <v>REQ21720</v>
      </c>
      <c r="P185" s="7" t="str">
        <f>[2]RequestList!$J186</f>
        <v>Chatter投稿の削除について</v>
      </c>
      <c r="Q185" s="65">
        <f>SUMIF(日報!$R:$R,TEXT(YEAR($Q$2),"0000")&amp;TEXT(MONTH($Q$2),"00")&amp;$O185,日報!$L:$L)</f>
        <v>0</v>
      </c>
      <c r="R185" s="65">
        <f ca="1">SUMIF(日報!$J:$J,$O185,日報!$L:$L)</f>
        <v>0</v>
      </c>
    </row>
    <row r="186" spans="10:18" x14ac:dyDescent="0.15">
      <c r="J186" s="7" t="str">
        <f>[3]業務定義!$J188</f>
        <v/>
      </c>
      <c r="K186" s="7">
        <f>[3]業務定義!$A188</f>
        <v>0</v>
      </c>
      <c r="L186" s="208"/>
      <c r="M186" s="65">
        <f ca="1">SUMIF(日報!$P:$P,TEXT(YEAR($M$2),"0000")&amp;TEXT(MONTH($M$2),"00")&amp;$K186,日報!$L:$L)</f>
        <v>0</v>
      </c>
      <c r="O186" s="7" t="str">
        <f>"REQ"&amp;TEXT([2]RequestList!$A187,"0000")</f>
        <v>REQ21721</v>
      </c>
      <c r="P186" s="7" t="str">
        <f>[2]RequestList!$J187</f>
        <v>権限移譲　上田さん⇒大野さん</v>
      </c>
      <c r="Q186" s="65">
        <f>SUMIF(日報!$R:$R,TEXT(YEAR($Q$2),"0000")&amp;TEXT(MONTH($Q$2),"00")&amp;$O186,日報!$L:$L)</f>
        <v>0</v>
      </c>
      <c r="R186" s="65">
        <f ca="1">SUMIF(日報!$J:$J,$O186,日報!$L:$L)</f>
        <v>0</v>
      </c>
    </row>
    <row r="187" spans="10:18" x14ac:dyDescent="0.15">
      <c r="J187" s="7" t="str">
        <f>[3]業務定義!$J189</f>
        <v/>
      </c>
      <c r="K187" s="7">
        <f>[3]業務定義!$A189</f>
        <v>0</v>
      </c>
      <c r="L187" s="208"/>
      <c r="M187" s="65">
        <f ca="1">SUMIF(日報!$P:$P,TEXT(YEAR($M$2),"0000")&amp;TEXT(MONTH($M$2),"00")&amp;$K187,日報!$L:$L)</f>
        <v>0</v>
      </c>
      <c r="O187" s="7" t="str">
        <f>"REQ"&amp;TEXT([2]RequestList!$A188,"0000")</f>
        <v>REQ21722</v>
      </c>
      <c r="P187" s="7" t="str">
        <f>[2]RequestList!$J188</f>
        <v>POP10時分がMBOX未受信</v>
      </c>
      <c r="Q187" s="65">
        <f>SUMIF(日報!$R:$R,TEXT(YEAR($Q$2),"0000")&amp;TEXT(MONTH($Q$2),"00")&amp;$O187,日報!$L:$L)</f>
        <v>0</v>
      </c>
      <c r="R187" s="65">
        <f ca="1">SUMIF(日報!$J:$J,$O187,日報!$L:$L)</f>
        <v>0</v>
      </c>
    </row>
    <row r="188" spans="10:18" x14ac:dyDescent="0.15">
      <c r="J188" s="7" t="str">
        <f>[3]業務定義!$J190</f>
        <v/>
      </c>
      <c r="K188" s="7">
        <f>[3]業務定義!$A190</f>
        <v>0</v>
      </c>
      <c r="L188" s="208"/>
      <c r="M188" s="65">
        <f ca="1">SUMIF(日報!$P:$P,TEXT(YEAR($M$2),"0000")&amp;TEXT(MONTH($M$2),"00")&amp;$K188,日報!$L:$L)</f>
        <v>0</v>
      </c>
      <c r="O188" s="7" t="str">
        <f>"REQ"&amp;TEXT([2]RequestList!$A189,"0000")</f>
        <v>REQ21723</v>
      </c>
      <c r="P188" s="7" t="str">
        <f>[2]RequestList!$J189</f>
        <v>施設案内情報のCopy&amp;Pasteの作成依頼</v>
      </c>
      <c r="Q188" s="65">
        <f>SUMIF(日報!$R:$R,TEXT(YEAR($Q$2),"0000")&amp;TEXT(MONTH($Q$2),"00")&amp;$O188,日報!$L:$L)</f>
        <v>0</v>
      </c>
      <c r="R188" s="65">
        <f ca="1">SUMIF(日報!$J:$J,$O188,日報!$L:$L)</f>
        <v>0</v>
      </c>
    </row>
    <row r="189" spans="10:18" x14ac:dyDescent="0.15">
      <c r="J189" s="7" t="str">
        <f>[3]業務定義!$J191</f>
        <v/>
      </c>
      <c r="K189" s="7">
        <f>[3]業務定義!$A191</f>
        <v>0</v>
      </c>
      <c r="L189" s="208"/>
      <c r="M189" s="65">
        <f ca="1">SUMIF(日報!$P:$P,TEXT(YEAR($M$2),"0000")&amp;TEXT(MONTH($M$2),"00")&amp;$K189,日報!$L:$L)</f>
        <v>0</v>
      </c>
      <c r="O189" s="7" t="str">
        <f>"REQ"&amp;TEXT([2]RequestList!$A190,"0000")</f>
        <v>REQ21724</v>
      </c>
      <c r="P189" s="7" t="str">
        <f>[2]RequestList!$J190</f>
        <v>Chatterグループからの脱退について</v>
      </c>
      <c r="Q189" s="65">
        <f>SUMIF(日報!$R:$R,TEXT(YEAR($Q$2),"0000")&amp;TEXT(MONTH($Q$2),"00")&amp;$O189,日報!$L:$L)</f>
        <v>0</v>
      </c>
      <c r="R189" s="65">
        <f ca="1">SUMIF(日報!$J:$J,$O189,日報!$L:$L)</f>
        <v>0</v>
      </c>
    </row>
    <row r="190" spans="10:18" x14ac:dyDescent="0.15">
      <c r="J190" s="7" t="str">
        <f>[3]業務定義!$J192</f>
        <v/>
      </c>
      <c r="K190" s="7">
        <f>[3]業務定義!$A192</f>
        <v>0</v>
      </c>
      <c r="L190" s="208"/>
      <c r="M190" s="65">
        <f ca="1">SUMIF(日報!$P:$P,TEXT(YEAR($M$2),"0000")&amp;TEXT(MONTH($M$2),"00")&amp;$K190,日報!$L:$L)</f>
        <v>0</v>
      </c>
      <c r="O190" s="7" t="str">
        <f>"REQ"&amp;TEXT([2]RequestList!$A191,"0000")</f>
        <v>REQ21725</v>
      </c>
      <c r="P190" s="7" t="str">
        <f>[2]RequestList!$J191</f>
        <v>MyACUVUE+ Admin toolのアカウント作成</v>
      </c>
      <c r="Q190" s="65">
        <f>SUMIF(日報!$R:$R,TEXT(YEAR($Q$2),"0000")&amp;TEXT(MONTH($Q$2),"00")&amp;$O190,日報!$L:$L)</f>
        <v>0</v>
      </c>
      <c r="R190" s="65">
        <f ca="1">SUMIF(日報!$J:$J,$O190,日報!$L:$L)</f>
        <v>0</v>
      </c>
    </row>
    <row r="191" spans="10:18" x14ac:dyDescent="0.15">
      <c r="J191" s="7" t="str">
        <f>[3]業務定義!$J193</f>
        <v/>
      </c>
      <c r="K191" s="7">
        <f>[3]業務定義!$A193</f>
        <v>0</v>
      </c>
      <c r="L191" s="208"/>
      <c r="M191" s="65">
        <f ca="1">SUMIF(日報!$P:$P,TEXT(YEAR($M$2),"0000")&amp;TEXT(MONTH($M$2),"00")&amp;$K191,日報!$L:$L)</f>
        <v>0</v>
      </c>
      <c r="O191" s="7" t="str">
        <f>"REQ"&amp;TEXT([2]RequestList!$A192,"0000")</f>
        <v>REQ21726</v>
      </c>
      <c r="P191" s="7" t="str">
        <f>[2]RequestList!$J192</f>
        <v>PC機種変更について</v>
      </c>
      <c r="Q191" s="65">
        <f>SUMIF(日報!$R:$R,TEXT(YEAR($Q$2),"0000")&amp;TEXT(MONTH($Q$2),"00")&amp;$O191,日報!$L:$L)</f>
        <v>0</v>
      </c>
      <c r="R191" s="65">
        <f ca="1">SUMIF(日報!$J:$J,$O191,日報!$L:$L)</f>
        <v>0</v>
      </c>
    </row>
    <row r="192" spans="10:18" x14ac:dyDescent="0.15">
      <c r="J192" s="7" t="str">
        <f>[3]業務定義!$J194</f>
        <v/>
      </c>
      <c r="K192" s="7">
        <f>[3]業務定義!$A194</f>
        <v>0</v>
      </c>
      <c r="L192" s="208"/>
      <c r="M192" s="65">
        <f ca="1">SUMIF(日報!$P:$P,TEXT(YEAR($M$2),"0000")&amp;TEXT(MONTH($M$2),"00")&amp;$K192,日報!$L:$L)</f>
        <v>0</v>
      </c>
      <c r="O192" s="7" t="str">
        <f>"REQ"&amp;TEXT([2]RequestList!$A193,"0000")</f>
        <v>REQ21727</v>
      </c>
      <c r="P192" s="7" t="str">
        <f>[2]RequestList!$J193</f>
        <v>【定期便】出荷メールに変数が出力されている</v>
      </c>
      <c r="Q192" s="65">
        <f>SUMIF(日報!$R:$R,TEXT(YEAR($Q$2),"0000")&amp;TEXT(MONTH($Q$2),"00")&amp;$O192,日報!$L:$L)</f>
        <v>0</v>
      </c>
      <c r="R192" s="65">
        <f ca="1">SUMIF(日報!$J:$J,$O192,日報!$L:$L)</f>
        <v>0</v>
      </c>
    </row>
    <row r="193" spans="10:18" x14ac:dyDescent="0.15">
      <c r="J193" s="7" t="str">
        <f>[3]業務定義!$J195</f>
        <v/>
      </c>
      <c r="K193" s="7">
        <f>[3]業務定義!$A195</f>
        <v>0</v>
      </c>
      <c r="L193" s="208"/>
      <c r="M193" s="65">
        <f ca="1">SUMIF(日報!$P:$P,TEXT(YEAR($M$2),"0000")&amp;TEXT(MONTH($M$2),"00")&amp;$K193,日報!$L:$L)</f>
        <v>0</v>
      </c>
      <c r="O193" s="7" t="str">
        <f>"REQ"&amp;TEXT([2]RequestList!$A194,"0000")</f>
        <v>REQ21728</v>
      </c>
      <c r="P193" s="7" t="str">
        <f>[2]RequestList!$J194</f>
        <v>初期在庫の品目マスタの表示文言について</v>
      </c>
      <c r="Q193" s="65">
        <f>SUMIF(日報!$R:$R,TEXT(YEAR($Q$2),"0000")&amp;TEXT(MONTH($Q$2),"00")&amp;$O193,日報!$L:$L)</f>
        <v>0</v>
      </c>
      <c r="R193" s="65">
        <f ca="1">SUMIF(日報!$J:$J,$O193,日報!$L:$L)</f>
        <v>0</v>
      </c>
    </row>
    <row r="194" spans="10:18" x14ac:dyDescent="0.15">
      <c r="J194" s="7" t="str">
        <f>[3]業務定義!$J196</f>
        <v/>
      </c>
      <c r="K194" s="7">
        <f>[3]業務定義!$A196</f>
        <v>0</v>
      </c>
      <c r="L194" s="208"/>
      <c r="M194" s="65">
        <f ca="1">SUMIF(日報!$P:$P,TEXT(YEAR($M$2),"0000")&amp;TEXT(MONTH($M$2),"00")&amp;$K194,日報!$L:$L)</f>
        <v>0</v>
      </c>
      <c r="O194" s="7" t="str">
        <f>"REQ"&amp;TEXT([2]RequestList!$A195,"0000")</f>
        <v>REQ21729</v>
      </c>
      <c r="P194" s="7" t="str">
        <f>[2]RequestList!$J195</f>
        <v>POP21日21時分がMBOX未受信</v>
      </c>
      <c r="Q194" s="65">
        <f>SUMIF(日報!$R:$R,TEXT(YEAR($Q$2),"0000")&amp;TEXT(MONTH($Q$2),"00")&amp;$O194,日報!$L:$L)</f>
        <v>0</v>
      </c>
      <c r="R194" s="65">
        <f ca="1">SUMIF(日報!$J:$J,$O194,日報!$L:$L)</f>
        <v>0</v>
      </c>
    </row>
    <row r="195" spans="10:18" x14ac:dyDescent="0.15">
      <c r="J195" s="7" t="str">
        <f>[3]業務定義!$J197</f>
        <v/>
      </c>
      <c r="K195" s="7">
        <f>[3]業務定義!$A197</f>
        <v>0</v>
      </c>
      <c r="L195" s="208"/>
      <c r="M195" s="65">
        <f ca="1">SUMIF(日報!$P:$P,TEXT(YEAR($M$2),"0000")&amp;TEXT(MONTH($M$2),"00")&amp;$K195,日報!$L:$L)</f>
        <v>0</v>
      </c>
      <c r="O195" s="7" t="str">
        <f>"REQ"&amp;TEXT([2]RequestList!$A196,"0000")</f>
        <v>REQ21730</v>
      </c>
      <c r="P195" s="7" t="str">
        <f>[2]RequestList!$J196</f>
        <v>SFDCアカウント申請方法について</v>
      </c>
      <c r="Q195" s="65">
        <f>SUMIF(日報!$R:$R,TEXT(YEAR($Q$2),"0000")&amp;TEXT(MONTH($Q$2),"00")&amp;$O195,日報!$L:$L)</f>
        <v>0</v>
      </c>
      <c r="R195" s="65">
        <f ca="1">SUMIF(日報!$J:$J,$O195,日報!$L:$L)</f>
        <v>0</v>
      </c>
    </row>
    <row r="196" spans="10:18" x14ac:dyDescent="0.15">
      <c r="J196" s="7" t="str">
        <f>[3]業務定義!$J198</f>
        <v/>
      </c>
      <c r="K196" s="7">
        <f>[3]業務定義!$A198</f>
        <v>0</v>
      </c>
      <c r="L196" s="208"/>
      <c r="M196" s="65">
        <f ca="1">SUMIF(日報!$P:$P,TEXT(YEAR($M$2),"0000")&amp;TEXT(MONTH($M$2),"00")&amp;$K196,日報!$L:$L)</f>
        <v>0</v>
      </c>
      <c r="O196" s="7" t="str">
        <f>"REQ"&amp;TEXT([2]RequestList!$A197,"0000")</f>
        <v>REQ21731</v>
      </c>
      <c r="P196" s="7" t="str">
        <f>[2]RequestList!$J197</f>
        <v>アカウント権限の変更</v>
      </c>
      <c r="Q196" s="65">
        <f>SUMIF(日報!$R:$R,TEXT(YEAR($Q$2),"0000")&amp;TEXT(MONTH($Q$2),"00")&amp;$O196,日報!$L:$L)</f>
        <v>0</v>
      </c>
      <c r="R196" s="65">
        <f ca="1">SUMIF(日報!$J:$J,$O196,日報!$L:$L)</f>
        <v>0</v>
      </c>
    </row>
    <row r="197" spans="10:18" x14ac:dyDescent="0.15">
      <c r="J197" s="7" t="str">
        <f>[3]業務定義!$J199</f>
        <v/>
      </c>
      <c r="K197" s="7">
        <f>[3]業務定義!$A199</f>
        <v>0</v>
      </c>
      <c r="L197" s="208"/>
      <c r="M197" s="65">
        <f ca="1">SUMIF(日報!$P:$P,TEXT(YEAR($M$2),"0000")&amp;TEXT(MONTH($M$2),"00")&amp;$K197,日報!$L:$L)</f>
        <v>0</v>
      </c>
      <c r="O197" s="7" t="str">
        <f>"REQ"&amp;TEXT([2]RequestList!$A198,"0000")</f>
        <v>REQ21732</v>
      </c>
      <c r="P197" s="7" t="str">
        <f>[2]RequestList!$J198</f>
        <v>SFDCのレポートについて</v>
      </c>
      <c r="Q197" s="65">
        <f>SUMIF(日報!$R:$R,TEXT(YEAR($Q$2),"0000")&amp;TEXT(MONTH($Q$2),"00")&amp;$O197,日報!$L:$L)</f>
        <v>0</v>
      </c>
      <c r="R197" s="65">
        <f ca="1">SUMIF(日報!$J:$J,$O197,日報!$L:$L)</f>
        <v>0</v>
      </c>
    </row>
    <row r="198" spans="10:18" x14ac:dyDescent="0.15">
      <c r="J198" s="7" t="str">
        <f>[3]業務定義!$J200</f>
        <v/>
      </c>
      <c r="K198" s="7">
        <f>[3]業務定義!$A200</f>
        <v>0</v>
      </c>
      <c r="L198" s="208"/>
      <c r="M198" s="65">
        <f ca="1">SUMIF(日報!$P:$P,TEXT(YEAR($M$2),"0000")&amp;TEXT(MONTH($M$2),"00")&amp;$K198,日報!$L:$L)</f>
        <v>0</v>
      </c>
      <c r="O198" s="7" t="str">
        <f>"REQ"&amp;TEXT([2]RequestList!$A199,"0000")</f>
        <v>REQ21733</v>
      </c>
      <c r="P198" s="7" t="str">
        <f>[2]RequestList!$J199</f>
        <v>同じACUVUEコードに処方が複数紐づいている</v>
      </c>
      <c r="Q198" s="65">
        <f>SUMIF(日報!$R:$R,TEXT(YEAR($Q$2),"0000")&amp;TEXT(MONTH($Q$2),"00")&amp;$O198,日報!$L:$L)</f>
        <v>0</v>
      </c>
      <c r="R198" s="65">
        <f ca="1">SUMIF(日報!$J:$J,$O198,日報!$L:$L)</f>
        <v>0</v>
      </c>
    </row>
    <row r="199" spans="10:18" x14ac:dyDescent="0.15">
      <c r="J199" s="7" t="str">
        <f>[3]業務定義!$J201</f>
        <v/>
      </c>
      <c r="K199" s="7">
        <f>[3]業務定義!$A201</f>
        <v>0</v>
      </c>
      <c r="L199" s="208"/>
      <c r="M199" s="65">
        <f ca="1">SUMIF(日報!$P:$P,TEXT(YEAR($M$2),"0000")&amp;TEXT(MONTH($M$2),"00")&amp;$K199,日報!$L:$L)</f>
        <v>0</v>
      </c>
      <c r="O199" s="7" t="str">
        <f>"REQ"&amp;TEXT([2]RequestList!$A200,"0000")</f>
        <v>REQ21734</v>
      </c>
      <c r="P199" s="7" t="str">
        <f>[2]RequestList!$J200</f>
        <v>NewGroupNumECPIdImport error</v>
      </c>
      <c r="Q199" s="65">
        <f>SUMIF(日報!$R:$R,TEXT(YEAR($Q$2),"0000")&amp;TEXT(MONTH($Q$2),"00")&amp;$O199,日報!$L:$L)</f>
        <v>0</v>
      </c>
      <c r="R199" s="65">
        <f ca="1">SUMIF(日報!$J:$J,$O199,日報!$L:$L)</f>
        <v>0</v>
      </c>
    </row>
    <row r="200" spans="10:18" x14ac:dyDescent="0.15">
      <c r="J200" s="7" t="str">
        <f>[3]業務定義!$J202</f>
        <v/>
      </c>
      <c r="K200" s="7">
        <f>[3]業務定義!$A202</f>
        <v>0</v>
      </c>
      <c r="L200" s="208"/>
      <c r="M200" s="65">
        <f ca="1">SUMIF(日報!$P:$P,TEXT(YEAR($M$2),"0000")&amp;TEXT(MONTH($M$2),"00")&amp;$K200,日報!$L:$L)</f>
        <v>0</v>
      </c>
      <c r="O200" s="7" t="str">
        <f>"REQ"&amp;TEXT([2]RequestList!$A201,"0000")</f>
        <v>REQ21735</v>
      </c>
      <c r="P200" s="7" t="str">
        <f>[2]RequestList!$J201</f>
        <v>メールアドレス変更</v>
      </c>
      <c r="Q200" s="65">
        <f>SUMIF(日報!$R:$R,TEXT(YEAR($Q$2),"0000")&amp;TEXT(MONTH($Q$2),"00")&amp;$O200,日報!$L:$L)</f>
        <v>0</v>
      </c>
      <c r="R200" s="65">
        <f ca="1">SUMIF(日報!$J:$J,$O200,日報!$L:$L)</f>
        <v>0</v>
      </c>
    </row>
    <row r="201" spans="10:18" x14ac:dyDescent="0.15">
      <c r="J201" s="7" t="str">
        <f>[3]業務定義!$J203</f>
        <v/>
      </c>
      <c r="K201" s="7">
        <f>[3]業務定義!$A203</f>
        <v>0</v>
      </c>
      <c r="L201" s="208"/>
      <c r="M201" s="65">
        <f ca="1">SUMIF(日報!$P:$P,TEXT(YEAR($M$2),"0000")&amp;TEXT(MONTH($M$2),"00")&amp;$K201,日報!$L:$L)</f>
        <v>0</v>
      </c>
      <c r="O201" s="7" t="str">
        <f>"REQ"&amp;TEXT([2]RequestList!$A202,"0000")</f>
        <v>REQ21736</v>
      </c>
      <c r="P201" s="7" t="str">
        <f>[2]RequestList!$J202</f>
        <v>【Inquiry】（要確認）Calendar_d Tableについて
カレンダーマスタに設定されている値が不正。</v>
      </c>
      <c r="Q201" s="65">
        <f>SUMIF(日報!$R:$R,TEXT(YEAR($Q$2),"0000")&amp;TEXT(MONTH($Q$2),"00")&amp;$O201,日報!$L:$L)</f>
        <v>0</v>
      </c>
      <c r="R201" s="65">
        <f ca="1">SUMIF(日報!$J:$J,$O201,日報!$L:$L)</f>
        <v>0</v>
      </c>
    </row>
    <row r="202" spans="10:18" x14ac:dyDescent="0.15">
      <c r="J202" s="7" t="str">
        <f>[3]業務定義!$J204</f>
        <v/>
      </c>
      <c r="K202" s="7">
        <f>[3]業務定義!$A204</f>
        <v>0</v>
      </c>
      <c r="L202" s="208"/>
      <c r="M202" s="65">
        <f ca="1">SUMIF(日報!$P:$P,TEXT(YEAR($M$2),"0000")&amp;TEXT(MONTH($M$2),"00")&amp;$K202,日報!$L:$L)</f>
        <v>0</v>
      </c>
      <c r="O202" s="7" t="str">
        <f>"REQ"&amp;TEXT([2]RequestList!$A203,"0000")</f>
        <v>REQ21737</v>
      </c>
      <c r="P202" s="7" t="str">
        <f>[2]RequestList!$J203</f>
        <v>【Inquiry】Growth Rebate Manegmentについて
■内容
Panorama Growth Rebate Manegment の【ブランチ】でソートする際のリストに新旧ブランチが混在している
■ご確認頂きたいこと
①表示されている【法人毎】の実績に影響がないか
②この状態はいつまで継続するか</v>
      </c>
      <c r="Q202" s="65">
        <f>SUMIF(日報!$R:$R,TEXT(YEAR($Q$2),"0000")&amp;TEXT(MONTH($Q$2),"00")&amp;$O202,日報!$L:$L)</f>
        <v>0</v>
      </c>
      <c r="R202" s="65">
        <f ca="1">SUMIF(日報!$J:$J,$O202,日報!$L:$L)</f>
        <v>0</v>
      </c>
    </row>
    <row r="203" spans="10:18" x14ac:dyDescent="0.15">
      <c r="J203" s="7" t="str">
        <f>[3]業務定義!$J205</f>
        <v/>
      </c>
      <c r="K203" s="7">
        <f>[3]業務定義!$A205</f>
        <v>0</v>
      </c>
      <c r="L203" s="208"/>
      <c r="M203" s="65">
        <f ca="1">SUMIF(日報!$P:$P,TEXT(YEAR($M$2),"0000")&amp;TEXT(MONTH($M$2),"00")&amp;$K203,日報!$L:$L)</f>
        <v>0</v>
      </c>
      <c r="O203" s="7" t="str">
        <f>"REQ"&amp;TEXT([2]RequestList!$A204,"0000")</f>
        <v>REQ21738</v>
      </c>
      <c r="P203" s="7" t="str">
        <f>[2]RequestList!$J204</f>
        <v>【Inquiry】Solace dashboardのドキュメント有無確認</v>
      </c>
      <c r="Q203" s="65">
        <f>SUMIF(日報!$R:$R,TEXT(YEAR($Q$2),"0000")&amp;TEXT(MONTH($Q$2),"00")&amp;$O203,日報!$L:$L)</f>
        <v>0</v>
      </c>
      <c r="R203" s="65">
        <f ca="1">SUMIF(日報!$J:$J,$O203,日報!$L:$L)</f>
        <v>0</v>
      </c>
    </row>
    <row r="204" spans="10:18" x14ac:dyDescent="0.15">
      <c r="J204" s="7" t="str">
        <f>[3]業務定義!$J206</f>
        <v/>
      </c>
      <c r="K204" s="7">
        <f>[3]業務定義!$A206</f>
        <v>0</v>
      </c>
      <c r="L204" s="208"/>
      <c r="M204" s="65">
        <f ca="1">SUMIF(日報!$P:$P,TEXT(YEAR($M$2),"0000")&amp;TEXT(MONTH($M$2),"00")&amp;$K204,日報!$L:$L)</f>
        <v>0</v>
      </c>
      <c r="O204" s="7" t="str">
        <f>"REQ"&amp;TEXT([2]RequestList!$A205,"0000")</f>
        <v>REQ21739</v>
      </c>
      <c r="P204" s="7" t="str">
        <f>[2]RequestList!$J205</f>
        <v>【Inquiry】チケット数の件数確認</v>
      </c>
      <c r="Q204" s="65">
        <f>SUMIF(日報!$R:$R,TEXT(YEAR($Q$2),"0000")&amp;TEXT(MONTH($Q$2),"00")&amp;$O204,日報!$L:$L)</f>
        <v>0</v>
      </c>
      <c r="R204" s="65">
        <f ca="1">SUMIF(日報!$J:$J,$O204,日報!$L:$L)</f>
        <v>0</v>
      </c>
    </row>
    <row r="205" spans="10:18" x14ac:dyDescent="0.15">
      <c r="J205" s="7" t="str">
        <f>[3]業務定義!$J207</f>
        <v/>
      </c>
      <c r="K205" s="7">
        <f>[3]業務定義!$A207</f>
        <v>0</v>
      </c>
      <c r="L205" s="208"/>
      <c r="M205" s="65">
        <f ca="1">SUMIF(日報!$P:$P,TEXT(YEAR($M$2),"0000")&amp;TEXT(MONTH($M$2),"00")&amp;$K205,日報!$L:$L)</f>
        <v>0</v>
      </c>
      <c r="O205" s="7" t="str">
        <f>"REQ"&amp;TEXT([2]RequestList!$A206,"0000")</f>
        <v>REQ21740</v>
      </c>
      <c r="P205" s="7" t="str">
        <f>[2]RequestList!$J206</f>
        <v>【Inquiry】 JVC: Sales Dashboardにアクセス不可</v>
      </c>
      <c r="Q205" s="65">
        <f>SUMIF(日報!$R:$R,TEXT(YEAR($Q$2),"0000")&amp;TEXT(MONTH($Q$2),"00")&amp;$O205,日報!$L:$L)</f>
        <v>0</v>
      </c>
      <c r="R205" s="65">
        <f ca="1">SUMIF(日報!$J:$J,$O205,日報!$L:$L)</f>
        <v>0</v>
      </c>
    </row>
    <row r="206" spans="10:18" x14ac:dyDescent="0.15">
      <c r="J206" s="7" t="str">
        <f>[3]業務定義!$J208</f>
        <v/>
      </c>
      <c r="K206" s="7">
        <f>[3]業務定義!$A208</f>
        <v>0</v>
      </c>
      <c r="L206" s="208"/>
      <c r="M206" s="65">
        <f ca="1">SUMIF(日報!$P:$P,TEXT(YEAR($M$2),"0000")&amp;TEXT(MONTH($M$2),"00")&amp;$K206,日報!$L:$L)</f>
        <v>0</v>
      </c>
      <c r="O206" s="7" t="str">
        <f>"REQ"&amp;TEXT([2]RequestList!$A207,"0000")</f>
        <v>REQ21741</v>
      </c>
      <c r="P206" s="7" t="str">
        <f>[2]RequestList!$J207</f>
        <v>【Inquiry】"Subscription Dashboard" cannot be connected - INC000021636038</v>
      </c>
      <c r="Q206" s="65">
        <f>SUMIF(日報!$R:$R,TEXT(YEAR($Q$2),"0000")&amp;TEXT(MONTH($Q$2),"00")&amp;$O206,日報!$L:$L)</f>
        <v>0</v>
      </c>
      <c r="R206" s="65">
        <f ca="1">SUMIF(日報!$J:$J,$O206,日報!$L:$L)</f>
        <v>0</v>
      </c>
    </row>
    <row r="207" spans="10:18" x14ac:dyDescent="0.15">
      <c r="J207" s="7" t="str">
        <f>[3]業務定義!$J209</f>
        <v/>
      </c>
      <c r="K207" s="7">
        <f>[3]業務定義!$A209</f>
        <v>0</v>
      </c>
      <c r="L207" s="208"/>
      <c r="M207" s="65">
        <f ca="1">SUMIF(日報!$P:$P,TEXT(YEAR($M$2),"0000")&amp;TEXT(MONTH($M$2),"00")&amp;$K207,日報!$L:$L)</f>
        <v>0</v>
      </c>
      <c r="O207" s="7" t="str">
        <f>"REQ"&amp;TEXT([2]RequestList!$A208,"0000")</f>
        <v>REQ21742</v>
      </c>
      <c r="P207" s="7" t="str">
        <f>[2]RequestList!$J208</f>
        <v>【定期便】カードを更新したのにカード更新依頼のメールが来る</v>
      </c>
      <c r="Q207" s="65">
        <f>SUMIF(日報!$R:$R,TEXT(YEAR($Q$2),"0000")&amp;TEXT(MONTH($Q$2),"00")&amp;$O207,日報!$L:$L)</f>
        <v>0</v>
      </c>
      <c r="R207" s="65">
        <f ca="1">SUMIF(日報!$J:$J,$O207,日報!$L:$L)</f>
        <v>0</v>
      </c>
    </row>
    <row r="208" spans="10:18" x14ac:dyDescent="0.15">
      <c r="J208" s="7" t="str">
        <f>[3]業務定義!$J210</f>
        <v/>
      </c>
      <c r="K208" s="7">
        <f>[3]業務定義!$A210</f>
        <v>0</v>
      </c>
      <c r="L208" s="208"/>
      <c r="M208" s="65">
        <f ca="1">SUMIF(日報!$P:$P,TEXT(YEAR($M$2),"0000")&amp;TEXT(MONTH($M$2),"00")&amp;$K208,日報!$L:$L)</f>
        <v>0</v>
      </c>
      <c r="O208" s="7" t="str">
        <f>"REQ"&amp;TEXT([2]RequestList!$A209,"0000")</f>
        <v>REQ21743</v>
      </c>
      <c r="P208" s="7" t="str">
        <f>[2]RequestList!$J209</f>
        <v>AOSの仕様に関する問い合わせ</v>
      </c>
      <c r="Q208" s="65">
        <f>SUMIF(日報!$R:$R,TEXT(YEAR($Q$2),"0000")&amp;TEXT(MONTH($Q$2),"00")&amp;$O208,日報!$L:$L)</f>
        <v>0</v>
      </c>
      <c r="R208" s="65">
        <f ca="1">SUMIF(日報!$J:$J,$O208,日報!$L:$L)</f>
        <v>0</v>
      </c>
    </row>
    <row r="209" spans="10:18" x14ac:dyDescent="0.15">
      <c r="J209" s="7" t="str">
        <f>[3]業務定義!$J211</f>
        <v/>
      </c>
      <c r="K209" s="7">
        <f>[3]業務定義!$A211</f>
        <v>0</v>
      </c>
      <c r="L209" s="208"/>
      <c r="M209" s="65">
        <f ca="1">SUMIF(日報!$P:$P,TEXT(YEAR($M$2),"0000")&amp;TEXT(MONTH($M$2),"00")&amp;$K209,日報!$L:$L)</f>
        <v>0</v>
      </c>
      <c r="O209" s="7" t="str">
        <f>"REQ"&amp;TEXT([2]RequestList!$A210,"0000")</f>
        <v>REQ21744</v>
      </c>
      <c r="P209" s="7" t="str">
        <f>[2]RequestList!$J210</f>
        <v>【コンテンツ更新依頼書送付】【#-----】Epro パワー範囲注記追加【ASAP公開】</v>
      </c>
      <c r="Q209" s="65">
        <f>SUMIF(日報!$R:$R,TEXT(YEAR($Q$2),"0000")&amp;TEXT(MONTH($Q$2),"00")&amp;$O209,日報!$L:$L)</f>
        <v>0</v>
      </c>
      <c r="R209" s="65">
        <f ca="1">SUMIF(日報!$J:$J,$O209,日報!$L:$L)</f>
        <v>0</v>
      </c>
    </row>
    <row r="210" spans="10:18" x14ac:dyDescent="0.15">
      <c r="J210" s="7" t="str">
        <f>[3]業務定義!$J212</f>
        <v/>
      </c>
      <c r="K210" s="7">
        <f>[3]業務定義!$A212</f>
        <v>0</v>
      </c>
      <c r="L210" s="208"/>
      <c r="M210" s="65">
        <f ca="1">SUMIF(日報!$P:$P,TEXT(YEAR($M$2),"0000")&amp;TEXT(MONTH($M$2),"00")&amp;$K210,日報!$L:$L)</f>
        <v>0</v>
      </c>
      <c r="O210" s="7" t="str">
        <f>"REQ"&amp;TEXT([2]RequestList!$A211,"0000")</f>
        <v>REQ21745</v>
      </c>
      <c r="P210" s="7" t="str">
        <f>[2]RequestList!$J211</f>
        <v>Store Hospital レポートと新規Hospitalレポート</v>
      </c>
      <c r="Q210" s="65">
        <f>SUMIF(日報!$R:$R,TEXT(YEAR($Q$2),"0000")&amp;TEXT(MONTH($Q$2),"00")&amp;$O210,日報!$L:$L)</f>
        <v>0</v>
      </c>
      <c r="R210" s="65">
        <f ca="1">SUMIF(日報!$J:$J,$O210,日報!$L:$L)</f>
        <v>0</v>
      </c>
    </row>
    <row r="211" spans="10:18" x14ac:dyDescent="0.15">
      <c r="J211" s="7" t="str">
        <f>[3]業務定義!$J213</f>
        <v/>
      </c>
      <c r="K211" s="7">
        <f>[3]業務定義!$A213</f>
        <v>0</v>
      </c>
      <c r="L211" s="208"/>
      <c r="M211" s="65">
        <f ca="1">SUMIF(日報!$P:$P,TEXT(YEAR($M$2),"0000")&amp;TEXT(MONTH($M$2),"00")&amp;$K211,日報!$L:$L)</f>
        <v>0</v>
      </c>
      <c r="O211" s="7" t="str">
        <f>"REQ"&amp;TEXT([2]RequestList!$A212,"0000")</f>
        <v>REQ21746</v>
      </c>
      <c r="P211" s="7" t="str">
        <f>[2]RequestList!$J212</f>
        <v>削除したデータの件　ゴミ箱のご案内</v>
      </c>
      <c r="Q211" s="65">
        <f>SUMIF(日報!$R:$R,TEXT(YEAR($Q$2),"0000")&amp;TEXT(MONTH($Q$2),"00")&amp;$O211,日報!$L:$L)</f>
        <v>0</v>
      </c>
      <c r="R211" s="65">
        <f ca="1">SUMIF(日報!$J:$J,$O211,日報!$L:$L)</f>
        <v>0</v>
      </c>
    </row>
    <row r="212" spans="10:18" x14ac:dyDescent="0.15">
      <c r="J212" s="7" t="str">
        <f>[3]業務定義!$J214</f>
        <v/>
      </c>
      <c r="K212" s="7">
        <f>[3]業務定義!$A214</f>
        <v>0</v>
      </c>
      <c r="L212" s="208"/>
      <c r="M212" s="65">
        <f ca="1">SUMIF(日報!$P:$P,TEXT(YEAR($M$2),"0000")&amp;TEXT(MONTH($M$2),"00")&amp;$K212,日報!$L:$L)</f>
        <v>0</v>
      </c>
      <c r="O212" s="7" t="str">
        <f>"REQ"&amp;TEXT([2]RequestList!$A213,"0000")</f>
        <v>REQ21747</v>
      </c>
      <c r="P212" s="7" t="str">
        <f>[2]RequestList!$J213</f>
        <v>山口香穂さんのアカウント</v>
      </c>
      <c r="Q212" s="65">
        <f>SUMIF(日報!$R:$R,TEXT(YEAR($Q$2),"0000")&amp;TEXT(MONTH($Q$2),"00")&amp;$O212,日報!$L:$L)</f>
        <v>0</v>
      </c>
      <c r="R212" s="65">
        <f ca="1">SUMIF(日報!$J:$J,$O212,日報!$L:$L)</f>
        <v>0</v>
      </c>
    </row>
    <row r="213" spans="10:18" x14ac:dyDescent="0.15">
      <c r="J213" s="7" t="str">
        <f>[3]業務定義!$J215</f>
        <v/>
      </c>
      <c r="K213" s="7">
        <f>[3]業務定義!$A215</f>
        <v>0</v>
      </c>
      <c r="L213" s="208"/>
      <c r="M213" s="65">
        <f ca="1">SUMIF(日報!$P:$P,TEXT(YEAR($M$2),"0000")&amp;TEXT(MONTH($M$2),"00")&amp;$K213,日報!$L:$L)</f>
        <v>0</v>
      </c>
      <c r="O213" s="7" t="str">
        <f>"REQ"&amp;TEXT([2]RequestList!$A214,"0000")</f>
        <v>REQ21748</v>
      </c>
      <c r="P213" s="7" t="str">
        <f>[2]RequestList!$J214</f>
        <v>2/27有効開始のリカバリー</v>
      </c>
      <c r="Q213" s="65">
        <f>SUMIF(日報!$R:$R,TEXT(YEAR($Q$2),"0000")&amp;TEXT(MONTH($Q$2),"00")&amp;$O213,日報!$L:$L)</f>
        <v>0</v>
      </c>
      <c r="R213" s="65">
        <f ca="1">SUMIF(日報!$J:$J,$O213,日報!$L:$L)</f>
        <v>0</v>
      </c>
    </row>
    <row r="214" spans="10:18" x14ac:dyDescent="0.15">
      <c r="J214" s="7" t="str">
        <f>[3]業務定義!$J216</f>
        <v/>
      </c>
      <c r="K214" s="7">
        <f>[3]業務定義!$A216</f>
        <v>0</v>
      </c>
      <c r="L214" s="208"/>
      <c r="M214" s="65">
        <f ca="1">SUMIF(日報!$P:$P,TEXT(YEAR($M$2),"0000")&amp;TEXT(MONTH($M$2),"00")&amp;$K214,日報!$L:$L)</f>
        <v>0</v>
      </c>
      <c r="O214" s="7" t="str">
        <f>"REQ"&amp;TEXT([2]RequestList!$A215,"0000")</f>
        <v>REQ21749</v>
      </c>
      <c r="P214" s="7" t="str">
        <f>[2]RequestList!$J215</f>
        <v>Store Hospital Junction登録に関する要望</v>
      </c>
      <c r="Q214" s="65">
        <f>SUMIF(日報!$R:$R,TEXT(YEAR($Q$2),"0000")&amp;TEXT(MONTH($Q$2),"00")&amp;$O214,日報!$L:$L)</f>
        <v>0</v>
      </c>
      <c r="R214" s="65">
        <f ca="1">SUMIF(日報!$J:$J,$O214,日報!$L:$L)</f>
        <v>0</v>
      </c>
    </row>
    <row r="215" spans="10:18" x14ac:dyDescent="0.15">
      <c r="J215" s="7" t="str">
        <f>[3]業務定義!$J217</f>
        <v/>
      </c>
      <c r="K215" s="7">
        <f>[3]業務定義!$A217</f>
        <v>0</v>
      </c>
      <c r="L215" s="208"/>
      <c r="M215" s="65">
        <f ca="1">SUMIF(日報!$P:$P,TEXT(YEAR($M$2),"0000")&amp;TEXT(MONTH($M$2),"00")&amp;$K215,日報!$L:$L)</f>
        <v>0</v>
      </c>
      <c r="O215" s="7" t="str">
        <f>"REQ"&amp;TEXT([2]RequestList!$A216,"0000")</f>
        <v>REQ21750</v>
      </c>
      <c r="P215" s="7" t="str">
        <f>[2]RequestList!$J216</f>
        <v>Linuxバージョンアップ</v>
      </c>
      <c r="Q215" s="65">
        <f>SUMIF(日報!$R:$R,TEXT(YEAR($Q$2),"0000")&amp;TEXT(MONTH($Q$2),"00")&amp;$O215,日報!$L:$L)</f>
        <v>0</v>
      </c>
      <c r="R215" s="65">
        <f ca="1">SUMIF(日報!$J:$J,$O215,日報!$L:$L)</f>
        <v>0</v>
      </c>
    </row>
    <row r="216" spans="10:18" x14ac:dyDescent="0.15">
      <c r="J216" s="7" t="str">
        <f>[3]業務定義!$J218</f>
        <v/>
      </c>
      <c r="K216" s="7">
        <f>[3]業務定義!$A218</f>
        <v>0</v>
      </c>
      <c r="L216" s="208"/>
      <c r="M216" s="65">
        <f ca="1">SUMIF(日報!$P:$P,TEXT(YEAR($M$2),"0000")&amp;TEXT(MONTH($M$2),"00")&amp;$K216,日報!$L:$L)</f>
        <v>0</v>
      </c>
      <c r="O216" s="7" t="str">
        <f>"REQ"&amp;TEXT([2]RequestList!$A217,"0000")</f>
        <v>REQ21751</v>
      </c>
      <c r="P216" s="7" t="str">
        <f>[2]RequestList!$J217</f>
        <v>NewGroupNumECPIdImport rror</v>
      </c>
      <c r="Q216" s="65">
        <f>SUMIF(日報!$R:$R,TEXT(YEAR($Q$2),"0000")&amp;TEXT(MONTH($Q$2),"00")&amp;$O216,日報!$L:$L)</f>
        <v>0</v>
      </c>
      <c r="R216" s="65">
        <f ca="1">SUMIF(日報!$J:$J,$O216,日報!$L:$L)</f>
        <v>0</v>
      </c>
    </row>
    <row r="217" spans="10:18" x14ac:dyDescent="0.15">
      <c r="J217" s="7" t="str">
        <f>[3]業務定義!$J219</f>
        <v/>
      </c>
      <c r="K217" s="7">
        <f>[3]業務定義!$A219</f>
        <v>0</v>
      </c>
      <c r="L217" s="208"/>
      <c r="M217" s="65">
        <f ca="1">SUMIF(日報!$P:$P,TEXT(YEAR($M$2),"0000")&amp;TEXT(MONTH($M$2),"00")&amp;$K217,日報!$L:$L)</f>
        <v>0</v>
      </c>
      <c r="O217" s="7" t="str">
        <f>"REQ"&amp;TEXT([2]RequestList!$A218,"0000")</f>
        <v>REQ21752</v>
      </c>
      <c r="P217" s="7" t="str">
        <f>[2]RequestList!$J218</f>
        <v>AcuvueCodeClinicReport error</v>
      </c>
      <c r="Q217" s="65">
        <f>SUMIF(日報!$R:$R,TEXT(YEAR($Q$2),"0000")&amp;TEXT(MONTH($Q$2),"00")&amp;$O217,日報!$L:$L)</f>
        <v>0</v>
      </c>
      <c r="R217" s="65">
        <f ca="1">SUMIF(日報!$J:$J,$O217,日報!$L:$L)</f>
        <v>0</v>
      </c>
    </row>
    <row r="218" spans="10:18" x14ac:dyDescent="0.15">
      <c r="J218" s="7" t="str">
        <f>[3]業務定義!$J220</f>
        <v/>
      </c>
      <c r="K218" s="7">
        <f>[3]業務定義!$A220</f>
        <v>0</v>
      </c>
      <c r="L218" s="208"/>
      <c r="M218" s="65">
        <f ca="1">SUMIF(日報!$P:$P,TEXT(YEAR($M$2),"0000")&amp;TEXT(MONTH($M$2),"00")&amp;$K218,日報!$L:$L)</f>
        <v>0</v>
      </c>
      <c r="O218" s="7" t="str">
        <f>"REQ"&amp;TEXT([2]RequestList!$A219,"0000")</f>
        <v>REQ21753</v>
      </c>
      <c r="P218" s="7" t="str">
        <f>[2]RequestList!$J219</f>
        <v>2/29 10時のPOP</v>
      </c>
      <c r="Q218" s="65">
        <f>SUMIF(日報!$R:$R,TEXT(YEAR($Q$2),"0000")&amp;TEXT(MONTH($Q$2),"00")&amp;$O218,日報!$L:$L)</f>
        <v>0</v>
      </c>
      <c r="R218" s="65">
        <f ca="1">SUMIF(日報!$J:$J,$O218,日報!$L:$L)</f>
        <v>0</v>
      </c>
    </row>
    <row r="219" spans="10:18" x14ac:dyDescent="0.15">
      <c r="J219" s="7" t="str">
        <f>[3]業務定義!$J221</f>
        <v/>
      </c>
      <c r="K219" s="7">
        <f>[3]業務定義!$A221</f>
        <v>0</v>
      </c>
      <c r="L219" s="208"/>
      <c r="M219" s="65">
        <f ca="1">SUMIF(日報!$P:$P,TEXT(YEAR($M$2),"0000")&amp;TEXT(MONTH($M$2),"00")&amp;$K219,日報!$L:$L)</f>
        <v>0</v>
      </c>
      <c r="O219" s="7" t="str">
        <f>"REQ"&amp;TEXT([2]RequestList!$A220,"0000")</f>
        <v>REQ21754</v>
      </c>
      <c r="P219" s="7" t="str">
        <f>[2]RequestList!$J220</f>
        <v>2/28有効開始の新規の初期在庫</v>
      </c>
      <c r="Q219" s="65">
        <f>SUMIF(日報!$R:$R,TEXT(YEAR($Q$2),"0000")&amp;TEXT(MONTH($Q$2),"00")&amp;$O219,日報!$L:$L)</f>
        <v>0</v>
      </c>
      <c r="R219" s="65">
        <f ca="1">SUMIF(日報!$J:$J,$O219,日報!$L:$L)</f>
        <v>0</v>
      </c>
    </row>
    <row r="220" spans="10:18" x14ac:dyDescent="0.15">
      <c r="J220" s="7" t="str">
        <f>[3]業務定義!$J222</f>
        <v/>
      </c>
      <c r="K220" s="7">
        <f>[3]業務定義!$A222</f>
        <v>0</v>
      </c>
      <c r="L220" s="208"/>
      <c r="M220" s="65">
        <f ca="1">SUMIF(日報!$P:$P,TEXT(YEAR($M$2),"0000")&amp;TEXT(MONTH($M$2),"00")&amp;$K220,日報!$L:$L)</f>
        <v>0</v>
      </c>
      <c r="O220" s="7" t="str">
        <f>"REQ"&amp;TEXT([2]RequestList!$A221,"0000")</f>
        <v>REQ21755</v>
      </c>
      <c r="P220" s="7" t="str">
        <f>[2]RequestList!$J221</f>
        <v>【定期便】当月期限のCCでも予約注文は作成されるか？</v>
      </c>
      <c r="Q220" s="65">
        <f>SUMIF(日報!$R:$R,TEXT(YEAR($Q$2),"0000")&amp;TEXT(MONTH($Q$2),"00")&amp;$O220,日報!$L:$L)</f>
        <v>0</v>
      </c>
      <c r="R220" s="65">
        <f ca="1">SUMIF(日報!$J:$J,$O220,日報!$L:$L)</f>
        <v>0</v>
      </c>
    </row>
    <row r="221" spans="10:18" x14ac:dyDescent="0.15">
      <c r="J221" s="7" t="str">
        <f>[3]業務定義!$J223</f>
        <v/>
      </c>
      <c r="K221" s="7">
        <f>[3]業務定義!$A223</f>
        <v>0</v>
      </c>
      <c r="L221" s="208"/>
      <c r="M221" s="65">
        <f ca="1">SUMIF(日報!$P:$P,TEXT(YEAR($M$2),"0000")&amp;TEXT(MONTH($M$2),"00")&amp;$K221,日報!$L:$L)</f>
        <v>0</v>
      </c>
      <c r="O221" s="7" t="str">
        <f>"REQ"&amp;TEXT([2]RequestList!$A222,"0000")</f>
        <v>REQ21756</v>
      </c>
      <c r="P221" s="7" t="str">
        <f>[2]RequestList!$J222</f>
        <v>サマータイム対応</v>
      </c>
      <c r="Q221" s="65">
        <f>SUMIF(日報!$R:$R,TEXT(YEAR($Q$2),"0000")&amp;TEXT(MONTH($Q$2),"00")&amp;$O221,日報!$L:$L)</f>
        <v>0</v>
      </c>
      <c r="R221" s="65">
        <f ca="1">SUMIF(日報!$J:$J,$O221,日報!$L:$L)</f>
        <v>0</v>
      </c>
    </row>
    <row r="222" spans="10:18" x14ac:dyDescent="0.15">
      <c r="J222" s="7" t="str">
        <f>[3]業務定義!$J224</f>
        <v/>
      </c>
      <c r="K222" s="7">
        <f>[3]業務定義!$A224</f>
        <v>0</v>
      </c>
      <c r="L222" s="208"/>
      <c r="M222" s="65">
        <f ca="1">SUMIF(日報!$P:$P,TEXT(YEAR($M$2),"0000")&amp;TEXT(MONTH($M$2),"00")&amp;$K222,日報!$L:$L)</f>
        <v>0</v>
      </c>
      <c r="O222" s="7" t="str">
        <f>"REQ"&amp;TEXT([2]RequestList!$A223,"0000")</f>
        <v>REQ21757</v>
      </c>
      <c r="P222" s="7" t="str">
        <f>[2]RequestList!$J223</f>
        <v>サマータイム対応</v>
      </c>
      <c r="Q222" s="65">
        <f>SUMIF(日報!$R:$R,TEXT(YEAR($Q$2),"0000")&amp;TEXT(MONTH($Q$2),"00")&amp;$O222,日報!$L:$L)</f>
        <v>0</v>
      </c>
      <c r="R222" s="65">
        <f ca="1">SUMIF(日報!$J:$J,$O222,日報!$L:$L)</f>
        <v>0</v>
      </c>
    </row>
    <row r="223" spans="10:18" x14ac:dyDescent="0.15">
      <c r="J223" s="7" t="str">
        <f>[3]業務定義!$J225</f>
        <v/>
      </c>
      <c r="K223" s="7">
        <f>[3]業務定義!$A225</f>
        <v>0</v>
      </c>
      <c r="L223" s="208"/>
      <c r="M223" s="65">
        <f ca="1">SUMIF(日報!$P:$P,TEXT(YEAR($M$2),"0000")&amp;TEXT(MONTH($M$2),"00")&amp;$K223,日報!$L:$L)</f>
        <v>0</v>
      </c>
      <c r="O223" s="7" t="str">
        <f>"REQ"&amp;TEXT([2]RequestList!$A224,"0000")</f>
        <v>REQ21758</v>
      </c>
      <c r="P223" s="7" t="str">
        <f>[2]RequestList!$J224</f>
        <v>バッチエラー</v>
      </c>
      <c r="Q223" s="65">
        <f>SUMIF(日報!$R:$R,TEXT(YEAR($Q$2),"0000")&amp;TEXT(MONTH($Q$2),"00")&amp;$O223,日報!$L:$L)</f>
        <v>0</v>
      </c>
      <c r="R223" s="65">
        <f ca="1">SUMIF(日報!$J:$J,$O223,日報!$L:$L)</f>
        <v>0</v>
      </c>
    </row>
    <row r="224" spans="10:18" x14ac:dyDescent="0.15">
      <c r="J224" s="7" t="str">
        <f>[3]業務定義!$J226</f>
        <v/>
      </c>
      <c r="K224" s="7">
        <f>[3]業務定義!$A226</f>
        <v>0</v>
      </c>
      <c r="L224" s="208"/>
      <c r="M224" s="65">
        <f ca="1">SUMIF(日報!$P:$P,TEXT(YEAR($M$2),"0000")&amp;TEXT(MONTH($M$2),"00")&amp;$K224,日報!$L:$L)</f>
        <v>0</v>
      </c>
      <c r="O224" s="7" t="str">
        <f>"REQ"&amp;TEXT([2]RequestList!$A225,"0000")</f>
        <v>REQ21759</v>
      </c>
      <c r="P224" s="7" t="str">
        <f>[2]RequestList!$J225</f>
        <v>コールログの集計レポートについて</v>
      </c>
      <c r="Q224" s="65">
        <f>SUMIF(日報!$R:$R,TEXT(YEAR($Q$2),"0000")&amp;TEXT(MONTH($Q$2),"00")&amp;$O224,日報!$L:$L)</f>
        <v>0</v>
      </c>
      <c r="R224" s="65">
        <f ca="1">SUMIF(日報!$J:$J,$O224,日報!$L:$L)</f>
        <v>0</v>
      </c>
    </row>
    <row r="225" spans="10:18" x14ac:dyDescent="0.15">
      <c r="J225" s="7" t="str">
        <f>[3]業務定義!$J227</f>
        <v/>
      </c>
      <c r="K225" s="7">
        <f>[3]業務定義!$A227</f>
        <v>0</v>
      </c>
      <c r="L225" s="208"/>
      <c r="M225" s="65">
        <f ca="1">SUMIF(日報!$P:$P,TEXT(YEAR($M$2),"0000")&amp;TEXT(MONTH($M$2),"00")&amp;$K225,日報!$L:$L)</f>
        <v>0</v>
      </c>
      <c r="O225" s="7" t="str">
        <f>"REQ"&amp;TEXT([2]RequestList!$A226,"0000")</f>
        <v>REQ21760</v>
      </c>
      <c r="P225" s="7" t="str">
        <f>[2]RequestList!$J226</f>
        <v>ソフトウェアのインストールについて</v>
      </c>
      <c r="Q225" s="65">
        <f>SUMIF(日報!$R:$R,TEXT(YEAR($Q$2),"0000")&amp;TEXT(MONTH($Q$2),"00")&amp;$O225,日報!$L:$L)</f>
        <v>0</v>
      </c>
      <c r="R225" s="65">
        <f ca="1">SUMIF(日報!$J:$J,$O225,日報!$L:$L)</f>
        <v>0</v>
      </c>
    </row>
    <row r="226" spans="10:18" x14ac:dyDescent="0.15">
      <c r="J226" s="7" t="str">
        <f>[3]業務定義!$J228</f>
        <v/>
      </c>
      <c r="K226" s="7">
        <f>[3]業務定義!$A228</f>
        <v>0</v>
      </c>
      <c r="L226" s="208"/>
      <c r="M226" s="65">
        <f ca="1">SUMIF(日報!$P:$P,TEXT(YEAR($M$2),"0000")&amp;TEXT(MONTH($M$2),"00")&amp;$K226,日報!$L:$L)</f>
        <v>0</v>
      </c>
      <c r="O226" s="7" t="str">
        <f>"REQ"&amp;TEXT([2]RequestList!$A227,"0000")</f>
        <v>REQ21761</v>
      </c>
      <c r="P226" s="7" t="str">
        <f>[2]RequestList!$J227</f>
        <v>PED, PAのSFDCアカウントとコストについて</v>
      </c>
      <c r="Q226" s="65">
        <f>SUMIF(日報!$R:$R,TEXT(YEAR($Q$2),"0000")&amp;TEXT(MONTH($Q$2),"00")&amp;$O226,日報!$L:$L)</f>
        <v>0</v>
      </c>
      <c r="R226" s="65">
        <f ca="1">SUMIF(日報!$J:$J,$O226,日報!$L:$L)</f>
        <v>0</v>
      </c>
    </row>
    <row r="227" spans="10:18" x14ac:dyDescent="0.15">
      <c r="J227" s="7" t="str">
        <f>[3]業務定義!$J229</f>
        <v/>
      </c>
      <c r="K227" s="7">
        <f>[3]業務定義!$A229</f>
        <v>0</v>
      </c>
      <c r="L227" s="208"/>
      <c r="M227" s="65">
        <f ca="1">SUMIF(日報!$P:$P,TEXT(YEAR($M$2),"0000")&amp;TEXT(MONTH($M$2),"00")&amp;$K227,日報!$L:$L)</f>
        <v>0</v>
      </c>
      <c r="O227" s="7" t="str">
        <f>"REQ"&amp;TEXT([2]RequestList!$A228,"0000")</f>
        <v>REQ21762</v>
      </c>
      <c r="P227" s="7" t="str">
        <f>[2]RequestList!$J228</f>
        <v>J-Flowのアサイン作業の引継Meeting</v>
      </c>
      <c r="Q227" s="65">
        <f>SUMIF(日報!$R:$R,TEXT(YEAR($Q$2),"0000")&amp;TEXT(MONTH($Q$2),"00")&amp;$O227,日報!$L:$L)</f>
        <v>0</v>
      </c>
      <c r="R227" s="65">
        <f ca="1">SUMIF(日報!$J:$J,$O227,日報!$L:$L)</f>
        <v>0</v>
      </c>
    </row>
    <row r="228" spans="10:18" x14ac:dyDescent="0.15">
      <c r="J228" s="7" t="str">
        <f>[3]業務定義!$J230</f>
        <v/>
      </c>
      <c r="K228" s="7">
        <f>[3]業務定義!$A230</f>
        <v>0</v>
      </c>
      <c r="L228" s="208"/>
      <c r="M228" s="65">
        <f ca="1">SUMIF(日報!$P:$P,TEXT(YEAR($M$2),"0000")&amp;TEXT(MONTH($M$2),"00")&amp;$K228,日報!$L:$L)</f>
        <v>0</v>
      </c>
      <c r="O228" s="7" t="str">
        <f>"REQ"&amp;TEXT([2]RequestList!$A229,"0000")</f>
        <v>REQ21763</v>
      </c>
      <c r="P228" s="7" t="str">
        <f>[2]RequestList!$J229</f>
        <v>BO設定が戻らなくなってしまった</v>
      </c>
      <c r="Q228" s="65">
        <f>SUMIF(日報!$R:$R,TEXT(YEAR($Q$2),"0000")&amp;TEXT(MONTH($Q$2),"00")&amp;$O228,日報!$L:$L)</f>
        <v>0</v>
      </c>
      <c r="R228" s="65">
        <f ca="1">SUMIF(日報!$J:$J,$O228,日報!$L:$L)</f>
        <v>0</v>
      </c>
    </row>
    <row r="229" spans="10:18" x14ac:dyDescent="0.15">
      <c r="J229" s="7" t="str">
        <f>[3]業務定義!$J231</f>
        <v/>
      </c>
      <c r="K229" s="7">
        <f>[3]業務定義!$A231</f>
        <v>0</v>
      </c>
      <c r="L229" s="208"/>
      <c r="M229" s="65">
        <f ca="1">SUMIF(日報!$P:$P,TEXT(YEAR($M$2),"0000")&amp;TEXT(MONTH($M$2),"00")&amp;$K229,日報!$L:$L)</f>
        <v>0</v>
      </c>
      <c r="O229" s="7" t="str">
        <f>"REQ"&amp;TEXT([2]RequestList!$A230,"0000")</f>
        <v>REQ21764</v>
      </c>
      <c r="P229" s="7" t="str">
        <f>[2]RequestList!$J230</f>
        <v>【コンテンツ更新依頼書送付】【#0001226】Epro マニュアル更新【3/4公開】</v>
      </c>
      <c r="Q229" s="65">
        <f>SUMIF(日報!$R:$R,TEXT(YEAR($Q$2),"0000")&amp;TEXT(MONTH($Q$2),"00")&amp;$O229,日報!$L:$L)</f>
        <v>0</v>
      </c>
      <c r="R229" s="65">
        <f ca="1">SUMIF(日報!$J:$J,$O229,日報!$L:$L)</f>
        <v>0</v>
      </c>
    </row>
    <row r="230" spans="10:18" x14ac:dyDescent="0.15">
      <c r="J230" s="7" t="str">
        <f>[3]業務定義!$J232</f>
        <v/>
      </c>
      <c r="K230" s="7">
        <f>[3]業務定義!$A232</f>
        <v>0</v>
      </c>
      <c r="L230" s="208"/>
      <c r="M230" s="65">
        <f ca="1">SUMIF(日報!$P:$P,TEXT(YEAR($M$2),"0000")&amp;TEXT(MONTH($M$2),"00")&amp;$K230,日報!$L:$L)</f>
        <v>0</v>
      </c>
      <c r="O230" s="7" t="str">
        <f>"REQ"&amp;TEXT([2]RequestList!$A231,"0000")</f>
        <v>REQ21765</v>
      </c>
      <c r="P230" s="7" t="str">
        <f>[2]RequestList!$J231</f>
        <v>パスワードリセット</v>
      </c>
      <c r="Q230" s="65">
        <f>SUMIF(日報!$R:$R,TEXT(YEAR($Q$2),"0000")&amp;TEXT(MONTH($Q$2),"00")&amp;$O230,日報!$L:$L)</f>
        <v>0</v>
      </c>
      <c r="R230" s="65">
        <f ca="1">SUMIF(日報!$J:$J,$O230,日報!$L:$L)</f>
        <v>0</v>
      </c>
    </row>
    <row r="231" spans="10:18" x14ac:dyDescent="0.15">
      <c r="J231" s="7" t="str">
        <f>[3]業務定義!$J233</f>
        <v/>
      </c>
      <c r="K231" s="7">
        <f>[3]業務定義!$A233</f>
        <v>0</v>
      </c>
      <c r="L231" s="208"/>
      <c r="M231" s="65">
        <f ca="1">SUMIF(日報!$P:$P,TEXT(YEAR($M$2),"0000")&amp;TEXT(MONTH($M$2),"00")&amp;$K231,日報!$L:$L)</f>
        <v>0</v>
      </c>
      <c r="O231" s="7" t="str">
        <f>"REQ"&amp;TEXT([2]RequestList!$A232,"0000")</f>
        <v>REQ21766</v>
      </c>
      <c r="P231" s="7" t="str">
        <f>[2]RequestList!$J232</f>
        <v>OS patch用のテストスクリプト作成</v>
      </c>
      <c r="Q231" s="65">
        <f>SUMIF(日報!$R:$R,TEXT(YEAR($Q$2),"0000")&amp;TEXT(MONTH($Q$2),"00")&amp;$O231,日報!$L:$L)</f>
        <v>0</v>
      </c>
      <c r="R231" s="65">
        <f ca="1">SUMIF(日報!$J:$J,$O231,日報!$L:$L)</f>
        <v>0</v>
      </c>
    </row>
    <row r="232" spans="10:18" x14ac:dyDescent="0.15">
      <c r="J232" s="7" t="str">
        <f>[3]業務定義!$J234</f>
        <v/>
      </c>
      <c r="K232" s="7">
        <f>[3]業務定義!$A234</f>
        <v>0</v>
      </c>
      <c r="L232" s="208"/>
      <c r="M232" s="65">
        <f ca="1">SUMIF(日報!$P:$P,TEXT(YEAR($M$2),"0000")&amp;TEXT(MONTH($M$2),"00")&amp;$K232,日報!$L:$L)</f>
        <v>0</v>
      </c>
      <c r="O232" s="7" t="str">
        <f>"REQ"&amp;TEXT([2]RequestList!$A233,"0000")</f>
        <v>REQ21767</v>
      </c>
      <c r="P232" s="7" t="str">
        <f>[2]RequestList!$J233</f>
        <v>新規会員登録用のメールが届かない</v>
      </c>
      <c r="Q232" s="65">
        <f>SUMIF(日報!$R:$R,TEXT(YEAR($Q$2),"0000")&amp;TEXT(MONTH($Q$2),"00")&amp;$O232,日報!$L:$L)</f>
        <v>0</v>
      </c>
      <c r="R232" s="65">
        <f ca="1">SUMIF(日報!$J:$J,$O232,日報!$L:$L)</f>
        <v>0</v>
      </c>
    </row>
    <row r="233" spans="10:18" x14ac:dyDescent="0.15">
      <c r="J233" s="7" t="str">
        <f>[3]業務定義!$J235</f>
        <v/>
      </c>
      <c r="K233" s="7">
        <f>[3]業務定義!$A235</f>
        <v>0</v>
      </c>
      <c r="L233" s="208"/>
      <c r="M233" s="65">
        <f ca="1">SUMIF(日報!$P:$P,TEXT(YEAR($M$2),"0000")&amp;TEXT(MONTH($M$2),"00")&amp;$K233,日報!$L:$L)</f>
        <v>0</v>
      </c>
      <c r="O233" s="7" t="str">
        <f>"REQ"&amp;TEXT([2]RequestList!$A234,"0000")</f>
        <v>REQ21768</v>
      </c>
      <c r="P233" s="7" t="str">
        <f>[2]RequestList!$J234</f>
        <v>payment.acuvue.jnj.co.jpとは？</v>
      </c>
      <c r="Q233" s="65">
        <f>SUMIF(日報!$R:$R,TEXT(YEAR($Q$2),"0000")&amp;TEXT(MONTH($Q$2),"00")&amp;$O233,日報!$L:$L)</f>
        <v>0</v>
      </c>
      <c r="R233" s="65">
        <f ca="1">SUMIF(日報!$J:$J,$O233,日報!$L:$L)</f>
        <v>0</v>
      </c>
    </row>
    <row r="234" spans="10:18" x14ac:dyDescent="0.15">
      <c r="J234" s="7" t="str">
        <f>[3]業務定義!$J236</f>
        <v/>
      </c>
      <c r="K234" s="7">
        <f>[3]業務定義!$A236</f>
        <v>0</v>
      </c>
      <c r="L234" s="208"/>
      <c r="M234" s="65">
        <f ca="1">SUMIF(日報!$P:$P,TEXT(YEAR($M$2),"0000")&amp;TEXT(MONTH($M$2),"00")&amp;$K234,日報!$L:$L)</f>
        <v>0</v>
      </c>
      <c r="O234" s="7" t="str">
        <f>"REQ"&amp;TEXT([2]RequestList!$A235,"0000")</f>
        <v>REQ21769</v>
      </c>
      <c r="P234" s="7" t="str">
        <f>[2]RequestList!$J235</f>
        <v>RGS承認者の変更</v>
      </c>
      <c r="Q234" s="65">
        <f>SUMIF(日報!$R:$R,TEXT(YEAR($Q$2),"0000")&amp;TEXT(MONTH($Q$2),"00")&amp;$O234,日報!$L:$L)</f>
        <v>0</v>
      </c>
      <c r="R234" s="65">
        <f ca="1">SUMIF(日報!$J:$J,$O234,日報!$L:$L)</f>
        <v>0</v>
      </c>
    </row>
    <row r="235" spans="10:18" x14ac:dyDescent="0.15">
      <c r="J235" s="7" t="str">
        <f>[3]業務定義!$J237</f>
        <v/>
      </c>
      <c r="K235" s="7">
        <f>[3]業務定義!$A237</f>
        <v>0</v>
      </c>
      <c r="L235" s="208"/>
      <c r="M235" s="65">
        <f ca="1">SUMIF(日報!$P:$P,TEXT(YEAR($M$2),"0000")&amp;TEXT(MONTH($M$2),"00")&amp;$K235,日報!$L:$L)</f>
        <v>0</v>
      </c>
      <c r="O235" s="7" t="str">
        <f>"REQ"&amp;TEXT([2]RequestList!$A236,"0000")</f>
        <v>REQ21770</v>
      </c>
      <c r="P235" s="7" t="str">
        <f>[2]RequestList!$J236</f>
        <v>【定期便】キャンセルの理由の調査</v>
      </c>
      <c r="Q235" s="65">
        <f>SUMIF(日報!$R:$R,TEXT(YEAR($Q$2),"0000")&amp;TEXT(MONTH($Q$2),"00")&amp;$O235,日報!$L:$L)</f>
        <v>0</v>
      </c>
      <c r="R235" s="65">
        <f ca="1">SUMIF(日報!$J:$J,$O235,日報!$L:$L)</f>
        <v>0</v>
      </c>
    </row>
    <row r="236" spans="10:18" x14ac:dyDescent="0.15">
      <c r="J236" s="7" t="str">
        <f>[3]業務定義!$J238</f>
        <v/>
      </c>
      <c r="K236" s="7">
        <f>[3]業務定義!$A238</f>
        <v>0</v>
      </c>
      <c r="L236" s="208"/>
      <c r="M236" s="65">
        <f ca="1">SUMIF(日報!$P:$P,TEXT(YEAR($M$2),"0000")&amp;TEXT(MONTH($M$2),"00")&amp;$K236,日報!$L:$L)</f>
        <v>0</v>
      </c>
      <c r="O236" s="7" t="str">
        <f>"REQ"&amp;TEXT([2]RequestList!$A237,"0000")</f>
        <v>REQ21771</v>
      </c>
      <c r="P236" s="7" t="str">
        <f>[2]RequestList!$J237</f>
        <v>AOS Admin tool にログインできない</v>
      </c>
      <c r="Q236" s="65">
        <f>SUMIF(日報!$R:$R,TEXT(YEAR($Q$2),"0000")&amp;TEXT(MONTH($Q$2),"00")&amp;$O236,日報!$L:$L)</f>
        <v>0</v>
      </c>
      <c r="R236" s="65">
        <f ca="1">SUMIF(日報!$J:$J,$O236,日報!$L:$L)</f>
        <v>0</v>
      </c>
    </row>
    <row r="237" spans="10:18" x14ac:dyDescent="0.15">
      <c r="J237" s="7" t="str">
        <f>[3]業務定義!$J239</f>
        <v/>
      </c>
      <c r="K237" s="7">
        <f>[3]業務定義!$A239</f>
        <v>0</v>
      </c>
      <c r="L237" s="208"/>
      <c r="M237" s="65">
        <f ca="1">SUMIF(日報!$P:$P,TEXT(YEAR($M$2),"0000")&amp;TEXT(MONTH($M$2),"00")&amp;$K237,日報!$L:$L)</f>
        <v>0</v>
      </c>
      <c r="O237" s="7" t="str">
        <f>"REQ"&amp;TEXT([2]RequestList!$A238,"0000")</f>
        <v>REQ21772</v>
      </c>
      <c r="P237" s="7" t="str">
        <f>[2]RequestList!$J238</f>
        <v>AOS Stageにアクセスできない</v>
      </c>
      <c r="Q237" s="65">
        <f>SUMIF(日報!$R:$R,TEXT(YEAR($Q$2),"0000")&amp;TEXT(MONTH($Q$2),"00")&amp;$O237,日報!$L:$L)</f>
        <v>0</v>
      </c>
      <c r="R237" s="65">
        <f ca="1">SUMIF(日報!$J:$J,$O237,日報!$L:$L)</f>
        <v>0</v>
      </c>
    </row>
    <row r="238" spans="10:18" x14ac:dyDescent="0.15">
      <c r="J238" s="7" t="str">
        <f>[3]業務定義!$J240</f>
        <v/>
      </c>
      <c r="K238" s="7">
        <f>[3]業務定義!$A240</f>
        <v>0</v>
      </c>
      <c r="L238" s="208"/>
      <c r="M238" s="65">
        <f ca="1">SUMIF(日報!$P:$P,TEXT(YEAR($M$2),"0000")&amp;TEXT(MONTH($M$2),"00")&amp;$K238,日報!$L:$L)</f>
        <v>0</v>
      </c>
      <c r="O238" s="7" t="str">
        <f>"REQ"&amp;TEXT([2]RequestList!$A239,"0000")</f>
        <v>REQ21773</v>
      </c>
      <c r="P238" s="7" t="str">
        <f>[2]RequestList!$J239</f>
        <v>MBOX接続障害</v>
      </c>
      <c r="Q238" s="65">
        <f>SUMIF(日報!$R:$R,TEXT(YEAR($Q$2),"0000")&amp;TEXT(MONTH($Q$2),"00")&amp;$O238,日報!$L:$L)</f>
        <v>0</v>
      </c>
      <c r="R238" s="65">
        <f ca="1">SUMIF(日報!$J:$J,$O238,日報!$L:$L)</f>
        <v>0</v>
      </c>
    </row>
    <row r="239" spans="10:18" x14ac:dyDescent="0.15">
      <c r="J239" s="7" t="str">
        <f>[3]業務定義!$J241</f>
        <v/>
      </c>
      <c r="K239" s="7">
        <f>[3]業務定義!$A241</f>
        <v>0</v>
      </c>
      <c r="L239" s="208"/>
      <c r="M239" s="65">
        <f ca="1">SUMIF(日報!$P:$P,TEXT(YEAR($M$2),"0000")&amp;TEXT(MONTH($M$2),"00")&amp;$K239,日報!$L:$L)</f>
        <v>0</v>
      </c>
      <c r="O239" s="7" t="str">
        <f>"REQ"&amp;TEXT([2]RequestList!$A240,"0000")</f>
        <v>REQ21774</v>
      </c>
      <c r="P239" s="7" t="str">
        <f>[2]RequestList!$J240</f>
        <v>POP販促物注文、10時と13時で重複したレコードがある</v>
      </c>
      <c r="Q239" s="65">
        <f>SUMIF(日報!$R:$R,TEXT(YEAR($Q$2),"0000")&amp;TEXT(MONTH($Q$2),"00")&amp;$O239,日報!$L:$L)</f>
        <v>0</v>
      </c>
      <c r="R239" s="65">
        <f ca="1">SUMIF(日報!$J:$J,$O239,日報!$L:$L)</f>
        <v>0</v>
      </c>
    </row>
    <row r="240" spans="10:18" x14ac:dyDescent="0.15">
      <c r="J240" s="7" t="str">
        <f>[3]業務定義!$J242</f>
        <v/>
      </c>
      <c r="K240" s="7">
        <f>[3]業務定義!$A242</f>
        <v>0</v>
      </c>
      <c r="L240" s="208"/>
      <c r="M240" s="65">
        <f ca="1">SUMIF(日報!$P:$P,TEXT(YEAR($M$2),"0000")&amp;TEXT(MONTH($M$2),"00")&amp;$K240,日報!$L:$L)</f>
        <v>0</v>
      </c>
      <c r="O240" s="7" t="str">
        <f>"REQ"&amp;TEXT([2]RequestList!$A241,"0000")</f>
        <v>REQ21775</v>
      </c>
      <c r="P240" s="7" t="str">
        <f>[2]RequestList!$J241</f>
        <v>MBOX接続障害
DMS2ARS LOT</v>
      </c>
      <c r="Q240" s="65">
        <f>SUMIF(日報!$R:$R,TEXT(YEAR($Q$2),"0000")&amp;TEXT(MONTH($Q$2),"00")&amp;$O240,日報!$L:$L)</f>
        <v>0</v>
      </c>
      <c r="R240" s="65">
        <f ca="1">SUMIF(日報!$J:$J,$O240,日報!$L:$L)</f>
        <v>0</v>
      </c>
    </row>
    <row r="241" spans="10:18" x14ac:dyDescent="0.15">
      <c r="J241" s="7" t="str">
        <f>[3]業務定義!$J243</f>
        <v/>
      </c>
      <c r="K241" s="7">
        <f>[3]業務定義!$A243</f>
        <v>0</v>
      </c>
      <c r="L241" s="208"/>
      <c r="M241" s="65">
        <f ca="1">SUMIF(日報!$P:$P,TEXT(YEAR($M$2),"0000")&amp;TEXT(MONTH($M$2),"00")&amp;$K241,日報!$L:$L)</f>
        <v>0</v>
      </c>
      <c r="O241" s="7" t="str">
        <f>"REQ"&amp;TEXT([2]RequestList!$A242,"0000")</f>
        <v>REQ21776</v>
      </c>
      <c r="P241" s="7" t="str">
        <f>[2]RequestList!$J242</f>
        <v>KPI 2月度</v>
      </c>
      <c r="Q241" s="65">
        <f>SUMIF(日報!$R:$R,TEXT(YEAR($Q$2),"0000")&amp;TEXT(MONTH($Q$2),"00")&amp;$O241,日報!$L:$L)</f>
        <v>0</v>
      </c>
      <c r="R241" s="65">
        <f ca="1">SUMIF(日報!$J:$J,$O241,日報!$L:$L)</f>
        <v>0</v>
      </c>
    </row>
    <row r="242" spans="10:18" x14ac:dyDescent="0.15">
      <c r="J242" s="7" t="str">
        <f>[3]業務定義!$J244</f>
        <v/>
      </c>
      <c r="K242" s="7">
        <f>[3]業務定義!$A244</f>
        <v>0</v>
      </c>
      <c r="L242" s="208"/>
      <c r="M242" s="65">
        <f ca="1">SUMIF(日報!$P:$P,TEXT(YEAR($M$2),"0000")&amp;TEXT(MONTH($M$2),"00")&amp;$K242,日報!$L:$L)</f>
        <v>0</v>
      </c>
      <c r="O242" s="7" t="str">
        <f>"REQ"&amp;TEXT([2]RequestList!$A243,"0000")</f>
        <v>REQ21777</v>
      </c>
      <c r="P242" s="7" t="str">
        <f>[2]RequestList!$J243</f>
        <v>Sales orderの送信エラー</v>
      </c>
      <c r="Q242" s="65">
        <f>SUMIF(日報!$R:$R,TEXT(YEAR($Q$2),"0000")&amp;TEXT(MONTH($Q$2),"00")&amp;$O242,日報!$L:$L)</f>
        <v>0</v>
      </c>
      <c r="R242" s="65">
        <f ca="1">SUMIF(日報!$J:$J,$O242,日報!$L:$L)</f>
        <v>0</v>
      </c>
    </row>
    <row r="243" spans="10:18" x14ac:dyDescent="0.15">
      <c r="J243" s="7" t="str">
        <f>[3]業務定義!$J245</f>
        <v/>
      </c>
      <c r="K243" s="7">
        <f>[3]業務定義!$A245</f>
        <v>0</v>
      </c>
      <c r="L243" s="208"/>
      <c r="M243" s="65">
        <f ca="1">SUMIF(日報!$P:$P,TEXT(YEAR($M$2),"0000")&amp;TEXT(MONTH($M$2),"00")&amp;$K243,日報!$L:$L)</f>
        <v>0</v>
      </c>
      <c r="O243" s="7" t="str">
        <f>"REQ"&amp;TEXT([2]RequestList!$A244,"0000")</f>
        <v>REQ21778</v>
      </c>
      <c r="P243" s="7" t="str">
        <f>[2]RequestList!$J244</f>
        <v>価格マスタの送信エラー</v>
      </c>
      <c r="Q243" s="65">
        <f>SUMIF(日報!$R:$R,TEXT(YEAR($Q$2),"0000")&amp;TEXT(MONTH($Q$2),"00")&amp;$O243,日報!$L:$L)</f>
        <v>0</v>
      </c>
      <c r="R243" s="65">
        <f ca="1">SUMIF(日報!$J:$J,$O243,日報!$L:$L)</f>
        <v>0</v>
      </c>
    </row>
    <row r="244" spans="10:18" x14ac:dyDescent="0.15">
      <c r="J244" s="7" t="str">
        <f>[3]業務定義!$J246</f>
        <v/>
      </c>
      <c r="K244" s="7">
        <f>[3]業務定義!$A246</f>
        <v>0</v>
      </c>
      <c r="L244" s="208"/>
      <c r="M244" s="65">
        <f ca="1">SUMIF(日報!$P:$P,TEXT(YEAR($M$2),"0000")&amp;TEXT(MONTH($M$2),"00")&amp;$K244,日報!$L:$L)</f>
        <v>0</v>
      </c>
      <c r="O244" s="7" t="str">
        <f>"REQ"&amp;TEXT([2]RequestList!$A245,"0000")</f>
        <v>REQ21779</v>
      </c>
      <c r="P244" s="7" t="str">
        <f>[2]RequestList!$J245</f>
        <v>Teikibin Delibery orderの抽出</v>
      </c>
      <c r="Q244" s="65">
        <f>SUMIF(日報!$R:$R,TEXT(YEAR($Q$2),"0000")&amp;TEXT(MONTH($Q$2),"00")&amp;$O244,日報!$L:$L)</f>
        <v>0</v>
      </c>
      <c r="R244" s="65">
        <f ca="1">SUMIF(日報!$J:$J,$O244,日報!$L:$L)</f>
        <v>0</v>
      </c>
    </row>
    <row r="245" spans="10:18" x14ac:dyDescent="0.15">
      <c r="J245" s="7" t="str">
        <f>[3]業務定義!$J247</f>
        <v/>
      </c>
      <c r="K245" s="7">
        <f>[3]業務定義!$A247</f>
        <v>0</v>
      </c>
      <c r="L245" s="208"/>
      <c r="M245" s="65">
        <f ca="1">SUMIF(日報!$P:$P,TEXT(YEAR($M$2),"0000")&amp;TEXT(MONTH($M$2),"00")&amp;$K245,日報!$L:$L)</f>
        <v>0</v>
      </c>
      <c r="O245" s="7" t="str">
        <f>"REQ"&amp;TEXT([2]RequestList!$A246,"0000")</f>
        <v>REQ21780</v>
      </c>
      <c r="P245" s="7" t="str">
        <f>[2]RequestList!$J246</f>
        <v>[Other EUS] Teamsの不具合</v>
      </c>
      <c r="Q245" s="65">
        <f>SUMIF(日報!$R:$R,TEXT(YEAR($Q$2),"0000")&amp;TEXT(MONTH($Q$2),"00")&amp;$O245,日報!$L:$L)</f>
        <v>0</v>
      </c>
      <c r="R245" s="65">
        <f ca="1">SUMIF(日報!$J:$J,$O245,日報!$L:$L)</f>
        <v>0</v>
      </c>
    </row>
    <row r="246" spans="10:18" x14ac:dyDescent="0.15">
      <c r="J246" s="7" t="str">
        <f>[3]業務定義!$J248</f>
        <v/>
      </c>
      <c r="K246" s="7">
        <f>[3]業務定義!$A248</f>
        <v>0</v>
      </c>
      <c r="L246" s="208"/>
      <c r="M246" s="65">
        <f ca="1">SUMIF(日報!$P:$P,TEXT(YEAR($M$2),"0000")&amp;TEXT(MONTH($M$2),"00")&amp;$K246,日報!$L:$L)</f>
        <v>0</v>
      </c>
      <c r="O246" s="7" t="str">
        <f>"REQ"&amp;TEXT([2]RequestList!$A247,"0000")</f>
        <v>REQ21781</v>
      </c>
      <c r="P246" s="7" t="str">
        <f>[2]RequestList!$J247</f>
        <v>[J-flow]海外ユーザの登録・ナレッジビュー権限付与</v>
      </c>
      <c r="Q246" s="65">
        <f>SUMIF(日報!$R:$R,TEXT(YEAR($Q$2),"0000")&amp;TEXT(MONTH($Q$2),"00")&amp;$O246,日報!$L:$L)</f>
        <v>0</v>
      </c>
      <c r="R246" s="65">
        <f ca="1">SUMIF(日報!$J:$J,$O246,日報!$L:$L)</f>
        <v>0</v>
      </c>
    </row>
    <row r="247" spans="10:18" x14ac:dyDescent="0.15">
      <c r="J247" s="7" t="str">
        <f>[3]業務定義!$J249</f>
        <v/>
      </c>
      <c r="K247" s="7">
        <f>[3]業務定義!$A249</f>
        <v>0</v>
      </c>
      <c r="L247" s="208"/>
      <c r="M247" s="65">
        <f ca="1">SUMIF(日報!$P:$P,TEXT(YEAR($M$2),"0000")&amp;TEXT(MONTH($M$2),"00")&amp;$K247,日報!$L:$L)</f>
        <v>0</v>
      </c>
      <c r="O247" s="7" t="str">
        <f>"REQ"&amp;TEXT([2]RequestList!$A248,"0000")</f>
        <v>REQ21782</v>
      </c>
      <c r="P247" s="7" t="str">
        <f>[2]RequestList!$J248</f>
        <v>CIA監査指摘対応</v>
      </c>
      <c r="Q247" s="65">
        <f>SUMIF(日報!$R:$R,TEXT(YEAR($Q$2),"0000")&amp;TEXT(MONTH($Q$2),"00")&amp;$O247,日報!$L:$L)</f>
        <v>0</v>
      </c>
      <c r="R247" s="65">
        <f ca="1">SUMIF(日報!$J:$J,$O247,日報!$L:$L)</f>
        <v>0</v>
      </c>
    </row>
    <row r="248" spans="10:18" x14ac:dyDescent="0.15">
      <c r="J248" s="7" t="str">
        <f>[3]業務定義!$J250</f>
        <v/>
      </c>
      <c r="K248" s="7">
        <f>[3]業務定義!$A250</f>
        <v>0</v>
      </c>
      <c r="L248" s="208"/>
      <c r="M248" s="65">
        <f ca="1">SUMIF(日報!$P:$P,TEXT(YEAR($M$2),"0000")&amp;TEXT(MONTH($M$2),"00")&amp;$K248,日報!$L:$L)</f>
        <v>0</v>
      </c>
      <c r="O248" s="7" t="str">
        <f>"REQ"&amp;TEXT([2]RequestList!$A249,"0000")</f>
        <v>REQ21783</v>
      </c>
      <c r="P248" s="7" t="str">
        <f>[2]RequestList!$J249</f>
        <v>WBS作成</v>
      </c>
      <c r="Q248" s="65">
        <f>SUMIF(日報!$R:$R,TEXT(YEAR($Q$2),"0000")&amp;TEXT(MONTH($Q$2),"00")&amp;$O248,日報!$L:$L)</f>
        <v>0</v>
      </c>
      <c r="R248" s="65">
        <f ca="1">SUMIF(日報!$J:$J,$O248,日報!$L:$L)</f>
        <v>0</v>
      </c>
    </row>
    <row r="249" spans="10:18" x14ac:dyDescent="0.15">
      <c r="J249" s="7" t="str">
        <f>[3]業務定義!$J251</f>
        <v/>
      </c>
      <c r="K249" s="7">
        <f>[3]業務定義!$A251</f>
        <v>0</v>
      </c>
      <c r="L249" s="208"/>
      <c r="M249" s="65">
        <f ca="1">SUMIF(日報!$P:$P,TEXT(YEAR($M$2),"0000")&amp;TEXT(MONTH($M$2),"00")&amp;$K249,日報!$L:$L)</f>
        <v>0</v>
      </c>
      <c r="O249" s="7" t="str">
        <f>"REQ"&amp;TEXT([2]RequestList!$A250,"0000")</f>
        <v>REQ21784</v>
      </c>
      <c r="P249" s="7" t="str">
        <f>[2]RequestList!$J250</f>
        <v>AOSの施設マスタ取得元変更</v>
      </c>
      <c r="Q249" s="65">
        <f>SUMIF(日報!$R:$R,TEXT(YEAR($Q$2),"0000")&amp;TEXT(MONTH($Q$2),"00")&amp;$O249,日報!$L:$L)</f>
        <v>0</v>
      </c>
      <c r="R249" s="65">
        <f ca="1">SUMIF(日報!$J:$J,$O249,日報!$L:$L)</f>
        <v>0</v>
      </c>
    </row>
    <row r="250" spans="10:18" x14ac:dyDescent="0.15">
      <c r="J250" s="7" t="str">
        <f>[3]業務定義!$J252</f>
        <v/>
      </c>
      <c r="K250" s="7">
        <f>[3]業務定義!$A252</f>
        <v>0</v>
      </c>
      <c r="L250" s="208"/>
      <c r="M250" s="65">
        <f ca="1">SUMIF(日報!$P:$P,TEXT(YEAR($M$2),"0000")&amp;TEXT(MONTH($M$2),"00")&amp;$K250,日報!$L:$L)</f>
        <v>0</v>
      </c>
      <c r="O250" s="7" t="str">
        <f>"REQ"&amp;TEXT([2]RequestList!$A251,"0000")</f>
        <v>REQ21785</v>
      </c>
      <c r="P250" s="7" t="str">
        <f>[2]RequestList!$J251</f>
        <v>Triton-A対応 UAT支援</v>
      </c>
      <c r="Q250" s="65">
        <f>SUMIF(日報!$R:$R,TEXT(YEAR($Q$2),"0000")&amp;TEXT(MONTH($Q$2),"00")&amp;$O250,日報!$L:$L)</f>
        <v>0</v>
      </c>
      <c r="R250" s="65">
        <f ca="1">SUMIF(日報!$J:$J,$O250,日報!$L:$L)</f>
        <v>0</v>
      </c>
    </row>
    <row r="251" spans="10:18" x14ac:dyDescent="0.15">
      <c r="J251" s="7" t="str">
        <f>[3]業務定義!$J253</f>
        <v/>
      </c>
      <c r="K251" s="7">
        <f>[3]業務定義!$A253</f>
        <v>0</v>
      </c>
      <c r="L251" s="208"/>
      <c r="M251" s="65">
        <f ca="1">SUMIF(日報!$P:$P,TEXT(YEAR($M$2),"0000")&amp;TEXT(MONTH($M$2),"00")&amp;$K251,日報!$L:$L)</f>
        <v>0</v>
      </c>
      <c r="O251" s="7" t="str">
        <f>"REQ"&amp;TEXT([2]RequestList!$A252,"0000")</f>
        <v>REQ21786</v>
      </c>
      <c r="P251" s="7" t="str">
        <f>[2]RequestList!$J252</f>
        <v>【定期便】発行/使用コード数</v>
      </c>
      <c r="Q251" s="65">
        <f>SUMIF(日報!$R:$R,TEXT(YEAR($Q$2),"0000")&amp;TEXT(MONTH($Q$2),"00")&amp;$O251,日報!$L:$L)</f>
        <v>0</v>
      </c>
      <c r="R251" s="65">
        <f ca="1">SUMIF(日報!$J:$J,$O251,日報!$L:$L)</f>
        <v>0</v>
      </c>
    </row>
    <row r="252" spans="10:18" x14ac:dyDescent="0.15">
      <c r="J252" s="7" t="str">
        <f>[3]業務定義!$J254</f>
        <v/>
      </c>
      <c r="K252" s="7">
        <f>[3]業務定義!$A254</f>
        <v>0</v>
      </c>
      <c r="L252" s="208"/>
      <c r="M252" s="65">
        <f ca="1">SUMIF(日報!$P:$P,TEXT(YEAR($M$2),"0000")&amp;TEXT(MONTH($M$2),"00")&amp;$K252,日報!$L:$L)</f>
        <v>0</v>
      </c>
      <c r="O252" s="7" t="str">
        <f>"REQ"&amp;TEXT([2]RequestList!$A253,"0000")</f>
        <v>REQ21787</v>
      </c>
      <c r="P252" s="7" t="str">
        <f>[2]RequestList!$J253</f>
        <v>[J-flow]ビジネスルール変更</v>
      </c>
      <c r="Q252" s="65">
        <f>SUMIF(日報!$R:$R,TEXT(YEAR($Q$2),"0000")&amp;TEXT(MONTH($Q$2),"00")&amp;$O252,日報!$L:$L)</f>
        <v>0</v>
      </c>
      <c r="R252" s="65">
        <f ca="1">SUMIF(日報!$J:$J,$O252,日報!$L:$L)</f>
        <v>0</v>
      </c>
    </row>
    <row r="253" spans="10:18" x14ac:dyDescent="0.15">
      <c r="J253" s="7" t="str">
        <f>[3]業務定義!$J255</f>
        <v/>
      </c>
      <c r="K253" s="7">
        <f>[3]業務定義!$A255</f>
        <v>0</v>
      </c>
      <c r="L253" s="208"/>
      <c r="M253" s="65">
        <f ca="1">SUMIF(日報!$P:$P,TEXT(YEAR($M$2),"0000")&amp;TEXT(MONTH($M$2),"00")&amp;$K253,日報!$L:$L)</f>
        <v>0</v>
      </c>
      <c r="O253" s="7" t="str">
        <f>"REQ"&amp;TEXT([2]RequestList!$A254,"0000")</f>
        <v>REQ21788</v>
      </c>
      <c r="P253" s="7" t="str">
        <f>[2]RequestList!$J254</f>
        <v>[Intranet]「Board」ページの改修依頼</v>
      </c>
      <c r="Q253" s="65">
        <f>SUMIF(日報!$R:$R,TEXT(YEAR($Q$2),"0000")&amp;TEXT(MONTH($Q$2),"00")&amp;$O253,日報!$L:$L)</f>
        <v>0</v>
      </c>
      <c r="R253" s="65">
        <f ca="1">SUMIF(日報!$J:$J,$O253,日報!$L:$L)</f>
        <v>0</v>
      </c>
    </row>
    <row r="254" spans="10:18" x14ac:dyDescent="0.15">
      <c r="J254" s="7">
        <f>[3]業務定義!$J256</f>
        <v>0</v>
      </c>
      <c r="K254" s="7">
        <f>[3]業務定義!$A256</f>
        <v>0</v>
      </c>
      <c r="L254" s="208"/>
      <c r="M254" s="65">
        <f ca="1">SUMIF(日報!$P:$P,TEXT(YEAR($M$2),"0000")&amp;TEXT(MONTH($M$2),"00")&amp;$K254,日報!$L:$L)</f>
        <v>0</v>
      </c>
      <c r="O254" s="7" t="str">
        <f>"REQ"&amp;TEXT([2]RequestList!$A255,"0000")</f>
        <v>REQ21789</v>
      </c>
      <c r="P254" s="7" t="str">
        <f>[2]RequestList!$J255</f>
        <v>[Other EUS] 検証機の貸し出し</v>
      </c>
      <c r="Q254" s="65">
        <f>SUMIF(日報!$R:$R,TEXT(YEAR($Q$2),"0000")&amp;TEXT(MONTH($Q$2),"00")&amp;$O254,日報!$L:$L)</f>
        <v>0</v>
      </c>
      <c r="R254" s="65">
        <f ca="1">SUMIF(日報!$J:$J,$O254,日報!$L:$L)</f>
        <v>0</v>
      </c>
    </row>
    <row r="255" spans="10:18" x14ac:dyDescent="0.15">
      <c r="J255" s="7" t="str">
        <f>[3]業務定義!$J257</f>
        <v/>
      </c>
      <c r="K255" s="7">
        <f>[3]業務定義!$A257</f>
        <v>0</v>
      </c>
      <c r="L255" s="208"/>
      <c r="M255" s="65">
        <f ca="1">SUMIF(日報!$P:$P,TEXT(YEAR($M$2),"0000")&amp;TEXT(MONTH($M$2),"00")&amp;$K255,日報!$L:$L)</f>
        <v>0</v>
      </c>
      <c r="O255" s="7" t="str">
        <f>"REQ"&amp;TEXT([2]RequestList!$A256,"0000")</f>
        <v>REQ21790</v>
      </c>
      <c r="P255" s="7" t="str">
        <f>[2]RequestList!$J256</f>
        <v>[J-flow]ビジネスルール変更</v>
      </c>
      <c r="Q255" s="65">
        <f>SUMIF(日報!$R:$R,TEXT(YEAR($Q$2),"0000")&amp;TEXT(MONTH($Q$2),"00")&amp;$O255,日報!$L:$L)</f>
        <v>0</v>
      </c>
      <c r="R255" s="65">
        <f ca="1">SUMIF(日報!$J:$J,$O255,日報!$L:$L)</f>
        <v>0</v>
      </c>
    </row>
    <row r="256" spans="10:18" x14ac:dyDescent="0.15">
      <c r="J256" s="7">
        <f>[3]業務定義!$J258</f>
        <v>0</v>
      </c>
      <c r="K256" s="7">
        <f>[3]業務定義!$A258</f>
        <v>0</v>
      </c>
      <c r="L256" s="208"/>
      <c r="M256" s="65">
        <f ca="1">SUMIF(日報!$P:$P,TEXT(YEAR($M$2),"0000")&amp;TEXT(MONTH($M$2),"00")&amp;$K256,日報!$L:$L)</f>
        <v>0</v>
      </c>
      <c r="O256" s="7" t="str">
        <f>"REQ"&amp;TEXT([2]RequestList!$A257,"0000")</f>
        <v>REQ21791</v>
      </c>
      <c r="P256" s="7" t="str">
        <f>[2]RequestList!$J257</f>
        <v>MyAcuvue1.0管理者アカウントの削除依頼</v>
      </c>
      <c r="Q256" s="65">
        <f>SUMIF(日報!$R:$R,TEXT(YEAR($Q$2),"0000")&amp;TEXT(MONTH($Q$2),"00")&amp;$O256,日報!$L:$L)</f>
        <v>0</v>
      </c>
      <c r="R256" s="65">
        <f ca="1">SUMIF(日報!$J:$J,$O256,日報!$L:$L)</f>
        <v>0</v>
      </c>
    </row>
    <row r="257" spans="10:18" x14ac:dyDescent="0.15">
      <c r="J257" s="7">
        <f>[3]業務定義!$J259</f>
        <v>0</v>
      </c>
      <c r="K257" s="7">
        <f>[3]業務定義!$A259</f>
        <v>0</v>
      </c>
      <c r="L257" s="208"/>
      <c r="M257" s="65">
        <f ca="1">SUMIF(日報!$P:$P,TEXT(YEAR($M$2),"0000")&amp;TEXT(MONTH($M$2),"00")&amp;$K257,日報!$L:$L)</f>
        <v>0</v>
      </c>
      <c r="O257" s="7" t="str">
        <f>"REQ"&amp;TEXT([2]RequestList!$A258,"0000")</f>
        <v>REQ21792</v>
      </c>
      <c r="P257" s="7" t="str">
        <f>[2]RequestList!$J258</f>
        <v>Triton-A対応 UAT支援</v>
      </c>
      <c r="Q257" s="65">
        <f>SUMIF(日報!$R:$R,TEXT(YEAR($Q$2),"0000")&amp;TEXT(MONTH($Q$2),"00")&amp;$O257,日報!$L:$L)</f>
        <v>0</v>
      </c>
      <c r="R257" s="65">
        <f ca="1">SUMIF(日報!$J:$J,$O257,日報!$L:$L)</f>
        <v>0</v>
      </c>
    </row>
    <row r="258" spans="10:18" x14ac:dyDescent="0.15">
      <c r="J258" s="7">
        <f>[3]業務定義!$J260</f>
        <v>0</v>
      </c>
      <c r="K258" s="7">
        <f>[3]業務定義!$A260</f>
        <v>0</v>
      </c>
      <c r="L258" s="208"/>
      <c r="M258" s="65">
        <f ca="1">SUMIF(日報!$P:$P,TEXT(YEAR($M$2),"0000")&amp;TEXT(MONTH($M$2),"00")&amp;$K258,日報!$L:$L)</f>
        <v>0</v>
      </c>
      <c r="O258" s="7" t="str">
        <f>"REQ"&amp;TEXT([2]RequestList!$A259,"0000")</f>
        <v>REQ21793</v>
      </c>
      <c r="P258" s="7" t="str">
        <f>[2]RequestList!$J259</f>
        <v>脆弱性診断のスケジュールについて</v>
      </c>
      <c r="Q258" s="65">
        <f>SUMIF(日報!$R:$R,TEXT(YEAR($Q$2),"0000")&amp;TEXT(MONTH($Q$2),"00")&amp;$O258,日報!$L:$L)</f>
        <v>0</v>
      </c>
      <c r="R258" s="65">
        <f ca="1">SUMIF(日報!$J:$J,$O258,日報!$L:$L)</f>
        <v>0</v>
      </c>
    </row>
    <row r="259" spans="10:18" x14ac:dyDescent="0.15">
      <c r="J259" s="7">
        <f>[3]業務定義!$J261</f>
        <v>0</v>
      </c>
      <c r="K259" s="7">
        <f>[3]業務定義!$A261</f>
        <v>0</v>
      </c>
      <c r="L259" s="208"/>
      <c r="M259" s="65">
        <f ca="1">SUMIF(日報!$P:$P,TEXT(YEAR($M$2),"0000")&amp;TEXT(MONTH($M$2),"00")&amp;$K259,日報!$L:$L)</f>
        <v>0</v>
      </c>
      <c r="O259" s="7" t="str">
        <f>"REQ"&amp;TEXT([2]RequestList!$A260,"0000")</f>
        <v>REQ21794</v>
      </c>
      <c r="P259" s="7" t="str">
        <f>[2]RequestList!$J260</f>
        <v>.comサイトから取り扱い店検索へのリンクについて</v>
      </c>
      <c r="Q259" s="65">
        <f>SUMIF(日報!$R:$R,TEXT(YEAR($Q$2),"0000")&amp;TEXT(MONTH($Q$2),"00")&amp;$O259,日報!$L:$L)</f>
        <v>0</v>
      </c>
      <c r="R259" s="65">
        <f ca="1">SUMIF(日報!$J:$J,$O259,日報!$L:$L)</f>
        <v>0</v>
      </c>
    </row>
    <row r="260" spans="10:18" x14ac:dyDescent="0.15">
      <c r="J260" s="7">
        <f>[3]業務定義!$J262</f>
        <v>0</v>
      </c>
      <c r="K260" s="7">
        <f>[3]業務定義!$A262</f>
        <v>0</v>
      </c>
      <c r="L260" s="208"/>
      <c r="M260" s="65">
        <f ca="1">SUMIF(日報!$P:$P,TEXT(YEAR($M$2),"0000")&amp;TEXT(MONTH($M$2),"00")&amp;$K260,日報!$L:$L)</f>
        <v>0</v>
      </c>
      <c r="O260" s="7" t="str">
        <f>"REQ"&amp;TEXT([2]RequestList!$A261,"0000")</f>
        <v>REQ21795</v>
      </c>
      <c r="P260" s="7" t="str">
        <f>[2]RequestList!$J261</f>
        <v>SAP BWのバージョンアップ</v>
      </c>
      <c r="Q260" s="65">
        <f>SUMIF(日報!$R:$R,TEXT(YEAR($Q$2),"0000")&amp;TEXT(MONTH($Q$2),"00")&amp;$O260,日報!$L:$L)</f>
        <v>0</v>
      </c>
      <c r="R260" s="65">
        <f ca="1">SUMIF(日報!$J:$J,$O260,日報!$L:$L)</f>
        <v>0</v>
      </c>
    </row>
    <row r="261" spans="10:18" x14ac:dyDescent="0.15">
      <c r="J261" s="7">
        <f>[3]業務定義!$J263</f>
        <v>0</v>
      </c>
      <c r="K261" s="7">
        <f>[3]業務定義!$A263</f>
        <v>0</v>
      </c>
      <c r="L261" s="208"/>
      <c r="M261" s="65">
        <f ca="1">SUMIF(日報!$P:$P,TEXT(YEAR($M$2),"0000")&amp;TEXT(MONTH($M$2),"00")&amp;$K261,日報!$L:$L)</f>
        <v>0</v>
      </c>
      <c r="O261" s="7" t="str">
        <f>"REQ"&amp;TEXT([2]RequestList!$A262,"0000")</f>
        <v>REQ21796</v>
      </c>
      <c r="P261" s="7" t="str">
        <f>[2]RequestList!$J262</f>
        <v>AOStoSFMCのファイルが連携されていない</v>
      </c>
      <c r="Q261" s="65">
        <f>SUMIF(日報!$R:$R,TEXT(YEAR($Q$2),"0000")&amp;TEXT(MONTH($Q$2),"00")&amp;$O261,日報!$L:$L)</f>
        <v>0</v>
      </c>
      <c r="R261" s="65">
        <f ca="1">SUMIF(日報!$J:$J,$O261,日報!$L:$L)</f>
        <v>0</v>
      </c>
    </row>
    <row r="262" spans="10:18" x14ac:dyDescent="0.15">
      <c r="J262" s="7">
        <f>[3]業務定義!$J264</f>
        <v>0</v>
      </c>
      <c r="K262" s="7">
        <f>[3]業務定義!$A264</f>
        <v>0</v>
      </c>
      <c r="L262" s="208"/>
      <c r="M262" s="65">
        <f ca="1">SUMIF(日報!$P:$P,TEXT(YEAR($M$2),"0000")&amp;TEXT(MONTH($M$2),"00")&amp;$K262,日報!$L:$L)</f>
        <v>0</v>
      </c>
      <c r="O262" s="7" t="str">
        <f>"REQ"&amp;TEXT([2]RequestList!$A263,"0000")</f>
        <v>REQ21797</v>
      </c>
      <c r="P262" s="7" t="str">
        <f>[2]RequestList!$J263</f>
        <v>日次CRMバッチが失敗</v>
      </c>
      <c r="Q262" s="65">
        <f>SUMIF(日報!$R:$R,TEXT(YEAR($Q$2),"0000")&amp;TEXT(MONTH($Q$2),"00")&amp;$O262,日報!$L:$L)</f>
        <v>0</v>
      </c>
      <c r="R262" s="65">
        <f ca="1">SUMIF(日報!$J:$J,$O262,日報!$L:$L)</f>
        <v>0</v>
      </c>
    </row>
    <row r="263" spans="10:18" x14ac:dyDescent="0.15">
      <c r="J263" s="7">
        <f>[3]業務定義!$J265</f>
        <v>0</v>
      </c>
      <c r="K263" s="7">
        <f>[3]業務定義!$A265</f>
        <v>0</v>
      </c>
      <c r="L263" s="208"/>
      <c r="M263" s="65">
        <f ca="1">SUMIF(日報!$P:$P,TEXT(YEAR($M$2),"0000")&amp;TEXT(MONTH($M$2),"00")&amp;$K263,日報!$L:$L)</f>
        <v>0</v>
      </c>
      <c r="O263" s="7" t="str">
        <f>"REQ"&amp;TEXT([2]RequestList!$A264,"0000")</f>
        <v>REQ21798</v>
      </c>
      <c r="P263" s="7" t="str">
        <f>[2]RequestList!$J264</f>
        <v>SFDCキャンペーンフラグと小野包装との連携</v>
      </c>
      <c r="Q263" s="65">
        <f>SUMIF(日報!$R:$R,TEXT(YEAR($Q$2),"0000")&amp;TEXT(MONTH($Q$2),"00")&amp;$O263,日報!$L:$L)</f>
        <v>0</v>
      </c>
      <c r="R263" s="65">
        <f ca="1">SUMIF(日報!$J:$J,$O263,日報!$L:$L)</f>
        <v>0</v>
      </c>
    </row>
    <row r="264" spans="10:18" x14ac:dyDescent="0.15">
      <c r="J264" s="7">
        <f>[3]業務定義!$J266</f>
        <v>0</v>
      </c>
      <c r="K264" s="7">
        <f>[3]業務定義!$A266</f>
        <v>0</v>
      </c>
      <c r="L264" s="208"/>
      <c r="M264" s="65">
        <f ca="1">SUMIF(日報!$P:$P,TEXT(YEAR($M$2),"0000")&amp;TEXT(MONTH($M$2),"00")&amp;$K264,日報!$L:$L)</f>
        <v>0</v>
      </c>
      <c r="O264" s="7" t="str">
        <f>"REQ"&amp;TEXT([2]RequestList!$A265,"0000")</f>
        <v>REQ21799</v>
      </c>
      <c r="P264" s="7" t="str">
        <f>[2]RequestList!$J265</f>
        <v>AOS新規登録時のメールが受信できない</v>
      </c>
      <c r="Q264" s="65">
        <f>SUMIF(日報!$R:$R,TEXT(YEAR($Q$2),"0000")&amp;TEXT(MONTH($Q$2),"00")&amp;$O264,日報!$L:$L)</f>
        <v>0</v>
      </c>
      <c r="R264" s="65">
        <f ca="1">SUMIF(日報!$J:$J,$O264,日報!$L:$L)</f>
        <v>0</v>
      </c>
    </row>
    <row r="265" spans="10:18" x14ac:dyDescent="0.15">
      <c r="J265" s="7">
        <f>[3]業務定義!$J267</f>
        <v>0</v>
      </c>
      <c r="K265" s="7">
        <f>[3]業務定義!$A267</f>
        <v>0</v>
      </c>
      <c r="L265" s="208"/>
      <c r="M265" s="65">
        <f ca="1">SUMIF(日報!$P:$P,TEXT(YEAR($M$2),"0000")&amp;TEXT(MONTH($M$2),"00")&amp;$K265,日報!$L:$L)</f>
        <v>0</v>
      </c>
      <c r="O265" s="7" t="str">
        <f>"REQ"&amp;TEXT([2]RequestList!$A266,"0000")</f>
        <v>REQ21800</v>
      </c>
      <c r="P265" s="7" t="str">
        <f>[2]RequestList!$J266</f>
        <v>【定期便】クレジットカード更新手続きメールについて</v>
      </c>
      <c r="Q265" s="65">
        <f>SUMIF(日報!$R:$R,TEXT(YEAR($Q$2),"0000")&amp;TEXT(MONTH($Q$2),"00")&amp;$O265,日報!$L:$L)</f>
        <v>0</v>
      </c>
      <c r="R265" s="65">
        <f ca="1">SUMIF(日報!$J:$J,$O265,日報!$L:$L)</f>
        <v>0</v>
      </c>
    </row>
    <row r="266" spans="10:18" x14ac:dyDescent="0.15">
      <c r="J266" s="7">
        <f>[3]業務定義!$J268</f>
        <v>0</v>
      </c>
      <c r="K266" s="7">
        <f>[3]業務定義!$A268</f>
        <v>0</v>
      </c>
      <c r="L266" s="208"/>
      <c r="M266" s="65">
        <f ca="1">SUMIF(日報!$P:$P,TEXT(YEAR($M$2),"0000")&amp;TEXT(MONTH($M$2),"00")&amp;$K266,日報!$L:$L)</f>
        <v>0</v>
      </c>
      <c r="O266" s="7" t="str">
        <f>"REQ"&amp;TEXT([2]RequestList!$A267,"0000")</f>
        <v>REQ21801</v>
      </c>
      <c r="P266" s="7" t="str">
        <f>[2]RequestList!$J267</f>
        <v>Q1 WLS,DB patch</v>
      </c>
      <c r="Q266" s="65">
        <f>SUMIF(日報!$R:$R,TEXT(YEAR($Q$2),"0000")&amp;TEXT(MONTH($Q$2),"00")&amp;$O266,日報!$L:$L)</f>
        <v>0</v>
      </c>
      <c r="R266" s="65">
        <f ca="1">SUMIF(日報!$J:$J,$O266,日報!$L:$L)</f>
        <v>0</v>
      </c>
    </row>
    <row r="267" spans="10:18" x14ac:dyDescent="0.15">
      <c r="J267" s="7">
        <f>[3]業務定義!$J269</f>
        <v>0</v>
      </c>
      <c r="K267" s="7">
        <f>[3]業務定義!$A269</f>
        <v>0</v>
      </c>
      <c r="L267" s="208"/>
      <c r="M267" s="65">
        <f ca="1">SUMIF(日報!$P:$P,TEXT(YEAR($M$2),"0000")&amp;TEXT(MONTH($M$2),"00")&amp;$K267,日報!$L:$L)</f>
        <v>0</v>
      </c>
      <c r="O267" s="7" t="str">
        <f>"REQ"&amp;TEXT([2]RequestList!$A268,"0000")</f>
        <v>REQ21802</v>
      </c>
      <c r="P267" s="7" t="str">
        <f>[2]RequestList!$J268</f>
        <v>ACMS利用規約更新</v>
      </c>
      <c r="Q267" s="65">
        <f>SUMIF(日報!$R:$R,TEXT(YEAR($Q$2),"0000")&amp;TEXT(MONTH($Q$2),"00")&amp;$O267,日報!$L:$L)</f>
        <v>0</v>
      </c>
      <c r="R267" s="65">
        <f ca="1">SUMIF(日報!$J:$J,$O267,日報!$L:$L)</f>
        <v>0</v>
      </c>
    </row>
    <row r="268" spans="10:18" x14ac:dyDescent="0.15">
      <c r="J268" s="7">
        <f>[3]業務定義!$J270</f>
        <v>0</v>
      </c>
      <c r="K268" s="7">
        <f>[3]業務定義!$A270</f>
        <v>0</v>
      </c>
      <c r="L268" s="208"/>
      <c r="M268" s="65">
        <f ca="1">SUMIF(日報!$P:$P,TEXT(YEAR($M$2),"0000")&amp;TEXT(MONTH($M$2),"00")&amp;$K268,日報!$L:$L)</f>
        <v>0</v>
      </c>
      <c r="O268" s="7" t="str">
        <f>"REQ"&amp;TEXT([2]RequestList!$A269,"0000")</f>
        <v>REQ21803</v>
      </c>
      <c r="P268" s="7" t="str">
        <f>[2]RequestList!$J269</f>
        <v>Transaction数調査</v>
      </c>
      <c r="Q268" s="65">
        <f>SUMIF(日報!$R:$R,TEXT(YEAR($Q$2),"0000")&amp;TEXT(MONTH($Q$2),"00")&amp;$O268,日報!$L:$L)</f>
        <v>0</v>
      </c>
      <c r="R268" s="65">
        <f ca="1">SUMIF(日報!$J:$J,$O268,日報!$L:$L)</f>
        <v>0</v>
      </c>
    </row>
    <row r="269" spans="10:18" x14ac:dyDescent="0.15">
      <c r="J269" s="7">
        <f>[3]業務定義!$J271</f>
        <v>0</v>
      </c>
      <c r="K269" s="7">
        <f>[3]業務定義!$A271</f>
        <v>0</v>
      </c>
      <c r="L269" s="208"/>
      <c r="M269" s="65">
        <f ca="1">SUMIF(日報!$P:$P,TEXT(YEAR($M$2),"0000")&amp;TEXT(MONTH($M$2),"00")&amp;$K269,日報!$L:$L)</f>
        <v>0</v>
      </c>
      <c r="O269" s="7" t="str">
        <f>"REQ"&amp;TEXT([2]RequestList!$A270,"0000")</f>
        <v>REQ21686</v>
      </c>
      <c r="P269" s="7" t="str">
        <f>[2]RequestList!$J270</f>
        <v>ARSアカウントの作成</v>
      </c>
      <c r="Q269" s="65">
        <f>SUMIF(日報!$R:$R,TEXT(YEAR($Q$2),"0000")&amp;TEXT(MONTH($Q$2),"00")&amp;$O269,日報!$L:$L)</f>
        <v>0</v>
      </c>
      <c r="R269" s="65">
        <f ca="1">SUMIF(日報!$J:$J,$O269,日報!$L:$L)</f>
        <v>0</v>
      </c>
    </row>
    <row r="270" spans="10:18" x14ac:dyDescent="0.15">
      <c r="J270" s="7">
        <f>[3]業務定義!$J272</f>
        <v>0</v>
      </c>
      <c r="K270" s="7">
        <f>[3]業務定義!$A272</f>
        <v>0</v>
      </c>
      <c r="L270" s="208"/>
      <c r="M270" s="65">
        <f ca="1">SUMIF(日報!$P:$P,TEXT(YEAR($M$2),"0000")&amp;TEXT(MONTH($M$2),"00")&amp;$K270,日報!$L:$L)</f>
        <v>0</v>
      </c>
      <c r="O270" s="7" t="str">
        <f>"REQ"&amp;TEXT([2]RequestList!$A271,"0000")</f>
        <v>REQ21805</v>
      </c>
      <c r="P270" s="7" t="str">
        <f>[2]RequestList!$J271</f>
        <v>SFDC IF エラー</v>
      </c>
      <c r="Q270" s="65">
        <f>SUMIF(日報!$R:$R,TEXT(YEAR($Q$2),"0000")&amp;TEXT(MONTH($Q$2),"00")&amp;$O270,日報!$L:$L)</f>
        <v>0</v>
      </c>
      <c r="R270" s="65">
        <f ca="1">SUMIF(日報!$J:$J,$O270,日報!$L:$L)</f>
        <v>0</v>
      </c>
    </row>
    <row r="271" spans="10:18" x14ac:dyDescent="0.15">
      <c r="J271" s="7">
        <f>[3]業務定義!$J273</f>
        <v>0</v>
      </c>
      <c r="K271" s="7">
        <f>[3]業務定義!$A273</f>
        <v>0</v>
      </c>
      <c r="L271" s="208"/>
      <c r="M271" s="65">
        <f ca="1">SUMIF(日報!$P:$P,TEXT(YEAR($M$2),"0000")&amp;TEXT(MONTH($M$2),"00")&amp;$K271,日報!$L:$L)</f>
        <v>0</v>
      </c>
      <c r="O271" s="7" t="str">
        <f>"REQ"&amp;TEXT([2]RequestList!$A272,"0000")</f>
        <v>REQ21806</v>
      </c>
      <c r="P271" s="7" t="str">
        <f>[2]RequestList!$J272</f>
        <v>クリオス IF エラー</v>
      </c>
      <c r="Q271" s="65">
        <f>SUMIF(日報!$R:$R,TEXT(YEAR($Q$2),"0000")&amp;TEXT(MONTH($Q$2),"00")&amp;$O271,日報!$L:$L)</f>
        <v>0</v>
      </c>
      <c r="R271" s="65">
        <f ca="1">SUMIF(日報!$J:$J,$O271,日報!$L:$L)</f>
        <v>0</v>
      </c>
    </row>
    <row r="272" spans="10:18" x14ac:dyDescent="0.15">
      <c r="J272" s="7">
        <f>[3]業務定義!$J274</f>
        <v>0</v>
      </c>
      <c r="K272" s="7">
        <f>[3]業務定義!$A274</f>
        <v>0</v>
      </c>
      <c r="L272" s="208"/>
      <c r="M272" s="65">
        <f ca="1">SUMIF(日報!$P:$P,TEXT(YEAR($M$2),"0000")&amp;TEXT(MONTH($M$2),"00")&amp;$K272,日報!$L:$L)</f>
        <v>0</v>
      </c>
      <c r="O272" s="7" t="str">
        <f>"REQ"&amp;TEXT([2]RequestList!$A273,"0000")</f>
        <v>REQ21807</v>
      </c>
      <c r="P272" s="7" t="str">
        <f>[2]RequestList!$J273</f>
        <v>NewGroupNumECPIdImport error</v>
      </c>
      <c r="Q272" s="65">
        <f>SUMIF(日報!$R:$R,TEXT(YEAR($Q$2),"0000")&amp;TEXT(MONTH($Q$2),"00")&amp;$O272,日報!$L:$L)</f>
        <v>0</v>
      </c>
      <c r="R272" s="65">
        <f ca="1">SUMIF(日報!$J:$J,$O272,日報!$L:$L)</f>
        <v>0</v>
      </c>
    </row>
    <row r="273" spans="10:18" x14ac:dyDescent="0.15">
      <c r="J273" s="7">
        <f>[3]業務定義!$J275</f>
        <v>0</v>
      </c>
      <c r="K273" s="7">
        <f>[3]業務定義!$A275</f>
        <v>0</v>
      </c>
      <c r="L273" s="208"/>
      <c r="M273" s="65">
        <f ca="1">SUMIF(日報!$P:$P,TEXT(YEAR($M$2),"0000")&amp;TEXT(MONTH($M$2),"00")&amp;$K273,日報!$L:$L)</f>
        <v>0</v>
      </c>
      <c r="O273" s="7" t="str">
        <f>"REQ"&amp;TEXT([2]RequestList!$A274,"0000")</f>
        <v>REQ21808</v>
      </c>
      <c r="P273" s="7" t="str">
        <f>[2]RequestList!$J274</f>
        <v>【定期便】左目が選択できなかった</v>
      </c>
      <c r="Q273" s="65">
        <f>SUMIF(日報!$R:$R,TEXT(YEAR($Q$2),"0000")&amp;TEXT(MONTH($Q$2),"00")&amp;$O273,日報!$L:$L)</f>
        <v>0</v>
      </c>
      <c r="R273" s="65">
        <f ca="1">SUMIF(日報!$J:$J,$O273,日報!$L:$L)</f>
        <v>0</v>
      </c>
    </row>
    <row r="274" spans="10:18" x14ac:dyDescent="0.15">
      <c r="J274" s="7">
        <f>[3]業務定義!$J276</f>
        <v>0</v>
      </c>
      <c r="K274" s="7">
        <f>[3]業務定義!$A276</f>
        <v>0</v>
      </c>
      <c r="L274" s="208"/>
      <c r="M274" s="65">
        <f ca="1">SUMIF(日報!$P:$P,TEXT(YEAR($M$2),"0000")&amp;TEXT(MONTH($M$2),"00")&amp;$K274,日報!$L:$L)</f>
        <v>0</v>
      </c>
      <c r="O274" s="7" t="str">
        <f>"REQ"&amp;TEXT([2]RequestList!$A275,"0000")</f>
        <v>REQ21809</v>
      </c>
      <c r="P274" s="7" t="str">
        <f>[2]RequestList!$J275</f>
        <v>Eagle個人情報の種類・件数の調査</v>
      </c>
      <c r="Q274" s="65">
        <f>SUMIF(日報!$R:$R,TEXT(YEAR($Q$2),"0000")&amp;TEXT(MONTH($Q$2),"00")&amp;$O274,日報!$L:$L)</f>
        <v>0</v>
      </c>
      <c r="R274" s="65">
        <f ca="1">SUMIF(日報!$J:$J,$O274,日報!$L:$L)</f>
        <v>0</v>
      </c>
    </row>
    <row r="275" spans="10:18" x14ac:dyDescent="0.15">
      <c r="J275" s="7">
        <f>[3]業務定義!$J277</f>
        <v>0</v>
      </c>
      <c r="K275" s="7">
        <f>[3]業務定義!$A277</f>
        <v>0</v>
      </c>
      <c r="L275" s="208"/>
      <c r="M275" s="65">
        <f ca="1">SUMIF(日報!$P:$P,TEXT(YEAR($M$2),"0000")&amp;TEXT(MONTH($M$2),"00")&amp;$K275,日報!$L:$L)</f>
        <v>0</v>
      </c>
      <c r="O275" s="7" t="str">
        <f>"REQ"&amp;TEXT([2]RequestList!$A276,"0000")</f>
        <v>REQ21810</v>
      </c>
      <c r="P275" s="7" t="str">
        <f>[2]RequestList!$J276</f>
        <v>共有PCの設定</v>
      </c>
      <c r="Q275" s="65">
        <f>SUMIF(日報!$R:$R,TEXT(YEAR($Q$2),"0000")&amp;TEXT(MONTH($Q$2),"00")&amp;$O275,日報!$L:$L)</f>
        <v>0</v>
      </c>
      <c r="R275" s="65">
        <f ca="1">SUMIF(日報!$J:$J,$O275,日報!$L:$L)</f>
        <v>0</v>
      </c>
    </row>
    <row r="276" spans="10:18" x14ac:dyDescent="0.15">
      <c r="J276" s="7">
        <f>[3]業務定義!$J278</f>
        <v>0</v>
      </c>
      <c r="K276" s="7">
        <f>[3]業務定義!$A278</f>
        <v>0</v>
      </c>
      <c r="L276" s="208"/>
      <c r="M276" s="65">
        <f ca="1">SUMIF(日報!$P:$P,TEXT(YEAR($M$2),"0000")&amp;TEXT(MONTH($M$2),"00")&amp;$K276,日報!$L:$L)</f>
        <v>0</v>
      </c>
      <c r="O276" s="7" t="str">
        <f>"REQ"&amp;TEXT([2]RequestList!$A277,"0000")</f>
        <v>REQ21811</v>
      </c>
      <c r="P276" s="7" t="str">
        <f>[2]RequestList!$J277</f>
        <v>ARS障害再発防止</v>
      </c>
      <c r="Q276" s="65">
        <f>SUMIF(日報!$R:$R,TEXT(YEAR($Q$2),"0000")&amp;TEXT(MONTH($Q$2),"00")&amp;$O276,日報!$L:$L)</f>
        <v>0</v>
      </c>
      <c r="R276" s="65">
        <f ca="1">SUMIF(日報!$J:$J,$O276,日報!$L:$L)</f>
        <v>0</v>
      </c>
    </row>
    <row r="277" spans="10:18" x14ac:dyDescent="0.15">
      <c r="J277" s="7">
        <f>[3]業務定義!$J279</f>
        <v>0</v>
      </c>
      <c r="K277" s="7">
        <f>[3]業務定義!$A279</f>
        <v>0</v>
      </c>
      <c r="L277" s="208"/>
      <c r="M277" s="65">
        <f ca="1">SUMIF(日報!$P:$P,TEXT(YEAR($M$2),"0000")&amp;TEXT(MONTH($M$2),"00")&amp;$K277,日報!$L:$L)</f>
        <v>0</v>
      </c>
      <c r="O277" s="7" t="str">
        <f>"REQ"&amp;TEXT([2]RequestList!$A278,"0000")</f>
        <v>REQ21812</v>
      </c>
      <c r="P277" s="7" t="str">
        <f>[2]RequestList!$J278</f>
        <v>状況コードが表示されていない</v>
      </c>
      <c r="Q277" s="65">
        <f>SUMIF(日報!$R:$R,TEXT(YEAR($Q$2),"0000")&amp;TEXT(MONTH($Q$2),"00")&amp;$O277,日報!$L:$L)</f>
        <v>0</v>
      </c>
      <c r="R277" s="65">
        <f ca="1">SUMIF(日報!$J:$J,$O277,日報!$L:$L)</f>
        <v>0</v>
      </c>
    </row>
    <row r="278" spans="10:18" x14ac:dyDescent="0.15">
      <c r="J278" s="7">
        <f>[3]業務定義!$J280</f>
        <v>0</v>
      </c>
      <c r="K278" s="7">
        <f>[3]業務定義!$A280</f>
        <v>0</v>
      </c>
      <c r="L278" s="208"/>
      <c r="M278" s="65">
        <f ca="1">SUMIF(日報!$P:$P,TEXT(YEAR($M$2),"0000")&amp;TEXT(MONTH($M$2),"00")&amp;$K278,日報!$L:$L)</f>
        <v>0</v>
      </c>
      <c r="O278" s="7" t="str">
        <f>"REQ"&amp;TEXT([2]RequestList!$A279,"0000")</f>
        <v>REQ21813</v>
      </c>
      <c r="P278" s="7" t="str">
        <f>[2]RequestList!$J279</f>
        <v>AOSのI/F検討</v>
      </c>
      <c r="Q278" s="65">
        <f>SUMIF(日報!$R:$R,TEXT(YEAR($Q$2),"0000")&amp;TEXT(MONTH($Q$2),"00")&amp;$O278,日報!$L:$L)</f>
        <v>0</v>
      </c>
      <c r="R278" s="65">
        <f ca="1">SUMIF(日報!$J:$J,$O278,日報!$L:$L)</f>
        <v>0</v>
      </c>
    </row>
    <row r="279" spans="10:18" x14ac:dyDescent="0.15">
      <c r="J279" s="7">
        <f>[3]業務定義!$J281</f>
        <v>0</v>
      </c>
      <c r="K279" s="7">
        <f>[3]業務定義!$A281</f>
        <v>0</v>
      </c>
      <c r="L279" s="208"/>
      <c r="M279" s="65">
        <f ca="1">SUMIF(日報!$P:$P,TEXT(YEAR($M$2),"0000")&amp;TEXT(MONTH($M$2),"00")&amp;$K279,日報!$L:$L)</f>
        <v>0</v>
      </c>
      <c r="O279" s="7" t="str">
        <f>"REQ"&amp;TEXT([2]RequestList!$A280,"0000")</f>
        <v>REQ21814</v>
      </c>
      <c r="P279" s="7" t="str">
        <f>[2]RequestList!$J280</f>
        <v>ライセンスについての質問</v>
      </c>
      <c r="Q279" s="65">
        <f>SUMIF(日報!$R:$R,TEXT(YEAR($Q$2),"0000")&amp;TEXT(MONTH($Q$2),"00")&amp;$O279,日報!$L:$L)</f>
        <v>0</v>
      </c>
      <c r="R279" s="65">
        <f ca="1">SUMIF(日報!$J:$J,$O279,日報!$L:$L)</f>
        <v>0</v>
      </c>
    </row>
    <row r="280" spans="10:18" x14ac:dyDescent="0.15">
      <c r="J280" s="7">
        <f>[3]業務定義!$J282</f>
        <v>0</v>
      </c>
      <c r="K280" s="7">
        <f>[3]業務定義!$A282</f>
        <v>0</v>
      </c>
      <c r="L280" s="208"/>
      <c r="M280" s="65">
        <f ca="1">SUMIF(日報!$P:$P,TEXT(YEAR($M$2),"0000")&amp;TEXT(MONTH($M$2),"00")&amp;$K280,日報!$L:$L)</f>
        <v>0</v>
      </c>
      <c r="O280" s="7" t="str">
        <f>"REQ"&amp;TEXT([2]RequestList!$A281,"0000")</f>
        <v>REQ21815</v>
      </c>
      <c r="P280" s="7" t="str">
        <f>[2]RequestList!$J281</f>
        <v>得意先コードの重複</v>
      </c>
      <c r="Q280" s="65">
        <f>SUMIF(日報!$R:$R,TEXT(YEAR($Q$2),"0000")&amp;TEXT(MONTH($Q$2),"00")&amp;$O280,日報!$L:$L)</f>
        <v>0</v>
      </c>
      <c r="R280" s="65">
        <f ca="1">SUMIF(日報!$J:$J,$O280,日報!$L:$L)</f>
        <v>0</v>
      </c>
    </row>
    <row r="281" spans="10:18" x14ac:dyDescent="0.15">
      <c r="J281" s="7">
        <f>[3]業務定義!$J283</f>
        <v>0</v>
      </c>
      <c r="K281" s="7">
        <f>[3]業務定義!$A283</f>
        <v>0</v>
      </c>
      <c r="L281" s="208"/>
      <c r="M281" s="65">
        <f ca="1">SUMIF(日報!$P:$P,TEXT(YEAR($M$2),"0000")&amp;TEXT(MONTH($M$2),"00")&amp;$K281,日報!$L:$L)</f>
        <v>0</v>
      </c>
      <c r="O281" s="7" t="str">
        <f>"REQ"&amp;TEXT([2]RequestList!$A282,"0000")</f>
        <v>REQ21816</v>
      </c>
      <c r="P281" s="7" t="str">
        <f>[2]RequestList!$J282</f>
        <v>ZZ KPIのレコードタイプ追加</v>
      </c>
      <c r="Q281" s="65">
        <f>SUMIF(日報!$R:$R,TEXT(YEAR($Q$2),"0000")&amp;TEXT(MONTH($Q$2),"00")&amp;$O281,日報!$L:$L)</f>
        <v>0</v>
      </c>
      <c r="R281" s="65">
        <f ca="1">SUMIF(日報!$J:$J,$O281,日報!$L:$L)</f>
        <v>0</v>
      </c>
    </row>
    <row r="282" spans="10:18" x14ac:dyDescent="0.15">
      <c r="J282" s="7">
        <f>[3]業務定義!$J284</f>
        <v>0</v>
      </c>
      <c r="K282" s="7">
        <f>[3]業務定義!$A284</f>
        <v>0</v>
      </c>
      <c r="L282" s="208"/>
      <c r="M282" s="65">
        <f ca="1">SUMIF(日報!$P:$P,TEXT(YEAR($M$2),"0000")&amp;TEXT(MONTH($M$2),"00")&amp;$K282,日報!$L:$L)</f>
        <v>0</v>
      </c>
      <c r="O282" s="7" t="str">
        <f>"REQ"&amp;TEXT([2]RequestList!$A283,"0000")</f>
        <v>REQ21817</v>
      </c>
      <c r="P282" s="7" t="str">
        <f>[2]RequestList!$J283</f>
        <v>塩澤さんのアカウント</v>
      </c>
      <c r="Q282" s="65">
        <f>SUMIF(日報!$R:$R,TEXT(YEAR($Q$2),"0000")&amp;TEXT(MONTH($Q$2),"00")&amp;$O282,日報!$L:$L)</f>
        <v>0</v>
      </c>
      <c r="R282" s="65">
        <f ca="1">SUMIF(日報!$J:$J,$O282,日報!$L:$L)</f>
        <v>0</v>
      </c>
    </row>
    <row r="283" spans="10:18" x14ac:dyDescent="0.15">
      <c r="J283" s="7">
        <f>[3]業務定義!$J285</f>
        <v>0</v>
      </c>
      <c r="K283" s="7">
        <f>[3]業務定義!$A285</f>
        <v>0</v>
      </c>
      <c r="L283" s="208"/>
      <c r="M283" s="65">
        <f ca="1">SUMIF(日報!$P:$P,TEXT(YEAR($M$2),"0000")&amp;TEXT(MONTH($M$2),"00")&amp;$K283,日報!$L:$L)</f>
        <v>0</v>
      </c>
      <c r="O283" s="7" t="str">
        <f>"REQ"&amp;TEXT([2]RequestList!$A284,"0000")</f>
        <v>REQ21818</v>
      </c>
      <c r="P283" s="7" t="str">
        <f>[2]RequestList!$J284</f>
        <v>キャンペーンフラグの小野包装へのI/Fの可否について</v>
      </c>
      <c r="Q283" s="65">
        <f>SUMIF(日報!$R:$R,TEXT(YEAR($Q$2),"0000")&amp;TEXT(MONTH($Q$2),"00")&amp;$O283,日報!$L:$L)</f>
        <v>0</v>
      </c>
      <c r="R283" s="65">
        <f ca="1">SUMIF(日報!$J:$J,$O283,日報!$L:$L)</f>
        <v>0</v>
      </c>
    </row>
    <row r="284" spans="10:18" x14ac:dyDescent="0.15">
      <c r="J284" s="7">
        <f>[3]業務定義!$J286</f>
        <v>0</v>
      </c>
      <c r="K284" s="7">
        <f>[3]業務定義!$A286</f>
        <v>0</v>
      </c>
      <c r="L284" s="208"/>
      <c r="M284" s="65">
        <f ca="1">SUMIF(日報!$P:$P,TEXT(YEAR($M$2),"0000")&amp;TEXT(MONTH($M$2),"00")&amp;$K284,日報!$L:$L)</f>
        <v>0</v>
      </c>
      <c r="O284" s="7" t="str">
        <f>"REQ"&amp;TEXT([2]RequestList!$A285,"0000")</f>
        <v>REQ21819</v>
      </c>
      <c r="P284" s="7" t="str">
        <f>[2]RequestList!$J285</f>
        <v>POPオーダー　3/13 21時分</v>
      </c>
      <c r="Q284" s="65">
        <f>SUMIF(日報!$R:$R,TEXT(YEAR($Q$2),"0000")&amp;TEXT(MONTH($Q$2),"00")&amp;$O284,日報!$L:$L)</f>
        <v>0</v>
      </c>
      <c r="R284" s="65">
        <f ca="1">SUMIF(日報!$J:$J,$O284,日報!$L:$L)</f>
        <v>0</v>
      </c>
    </row>
    <row r="285" spans="10:18" x14ac:dyDescent="0.15">
      <c r="J285" s="7">
        <f>[3]業務定義!$J287</f>
        <v>0</v>
      </c>
      <c r="K285" s="7">
        <f>[3]業務定義!$A287</f>
        <v>0</v>
      </c>
      <c r="L285" s="208"/>
      <c r="M285" s="65">
        <f ca="1">SUMIF(日報!$P:$P,TEXT(YEAR($M$2),"0000")&amp;TEXT(MONTH($M$2),"00")&amp;$K285,日報!$L:$L)</f>
        <v>0</v>
      </c>
      <c r="O285" s="7" t="str">
        <f>"REQ"&amp;TEXT([2]RequestList!$A286,"0000")</f>
        <v>REQ21820</v>
      </c>
      <c r="P285" s="7" t="str">
        <f>[2]RequestList!$J286</f>
        <v>POPオーダーのキャンセル　春分の日</v>
      </c>
      <c r="Q285" s="65">
        <f>SUMIF(日報!$R:$R,TEXT(YEAR($Q$2),"0000")&amp;TEXT(MONTH($Q$2),"00")&amp;$O285,日報!$L:$L)</f>
        <v>0</v>
      </c>
      <c r="R285" s="65">
        <f ca="1">SUMIF(日報!$J:$J,$O285,日報!$L:$L)</f>
        <v>0</v>
      </c>
    </row>
    <row r="286" spans="10:18" x14ac:dyDescent="0.15">
      <c r="J286" s="7">
        <f>[3]業務定義!$J288</f>
        <v>0</v>
      </c>
      <c r="K286" s="7">
        <f>[3]業務定義!$A288</f>
        <v>0</v>
      </c>
      <c r="L286" s="208"/>
      <c r="M286" s="65">
        <f ca="1">SUMIF(日報!$P:$P,TEXT(YEAR($M$2),"0000")&amp;TEXT(MONTH($M$2),"00")&amp;$K286,日報!$L:$L)</f>
        <v>0</v>
      </c>
      <c r="O286" s="7" t="str">
        <f>"REQ"&amp;TEXT([2]RequestList!$A287,"0000")</f>
        <v>REQ21821</v>
      </c>
      <c r="P286" s="7" t="str">
        <f>[2]RequestList!$J287</f>
        <v>上田さんの権限移譲</v>
      </c>
      <c r="Q286" s="65">
        <f>SUMIF(日報!$R:$R,TEXT(YEAR($Q$2),"0000")&amp;TEXT(MONTH($Q$2),"00")&amp;$O286,日報!$L:$L)</f>
        <v>0</v>
      </c>
      <c r="R286" s="65">
        <f ca="1">SUMIF(日報!$J:$J,$O286,日報!$L:$L)</f>
        <v>0</v>
      </c>
    </row>
    <row r="287" spans="10:18" x14ac:dyDescent="0.15">
      <c r="J287" s="7">
        <f>[3]業務定義!$J289</f>
        <v>0</v>
      </c>
      <c r="K287" s="7">
        <f>[3]業務定義!$A289</f>
        <v>0</v>
      </c>
      <c r="L287" s="208"/>
      <c r="M287" s="65">
        <f ca="1">SUMIF(日報!$P:$P,TEXT(YEAR($M$2),"0000")&amp;TEXT(MONTH($M$2),"00")&amp;$K287,日報!$L:$L)</f>
        <v>0</v>
      </c>
      <c r="O287" s="7" t="str">
        <f>"REQ"&amp;TEXT([2]RequestList!$A288,"0000")</f>
        <v>REQ21822</v>
      </c>
      <c r="P287" s="7" t="str">
        <f>[2]RequestList!$J288</f>
        <v>Region追加の影響</v>
      </c>
      <c r="Q287" s="65">
        <f>SUMIF(日報!$R:$R,TEXT(YEAR($Q$2),"0000")&amp;TEXT(MONTH($Q$2),"00")&amp;$O287,日報!$L:$L)</f>
        <v>0</v>
      </c>
      <c r="R287" s="65">
        <f ca="1">SUMIF(日報!$J:$J,$O287,日報!$L:$L)</f>
        <v>0</v>
      </c>
    </row>
    <row r="288" spans="10:18" x14ac:dyDescent="0.15">
      <c r="J288" s="7">
        <f>[3]業務定義!$J290</f>
        <v>0</v>
      </c>
      <c r="K288" s="7">
        <f>[3]業務定義!$A290</f>
        <v>0</v>
      </c>
      <c r="L288" s="208"/>
      <c r="M288" s="65">
        <f ca="1">SUMIF(日報!$P:$P,TEXT(YEAR($M$2),"0000")&amp;TEXT(MONTH($M$2),"00")&amp;$K288,日報!$L:$L)</f>
        <v>0</v>
      </c>
      <c r="O288" s="7" t="str">
        <f>"REQ"&amp;TEXT([2]RequestList!$A289,"0000")</f>
        <v>REQ21823</v>
      </c>
      <c r="P288" s="7" t="str">
        <f>[2]RequestList!$J289</f>
        <v>初期在庫　品目マスタのメンテナンス</v>
      </c>
      <c r="Q288" s="65">
        <f>SUMIF(日報!$R:$R,TEXT(YEAR($Q$2),"0000")&amp;TEXT(MONTH($Q$2),"00")&amp;$O288,日報!$L:$L)</f>
        <v>0</v>
      </c>
      <c r="R288" s="65">
        <f ca="1">SUMIF(日報!$J:$J,$O288,日報!$L:$L)</f>
        <v>0</v>
      </c>
    </row>
    <row r="289" spans="10:18" x14ac:dyDescent="0.15">
      <c r="J289" s="7">
        <f>[3]業務定義!$J291</f>
        <v>0</v>
      </c>
      <c r="K289" s="7">
        <f>[3]業務定義!$A291</f>
        <v>0</v>
      </c>
      <c r="L289" s="208"/>
      <c r="M289" s="65">
        <f ca="1">SUMIF(日報!$P:$P,TEXT(YEAR($M$2),"0000")&amp;TEXT(MONTH($M$2),"00")&amp;$K289,日報!$L:$L)</f>
        <v>0</v>
      </c>
      <c r="O289" s="7" t="str">
        <f>"REQ"&amp;TEXT([2]RequestList!$A290,"0000")</f>
        <v>REQ21824</v>
      </c>
      <c r="P289" s="7" t="str">
        <f>[2]RequestList!$J290</f>
        <v>Sold To I/Fの再発防止策について</v>
      </c>
      <c r="Q289" s="65">
        <f>SUMIF(日報!$R:$R,TEXT(YEAR($Q$2),"0000")&amp;TEXT(MONTH($Q$2),"00")&amp;$O289,日報!$L:$L)</f>
        <v>0</v>
      </c>
      <c r="R289" s="65">
        <f ca="1">SUMIF(日報!$J:$J,$O289,日報!$L:$L)</f>
        <v>0</v>
      </c>
    </row>
    <row r="290" spans="10:18" x14ac:dyDescent="0.15">
      <c r="J290" s="7">
        <f>[3]業務定義!$J292</f>
        <v>0</v>
      </c>
      <c r="K290" s="7">
        <f>[3]業務定義!$A292</f>
        <v>0</v>
      </c>
      <c r="L290" s="208"/>
      <c r="M290" s="65">
        <f ca="1">SUMIF(日報!$P:$P,TEXT(YEAR($M$2),"0000")&amp;TEXT(MONTH($M$2),"00")&amp;$K290,日報!$L:$L)</f>
        <v>0</v>
      </c>
      <c r="O290" s="7" t="str">
        <f>"REQ"&amp;TEXT([2]RequestList!$A291,"0000")</f>
        <v>REQ21825</v>
      </c>
      <c r="P290" s="7" t="str">
        <f>[2]RequestList!$J291</f>
        <v>処方医療情報レポート</v>
      </c>
      <c r="Q290" s="65">
        <f>SUMIF(日報!$R:$R,TEXT(YEAR($Q$2),"0000")&amp;TEXT(MONTH($Q$2),"00")&amp;$O290,日報!$L:$L)</f>
        <v>0</v>
      </c>
      <c r="R290" s="65">
        <f ca="1">SUMIF(日報!$J:$J,$O290,日報!$L:$L)</f>
        <v>0</v>
      </c>
    </row>
    <row r="291" spans="10:18" x14ac:dyDescent="0.15">
      <c r="J291" s="7">
        <f>[3]業務定義!$J293</f>
        <v>0</v>
      </c>
      <c r="K291" s="7">
        <f>[3]業務定義!$A293</f>
        <v>0</v>
      </c>
      <c r="L291" s="208"/>
      <c r="M291" s="65">
        <f ca="1">SUMIF(日報!$P:$P,TEXT(YEAR($M$2),"0000")&amp;TEXT(MONTH($M$2),"00")&amp;$K291,日報!$L:$L)</f>
        <v>0</v>
      </c>
      <c r="O291" s="7" t="str">
        <f>"REQ"&amp;TEXT([2]RequestList!$A292,"0000")</f>
        <v>REQ21826</v>
      </c>
      <c r="P291" s="7" t="str">
        <f>[2]RequestList!$J292</f>
        <v>POPオーダー　3/21 10時分</v>
      </c>
      <c r="Q291" s="65">
        <f>SUMIF(日報!$R:$R,TEXT(YEAR($Q$2),"0000")&amp;TEXT(MONTH($Q$2),"00")&amp;$O291,日報!$L:$L)</f>
        <v>0</v>
      </c>
      <c r="R291" s="65">
        <f ca="1">SUMIF(日報!$J:$J,$O291,日報!$L:$L)</f>
        <v>0</v>
      </c>
    </row>
    <row r="292" spans="10:18" x14ac:dyDescent="0.15">
      <c r="J292" s="7">
        <f>[3]業務定義!$J294</f>
        <v>0</v>
      </c>
      <c r="K292" s="7">
        <f>[3]業務定義!$A294</f>
        <v>0</v>
      </c>
      <c r="L292" s="208"/>
      <c r="M292" s="65">
        <f ca="1">SUMIF(日報!$P:$P,TEXT(YEAR($M$2),"0000")&amp;TEXT(MONTH($M$2),"00")&amp;$K292,日報!$L:$L)</f>
        <v>0</v>
      </c>
      <c r="O292" s="7" t="str">
        <f>"REQ"&amp;TEXT([2]RequestList!$A293,"0000")</f>
        <v>REQ21827</v>
      </c>
      <c r="P292" s="7" t="str">
        <f>[2]RequestList!$J293</f>
        <v>Coachingのデータメンテ</v>
      </c>
      <c r="Q292" s="65">
        <f>SUMIF(日報!$R:$R,TEXT(YEAR($Q$2),"0000")&amp;TEXT(MONTH($Q$2),"00")&amp;$O292,日報!$L:$L)</f>
        <v>0</v>
      </c>
      <c r="R292" s="65">
        <f ca="1">SUMIF(日報!$J:$J,$O292,日報!$L:$L)</f>
        <v>0</v>
      </c>
    </row>
    <row r="293" spans="10:18" x14ac:dyDescent="0.15">
      <c r="J293" s="7">
        <f>[3]業務定義!$J295</f>
        <v>0</v>
      </c>
      <c r="K293" s="7">
        <f>[3]業務定義!$A295</f>
        <v>0</v>
      </c>
      <c r="L293" s="208"/>
      <c r="M293" s="65">
        <f ca="1">SUMIF(日報!$P:$P,TEXT(YEAR($M$2),"0000")&amp;TEXT(MONTH($M$2),"00")&amp;$K293,日報!$L:$L)</f>
        <v>0</v>
      </c>
      <c r="O293" s="7" t="str">
        <f>"REQ"&amp;TEXT([2]RequestList!$A294,"0000")</f>
        <v>REQ21828</v>
      </c>
      <c r="P293" s="7" t="str">
        <f>[2]RequestList!$J294</f>
        <v>BA Meeting</v>
      </c>
      <c r="Q293" s="65">
        <f>SUMIF(日報!$R:$R,TEXT(YEAR($Q$2),"0000")&amp;TEXT(MONTH($Q$2),"00")&amp;$O293,日報!$L:$L)</f>
        <v>0</v>
      </c>
      <c r="R293" s="65">
        <f ca="1">SUMIF(日報!$J:$J,$O293,日報!$L:$L)</f>
        <v>0</v>
      </c>
    </row>
    <row r="294" spans="10:18" x14ac:dyDescent="0.15">
      <c r="J294" s="7">
        <f>[3]業務定義!$J296</f>
        <v>0</v>
      </c>
      <c r="K294" s="7">
        <f>[3]業務定義!$A296</f>
        <v>0</v>
      </c>
      <c r="L294" s="208"/>
      <c r="M294" s="65">
        <f ca="1">SUMIF(日報!$P:$P,TEXT(YEAR($M$2),"0000")&amp;TEXT(MONTH($M$2),"00")&amp;$K294,日報!$L:$L)</f>
        <v>0</v>
      </c>
      <c r="O294" s="7" t="str">
        <f>"REQ"&amp;TEXT([2]RequestList!$A295,"0000")</f>
        <v>REQ21829</v>
      </c>
      <c r="P294" s="7" t="str">
        <f>[2]RequestList!$J295</f>
        <v>奈緒子さんの引継</v>
      </c>
      <c r="Q294" s="65">
        <f>SUMIF(日報!$R:$R,TEXT(YEAR($Q$2),"0000")&amp;TEXT(MONTH($Q$2),"00")&amp;$O294,日報!$L:$L)</f>
        <v>0</v>
      </c>
      <c r="R294" s="65">
        <f ca="1">SUMIF(日報!$J:$J,$O294,日報!$L:$L)</f>
        <v>0</v>
      </c>
    </row>
    <row r="295" spans="10:18" x14ac:dyDescent="0.15">
      <c r="J295" s="7">
        <f>[3]業務定義!$J297</f>
        <v>0</v>
      </c>
      <c r="K295" s="7">
        <f>[3]業務定義!$A297</f>
        <v>0</v>
      </c>
      <c r="L295" s="208"/>
      <c r="M295" s="65">
        <f ca="1">SUMIF(日報!$P:$P,TEXT(YEAR($M$2),"0000")&amp;TEXT(MONTH($M$2),"00")&amp;$K295,日報!$L:$L)</f>
        <v>0</v>
      </c>
      <c r="O295" s="7" t="str">
        <f>"REQ"&amp;TEXT([2]RequestList!$A296,"0000")</f>
        <v>REQ21830</v>
      </c>
      <c r="P295" s="7" t="str">
        <f>[2]RequestList!$J296</f>
        <v>POPオーダー　3/30 10時分</v>
      </c>
      <c r="Q295" s="65">
        <f>SUMIF(日報!$R:$R,TEXT(YEAR($Q$2),"0000")&amp;TEXT(MONTH($Q$2),"00")&amp;$O295,日報!$L:$L)</f>
        <v>0</v>
      </c>
      <c r="R295" s="65">
        <f ca="1">SUMIF(日報!$J:$J,$O295,日報!$L:$L)</f>
        <v>0</v>
      </c>
    </row>
    <row r="296" spans="10:18" x14ac:dyDescent="0.15">
      <c r="J296" s="7">
        <f>[3]業務定義!$J298</f>
        <v>0</v>
      </c>
      <c r="K296" s="7">
        <f>[3]業務定義!$A298</f>
        <v>0</v>
      </c>
      <c r="L296" s="208"/>
      <c r="M296" s="65">
        <f ca="1">SUMIF(日報!$P:$P,TEXT(YEAR($M$2),"0000")&amp;TEXT(MONTH($M$2),"00")&amp;$K296,日報!$L:$L)</f>
        <v>0</v>
      </c>
      <c r="O296" s="7" t="str">
        <f>"REQ"&amp;TEXT([2]RequestList!$A297,"0000")</f>
        <v>REQ21831</v>
      </c>
      <c r="P296" s="7" t="str">
        <f>[2]RequestList!$J297</f>
        <v>【Inquiry】POS dashboardとGrowth rebate managementの数値の差異について</v>
      </c>
      <c r="Q296" s="65">
        <f>SUMIF(日報!$R:$R,TEXT(YEAR($Q$2),"0000")&amp;TEXT(MONTH($Q$2),"00")&amp;$O296,日報!$L:$L)</f>
        <v>0</v>
      </c>
      <c r="R296" s="65">
        <f ca="1">SUMIF(日報!$J:$J,$O296,日報!$L:$L)</f>
        <v>0</v>
      </c>
    </row>
    <row r="297" spans="10:18" x14ac:dyDescent="0.15">
      <c r="J297" s="7">
        <f>[3]業務定義!$J299</f>
        <v>0</v>
      </c>
      <c r="K297" s="7">
        <f>[3]業務定義!$A299</f>
        <v>0</v>
      </c>
      <c r="L297" s="208"/>
      <c r="M297" s="65">
        <f ca="1">SUMIF(日報!$P:$P,TEXT(YEAR($M$2),"0000")&amp;TEXT(MONTH($M$2),"00")&amp;$K297,日報!$L:$L)</f>
        <v>0</v>
      </c>
      <c r="O297" s="7" t="str">
        <f>"REQ"&amp;TEXT([2]RequestList!$A298,"0000")</f>
        <v>REQ21832</v>
      </c>
      <c r="P297" s="7" t="str">
        <f>[2]RequestList!$J298</f>
        <v>【Inquiry】【Sales Dashboard】ファイル名「SFE_CC_DF10P5P」でPayer/Outlet毎の構成の方法によって合計値が異なる
■内容
【Sales Dashboard】ファイル名「SFE_CC_DF10P5P」でPayer/Outlet毎の構成の方法によって合計値が異なる
■ご確認頂きたいこと
	添付エクセルファイル内のby Payer/by Outletで合計値が異なる理由
	どちらの内容を正と判断していいのか</v>
      </c>
      <c r="Q297" s="65">
        <f>SUMIF(日報!$R:$R,TEXT(YEAR($Q$2),"0000")&amp;TEXT(MONTH($Q$2),"00")&amp;$O297,日報!$L:$L)</f>
        <v>0</v>
      </c>
      <c r="R297" s="65">
        <f ca="1">SUMIF(日報!$J:$J,$O297,日報!$L:$L)</f>
        <v>0</v>
      </c>
    </row>
    <row r="298" spans="10:18" x14ac:dyDescent="0.15">
      <c r="J298" s="7">
        <f>[3]業務定義!$J300</f>
        <v>0</v>
      </c>
      <c r="K298" s="7">
        <f>[3]業務定義!$A300</f>
        <v>0</v>
      </c>
      <c r="L298" s="208"/>
      <c r="M298" s="65">
        <f ca="1">SUMIF(日報!$P:$P,TEXT(YEAR($M$2),"0000")&amp;TEXT(MONTH($M$2),"00")&amp;$K298,日報!$L:$L)</f>
        <v>0</v>
      </c>
      <c r="O298" s="7" t="str">
        <f>"REQ"&amp;TEXT([2]RequestList!$A299,"0000")</f>
        <v>REQ21833</v>
      </c>
      <c r="P298" s="7" t="str">
        <f>[2]RequestList!$J299</f>
        <v>【Inquiry】 Panoramaにアクセス不可</v>
      </c>
      <c r="Q298" s="65">
        <f>SUMIF(日報!$R:$R,TEXT(YEAR($Q$2),"0000")&amp;TEXT(MONTH($Q$2),"00")&amp;$O298,日報!$L:$L)</f>
        <v>0</v>
      </c>
      <c r="R298" s="65">
        <f ca="1">SUMIF(日報!$J:$J,$O298,日報!$L:$L)</f>
        <v>0</v>
      </c>
    </row>
    <row r="299" spans="10:18" x14ac:dyDescent="0.15">
      <c r="J299" s="7">
        <f>[3]業務定義!$J301</f>
        <v>0</v>
      </c>
      <c r="K299" s="7">
        <f>[3]業務定義!$A301</f>
        <v>0</v>
      </c>
      <c r="L299" s="208"/>
      <c r="M299" s="65">
        <f ca="1">SUMIF(日報!$P:$P,TEXT(YEAR($M$2),"0000")&amp;TEXT(MONTH($M$2),"00")&amp;$K299,日報!$L:$L)</f>
        <v>0</v>
      </c>
      <c r="O299" s="7" t="str">
        <f>"REQ"&amp;TEXT([2]RequestList!$A300,"0000")</f>
        <v>REQ21834</v>
      </c>
      <c r="P299" s="7" t="str">
        <f>[2]RequestList!$J300</f>
        <v>【Insident】Panorama3/11のデータが更新されていない INC000021773582</v>
      </c>
      <c r="Q299" s="65">
        <f>SUMIF(日報!$R:$R,TEXT(YEAR($Q$2),"0000")&amp;TEXT(MONTH($Q$2),"00")&amp;$O299,日報!$L:$L)</f>
        <v>0</v>
      </c>
      <c r="R299" s="65">
        <f ca="1">SUMIF(日報!$J:$J,$O299,日報!$L:$L)</f>
        <v>0</v>
      </c>
    </row>
    <row r="300" spans="10:18" x14ac:dyDescent="0.15">
      <c r="J300" s="7">
        <f>[3]業務定義!$J302</f>
        <v>0</v>
      </c>
      <c r="K300" s="7">
        <f>[3]業務定義!$A302</f>
        <v>0</v>
      </c>
      <c r="L300" s="208"/>
      <c r="M300" s="65">
        <f ca="1">SUMIF(日報!$P:$P,TEXT(YEAR($M$2),"0000")&amp;TEXT(MONTH($M$2),"00")&amp;$K300,日報!$L:$L)</f>
        <v>0</v>
      </c>
      <c r="O300" s="7" t="str">
        <f>"REQ"&amp;TEXT([2]RequestList!$A301,"0000")</f>
        <v>REQ21835</v>
      </c>
      <c r="P300" s="7" t="str">
        <f>[2]RequestList!$J301</f>
        <v>【Inquiry】 Panoramaにアクセス不可(名古屋/小林宏さん)</v>
      </c>
      <c r="Q300" s="65">
        <f>SUMIF(日報!$R:$R,TEXT(YEAR($Q$2),"0000")&amp;TEXT(MONTH($Q$2),"00")&amp;$O300,日報!$L:$L)</f>
        <v>0</v>
      </c>
      <c r="R300" s="65">
        <f ca="1">SUMIF(日報!$J:$J,$O300,日報!$L:$L)</f>
        <v>0</v>
      </c>
    </row>
    <row r="301" spans="10:18" x14ac:dyDescent="0.15">
      <c r="J301" s="7">
        <f>[3]業務定義!$J303</f>
        <v>0</v>
      </c>
      <c r="K301" s="7">
        <f>[3]業務定義!$A303</f>
        <v>0</v>
      </c>
      <c r="L301" s="208"/>
      <c r="M301" s="65">
        <f ca="1">SUMIF(日報!$P:$P,TEXT(YEAR($M$2),"0000")&amp;TEXT(MONTH($M$2),"00")&amp;$K301,日報!$L:$L)</f>
        <v>0</v>
      </c>
      <c r="O301" s="7" t="str">
        <f>"REQ"&amp;TEXT([2]RequestList!$A302,"0000")</f>
        <v>REQ21836</v>
      </c>
      <c r="P301" s="7" t="str">
        <f>[2]RequestList!$J302</f>
        <v>【Inquiry】 松本直子さんの承認グループからの削除依頼</v>
      </c>
      <c r="Q301" s="65">
        <f>SUMIF(日報!$R:$R,TEXT(YEAR($Q$2),"0000")&amp;TEXT(MONTH($Q$2),"00")&amp;$O301,日報!$L:$L)</f>
        <v>0</v>
      </c>
      <c r="R301" s="65">
        <f ca="1">SUMIF(日報!$J:$J,$O301,日報!$L:$L)</f>
        <v>0</v>
      </c>
    </row>
    <row r="302" spans="10:18" x14ac:dyDescent="0.15">
      <c r="J302" s="7">
        <f>[3]業務定義!$J304</f>
        <v>0</v>
      </c>
      <c r="K302" s="7">
        <f>[3]業務定義!$A304</f>
        <v>0</v>
      </c>
      <c r="L302" s="208"/>
      <c r="M302" s="65">
        <f ca="1">SUMIF(日報!$P:$P,TEXT(YEAR($M$2),"0000")&amp;TEXT(MONTH($M$2),"00")&amp;$K302,日報!$L:$L)</f>
        <v>0</v>
      </c>
      <c r="O302" s="7" t="str">
        <f>"REQ"&amp;TEXT([2]RequestList!$A303,"0000")</f>
        <v>REQ21837</v>
      </c>
      <c r="P302" s="7" t="str">
        <f>[2]RequestList!$J303</f>
        <v>【Inquiry】 POSデータ未反映分のUPLOAD確認
土井さんからの再UPLOAD依頼分の確認</v>
      </c>
      <c r="Q302" s="65">
        <f>SUMIF(日報!$R:$R,TEXT(YEAR($Q$2),"0000")&amp;TEXT(MONTH($Q$2),"00")&amp;$O302,日報!$L:$L)</f>
        <v>0</v>
      </c>
      <c r="R302" s="65">
        <f ca="1">SUMIF(日報!$J:$J,$O302,日報!$L:$L)</f>
        <v>0</v>
      </c>
    </row>
    <row r="303" spans="10:18" x14ac:dyDescent="0.15">
      <c r="J303" s="7">
        <f>[3]業務定義!$J305</f>
        <v>0</v>
      </c>
      <c r="K303" s="7">
        <f>[3]業務定義!$A305</f>
        <v>0</v>
      </c>
      <c r="L303" s="208"/>
      <c r="M303" s="65">
        <f ca="1">SUMIF(日報!$P:$P,TEXT(YEAR($M$2),"0000")&amp;TEXT(MONTH($M$2),"00")&amp;$K303,日報!$L:$L)</f>
        <v>0</v>
      </c>
      <c r="O303" s="7" t="str">
        <f>"REQ"&amp;TEXT([2]RequestList!$A304,"0000")</f>
        <v>REQ21838</v>
      </c>
      <c r="P303" s="7" t="str">
        <f>[2]RequestList!$J304</f>
        <v>Panorama　KT資料作成、KT</v>
      </c>
      <c r="Q303" s="65">
        <f>SUMIF(日報!$R:$R,TEXT(YEAR($Q$2),"0000")&amp;TEXT(MONTH($Q$2),"00")&amp;$O303,日報!$L:$L)</f>
        <v>0</v>
      </c>
      <c r="R303" s="65">
        <f ca="1">SUMIF(日報!$J:$J,$O303,日報!$L:$L)</f>
        <v>0</v>
      </c>
    </row>
    <row r="304" spans="10:18" x14ac:dyDescent="0.15">
      <c r="J304" s="7">
        <f>[3]業務定義!$J306</f>
        <v>0</v>
      </c>
      <c r="K304" s="7">
        <f>[3]業務定義!$A306</f>
        <v>0</v>
      </c>
      <c r="L304" s="208"/>
      <c r="M304" s="65">
        <f ca="1">SUMIF(日報!$P:$P,TEXT(YEAR($M$2),"0000")&amp;TEXT(MONTH($M$2),"00")&amp;$K304,日報!$L:$L)</f>
        <v>0</v>
      </c>
      <c r="O304" s="7" t="str">
        <f>"REQ"&amp;TEXT([2]RequestList!$A305,"0000")</f>
        <v>REQ21839</v>
      </c>
      <c r="P304" s="7" t="str">
        <f>[2]RequestList!$J305</f>
        <v>【Inquiry】 Triton Aのトランザクションが発生しているか？
Triton Aのトランザクションがレポートに表示されているか？</v>
      </c>
      <c r="Q304" s="65">
        <f>SUMIF(日報!$R:$R,TEXT(YEAR($Q$2),"0000")&amp;TEXT(MONTH($Q$2),"00")&amp;$O304,日報!$L:$L)</f>
        <v>0</v>
      </c>
      <c r="R304" s="65">
        <f ca="1">SUMIF(日報!$J:$J,$O304,日報!$L:$L)</f>
        <v>0</v>
      </c>
    </row>
    <row r="305" spans="10:18" x14ac:dyDescent="0.15">
      <c r="J305" s="7">
        <f>[3]業務定義!$J307</f>
        <v>0</v>
      </c>
      <c r="K305" s="7">
        <f>[3]業務定義!$A307</f>
        <v>0</v>
      </c>
      <c r="L305" s="208"/>
      <c r="M305" s="65">
        <f ca="1">SUMIF(日報!$P:$P,TEXT(YEAR($M$2),"0000")&amp;TEXT(MONTH($M$2),"00")&amp;$K305,日報!$L:$L)</f>
        <v>0</v>
      </c>
      <c r="O305" s="7" t="str">
        <f>"REQ"&amp;TEXT([2]RequestList!$A306,"0000")</f>
        <v>REQ21840</v>
      </c>
      <c r="P305" s="7" t="str">
        <f>[2]RequestList!$J306</f>
        <v>SFDCキャンペーンフラグ</v>
      </c>
      <c r="Q305" s="65">
        <f>SUMIF(日報!$R:$R,TEXT(YEAR($Q$2),"0000")&amp;TEXT(MONTH($Q$2),"00")&amp;$O305,日報!$L:$L)</f>
        <v>0</v>
      </c>
      <c r="R305" s="65">
        <f ca="1">SUMIF(日報!$J:$J,$O305,日報!$L:$L)</f>
        <v>0</v>
      </c>
    </row>
    <row r="306" spans="10:18" x14ac:dyDescent="0.15">
      <c r="J306" s="7">
        <f>[3]業務定義!$J308</f>
        <v>0</v>
      </c>
      <c r="K306" s="7">
        <f>[3]業務定義!$A308</f>
        <v>0</v>
      </c>
      <c r="L306" s="208"/>
      <c r="M306" s="65">
        <f ca="1">SUMIF(日報!$P:$P,TEXT(YEAR($M$2),"0000")&amp;TEXT(MONTH($M$2),"00")&amp;$K306,日報!$L:$L)</f>
        <v>0</v>
      </c>
      <c r="O306" s="7" t="str">
        <f>"REQ"&amp;TEXT([2]RequestList!$A307,"0000")</f>
        <v>REQ21841</v>
      </c>
      <c r="P306" s="7" t="str">
        <f>[2]RequestList!$J307</f>
        <v>SA:Lens出荷状況において、Item Name１の表示文字数を増やすことは可能か？</v>
      </c>
      <c r="Q306" s="65">
        <f>SUMIF(日報!$R:$R,TEXT(YEAR($Q$2),"0000")&amp;TEXT(MONTH($Q$2),"00")&amp;$O306,日報!$L:$L)</f>
        <v>0</v>
      </c>
      <c r="R306" s="65">
        <f ca="1">SUMIF(日報!$J:$J,$O306,日報!$L:$L)</f>
        <v>0</v>
      </c>
    </row>
    <row r="307" spans="10:18" x14ac:dyDescent="0.15">
      <c r="J307" s="7">
        <f>[3]業務定義!$J309</f>
        <v>0</v>
      </c>
      <c r="K307" s="7">
        <f>[3]業務定義!$A309</f>
        <v>0</v>
      </c>
      <c r="L307" s="208"/>
      <c r="M307" s="65">
        <f ca="1">SUMIF(日報!$P:$P,TEXT(YEAR($M$2),"0000")&amp;TEXT(MONTH($M$2),"00")&amp;$K307,日報!$L:$L)</f>
        <v>0</v>
      </c>
      <c r="O307" s="7" t="str">
        <f>"REQ"&amp;TEXT([2]RequestList!$A308,"0000")</f>
        <v>REQ21842</v>
      </c>
      <c r="P307" s="7" t="str">
        <f>[2]RequestList!$J308</f>
        <v>Titon-A関連お役立ちサイト更新</v>
      </c>
      <c r="Q307" s="65">
        <f>SUMIF(日報!$R:$R,TEXT(YEAR($Q$2),"0000")&amp;TEXT(MONTH($Q$2),"00")&amp;$O307,日報!$L:$L)</f>
        <v>0</v>
      </c>
      <c r="R307" s="65">
        <f ca="1">SUMIF(日報!$J:$J,$O307,日報!$L:$L)</f>
        <v>0</v>
      </c>
    </row>
    <row r="308" spans="10:18" x14ac:dyDescent="0.15">
      <c r="J308" s="7">
        <f>[3]業務定義!$J310</f>
        <v>0</v>
      </c>
      <c r="K308" s="7">
        <f>[3]業務定義!$A310</f>
        <v>0</v>
      </c>
      <c r="L308" s="208"/>
      <c r="M308" s="65">
        <f ca="1">SUMIF(日報!$P:$P,TEXT(YEAR($M$2),"0000")&amp;TEXT(MONTH($M$2),"00")&amp;$K308,日報!$L:$L)</f>
        <v>0</v>
      </c>
      <c r="O308" s="7" t="str">
        <f>"REQ"&amp;TEXT([2]RequestList!$A309,"0000")</f>
        <v>REQ21843</v>
      </c>
      <c r="P308" s="7" t="str">
        <f>[2]RequestList!$J309</f>
        <v>【Eagle】コンテンツ更新依頼（お客様直送サービス 利用規約の更新）</v>
      </c>
      <c r="Q308" s="65">
        <f>SUMIF(日報!$R:$R,TEXT(YEAR($Q$2),"0000")&amp;TEXT(MONTH($Q$2),"00")&amp;$O308,日報!$L:$L)</f>
        <v>0</v>
      </c>
      <c r="R308" s="65">
        <f ca="1">SUMIF(日報!$J:$J,$O308,日報!$L:$L)</f>
        <v>0</v>
      </c>
    </row>
    <row r="309" spans="10:18" x14ac:dyDescent="0.15">
      <c r="J309" s="7">
        <f>[3]業務定義!$J311</f>
        <v>0</v>
      </c>
      <c r="K309" s="7">
        <f>[3]業務定義!$A311</f>
        <v>0</v>
      </c>
      <c r="L309" s="208"/>
      <c r="M309" s="65">
        <f ca="1">SUMIF(日報!$P:$P,TEXT(YEAR($M$2),"0000")&amp;TEXT(MONTH($M$2),"00")&amp;$K309,日報!$L:$L)</f>
        <v>0</v>
      </c>
      <c r="O309" s="7" t="str">
        <f>"REQ"&amp;TEXT([2]RequestList!$A310,"0000")</f>
        <v>REQ21844</v>
      </c>
      <c r="P309" s="7" t="str">
        <f>[2]RequestList!$J310</f>
        <v>consumer profileのcreated_dateについて</v>
      </c>
      <c r="Q309" s="65">
        <f>SUMIF(日報!$R:$R,TEXT(YEAR($Q$2),"0000")&amp;TEXT(MONTH($Q$2),"00")&amp;$O309,日報!$L:$L)</f>
        <v>0</v>
      </c>
      <c r="R309" s="65">
        <f ca="1">SUMIF(日報!$J:$J,$O309,日報!$L:$L)</f>
        <v>0</v>
      </c>
    </row>
    <row r="310" spans="10:18" x14ac:dyDescent="0.15">
      <c r="J310" s="7">
        <f>[3]業務定義!$J312</f>
        <v>0</v>
      </c>
      <c r="K310" s="7">
        <f>[3]業務定義!$A312</f>
        <v>0</v>
      </c>
      <c r="L310" s="208"/>
      <c r="M310" s="65">
        <f ca="1">SUMIF(日報!$P:$P,TEXT(YEAR($M$2),"0000")&amp;TEXT(MONTH($M$2),"00")&amp;$K310,日報!$L:$L)</f>
        <v>0</v>
      </c>
      <c r="O310" s="7" t="str">
        <f>"REQ"&amp;TEXT([2]RequestList!$A311,"0000")</f>
        <v>REQ21845</v>
      </c>
      <c r="P310" s="7" t="str">
        <f>[2]RequestList!$J311</f>
        <v>問い合わせ画面にて、保存ボタンを押下するとポップアップが発生する</v>
      </c>
      <c r="Q310" s="65">
        <f>SUMIF(日報!$R:$R,TEXT(YEAR($Q$2),"0000")&amp;TEXT(MONTH($Q$2),"00")&amp;$O310,日報!$L:$L)</f>
        <v>0</v>
      </c>
      <c r="R310" s="65">
        <f ca="1">SUMIF(日報!$J:$J,$O310,日報!$L:$L)</f>
        <v>0</v>
      </c>
    </row>
    <row r="311" spans="10:18" x14ac:dyDescent="0.15">
      <c r="J311" s="7">
        <f>[3]業務定義!$J313</f>
        <v>0</v>
      </c>
      <c r="K311" s="7">
        <f>[3]業務定義!$A313</f>
        <v>0</v>
      </c>
      <c r="L311" s="208"/>
      <c r="M311" s="65">
        <f ca="1">SUMIF(日報!$P:$P,TEXT(YEAR($M$2),"0000")&amp;TEXT(MONTH($M$2),"00")&amp;$K311,日報!$L:$L)</f>
        <v>0</v>
      </c>
      <c r="O311" s="7" t="str">
        <f>"REQ"&amp;TEXT([2]RequestList!$A312,"0000")</f>
        <v>REQ21846</v>
      </c>
      <c r="P311" s="7" t="str">
        <f>[2]RequestList!$J312</f>
        <v>問い合わせ画面にて新規リクエストが作成、または変更できない</v>
      </c>
      <c r="Q311" s="65">
        <f>SUMIF(日報!$R:$R,TEXT(YEAR($Q$2),"0000")&amp;TEXT(MONTH($Q$2),"00")&amp;$O311,日報!$L:$L)</f>
        <v>0</v>
      </c>
      <c r="R311" s="65">
        <f ca="1">SUMIF(日報!$J:$J,$O311,日報!$L:$L)</f>
        <v>0</v>
      </c>
    </row>
    <row r="312" spans="10:18" x14ac:dyDescent="0.15">
      <c r="J312" s="7">
        <f>[3]業務定義!$J314</f>
        <v>0</v>
      </c>
      <c r="K312" s="7">
        <f>[3]業務定義!$A314</f>
        <v>0</v>
      </c>
      <c r="L312" s="208"/>
      <c r="M312" s="65">
        <f ca="1">SUMIF(日報!$P:$P,TEXT(YEAR($M$2),"0000")&amp;TEXT(MONTH($M$2),"00")&amp;$K312,日報!$L:$L)</f>
        <v>0</v>
      </c>
      <c r="O312" s="7" t="str">
        <f>"REQ"&amp;TEXT([2]RequestList!$A313,"0000")</f>
        <v>REQ21847</v>
      </c>
      <c r="P312" s="7" t="str">
        <f>[2]RequestList!$J313</f>
        <v>Canvasの担当者について</v>
      </c>
      <c r="Q312" s="65">
        <f>SUMIF(日報!$R:$R,TEXT(YEAR($Q$2),"0000")&amp;TEXT(MONTH($Q$2),"00")&amp;$O312,日報!$L:$L)</f>
        <v>0</v>
      </c>
      <c r="R312" s="65">
        <f ca="1">SUMIF(日報!$J:$J,$O312,日報!$L:$L)</f>
        <v>0</v>
      </c>
    </row>
    <row r="313" spans="10:18" x14ac:dyDescent="0.15">
      <c r="J313" s="7">
        <f>[3]業務定義!$J315</f>
        <v>0</v>
      </c>
      <c r="K313" s="7">
        <f>[3]業務定義!$A315</f>
        <v>0</v>
      </c>
      <c r="L313" s="208"/>
      <c r="M313" s="65">
        <f ca="1">SUMIF(日報!$P:$P,TEXT(YEAR($M$2),"0000")&amp;TEXT(MONTH($M$2),"00")&amp;$K313,日報!$L:$L)</f>
        <v>0</v>
      </c>
      <c r="O313" s="7" t="str">
        <f>"REQ"&amp;TEXT([2]RequestList!$A314,"0000")</f>
        <v>REQ21848</v>
      </c>
      <c r="P313" s="7" t="str">
        <f>[2]RequestList!$J314</f>
        <v>得意先レポートの質問</v>
      </c>
      <c r="Q313" s="65">
        <f>SUMIF(日報!$R:$R,TEXT(YEAR($Q$2),"0000")&amp;TEXT(MONTH($Q$2),"00")&amp;$O313,日報!$L:$L)</f>
        <v>0</v>
      </c>
      <c r="R313" s="65">
        <f ca="1">SUMIF(日報!$J:$J,$O313,日報!$L:$L)</f>
        <v>0</v>
      </c>
    </row>
    <row r="314" spans="10:18" x14ac:dyDescent="0.15">
      <c r="J314" s="7">
        <f>[3]業務定義!$J316</f>
        <v>0</v>
      </c>
      <c r="K314" s="7">
        <f>[3]業務定義!$A316</f>
        <v>0</v>
      </c>
      <c r="L314" s="208"/>
      <c r="M314" s="65">
        <f ca="1">SUMIF(日報!$P:$P,TEXT(YEAR($M$2),"0000")&amp;TEXT(MONTH($M$2),"00")&amp;$K314,日報!$L:$L)</f>
        <v>0</v>
      </c>
      <c r="O314" s="7" t="str">
        <f>"REQ"&amp;TEXT([2]RequestList!$A315,"0000")</f>
        <v>REQ21849</v>
      </c>
      <c r="P314" s="7" t="str">
        <f>[2]RequestList!$J315</f>
        <v>EMA,、FJYの他システム連携がされていない</v>
      </c>
      <c r="Q314" s="65">
        <f>SUMIF(日報!$R:$R,TEXT(YEAR($Q$2),"0000")&amp;TEXT(MONTH($Q$2),"00")&amp;$O314,日報!$L:$L)</f>
        <v>0</v>
      </c>
      <c r="R314" s="65">
        <f ca="1">SUMIF(日報!$J:$J,$O314,日報!$L:$L)</f>
        <v>0</v>
      </c>
    </row>
    <row r="315" spans="10:18" x14ac:dyDescent="0.15">
      <c r="J315" s="7">
        <f>[3]業務定義!$J317</f>
        <v>0</v>
      </c>
      <c r="K315" s="7">
        <f>[3]業務定義!$A317</f>
        <v>0</v>
      </c>
      <c r="L315" s="208"/>
      <c r="M315" s="65">
        <f ca="1">SUMIF(日報!$P:$P,TEXT(YEAR($M$2),"0000")&amp;TEXT(MONTH($M$2),"00")&amp;$K315,日報!$L:$L)</f>
        <v>0</v>
      </c>
      <c r="O315" s="7" t="str">
        <f>"REQ"&amp;TEXT([2]RequestList!$A316,"0000")</f>
        <v>REQ21850</v>
      </c>
      <c r="P315" s="7" t="str">
        <f>[2]RequestList!$J316</f>
        <v>新製品対応リリース障害</v>
      </c>
      <c r="Q315" s="65">
        <f>SUMIF(日報!$R:$R,TEXT(YEAR($Q$2),"0000")&amp;TEXT(MONTH($Q$2),"00")&amp;$O315,日報!$L:$L)</f>
        <v>0</v>
      </c>
      <c r="R315" s="65">
        <f ca="1">SUMIF(日報!$J:$J,$O315,日報!$L:$L)</f>
        <v>0</v>
      </c>
    </row>
    <row r="316" spans="10:18" x14ac:dyDescent="0.15">
      <c r="J316" s="7">
        <f>[3]業務定義!$J318</f>
        <v>0</v>
      </c>
      <c r="K316" s="7">
        <f>[3]業務定義!$A318</f>
        <v>0</v>
      </c>
      <c r="L316" s="208"/>
      <c r="M316" s="65">
        <f ca="1">SUMIF(日報!$P:$P,TEXT(YEAR($M$2),"0000")&amp;TEXT(MONTH($M$2),"00")&amp;$K316,日報!$L:$L)</f>
        <v>0</v>
      </c>
      <c r="O316" s="7" t="str">
        <f>"REQ"&amp;TEXT([2]RequestList!$A317,"0000")</f>
        <v>REQ21851</v>
      </c>
      <c r="P316" s="7" t="str">
        <f>[2]RequestList!$J317</f>
        <v>取扱店検索の不具合</v>
      </c>
      <c r="Q316" s="65">
        <f>SUMIF(日報!$R:$R,TEXT(YEAR($Q$2),"0000")&amp;TEXT(MONTH($Q$2),"00")&amp;$O316,日報!$L:$L)</f>
        <v>0</v>
      </c>
      <c r="R316" s="65">
        <f ca="1">SUMIF(日報!$J:$J,$O316,日報!$L:$L)</f>
        <v>0</v>
      </c>
    </row>
    <row r="317" spans="10:18" x14ac:dyDescent="0.15">
      <c r="J317" s="7">
        <f>[3]業務定義!$J319</f>
        <v>0</v>
      </c>
      <c r="K317" s="7">
        <f>[3]業務定義!$A319</f>
        <v>0</v>
      </c>
      <c r="L317" s="208"/>
      <c r="M317" s="65">
        <f ca="1">SUMIF(日報!$P:$P,TEXT(YEAR($M$2),"0000")&amp;TEXT(MONTH($M$2),"00")&amp;$K317,日報!$L:$L)</f>
        <v>0</v>
      </c>
      <c r="O317" s="7" t="str">
        <f>"REQ"&amp;TEXT([2]RequestList!$A318,"0000")</f>
        <v>REQ21852</v>
      </c>
      <c r="P317" s="7" t="str">
        <f>[2]RequestList!$J318</f>
        <v>[J-Flow]ビルトイングループの追加</v>
      </c>
      <c r="Q317" s="65">
        <f>SUMIF(日報!$R:$R,TEXT(YEAR($Q$2),"0000")&amp;TEXT(MONTH($Q$2),"00")&amp;$O317,日報!$L:$L)</f>
        <v>0</v>
      </c>
      <c r="R317" s="65">
        <f ca="1">SUMIF(日報!$J:$J,$O317,日報!$L:$L)</f>
        <v>0</v>
      </c>
    </row>
    <row r="318" spans="10:18" x14ac:dyDescent="0.15">
      <c r="J318" s="7">
        <f>[3]業務定義!$J320</f>
        <v>0</v>
      </c>
      <c r="K318" s="7">
        <f>[3]業務定義!$A320</f>
        <v>0</v>
      </c>
      <c r="L318" s="208"/>
      <c r="M318" s="65">
        <f ca="1">SUMIF(日報!$P:$P,TEXT(YEAR($M$2),"0000")&amp;TEXT(MONTH($M$2),"00")&amp;$K318,日報!$L:$L)</f>
        <v>0</v>
      </c>
      <c r="O318" s="7" t="str">
        <f>"REQ"&amp;TEXT([2]RequestList!$A319,"0000")</f>
        <v>REQ21853</v>
      </c>
      <c r="P318" s="7" t="str">
        <f>[2]RequestList!$J319</f>
        <v>WebTrackerのサーバー変更依頼</v>
      </c>
      <c r="Q318" s="65">
        <f>SUMIF(日報!$R:$R,TEXT(YEAR($Q$2),"0000")&amp;TEXT(MONTH($Q$2),"00")&amp;$O318,日報!$L:$L)</f>
        <v>0</v>
      </c>
      <c r="R318" s="65">
        <f ca="1">SUMIF(日報!$J:$J,$O318,日報!$L:$L)</f>
        <v>0</v>
      </c>
    </row>
    <row r="319" spans="10:18" x14ac:dyDescent="0.15">
      <c r="J319" s="7">
        <f>[3]業務定義!$J321</f>
        <v>0</v>
      </c>
      <c r="K319" s="7">
        <f>[3]業務定義!$A321</f>
        <v>0</v>
      </c>
      <c r="L319" s="208"/>
      <c r="M319" s="65">
        <f ca="1">SUMIF(日報!$P:$P,TEXT(YEAR($M$2),"0000")&amp;TEXT(MONTH($M$2),"00")&amp;$K319,日報!$L:$L)</f>
        <v>0</v>
      </c>
      <c r="O319" s="7" t="str">
        <f>"REQ"&amp;TEXT([2]RequestList!$A320,"0000")</f>
        <v>REQ21854</v>
      </c>
      <c r="P319" s="7" t="str">
        <f>[2]RequestList!$J320</f>
        <v>DL-VISJPTO-SFE-GSに海老澤さんを追加</v>
      </c>
      <c r="Q319" s="65">
        <f>SUMIF(日報!$R:$R,TEXT(YEAR($Q$2),"0000")&amp;TEXT(MONTH($Q$2),"00")&amp;$O319,日報!$L:$L)</f>
        <v>0</v>
      </c>
      <c r="R319" s="65">
        <f ca="1">SUMIF(日報!$J:$J,$O319,日報!$L:$L)</f>
        <v>0</v>
      </c>
    </row>
    <row r="320" spans="10:18" x14ac:dyDescent="0.15">
      <c r="J320" s="7">
        <f>[3]業務定義!$J322</f>
        <v>0</v>
      </c>
      <c r="K320" s="7">
        <f>[3]業務定義!$A322</f>
        <v>0</v>
      </c>
      <c r="L320" s="208"/>
      <c r="M320" s="65">
        <f ca="1">SUMIF(日報!$P:$P,TEXT(YEAR($M$2),"0000")&amp;TEXT(MONTH($M$2),"00")&amp;$K320,日報!$L:$L)</f>
        <v>0</v>
      </c>
      <c r="O320" s="7" t="str">
        <f>"REQ"&amp;TEXT([2]RequestList!$A321,"0000")</f>
        <v>REQ21855</v>
      </c>
      <c r="P320" s="7" t="str">
        <f>[2]RequestList!$J321</f>
        <v>SFDC_JPN_ETL_ACCOUNT.csvの取り込みファイルなし</v>
      </c>
      <c r="Q320" s="65">
        <f>SUMIF(日報!$R:$R,TEXT(YEAR($Q$2),"0000")&amp;TEXT(MONTH($Q$2),"00")&amp;$O320,日報!$L:$L)</f>
        <v>0</v>
      </c>
      <c r="R320" s="65">
        <f ca="1">SUMIF(日報!$J:$J,$O320,日報!$L:$L)</f>
        <v>0</v>
      </c>
    </row>
    <row r="321" spans="10:18" x14ac:dyDescent="0.15">
      <c r="J321" s="7">
        <f>[3]業務定義!$J323</f>
        <v>0</v>
      </c>
      <c r="K321" s="7">
        <f>[3]業務定義!$A323</f>
        <v>0</v>
      </c>
      <c r="L321" s="208"/>
      <c r="M321" s="65">
        <f ca="1">SUMIF(日報!$P:$P,TEXT(YEAR($M$2),"0000")&amp;TEXT(MONTH($M$2),"00")&amp;$K321,日報!$L:$L)</f>
        <v>0</v>
      </c>
      <c r="O321" s="7" t="str">
        <f>"REQ"&amp;TEXT([2]RequestList!$A322,"0000")</f>
        <v>REQ21856</v>
      </c>
      <c r="P321" s="7" t="str">
        <f>[2]RequestList!$J322</f>
        <v>SFDC_JPN_ETL_ACCOUNT.csvがMBOXにpushされていない</v>
      </c>
      <c r="Q321" s="65">
        <f>SUMIF(日報!$R:$R,TEXT(YEAR($Q$2),"0000")&amp;TEXT(MONTH($Q$2),"00")&amp;$O321,日報!$L:$L)</f>
        <v>0</v>
      </c>
      <c r="R321" s="65">
        <f ca="1">SUMIF(日報!$J:$J,$O321,日報!$L:$L)</f>
        <v>0</v>
      </c>
    </row>
    <row r="322" spans="10:18" x14ac:dyDescent="0.15">
      <c r="J322" s="7">
        <f>[3]業務定義!$J324</f>
        <v>0</v>
      </c>
      <c r="K322" s="7">
        <f>[3]業務定義!$A324</f>
        <v>0</v>
      </c>
      <c r="L322" s="208"/>
      <c r="M322" s="65">
        <f ca="1">SUMIF(日報!$P:$P,TEXT(YEAR($M$2),"0000")&amp;TEXT(MONTH($M$2),"00")&amp;$K322,日報!$L:$L)</f>
        <v>0</v>
      </c>
      <c r="O322" s="7" t="str">
        <f>"REQ"&amp;TEXT([2]RequestList!$A323,"0000")</f>
        <v>REQ21857</v>
      </c>
      <c r="P322" s="7" t="str">
        <f>[2]RequestList!$J323</f>
        <v>ARS KPI 2020</v>
      </c>
      <c r="Q322" s="65">
        <f>SUMIF(日報!$R:$R,TEXT(YEAR($Q$2),"0000")&amp;TEXT(MONTH($Q$2),"00")&amp;$O322,日報!$L:$L)</f>
        <v>0</v>
      </c>
      <c r="R322" s="65">
        <f ca="1">SUMIF(日報!$J:$J,$O322,日報!$L:$L)</f>
        <v>0</v>
      </c>
    </row>
    <row r="323" spans="10:18" x14ac:dyDescent="0.15">
      <c r="J323" s="7">
        <f>[3]業務定義!$J325</f>
        <v>0</v>
      </c>
      <c r="K323" s="7">
        <f>[3]業務定義!$A325</f>
        <v>0</v>
      </c>
      <c r="L323" s="208"/>
      <c r="M323" s="65">
        <f ca="1">SUMIF(日報!$P:$P,TEXT(YEAR($M$2),"0000")&amp;TEXT(MONTH($M$2),"00")&amp;$K323,日報!$L:$L)</f>
        <v>0</v>
      </c>
      <c r="O323" s="7" t="str">
        <f>"REQ"&amp;TEXT([2]RequestList!$A324,"0000")</f>
        <v>REQ21858</v>
      </c>
      <c r="P323" s="7" t="str">
        <f>[2]RequestList!$J324</f>
        <v>MBOX-QAのアカウントについて</v>
      </c>
      <c r="Q323" s="65">
        <f>SUMIF(日報!$R:$R,TEXT(YEAR($Q$2),"0000")&amp;TEXT(MONTH($Q$2),"00")&amp;$O323,日報!$L:$L)</f>
        <v>0</v>
      </c>
      <c r="R323" s="65">
        <f ca="1">SUMIF(日報!$J:$J,$O323,日報!$L:$L)</f>
        <v>0</v>
      </c>
    </row>
    <row r="324" spans="10:18" x14ac:dyDescent="0.15">
      <c r="J324" s="7">
        <f>[3]業務定義!$J326</f>
        <v>0</v>
      </c>
      <c r="K324" s="7">
        <f>[3]業務定義!$A326</f>
        <v>0</v>
      </c>
      <c r="L324" s="208"/>
      <c r="M324" s="65">
        <f ca="1">SUMIF(日報!$P:$P,TEXT(YEAR($M$2),"0000")&amp;TEXT(MONTH($M$2),"00")&amp;$K324,日報!$L:$L)</f>
        <v>0</v>
      </c>
      <c r="O324" s="7" t="str">
        <f>"REQ"&amp;TEXT([2]RequestList!$A325,"0000")</f>
        <v>REQ21859</v>
      </c>
      <c r="P324" s="7" t="str">
        <f>[2]RequestList!$J325</f>
        <v>ロット一覧が文字化けする</v>
      </c>
      <c r="Q324" s="65">
        <f>SUMIF(日報!$R:$R,TEXT(YEAR($Q$2),"0000")&amp;TEXT(MONTH($Q$2),"00")&amp;$O324,日報!$L:$L)</f>
        <v>0</v>
      </c>
      <c r="R324" s="65">
        <f ca="1">SUMIF(日報!$J:$J,$O324,日報!$L:$L)</f>
        <v>0</v>
      </c>
    </row>
    <row r="325" spans="10:18" x14ac:dyDescent="0.15">
      <c r="J325" s="7">
        <f>[3]業務定義!$J327</f>
        <v>0</v>
      </c>
      <c r="K325" s="7">
        <f>[3]業務定義!$A327</f>
        <v>0</v>
      </c>
      <c r="L325" s="208"/>
      <c r="M325" s="65">
        <f ca="1">SUMIF(日報!$P:$P,TEXT(YEAR($M$2),"0000")&amp;TEXT(MONTH($M$2),"00")&amp;$K325,日報!$L:$L)</f>
        <v>0</v>
      </c>
      <c r="O325" s="7" t="str">
        <f>"REQ"&amp;TEXT([2]RequestList!$A326,"0000")</f>
        <v>REQ21860</v>
      </c>
      <c r="P325" s="7" t="str">
        <f>[2]RequestList!$J326</f>
        <v>ドキュメント作成</v>
      </c>
      <c r="Q325" s="65">
        <f>SUMIF(日報!$R:$R,TEXT(YEAR($Q$2),"0000")&amp;TEXT(MONTH($Q$2),"00")&amp;$O325,日報!$L:$L)</f>
        <v>0</v>
      </c>
      <c r="R325" s="65">
        <f ca="1">SUMIF(日報!$J:$J,$O325,日報!$L:$L)</f>
        <v>0</v>
      </c>
    </row>
    <row r="326" spans="10:18" x14ac:dyDescent="0.15">
      <c r="J326" s="7">
        <f>[3]業務定義!$J328</f>
        <v>0</v>
      </c>
      <c r="K326" s="7">
        <f>[3]業務定義!$A328</f>
        <v>0</v>
      </c>
      <c r="L326" s="208"/>
      <c r="M326" s="65">
        <f ca="1">SUMIF(日報!$P:$P,TEXT(YEAR($M$2),"0000")&amp;TEXT(MONTH($M$2),"00")&amp;$K326,日報!$L:$L)</f>
        <v>0</v>
      </c>
      <c r="O326" s="7" t="str">
        <f>"REQ"&amp;TEXT([2]RequestList!$A327,"0000")</f>
        <v>REQ21861</v>
      </c>
      <c r="P326" s="7" t="str">
        <f>[2]RequestList!$J327</f>
        <v>今日登録した販促物をSFDCで注文したい</v>
      </c>
      <c r="Q326" s="65">
        <f>SUMIF(日報!$R:$R,TEXT(YEAR($Q$2),"0000")&amp;TEXT(MONTH($Q$2),"00")&amp;$O326,日報!$L:$L)</f>
        <v>0</v>
      </c>
      <c r="R326" s="65">
        <f ca="1">SUMIF(日報!$J:$J,$O326,日報!$L:$L)</f>
        <v>0</v>
      </c>
    </row>
    <row r="327" spans="10:18" x14ac:dyDescent="0.15">
      <c r="J327" s="7">
        <f>[3]業務定義!$J329</f>
        <v>0</v>
      </c>
      <c r="K327" s="7">
        <f>[3]業務定義!$A329</f>
        <v>0</v>
      </c>
      <c r="L327" s="208"/>
      <c r="M327" s="65">
        <f ca="1">SUMIF(日報!$P:$P,TEXT(YEAR($M$2),"0000")&amp;TEXT(MONTH($M$2),"00")&amp;$K327,日報!$L:$L)</f>
        <v>0</v>
      </c>
      <c r="O327" s="7" t="str">
        <f>"REQ"&amp;TEXT([2]RequestList!$A328,"0000")</f>
        <v>REQ21862</v>
      </c>
      <c r="P327" s="7" t="str">
        <f>[2]RequestList!$J328</f>
        <v>SFDC新規得意先コードの重複【87190】</v>
      </c>
      <c r="Q327" s="65">
        <f>SUMIF(日報!$R:$R,TEXT(YEAR($Q$2),"0000")&amp;TEXT(MONTH($Q$2),"00")&amp;$O327,日報!$L:$L)</f>
        <v>0</v>
      </c>
      <c r="R327" s="65">
        <f ca="1">SUMIF(日報!$J:$J,$O327,日報!$L:$L)</f>
        <v>0</v>
      </c>
    </row>
    <row r="328" spans="10:18" x14ac:dyDescent="0.15">
      <c r="J328" s="7">
        <f>[3]業務定義!$J330</f>
        <v>0</v>
      </c>
      <c r="K328" s="7">
        <f>[3]業務定義!$A330</f>
        <v>0</v>
      </c>
      <c r="L328" s="208"/>
      <c r="M328" s="65">
        <f ca="1">SUMIF(日報!$P:$P,TEXT(YEAR($M$2),"0000")&amp;TEXT(MONTH($M$2),"00")&amp;$K328,日報!$L:$L)</f>
        <v>0</v>
      </c>
      <c r="O328" s="7" t="str">
        <f>"REQ"&amp;TEXT([2]RequestList!$A329,"0000")</f>
        <v>REQ21863</v>
      </c>
      <c r="P328" s="7" t="str">
        <f>[2]RequestList!$J329</f>
        <v>セキュリティアップデートに関する事前告知期間について</v>
      </c>
      <c r="Q328" s="65">
        <f>SUMIF(日報!$R:$R,TEXT(YEAR($Q$2),"0000")&amp;TEXT(MONTH($Q$2),"00")&amp;$O328,日報!$L:$L)</f>
        <v>0</v>
      </c>
      <c r="R328" s="65">
        <f ca="1">SUMIF(日報!$J:$J,$O328,日報!$L:$L)</f>
        <v>0</v>
      </c>
    </row>
    <row r="329" spans="10:18" x14ac:dyDescent="0.15">
      <c r="J329" s="7">
        <f>[3]業務定義!$J331</f>
        <v>0</v>
      </c>
      <c r="K329" s="7">
        <f>[3]業務定義!$A331</f>
        <v>0</v>
      </c>
      <c r="L329" s="208"/>
      <c r="M329" s="65">
        <f ca="1">SUMIF(日報!$P:$P,TEXT(YEAR($M$2),"0000")&amp;TEXT(MONTH($M$2),"00")&amp;$K329,日報!$L:$L)</f>
        <v>0</v>
      </c>
      <c r="O329" s="7" t="str">
        <f>"REQ"&amp;TEXT([2]RequestList!$A330,"0000")</f>
        <v>REQ21864</v>
      </c>
      <c r="P329" s="7" t="str">
        <f>[2]RequestList!$J330</f>
        <v>ARS開発予定の提供</v>
      </c>
      <c r="Q329" s="65">
        <f>SUMIF(日報!$R:$R,TEXT(YEAR($Q$2),"0000")&amp;TEXT(MONTH($Q$2),"00")&amp;$O329,日報!$L:$L)</f>
        <v>0</v>
      </c>
      <c r="R329" s="65">
        <f ca="1">SUMIF(日報!$J:$J,$O329,日報!$L:$L)</f>
        <v>0</v>
      </c>
    </row>
    <row r="330" spans="10:18" x14ac:dyDescent="0.15">
      <c r="J330" s="7">
        <f>[3]業務定義!$J332</f>
        <v>0</v>
      </c>
      <c r="K330" s="7">
        <f>[3]業務定義!$A332</f>
        <v>0</v>
      </c>
      <c r="L330" s="208"/>
      <c r="M330" s="65">
        <f ca="1">SUMIF(日報!$P:$P,TEXT(YEAR($M$2),"0000")&amp;TEXT(MONTH($M$2),"00")&amp;$K330,日報!$L:$L)</f>
        <v>0</v>
      </c>
      <c r="O330" s="7" t="str">
        <f>"REQ"&amp;TEXT([2]RequestList!$A331,"0000")</f>
        <v>REQ21865</v>
      </c>
      <c r="P330" s="7" t="str">
        <f>[2]RequestList!$J331</f>
        <v>【データファイルが存在しない】SFDC⇒ARS</v>
      </c>
      <c r="Q330" s="65">
        <f>SUMIF(日報!$R:$R,TEXT(YEAR($Q$2),"0000")&amp;TEXT(MONTH($Q$2),"00")&amp;$O330,日報!$L:$L)</f>
        <v>0</v>
      </c>
      <c r="R330" s="65">
        <f ca="1">SUMIF(日報!$J:$J,$O330,日報!$L:$L)</f>
        <v>0</v>
      </c>
    </row>
    <row r="331" spans="10:18" x14ac:dyDescent="0.15">
      <c r="J331" s="7">
        <f>[3]業務定義!$J333</f>
        <v>0</v>
      </c>
      <c r="K331" s="7">
        <f>[3]業務定義!$A333</f>
        <v>0</v>
      </c>
      <c r="L331" s="208"/>
      <c r="M331" s="65">
        <f ca="1">SUMIF(日報!$P:$P,TEXT(YEAR($M$2),"0000")&amp;TEXT(MONTH($M$2),"00")&amp;$K331,日報!$L:$L)</f>
        <v>0</v>
      </c>
      <c r="O331" s="7" t="str">
        <f>"REQ"&amp;TEXT([2]RequestList!$A332,"0000")</f>
        <v>REQ21866</v>
      </c>
      <c r="P331" s="7" t="str">
        <f>[2]RequestList!$J332</f>
        <v>AcuvueCodeClinicReport error</v>
      </c>
      <c r="Q331" s="65">
        <f>SUMIF(日報!$R:$R,TEXT(YEAR($Q$2),"0000")&amp;TEXT(MONTH($Q$2),"00")&amp;$O331,日報!$L:$L)</f>
        <v>0</v>
      </c>
      <c r="R331" s="65">
        <f ca="1">SUMIF(日報!$J:$J,$O331,日報!$L:$L)</f>
        <v>0</v>
      </c>
    </row>
    <row r="332" spans="10:18" x14ac:dyDescent="0.15">
      <c r="J332" s="7">
        <f>[3]業務定義!$J334</f>
        <v>0</v>
      </c>
      <c r="K332" s="7">
        <f>[3]業務定義!$A334</f>
        <v>0</v>
      </c>
      <c r="L332" s="208"/>
      <c r="M332" s="65">
        <f ca="1">SUMIF(日報!$P:$P,TEXT(YEAR($M$2),"0000")&amp;TEXT(MONTH($M$2),"00")&amp;$K332,日報!$L:$L)</f>
        <v>0</v>
      </c>
      <c r="O332" s="7" t="str">
        <f>"REQ"&amp;TEXT([2]RequestList!$A333,"0000")</f>
        <v>REQ21867</v>
      </c>
      <c r="P332" s="7" t="str">
        <f>[2]RequestList!$J333</f>
        <v>価格マスタ取り込みエラー</v>
      </c>
      <c r="Q332" s="65">
        <f>SUMIF(日報!$R:$R,TEXT(YEAR($Q$2),"0000")&amp;TEXT(MONTH($Q$2),"00")&amp;$O332,日報!$L:$L)</f>
        <v>0</v>
      </c>
      <c r="R332" s="65">
        <f ca="1">SUMIF(日報!$J:$J,$O332,日報!$L:$L)</f>
        <v>0</v>
      </c>
    </row>
    <row r="333" spans="10:18" x14ac:dyDescent="0.15">
      <c r="J333" s="7">
        <f>[3]業務定義!$J335</f>
        <v>0</v>
      </c>
      <c r="K333" s="7">
        <f>[3]業務定義!$A335</f>
        <v>0</v>
      </c>
      <c r="L333" s="208"/>
      <c r="M333" s="65">
        <f ca="1">SUMIF(日報!$P:$P,TEXT(YEAR($M$2),"0000")&amp;TEXT(MONTH($M$2),"00")&amp;$K333,日報!$L:$L)</f>
        <v>0</v>
      </c>
      <c r="O333" s="7" t="str">
        <f>"REQ"&amp;TEXT([2]RequestList!$A334,"0000")</f>
        <v>REQ21868</v>
      </c>
      <c r="P333" s="7" t="str">
        <f>[2]RequestList!$J334</f>
        <v>会員ステータス取得時にエラー発生</v>
      </c>
      <c r="Q333" s="65">
        <f>SUMIF(日報!$R:$R,TEXT(YEAR($Q$2),"0000")&amp;TEXT(MONTH($Q$2),"00")&amp;$O333,日報!$L:$L)</f>
        <v>0</v>
      </c>
      <c r="R333" s="65">
        <f ca="1">SUMIF(日報!$J:$J,$O333,日報!$L:$L)</f>
        <v>0</v>
      </c>
    </row>
    <row r="334" spans="10:18" x14ac:dyDescent="0.15">
      <c r="J334" s="7">
        <f>[3]業務定義!$J336</f>
        <v>0</v>
      </c>
      <c r="K334" s="7">
        <f>[3]業務定義!$A336</f>
        <v>0</v>
      </c>
      <c r="L334" s="208"/>
      <c r="M334" s="65">
        <f ca="1">SUMIF(日報!$P:$P,TEXT(YEAR($M$2),"0000")&amp;TEXT(MONTH($M$2),"00")&amp;$K334,日報!$L:$L)</f>
        <v>0</v>
      </c>
      <c r="O334" s="7" t="str">
        <f>"REQ"&amp;TEXT([2]RequestList!$A335,"0000")</f>
        <v>REQ21869</v>
      </c>
      <c r="P334" s="7" t="str">
        <f>[2]RequestList!$J335</f>
        <v>6月受注開始の施設について</v>
      </c>
      <c r="Q334" s="65">
        <f>SUMIF(日報!$R:$R,TEXT(YEAR($Q$2),"0000")&amp;TEXT(MONTH($Q$2),"00")&amp;$O334,日報!$L:$L)</f>
        <v>0</v>
      </c>
      <c r="R334" s="65">
        <f ca="1">SUMIF(日報!$J:$J,$O334,日報!$L:$L)</f>
        <v>0</v>
      </c>
    </row>
    <row r="335" spans="10:18" x14ac:dyDescent="0.15">
      <c r="J335" s="7">
        <f>[3]業務定義!$J337</f>
        <v>0</v>
      </c>
      <c r="K335" s="7">
        <f>[3]業務定義!$A337</f>
        <v>0</v>
      </c>
      <c r="L335" s="208"/>
      <c r="M335" s="65">
        <f ca="1">SUMIF(日報!$P:$P,TEXT(YEAR($M$2),"0000")&amp;TEXT(MONTH($M$2),"00")&amp;$K335,日報!$L:$L)</f>
        <v>0</v>
      </c>
      <c r="O335" s="7" t="str">
        <f>"REQ"&amp;TEXT([2]RequestList!$A336,"0000")</f>
        <v>REQ21870</v>
      </c>
      <c r="P335" s="7" t="str">
        <f>[2]RequestList!$J336</f>
        <v>ARS画面のゆがみについて</v>
      </c>
      <c r="Q335" s="65">
        <f>SUMIF(日報!$R:$R,TEXT(YEAR($Q$2),"0000")&amp;TEXT(MONTH($Q$2),"00")&amp;$O335,日報!$L:$L)</f>
        <v>0</v>
      </c>
      <c r="R335" s="65">
        <f ca="1">SUMIF(日報!$J:$J,$O335,日報!$L:$L)</f>
        <v>0</v>
      </c>
    </row>
    <row r="336" spans="10:18" x14ac:dyDescent="0.15">
      <c r="J336" s="7">
        <f>[3]業務定義!$J338</f>
        <v>0</v>
      </c>
      <c r="K336" s="7">
        <f>[3]業務定義!$A338</f>
        <v>0</v>
      </c>
      <c r="L336" s="208"/>
      <c r="M336" s="65">
        <f ca="1">SUMIF(日報!$P:$P,TEXT(YEAR($M$2),"0000")&amp;TEXT(MONTH($M$2),"00")&amp;$K336,日報!$L:$L)</f>
        <v>0</v>
      </c>
      <c r="O336" s="7" t="str">
        <f>"REQ"&amp;TEXT([2]RequestList!$A337,"0000")</f>
        <v>REQ21871</v>
      </c>
      <c r="P336" s="7" t="str">
        <f>[2]RequestList!$J337</f>
        <v>MyAcuvue+のテストスクリプト作成/テスト実施</v>
      </c>
      <c r="Q336" s="65">
        <f>SUMIF(日報!$R:$R,TEXT(YEAR($Q$2),"0000")&amp;TEXT(MONTH($Q$2),"00")&amp;$O336,日報!$L:$L)</f>
        <v>0</v>
      </c>
      <c r="R336" s="65">
        <f ca="1">SUMIF(日報!$J:$J,$O336,日報!$L:$L)</f>
        <v>57</v>
      </c>
    </row>
    <row r="337" spans="10:18" x14ac:dyDescent="0.15">
      <c r="J337" s="7">
        <f>[3]業務定義!$J339</f>
        <v>0</v>
      </c>
      <c r="K337" s="7">
        <f>[3]業務定義!$A339</f>
        <v>0</v>
      </c>
      <c r="L337" s="208"/>
      <c r="M337" s="65">
        <f ca="1">SUMIF(日報!$P:$P,TEXT(YEAR($M$2),"0000")&amp;TEXT(MONTH($M$2),"00")&amp;$K337,日報!$L:$L)</f>
        <v>0</v>
      </c>
      <c r="O337" s="7" t="str">
        <f>"REQ"&amp;TEXT([2]RequestList!$A338,"0000")</f>
        <v>REQ21872</v>
      </c>
      <c r="P337" s="7" t="str">
        <f>[2]RequestList!$J338</f>
        <v>Store Locatorのテストスクリプト作成/テスト実施</v>
      </c>
      <c r="Q337" s="65">
        <f>SUMIF(日報!$R:$R,TEXT(YEAR($Q$2),"0000")&amp;TEXT(MONTH($Q$2),"00")&amp;$O337,日報!$L:$L)</f>
        <v>0</v>
      </c>
      <c r="R337" s="65">
        <f ca="1">SUMIF(日報!$J:$J,$O337,日報!$L:$L)</f>
        <v>0</v>
      </c>
    </row>
    <row r="338" spans="10:18" x14ac:dyDescent="0.15">
      <c r="J338" s="7">
        <f>[3]業務定義!$J340</f>
        <v>0</v>
      </c>
      <c r="K338" s="7">
        <f>[3]業務定義!$A340</f>
        <v>0</v>
      </c>
      <c r="L338" s="208"/>
      <c r="M338" s="65">
        <f ca="1">SUMIF(日報!$P:$P,TEXT(YEAR($M$2),"0000")&amp;TEXT(MONTH($M$2),"00")&amp;$K338,日報!$L:$L)</f>
        <v>0</v>
      </c>
      <c r="O338" s="7" t="str">
        <f>"REQ"&amp;TEXT([2]RequestList!$A339,"0000")</f>
        <v>REQ21873</v>
      </c>
      <c r="P338" s="7" t="str">
        <f>[2]RequestList!$J339</f>
        <v>アイケアパートナー加盟店の一覧抽出</v>
      </c>
      <c r="Q338" s="65">
        <f>SUMIF(日報!$R:$R,TEXT(YEAR($Q$2),"0000")&amp;TEXT(MONTH($Q$2),"00")&amp;$O338,日報!$L:$L)</f>
        <v>0</v>
      </c>
      <c r="R338" s="65">
        <f ca="1">SUMIF(日報!$J:$J,$O338,日報!$L:$L)</f>
        <v>0</v>
      </c>
    </row>
    <row r="339" spans="10:18" x14ac:dyDescent="0.15">
      <c r="J339" s="7">
        <f>[3]業務定義!$J341</f>
        <v>0</v>
      </c>
      <c r="K339" s="7">
        <f>[3]業務定義!$A341</f>
        <v>0</v>
      </c>
      <c r="L339" s="208"/>
      <c r="M339" s="65">
        <f ca="1">SUMIF(日報!$P:$P,TEXT(YEAR($M$2),"0000")&amp;TEXT(MONTH($M$2),"00")&amp;$K339,日報!$L:$L)</f>
        <v>0</v>
      </c>
      <c r="O339" s="7" t="str">
        <f>"REQ"&amp;TEXT([2]RequestList!$A340,"0000")</f>
        <v>REQ21874</v>
      </c>
      <c r="P339" s="7" t="str">
        <f>[2]RequestList!$J340</f>
        <v>環境構築およびドキュメント作成</v>
      </c>
      <c r="Q339" s="65">
        <f>SUMIF(日報!$R:$R,TEXT(YEAR($Q$2),"0000")&amp;TEXT(MONTH($Q$2),"00")&amp;$O339,日報!$L:$L)</f>
        <v>0</v>
      </c>
      <c r="R339" s="65">
        <f ca="1">SUMIF(日報!$J:$J,$O339,日報!$L:$L)</f>
        <v>0</v>
      </c>
    </row>
    <row r="340" spans="10:18" x14ac:dyDescent="0.15">
      <c r="J340" s="7">
        <f>[3]業務定義!$J342</f>
        <v>0</v>
      </c>
      <c r="K340" s="7">
        <f>[3]業務定義!$A342</f>
        <v>0</v>
      </c>
      <c r="L340" s="208"/>
      <c r="M340" s="65">
        <f ca="1">SUMIF(日報!$P:$P,TEXT(YEAR($M$2),"0000")&amp;TEXT(MONTH($M$2),"00")&amp;$K340,日報!$L:$L)</f>
        <v>0</v>
      </c>
      <c r="O340" s="7" t="str">
        <f>"REQ"&amp;TEXT([2]RequestList!$A341,"0000")</f>
        <v>REQ21875</v>
      </c>
      <c r="P340" s="7" t="str">
        <f>[2]RequestList!$J341</f>
        <v>定常作業KTおよびドキュメント作成</v>
      </c>
      <c r="Q340" s="65">
        <f>SUMIF(日報!$R:$R,TEXT(YEAR($Q$2),"0000")&amp;TEXT(MONTH($Q$2),"00")&amp;$O340,日報!$L:$L)</f>
        <v>0</v>
      </c>
      <c r="R340" s="65">
        <f ca="1">SUMIF(日報!$J:$J,$O340,日報!$L:$L)</f>
        <v>0</v>
      </c>
    </row>
    <row r="341" spans="10:18" x14ac:dyDescent="0.15">
      <c r="J341" s="7">
        <f>[3]業務定義!$J343</f>
        <v>0</v>
      </c>
      <c r="K341" s="7">
        <f>[3]業務定義!$A343</f>
        <v>0</v>
      </c>
      <c r="L341" s="208"/>
      <c r="M341" s="65">
        <f ca="1">SUMIF(日報!$P:$P,TEXT(YEAR($M$2),"0000")&amp;TEXT(MONTH($M$2),"00")&amp;$K341,日報!$L:$L)</f>
        <v>0</v>
      </c>
      <c r="O341" s="7" t="str">
        <f>"REQ"&amp;TEXT([2]RequestList!$A342,"0000")</f>
        <v>REQ21876</v>
      </c>
      <c r="P341" s="7" t="str">
        <f>[2]RequestList!$J342</f>
        <v>非定常作業KTおよびドキュメント作成</v>
      </c>
      <c r="Q341" s="65">
        <f>SUMIF(日報!$R:$R,TEXT(YEAR($Q$2),"0000")&amp;TEXT(MONTH($Q$2),"00")&amp;$O341,日報!$L:$L)</f>
        <v>0</v>
      </c>
      <c r="R341" s="65">
        <f ca="1">SUMIF(日報!$J:$J,$O341,日報!$L:$L)</f>
        <v>0</v>
      </c>
    </row>
    <row r="342" spans="10:18" x14ac:dyDescent="0.15">
      <c r="J342" s="7">
        <f>[3]業務定義!$J344</f>
        <v>0</v>
      </c>
      <c r="K342" s="7">
        <f>[3]業務定義!$A344</f>
        <v>0</v>
      </c>
      <c r="L342" s="208"/>
      <c r="M342" s="65">
        <f ca="1">SUMIF(日報!$P:$P,TEXT(YEAR($M$2),"0000")&amp;TEXT(MONTH($M$2),"00")&amp;$K342,日報!$L:$L)</f>
        <v>0</v>
      </c>
      <c r="O342" s="7" t="str">
        <f>"REQ"&amp;TEXT([2]RequestList!$A343,"0000")</f>
        <v>REQ21877</v>
      </c>
      <c r="P342" s="7" t="str">
        <f>[2]RequestList!$J343</f>
        <v>【Inquiry】SPA HANAのMigration対応</v>
      </c>
      <c r="Q342" s="65">
        <f>SUMIF(日報!$R:$R,TEXT(YEAR($Q$2),"0000")&amp;TEXT(MONTH($Q$2),"00")&amp;$O342,日報!$L:$L)</f>
        <v>0</v>
      </c>
      <c r="R342" s="65">
        <f ca="1">SUMIF(日報!$J:$J,$O342,日報!$L:$L)</f>
        <v>0</v>
      </c>
    </row>
    <row r="343" spans="10:18" x14ac:dyDescent="0.15">
      <c r="J343" s="7">
        <f>[3]業務定義!$J345</f>
        <v>0</v>
      </c>
      <c r="K343" s="7">
        <f>[3]業務定義!$A345</f>
        <v>0</v>
      </c>
      <c r="L343" s="208"/>
      <c r="M343" s="65">
        <f ca="1">SUMIF(日報!$P:$P,TEXT(YEAR($M$2),"0000")&amp;TEXT(MONTH($M$2),"00")&amp;$K343,日報!$L:$L)</f>
        <v>0</v>
      </c>
      <c r="O343" s="7" t="str">
        <f>"REQ"&amp;TEXT([2]RequestList!$A344,"0000")</f>
        <v>REQ21878</v>
      </c>
      <c r="P343" s="7" t="str">
        <f>[2]RequestList!$J344</f>
        <v>【Inquiry】DLの宛先変更対応</v>
      </c>
      <c r="Q343" s="65">
        <f>SUMIF(日報!$R:$R,TEXT(YEAR($Q$2),"0000")&amp;TEXT(MONTH($Q$2),"00")&amp;$O343,日報!$L:$L)</f>
        <v>0</v>
      </c>
      <c r="R343" s="65">
        <f ca="1">SUMIF(日報!$J:$J,$O343,日報!$L:$L)</f>
        <v>0</v>
      </c>
    </row>
    <row r="344" spans="10:18" x14ac:dyDescent="0.15">
      <c r="J344" s="7">
        <f>[3]業務定義!$J346</f>
        <v>0</v>
      </c>
      <c r="K344" s="7">
        <f>[3]業務定義!$A346</f>
        <v>0</v>
      </c>
      <c r="L344" s="208"/>
      <c r="M344" s="65">
        <f ca="1">SUMIF(日報!$P:$P,TEXT(YEAR($M$2),"0000")&amp;TEXT(MONTH($M$2),"00")&amp;$K344,日報!$L:$L)</f>
        <v>0</v>
      </c>
      <c r="O344" s="7" t="str">
        <f>"REQ"&amp;TEXT([2]RequestList!$A345,"0000")</f>
        <v>REQ21879</v>
      </c>
      <c r="P344" s="7" t="str">
        <f>[2]RequestList!$J345</f>
        <v>ITリクエスト申請(IT Request)【承認者追加】</v>
      </c>
      <c r="Q344" s="65">
        <f>SUMIF(日報!$R:$R,TEXT(YEAR($Q$2),"0000")&amp;TEXT(MONTH($Q$2),"00")&amp;$O344,日報!$L:$L)</f>
        <v>0</v>
      </c>
      <c r="R344" s="65">
        <f ca="1">SUMIF(日報!$J:$J,$O344,日報!$L:$L)</f>
        <v>0</v>
      </c>
    </row>
    <row r="345" spans="10:18" x14ac:dyDescent="0.15">
      <c r="J345" s="7">
        <f>[3]業務定義!$J347</f>
        <v>0</v>
      </c>
      <c r="K345" s="7">
        <f>[3]業務定義!$A347</f>
        <v>0</v>
      </c>
      <c r="L345" s="208"/>
      <c r="M345" s="65">
        <f ca="1">SUMIF(日報!$P:$P,TEXT(YEAR($M$2),"0000")&amp;TEXT(MONTH($M$2),"00")&amp;$K345,日報!$L:$L)</f>
        <v>0</v>
      </c>
      <c r="O345" s="7" t="str">
        <f>"REQ"&amp;TEXT([2]RequestList!$A346,"0000")</f>
        <v>REQ21880</v>
      </c>
      <c r="P345" s="7" t="str">
        <f>[2]RequestList!$J346</f>
        <v>AC/定期便コード期限別の累計集計</v>
      </c>
      <c r="Q345" s="65">
        <f>SUMIF(日報!$R:$R,TEXT(YEAR($Q$2),"0000")&amp;TEXT(MONTH($Q$2),"00")&amp;$O345,日報!$L:$L)</f>
        <v>0</v>
      </c>
      <c r="R345" s="65">
        <f ca="1">SUMIF(日報!$J:$J,$O345,日報!$L:$L)</f>
        <v>0</v>
      </c>
    </row>
    <row r="346" spans="10:18" x14ac:dyDescent="0.15">
      <c r="J346" s="7">
        <f>[3]業務定義!$J348</f>
        <v>0</v>
      </c>
      <c r="K346" s="7">
        <f>[3]業務定義!$A348</f>
        <v>0</v>
      </c>
      <c r="L346" s="208"/>
      <c r="M346" s="65">
        <f ca="1">SUMIF(日報!$P:$P,TEXT(YEAR($M$2),"0000")&amp;TEXT(MONTH($M$2),"00")&amp;$K346,日報!$L:$L)</f>
        <v>0</v>
      </c>
      <c r="O346" s="7" t="str">
        <f>"REQ"&amp;TEXT([2]RequestList!$A347,"0000")</f>
        <v>REQ21881</v>
      </c>
      <c r="P346" s="7" t="str">
        <f>[2]RequestList!$J347</f>
        <v>会員ステータス取得時にエラー発生</v>
      </c>
      <c r="Q346" s="65">
        <f>SUMIF(日報!$R:$R,TEXT(YEAR($Q$2),"0000")&amp;TEXT(MONTH($Q$2),"00")&amp;$O346,日報!$L:$L)</f>
        <v>0</v>
      </c>
      <c r="R346" s="65">
        <f ca="1">SUMIF(日報!$J:$J,$O346,日報!$L:$L)</f>
        <v>0</v>
      </c>
    </row>
    <row r="347" spans="10:18" x14ac:dyDescent="0.15">
      <c r="J347" s="7">
        <f>[3]業務定義!$J349</f>
        <v>0</v>
      </c>
      <c r="K347" s="7">
        <f>[3]業務定義!$A349</f>
        <v>0</v>
      </c>
      <c r="L347" s="208"/>
      <c r="M347" s="65">
        <f ca="1">SUMIF(日報!$P:$P,TEXT(YEAR($M$2),"0000")&amp;TEXT(MONTH($M$2),"00")&amp;$K347,日報!$L:$L)</f>
        <v>0</v>
      </c>
      <c r="O347" s="7" t="str">
        <f>"REQ"&amp;TEXT([2]RequestList!$A348,"0000")</f>
        <v>REQ21882</v>
      </c>
      <c r="P347" s="7" t="str">
        <f>[2]RequestList!$J348</f>
        <v>【定期便】価格差異</v>
      </c>
      <c r="Q347" s="65">
        <f>SUMIF(日報!$R:$R,TEXT(YEAR($Q$2),"0000")&amp;TEXT(MONTH($Q$2),"00")&amp;$O347,日報!$L:$L)</f>
        <v>0</v>
      </c>
      <c r="R347" s="65">
        <f ca="1">SUMIF(日報!$J:$J,$O347,日報!$L:$L)</f>
        <v>0</v>
      </c>
    </row>
    <row r="348" spans="10:18" x14ac:dyDescent="0.15">
      <c r="J348" s="7">
        <f>[3]業務定義!$J350</f>
        <v>0</v>
      </c>
      <c r="K348" s="7">
        <f>[3]業務定義!$A350</f>
        <v>0</v>
      </c>
      <c r="L348" s="208"/>
      <c r="M348" s="65">
        <f ca="1">SUMIF(日報!$P:$P,TEXT(YEAR($M$2),"0000")&amp;TEXT(MONTH($M$2),"00")&amp;$K348,日報!$L:$L)</f>
        <v>0</v>
      </c>
      <c r="O348" s="7" t="str">
        <f>"REQ"&amp;TEXT([2]RequestList!$A349,"0000")</f>
        <v>REQ21883</v>
      </c>
      <c r="P348" s="7" t="str">
        <f>[2]RequestList!$J349</f>
        <v>特殊文字使用禁止の注記削除</v>
      </c>
      <c r="Q348" s="65">
        <f>SUMIF(日報!$R:$R,TEXT(YEAR($Q$2),"0000")&amp;TEXT(MONTH($Q$2),"00")&amp;$O348,日報!$L:$L)</f>
        <v>0</v>
      </c>
      <c r="R348" s="65">
        <f ca="1">SUMIF(日報!$J:$J,$O348,日報!$L:$L)</f>
        <v>0</v>
      </c>
    </row>
    <row r="349" spans="10:18" x14ac:dyDescent="0.15">
      <c r="J349" s="7">
        <f>[3]業務定義!$J351</f>
        <v>0</v>
      </c>
      <c r="K349" s="7">
        <f>[3]業務定義!$A351</f>
        <v>0</v>
      </c>
      <c r="L349" s="208"/>
      <c r="M349" s="65">
        <f ca="1">SUMIF(日報!$P:$P,TEXT(YEAR($M$2),"0000")&amp;TEXT(MONTH($M$2),"00")&amp;$K349,日報!$L:$L)</f>
        <v>0</v>
      </c>
      <c r="O349" s="7" t="str">
        <f>"REQ"&amp;TEXT([2]RequestList!$A350,"0000")</f>
        <v>REQ21884</v>
      </c>
      <c r="P349" s="7" t="str">
        <f>[2]RequestList!$J350</f>
        <v>[Incident]DCPDデータ未連携</v>
      </c>
      <c r="Q349" s="65">
        <f>SUMIF(日報!$R:$R,TEXT(YEAR($Q$2),"0000")&amp;TEXT(MONTH($Q$2),"00")&amp;$O349,日報!$L:$L)</f>
        <v>0</v>
      </c>
      <c r="R349" s="65">
        <f ca="1">SUMIF(日報!$J:$J,$O349,日報!$L:$L)</f>
        <v>0</v>
      </c>
    </row>
    <row r="350" spans="10:18" x14ac:dyDescent="0.15">
      <c r="J350" s="7">
        <f>[3]業務定義!$J352</f>
        <v>0</v>
      </c>
      <c r="K350" s="7">
        <f>[3]業務定義!$A352</f>
        <v>0</v>
      </c>
      <c r="L350" s="208"/>
      <c r="M350" s="65">
        <f ca="1">SUMIF(日報!$P:$P,TEXT(YEAR($M$2),"0000")&amp;TEXT(MONTH($M$2),"00")&amp;$K350,日報!$L:$L)</f>
        <v>0</v>
      </c>
      <c r="O350" s="7" t="str">
        <f>"REQ"&amp;TEXT([2]RequestList!$A351,"0000")</f>
        <v>REQ21885</v>
      </c>
      <c r="P350" s="7" t="str">
        <f>[2]RequestList!$J351</f>
        <v>Triton-A対応 障害アナウンス</v>
      </c>
      <c r="Q350" s="65">
        <f>SUMIF(日報!$R:$R,TEXT(YEAR($Q$2),"0000")&amp;TEXT(MONTH($Q$2),"00")&amp;$O350,日報!$L:$L)</f>
        <v>0</v>
      </c>
      <c r="R350" s="65">
        <f ca="1">SUMIF(日報!$J:$J,$O350,日報!$L:$L)</f>
        <v>0</v>
      </c>
    </row>
    <row r="351" spans="10:18" x14ac:dyDescent="0.15">
      <c r="J351" s="7">
        <f>[3]業務定義!$J353</f>
        <v>0</v>
      </c>
      <c r="K351" s="7">
        <f>[3]業務定義!$A353</f>
        <v>0</v>
      </c>
      <c r="L351" s="208"/>
      <c r="M351" s="65">
        <f ca="1">SUMIF(日報!$P:$P,TEXT(YEAR($M$2),"0000")&amp;TEXT(MONTH($M$2),"00")&amp;$K351,日報!$L:$L)</f>
        <v>0</v>
      </c>
      <c r="O351" s="7" t="str">
        <f>"REQ"&amp;TEXT([2]RequestList!$A352,"0000")</f>
        <v>REQ21886</v>
      </c>
      <c r="P351" s="7" t="str">
        <f>[2]RequestList!$J352</f>
        <v>[Incident]DailyCheckにてDxの差異発生</v>
      </c>
      <c r="Q351" s="65">
        <f>SUMIF(日報!$R:$R,TEXT(YEAR($Q$2),"0000")&amp;TEXT(MONTH($Q$2),"00")&amp;$O351,日報!$L:$L)</f>
        <v>0</v>
      </c>
      <c r="R351" s="65">
        <f ca="1">SUMIF(日報!$J:$J,$O351,日報!$L:$L)</f>
        <v>0</v>
      </c>
    </row>
    <row r="352" spans="10:18" x14ac:dyDescent="0.15">
      <c r="J352" s="7">
        <f>[3]業務定義!$J354</f>
        <v>0</v>
      </c>
      <c r="K352" s="7">
        <f>[3]業務定義!$A354</f>
        <v>0</v>
      </c>
      <c r="L352" s="208"/>
      <c r="M352" s="65">
        <f ca="1">SUMIF(日報!$P:$P,TEXT(YEAR($M$2),"0000")&amp;TEXT(MONTH($M$2),"00")&amp;$K352,日報!$L:$L)</f>
        <v>0</v>
      </c>
      <c r="O352" s="7" t="str">
        <f>"REQ"&amp;TEXT([2]RequestList!$A353,"0000")</f>
        <v>REQ21887</v>
      </c>
      <c r="P352" s="7" t="str">
        <f>[2]RequestList!$J353</f>
        <v>Cybersourceのセキュリティキーが切れた</v>
      </c>
      <c r="Q352" s="65">
        <f>SUMIF(日報!$R:$R,TEXT(YEAR($Q$2),"0000")&amp;TEXT(MONTH($Q$2),"00")&amp;$O352,日報!$L:$L)</f>
        <v>0</v>
      </c>
      <c r="R352" s="65">
        <f ca="1">SUMIF(日報!$J:$J,$O352,日報!$L:$L)</f>
        <v>0</v>
      </c>
    </row>
    <row r="353" spans="10:18" x14ac:dyDescent="0.15">
      <c r="J353" s="7">
        <f>[3]業務定義!$J355</f>
        <v>0</v>
      </c>
      <c r="K353" s="7">
        <f>[3]業務定義!$A355</f>
        <v>0</v>
      </c>
      <c r="L353" s="208"/>
      <c r="M353" s="65">
        <f ca="1">SUMIF(日報!$P:$P,TEXT(YEAR($M$2),"0000")&amp;TEXT(MONTH($M$2),"00")&amp;$K353,日報!$L:$L)</f>
        <v>0</v>
      </c>
      <c r="O353" s="7" t="str">
        <f>"REQ"&amp;TEXT([2]RequestList!$A354,"0000")</f>
        <v>REQ21888</v>
      </c>
      <c r="P353" s="7" t="str">
        <f>[2]RequestList!$J354</f>
        <v>Eagle Overviewの作成</v>
      </c>
      <c r="Q353" s="65">
        <f>SUMIF(日報!$R:$R,TEXT(YEAR($Q$2),"0000")&amp;TEXT(MONTH($Q$2),"00")&amp;$O353,日報!$L:$L)</f>
        <v>0</v>
      </c>
      <c r="R353" s="65">
        <f ca="1">SUMIF(日報!$J:$J,$O353,日報!$L:$L)</f>
        <v>0</v>
      </c>
    </row>
    <row r="354" spans="10:18" x14ac:dyDescent="0.15">
      <c r="J354" s="7">
        <f>[3]業務定義!$J356</f>
        <v>0</v>
      </c>
      <c r="K354" s="7">
        <f>[3]業務定義!$A356</f>
        <v>0</v>
      </c>
      <c r="L354" s="208"/>
      <c r="M354" s="65">
        <f ca="1">SUMIF(日報!$P:$P,TEXT(YEAR($M$2),"0000")&amp;TEXT(MONTH($M$2),"00")&amp;$K354,日報!$L:$L)</f>
        <v>0</v>
      </c>
      <c r="O354" s="7" t="str">
        <f>"REQ"&amp;TEXT([2]RequestList!$A355,"0000")</f>
        <v>REQ21889</v>
      </c>
      <c r="P354" s="7" t="str">
        <f>[2]RequestList!$J355</f>
        <v>AOS DB接続の手続き</v>
      </c>
      <c r="Q354" s="65">
        <f>SUMIF(日報!$R:$R,TEXT(YEAR($Q$2),"0000")&amp;TEXT(MONTH($Q$2),"00")&amp;$O354,日報!$L:$L)</f>
        <v>0</v>
      </c>
      <c r="R354" s="65">
        <f ca="1">SUMIF(日報!$J:$J,$O354,日報!$L:$L)</f>
        <v>0</v>
      </c>
    </row>
    <row r="355" spans="10:18" x14ac:dyDescent="0.15">
      <c r="J355" s="7">
        <f>[3]業務定義!$J357</f>
        <v>0</v>
      </c>
      <c r="K355" s="7">
        <f>[3]業務定義!$A357</f>
        <v>0</v>
      </c>
      <c r="L355" s="208"/>
      <c r="M355" s="65">
        <f ca="1">SUMIF(日報!$P:$P,TEXT(YEAR($M$2),"0000")&amp;TEXT(MONTH($M$2),"00")&amp;$K355,日報!$L:$L)</f>
        <v>0</v>
      </c>
      <c r="O355" s="7" t="str">
        <f>"REQ"&amp;TEXT([2]RequestList!$A356,"0000")</f>
        <v>REQ21890</v>
      </c>
      <c r="P355" s="7" t="str">
        <f>[2]RequestList!$J356</f>
        <v>代引き店舗の設定について</v>
      </c>
      <c r="Q355" s="65">
        <f>SUMIF(日報!$R:$R,TEXT(YEAR($Q$2),"0000")&amp;TEXT(MONTH($Q$2),"00")&amp;$O355,日報!$L:$L)</f>
        <v>0</v>
      </c>
      <c r="R355" s="65">
        <f ca="1">SUMIF(日報!$J:$J,$O355,日報!$L:$L)</f>
        <v>0</v>
      </c>
    </row>
    <row r="356" spans="10:18" x14ac:dyDescent="0.15">
      <c r="J356" s="7">
        <f>[3]業務定義!$J358</f>
        <v>0</v>
      </c>
      <c r="K356" s="7">
        <f>[3]業務定義!$A358</f>
        <v>0</v>
      </c>
      <c r="L356" s="208"/>
      <c r="M356" s="65">
        <f ca="1">SUMIF(日報!$P:$P,TEXT(YEAR($M$2),"0000")&amp;TEXT(MONTH($M$2),"00")&amp;$K356,日報!$L:$L)</f>
        <v>0</v>
      </c>
      <c r="O356" s="7" t="str">
        <f>"REQ"&amp;TEXT([2]RequestList!$A357,"0000")</f>
        <v>REQ21891</v>
      </c>
      <c r="P356" s="7" t="str">
        <f>[2]RequestList!$J357</f>
        <v>[Incident]POSデータ取り込み依頼</v>
      </c>
      <c r="Q356" s="65">
        <f>SUMIF(日報!$R:$R,TEXT(YEAR($Q$2),"0000")&amp;TEXT(MONTH($Q$2),"00")&amp;$O356,日報!$L:$L)</f>
        <v>0</v>
      </c>
      <c r="R356" s="65">
        <f ca="1">SUMIF(日報!$J:$J,$O356,日報!$L:$L)</f>
        <v>0</v>
      </c>
    </row>
    <row r="357" spans="10:18" x14ac:dyDescent="0.15">
      <c r="J357" s="7">
        <f>[3]業務定義!$J359</f>
        <v>0</v>
      </c>
      <c r="K357" s="7">
        <f>[3]業務定義!$A359</f>
        <v>0</v>
      </c>
      <c r="L357" s="208"/>
      <c r="M357" s="65">
        <f ca="1">SUMIF(日報!$P:$P,TEXT(YEAR($M$2),"0000")&amp;TEXT(MONTH($M$2),"00")&amp;$K357,日報!$L:$L)</f>
        <v>0</v>
      </c>
      <c r="O357" s="7" t="str">
        <f>"REQ"&amp;TEXT([2]RequestList!$A358,"0000")</f>
        <v>REQ21892</v>
      </c>
      <c r="P357" s="7" t="str">
        <f>[2]RequestList!$J358</f>
        <v>SFDCチームのMBOX関連依頼</v>
      </c>
      <c r="Q357" s="65">
        <f>SUMIF(日報!$R:$R,TEXT(YEAR($Q$2),"0000")&amp;TEXT(MONTH($Q$2),"00")&amp;$O357,日報!$L:$L)</f>
        <v>0</v>
      </c>
      <c r="R357" s="65">
        <f ca="1">SUMIF(日報!$J:$J,$O357,日報!$L:$L)</f>
        <v>0</v>
      </c>
    </row>
    <row r="358" spans="10:18" x14ac:dyDescent="0.15">
      <c r="J358" s="7">
        <f>[3]業務定義!$J360</f>
        <v>0</v>
      </c>
      <c r="K358" s="7">
        <f>[3]業務定義!$A360</f>
        <v>0</v>
      </c>
      <c r="L358" s="208"/>
      <c r="M358" s="65">
        <f ca="1">SUMIF(日報!$P:$P,TEXT(YEAR($M$2),"0000")&amp;TEXT(MONTH($M$2),"00")&amp;$K358,日報!$L:$L)</f>
        <v>0</v>
      </c>
      <c r="O358" s="7" t="str">
        <f>"REQ"&amp;TEXT([2]RequestList!$A359,"0000")</f>
        <v>REQ21893</v>
      </c>
      <c r="P358" s="7" t="str">
        <f>[2]RequestList!$J359</f>
        <v>【データファイルが存在しない】SFDC⇒ARS</v>
      </c>
      <c r="Q358" s="65">
        <f>SUMIF(日報!$R:$R,TEXT(YEAR($Q$2),"0000")&amp;TEXT(MONTH($Q$2),"00")&amp;$O358,日報!$L:$L)</f>
        <v>0</v>
      </c>
      <c r="R358" s="65">
        <f ca="1">SUMIF(日報!$J:$J,$O358,日報!$L:$L)</f>
        <v>0</v>
      </c>
    </row>
    <row r="359" spans="10:18" x14ac:dyDescent="0.15">
      <c r="J359" s="7">
        <f>[3]業務定義!$J361</f>
        <v>0</v>
      </c>
      <c r="K359" s="7">
        <f>[3]業務定義!$A361</f>
        <v>0</v>
      </c>
      <c r="L359" s="208"/>
      <c r="M359" s="65">
        <f ca="1">SUMIF(日報!$P:$P,TEXT(YEAR($M$2),"0000")&amp;TEXT(MONTH($M$2),"00")&amp;$K359,日報!$L:$L)</f>
        <v>0</v>
      </c>
      <c r="O359" s="7" t="str">
        <f>"REQ"&amp;TEXT([2]RequestList!$A360,"0000")</f>
        <v>REQ21894</v>
      </c>
      <c r="P359" s="7" t="str">
        <f>[2]RequestList!$J360</f>
        <v>【データファイルが存在しない】SFDC⇒ARS</v>
      </c>
      <c r="Q359" s="65">
        <f>SUMIF(日報!$R:$R,TEXT(YEAR($Q$2),"0000")&amp;TEXT(MONTH($Q$2),"00")&amp;$O359,日報!$L:$L)</f>
        <v>0</v>
      </c>
      <c r="R359" s="65">
        <f ca="1">SUMIF(日報!$J:$J,$O359,日報!$L:$L)</f>
        <v>0</v>
      </c>
    </row>
    <row r="360" spans="10:18" x14ac:dyDescent="0.15">
      <c r="J360" s="7">
        <f>[3]業務定義!$J362</f>
        <v>0</v>
      </c>
      <c r="K360" s="7">
        <f>[3]業務定義!$A362</f>
        <v>0</v>
      </c>
      <c r="L360" s="208"/>
      <c r="M360" s="65">
        <f ca="1">SUMIF(日報!$P:$P,TEXT(YEAR($M$2),"0000")&amp;TEXT(MONTH($M$2),"00")&amp;$K360,日報!$L:$L)</f>
        <v>0</v>
      </c>
      <c r="O360" s="7" t="str">
        <f>"REQ"&amp;TEXT([2]RequestList!$A361,"0000")</f>
        <v>REQ21895</v>
      </c>
      <c r="P360" s="7" t="str">
        <f>[2]RequestList!$J361</f>
        <v>【データファイルが存在しない】SFDC⇒ARS</v>
      </c>
      <c r="Q360" s="65">
        <f>SUMIF(日報!$R:$R,TEXT(YEAR($Q$2),"0000")&amp;TEXT(MONTH($Q$2),"00")&amp;$O360,日報!$L:$L)</f>
        <v>0</v>
      </c>
      <c r="R360" s="65">
        <f ca="1">SUMIF(日報!$J:$J,$O360,日報!$L:$L)</f>
        <v>0</v>
      </c>
    </row>
    <row r="361" spans="10:18" x14ac:dyDescent="0.15">
      <c r="J361" s="7">
        <f>[3]業務定義!$J363</f>
        <v>0</v>
      </c>
      <c r="K361" s="7">
        <f>[3]業務定義!$A363</f>
        <v>0</v>
      </c>
      <c r="L361" s="208"/>
      <c r="M361" s="65">
        <f ca="1">SUMIF(日報!$P:$P,TEXT(YEAR($M$2),"0000")&amp;TEXT(MONTH($M$2),"00")&amp;$K361,日報!$L:$L)</f>
        <v>0</v>
      </c>
      <c r="O361" s="7" t="str">
        <f>"REQ"&amp;TEXT([2]RequestList!$A362,"0000")</f>
        <v>REQ21896</v>
      </c>
      <c r="P361" s="7" t="str">
        <f>[2]RequestList!$J362</f>
        <v>MBOXメンテナンスの影響確認</v>
      </c>
      <c r="Q361" s="65">
        <f>SUMIF(日報!$R:$R,TEXT(YEAR($Q$2),"0000")&amp;TEXT(MONTH($Q$2),"00")&amp;$O361,日報!$L:$L)</f>
        <v>0</v>
      </c>
      <c r="R361" s="65">
        <f ca="1">SUMIF(日報!$J:$J,$O361,日報!$L:$L)</f>
        <v>0</v>
      </c>
    </row>
    <row r="362" spans="10:18" x14ac:dyDescent="0.15">
      <c r="J362" s="7">
        <f>[3]業務定義!$J364</f>
        <v>0</v>
      </c>
      <c r="K362" s="7">
        <f>[3]業務定義!$A364</f>
        <v>0</v>
      </c>
      <c r="L362" s="208"/>
      <c r="M362" s="65">
        <f ca="1">SUMIF(日報!$P:$P,TEXT(YEAR($M$2),"0000")&amp;TEXT(MONTH($M$2),"00")&amp;$K362,日報!$L:$L)</f>
        <v>0</v>
      </c>
      <c r="O362" s="7" t="str">
        <f>"REQ"&amp;TEXT([2]RequestList!$A363,"0000")</f>
        <v>REQ21897</v>
      </c>
      <c r="P362" s="7" t="str">
        <f>[2]RequestList!$J363</f>
        <v>絹村さんにメールが届かない</v>
      </c>
      <c r="Q362" s="65">
        <f>SUMIF(日報!$R:$R,TEXT(YEAR($Q$2),"0000")&amp;TEXT(MONTH($Q$2),"00")&amp;$O362,日報!$L:$L)</f>
        <v>0</v>
      </c>
      <c r="R362" s="65">
        <f ca="1">SUMIF(日報!$J:$J,$O362,日報!$L:$L)</f>
        <v>0</v>
      </c>
    </row>
    <row r="363" spans="10:18" x14ac:dyDescent="0.15">
      <c r="J363" s="7">
        <f>[3]業務定義!$J365</f>
        <v>0</v>
      </c>
      <c r="K363" s="7">
        <f>[3]業務定義!$A365</f>
        <v>0</v>
      </c>
      <c r="L363" s="208"/>
      <c r="M363" s="65">
        <f ca="1">SUMIF(日報!$P:$P,TEXT(YEAR($M$2),"0000")&amp;TEXT(MONTH($M$2),"00")&amp;$K363,日報!$L:$L)</f>
        <v>0</v>
      </c>
      <c r="O363" s="7" t="str">
        <f>"REQ"&amp;TEXT([2]RequestList!$A364,"0000")</f>
        <v>REQ21898</v>
      </c>
      <c r="P363" s="7" t="str">
        <f>[2]RequestList!$J364</f>
        <v>施設マスタ再取り込み</v>
      </c>
      <c r="Q363" s="65">
        <f>SUMIF(日報!$R:$R,TEXT(YEAR($Q$2),"0000")&amp;TEXT(MONTH($Q$2),"00")&amp;$O363,日報!$L:$L)</f>
        <v>0</v>
      </c>
      <c r="R363" s="65">
        <f ca="1">SUMIF(日報!$J:$J,$O363,日報!$L:$L)</f>
        <v>0</v>
      </c>
    </row>
    <row r="364" spans="10:18" x14ac:dyDescent="0.15">
      <c r="J364" s="7">
        <f>[3]業務定義!$J366</f>
        <v>0</v>
      </c>
      <c r="K364" s="7">
        <f>[3]業務定義!$A366</f>
        <v>0</v>
      </c>
      <c r="L364" s="208"/>
      <c r="M364" s="65">
        <f ca="1">SUMIF(日報!$P:$P,TEXT(YEAR($M$2),"0000")&amp;TEXT(MONTH($M$2),"00")&amp;$K364,日報!$L:$L)</f>
        <v>0</v>
      </c>
      <c r="O364" s="7" t="str">
        <f>"REQ"&amp;TEXT([2]RequestList!$A365,"0000")</f>
        <v>REQ21899</v>
      </c>
      <c r="P364" s="7" t="str">
        <f>[2]RequestList!$J365</f>
        <v>施設マスタ再取り込み</v>
      </c>
      <c r="Q364" s="65">
        <f>SUMIF(日報!$R:$R,TEXT(YEAR($Q$2),"0000")&amp;TEXT(MONTH($Q$2),"00")&amp;$O364,日報!$L:$L)</f>
        <v>0</v>
      </c>
      <c r="R364" s="65">
        <f ca="1">SUMIF(日報!$J:$J,$O364,日報!$L:$L)</f>
        <v>0</v>
      </c>
    </row>
    <row r="365" spans="10:18" x14ac:dyDescent="0.15">
      <c r="J365" s="7">
        <f>[3]業務定義!$J367</f>
        <v>0</v>
      </c>
      <c r="K365" s="7">
        <f>[3]業務定義!$A367</f>
        <v>0</v>
      </c>
      <c r="L365" s="208"/>
      <c r="M365" s="65">
        <f ca="1">SUMIF(日報!$P:$P,TEXT(YEAR($M$2),"0000")&amp;TEXT(MONTH($M$2),"00")&amp;$K365,日報!$L:$L)</f>
        <v>0</v>
      </c>
      <c r="O365" s="7" t="str">
        <f>"REQ"&amp;TEXT([2]RequestList!$A366,"0000")</f>
        <v>REQ21900</v>
      </c>
      <c r="P365" s="7" t="str">
        <f>[2]RequestList!$J366</f>
        <v>施設マスタ再取り込み</v>
      </c>
      <c r="Q365" s="65">
        <f>SUMIF(日報!$R:$R,TEXT(YEAR($Q$2),"0000")&amp;TEXT(MONTH($Q$2),"00")&amp;$O365,日報!$L:$L)</f>
        <v>0</v>
      </c>
      <c r="R365" s="65">
        <f ca="1">SUMIF(日報!$J:$J,$O365,日報!$L:$L)</f>
        <v>0</v>
      </c>
    </row>
    <row r="366" spans="10:18" x14ac:dyDescent="0.15">
      <c r="J366" s="7">
        <f>[3]業務定義!$J368</f>
        <v>0</v>
      </c>
      <c r="K366" s="7">
        <f>[3]業務定義!$A368</f>
        <v>0</v>
      </c>
      <c r="L366" s="208"/>
      <c r="M366" s="65">
        <f ca="1">SUMIF(日報!$P:$P,TEXT(YEAR($M$2),"0000")&amp;TEXT(MONTH($M$2),"00")&amp;$K366,日報!$L:$L)</f>
        <v>0</v>
      </c>
      <c r="O366" s="7" t="str">
        <f>"REQ"&amp;TEXT([2]RequestList!$A367,"0000")</f>
        <v>REQ21901</v>
      </c>
      <c r="P366" s="7" t="str">
        <f>[2]RequestList!$J367</f>
        <v>[Incident]Subscription DashboardのVIEW障害対応</v>
      </c>
      <c r="Q366" s="65">
        <f>SUMIF(日報!$R:$R,TEXT(YEAR($Q$2),"0000")&amp;TEXT(MONTH($Q$2),"00")&amp;$O366,日報!$L:$L)</f>
        <v>0</v>
      </c>
      <c r="R366" s="65">
        <f ca="1">SUMIF(日報!$J:$J,$O366,日報!$L:$L)</f>
        <v>0</v>
      </c>
    </row>
    <row r="367" spans="10:18" x14ac:dyDescent="0.15">
      <c r="J367" s="7">
        <f>[3]業務定義!$J369</f>
        <v>0</v>
      </c>
      <c r="K367" s="7">
        <f>[3]業務定義!$A369</f>
        <v>0</v>
      </c>
      <c r="L367" s="208"/>
      <c r="M367" s="65">
        <f ca="1">SUMIF(日報!$P:$P,TEXT(YEAR($M$2),"0000")&amp;TEXT(MONTH($M$2),"00")&amp;$K367,日報!$L:$L)</f>
        <v>0</v>
      </c>
      <c r="O367" s="7" t="str">
        <f>"REQ"&amp;TEXT([2]RequestList!$A368,"0000")</f>
        <v>REQ21902</v>
      </c>
      <c r="P367" s="7" t="str">
        <f>[2]RequestList!$J368</f>
        <v>WM2ARS_CSTMSバッチのImportエラー</v>
      </c>
      <c r="Q367" s="65">
        <f>SUMIF(日報!$R:$R,TEXT(YEAR($Q$2),"0000")&amp;TEXT(MONTH($Q$2),"00")&amp;$O367,日報!$L:$L)</f>
        <v>0</v>
      </c>
      <c r="R367" s="65">
        <f ca="1">SUMIF(日報!$J:$J,$O367,日報!$L:$L)</f>
        <v>0</v>
      </c>
    </row>
    <row r="368" spans="10:18" x14ac:dyDescent="0.15">
      <c r="J368" s="7">
        <f>[3]業務定義!$J370</f>
        <v>0</v>
      </c>
      <c r="K368" s="7">
        <f>[3]業務定義!$A370</f>
        <v>0</v>
      </c>
      <c r="L368" s="208"/>
      <c r="M368" s="65">
        <f ca="1">SUMIF(日報!$P:$P,TEXT(YEAR($M$2),"0000")&amp;TEXT(MONTH($M$2),"00")&amp;$K368,日報!$L:$L)</f>
        <v>0</v>
      </c>
      <c r="O368" s="7" t="str">
        <f>"REQ"&amp;TEXT([2]RequestList!$A369,"0000")</f>
        <v>REQ21903</v>
      </c>
      <c r="P368" s="7" t="str">
        <f>[2]RequestList!$J369</f>
        <v>ITリクエスト申請(IT Request)【ワークフロー新規/変更依頼　※J-FLOW　VCJAM008】</v>
      </c>
      <c r="Q368" s="65">
        <f>SUMIF(日報!$R:$R,TEXT(YEAR($Q$2),"0000")&amp;TEXT(MONTH($Q$2),"00")&amp;$O368,日報!$L:$L)</f>
        <v>0</v>
      </c>
      <c r="R368" s="65">
        <f ca="1">SUMIF(日報!$J:$J,$O368,日報!$L:$L)</f>
        <v>0</v>
      </c>
    </row>
    <row r="369" spans="10:18" x14ac:dyDescent="0.15">
      <c r="J369" s="7">
        <f>[3]業務定義!$J371</f>
        <v>0</v>
      </c>
      <c r="K369" s="7">
        <f>[3]業務定義!$A371</f>
        <v>0</v>
      </c>
      <c r="L369" s="208"/>
      <c r="M369" s="65">
        <f ca="1">SUMIF(日報!$P:$P,TEXT(YEAR($M$2),"0000")&amp;TEXT(MONTH($M$2),"00")&amp;$K369,日報!$L:$L)</f>
        <v>0</v>
      </c>
      <c r="O369" s="7" t="str">
        <f>"REQ"&amp;TEXT([2]RequestList!$A370,"0000")</f>
        <v>REQ21904</v>
      </c>
      <c r="P369" s="7" t="str">
        <f>[2]RequestList!$J370</f>
        <v>Notice of removing Samba packages from VPCx Prod  servers</v>
      </c>
      <c r="Q369" s="65">
        <f>SUMIF(日報!$R:$R,TEXT(YEAR($Q$2),"0000")&amp;TEXT(MONTH($Q$2),"00")&amp;$O369,日報!$L:$L)</f>
        <v>0</v>
      </c>
      <c r="R369" s="65">
        <f ca="1">SUMIF(日報!$J:$J,$O369,日報!$L:$L)</f>
        <v>0</v>
      </c>
    </row>
    <row r="370" spans="10:18" x14ac:dyDescent="0.15">
      <c r="J370" s="7">
        <f>[3]業務定義!$J372</f>
        <v>0</v>
      </c>
      <c r="K370" s="7">
        <f>[3]業務定義!$A372</f>
        <v>0</v>
      </c>
      <c r="L370" s="208"/>
      <c r="M370" s="65">
        <f ca="1">SUMIF(日報!$P:$P,TEXT(YEAR($M$2),"0000")&amp;TEXT(MONTH($M$2),"00")&amp;$K370,日報!$L:$L)</f>
        <v>0</v>
      </c>
      <c r="O370" s="7" t="str">
        <f>"REQ"&amp;TEXT([2]RequestList!$A371,"0000")</f>
        <v>REQ21905</v>
      </c>
      <c r="P370" s="7" t="str">
        <f>[2]RequestList!$J371</f>
        <v>【定期便】不正アクセスがないか確認してほしい</v>
      </c>
      <c r="Q370" s="65">
        <f>SUMIF(日報!$R:$R,TEXT(YEAR($Q$2),"0000")&amp;TEXT(MONTH($Q$2),"00")&amp;$O370,日報!$L:$L)</f>
        <v>0</v>
      </c>
      <c r="R370" s="65">
        <f ca="1">SUMIF(日報!$J:$J,$O370,日報!$L:$L)</f>
        <v>0</v>
      </c>
    </row>
    <row r="371" spans="10:18" x14ac:dyDescent="0.15">
      <c r="J371" s="7">
        <f>[3]業務定義!$J373</f>
        <v>0</v>
      </c>
      <c r="K371" s="7">
        <f>[3]業務定義!$A373</f>
        <v>0</v>
      </c>
      <c r="L371" s="208"/>
      <c r="M371" s="65">
        <f ca="1">SUMIF(日報!$P:$P,TEXT(YEAR($M$2),"0000")&amp;TEXT(MONTH($M$2),"00")&amp;$K371,日報!$L:$L)</f>
        <v>0</v>
      </c>
      <c r="O371" s="7" t="str">
        <f>"REQ"&amp;TEXT([2]RequestList!$A372,"0000")</f>
        <v>REQ21906</v>
      </c>
      <c r="P371" s="7" t="str">
        <f>[2]RequestList!$J372</f>
        <v>AWSAJUSGP1139のTAOグループ変更</v>
      </c>
      <c r="Q371" s="65">
        <f>SUMIF(日報!$R:$R,TEXT(YEAR($Q$2),"0000")&amp;TEXT(MONTH($Q$2),"00")&amp;$O371,日報!$L:$L)</f>
        <v>0</v>
      </c>
      <c r="R371" s="65">
        <f ca="1">SUMIF(日報!$J:$J,$O371,日報!$L:$L)</f>
        <v>0</v>
      </c>
    </row>
    <row r="372" spans="10:18" x14ac:dyDescent="0.15">
      <c r="J372" s="7">
        <f>[3]業務定義!$J374</f>
        <v>0</v>
      </c>
      <c r="K372" s="7">
        <f>[3]業務定義!$A374</f>
        <v>0</v>
      </c>
      <c r="L372" s="208"/>
      <c r="M372" s="65">
        <f ca="1">SUMIF(日報!$P:$P,TEXT(YEAR($M$2),"0000")&amp;TEXT(MONTH($M$2),"00")&amp;$K372,日報!$L:$L)</f>
        <v>0</v>
      </c>
      <c r="O372" s="7" t="str">
        <f>"REQ"&amp;TEXT([2]RequestList!$A373,"0000")</f>
        <v>REQ21907</v>
      </c>
      <c r="P372" s="7" t="str">
        <f>[2]RequestList!$J373</f>
        <v>AOS Royalty Reportの宛先変更</v>
      </c>
      <c r="Q372" s="65">
        <f>SUMIF(日報!$R:$R,TEXT(YEAR($Q$2),"0000")&amp;TEXT(MONTH($Q$2),"00")&amp;$O372,日報!$L:$L)</f>
        <v>0</v>
      </c>
      <c r="R372" s="65">
        <f ca="1">SUMIF(日報!$J:$J,$O372,日報!$L:$L)</f>
        <v>0</v>
      </c>
    </row>
    <row r="373" spans="10:18" x14ac:dyDescent="0.15">
      <c r="J373" s="7">
        <f>[3]業務定義!$J375</f>
        <v>0</v>
      </c>
      <c r="K373" s="7">
        <f>[3]業務定義!$A375</f>
        <v>0</v>
      </c>
      <c r="L373" s="208"/>
      <c r="M373" s="65">
        <f ca="1">SUMIF(日報!$P:$P,TEXT(YEAR($M$2),"0000")&amp;TEXT(MONTH($M$2),"00")&amp;$K373,日報!$L:$L)</f>
        <v>0</v>
      </c>
      <c r="O373" s="7" t="str">
        <f>"REQ"&amp;TEXT([2]RequestList!$A374,"0000")</f>
        <v>REQ21908</v>
      </c>
      <c r="P373" s="7" t="str">
        <f>[2]RequestList!$J374</f>
        <v>aos_daily_export-202003162002.zipがロードエラー</v>
      </c>
      <c r="Q373" s="65">
        <f>SUMIF(日報!$R:$R,TEXT(YEAR($Q$2),"0000")&amp;TEXT(MONTH($Q$2),"00")&amp;$O373,日報!$L:$L)</f>
        <v>0</v>
      </c>
      <c r="R373" s="65">
        <f ca="1">SUMIF(日報!$J:$J,$O373,日報!$L:$L)</f>
        <v>0</v>
      </c>
    </row>
    <row r="374" spans="10:18" x14ac:dyDescent="0.15">
      <c r="J374" s="7">
        <f>[3]業務定義!$J376</f>
        <v>0</v>
      </c>
      <c r="K374" s="7">
        <f>[3]業務定義!$A376</f>
        <v>0</v>
      </c>
      <c r="L374" s="208"/>
      <c r="M374" s="65">
        <f ca="1">SUMIF(日報!$P:$P,TEXT(YEAR($M$2),"0000")&amp;TEXT(MONTH($M$2),"00")&amp;$K374,日報!$L:$L)</f>
        <v>0</v>
      </c>
      <c r="O374" s="7" t="str">
        <f>"REQ"&amp;TEXT([2]RequestList!$A375,"0000")</f>
        <v>REQ21909</v>
      </c>
      <c r="P374" s="7" t="str">
        <f>[2]RequestList!$J375</f>
        <v xml:space="preserve"> AcuvueCodeClinicReportエラー</v>
      </c>
      <c r="Q374" s="65">
        <f>SUMIF(日報!$R:$R,TEXT(YEAR($Q$2),"0000")&amp;TEXT(MONTH($Q$2),"00")&amp;$O374,日報!$L:$L)</f>
        <v>0</v>
      </c>
      <c r="R374" s="65">
        <f ca="1">SUMIF(日報!$J:$J,$O374,日報!$L:$L)</f>
        <v>0</v>
      </c>
    </row>
    <row r="375" spans="10:18" x14ac:dyDescent="0.15">
      <c r="J375" s="7">
        <f>[3]業務定義!$J377</f>
        <v>0</v>
      </c>
      <c r="K375" s="7">
        <f>[3]業務定義!$A377</f>
        <v>0</v>
      </c>
      <c r="L375" s="208"/>
      <c r="M375" s="65">
        <f ca="1">SUMIF(日報!$P:$P,TEXT(YEAR($M$2),"0000")&amp;TEXT(MONTH($M$2),"00")&amp;$K375,日報!$L:$L)</f>
        <v>0</v>
      </c>
      <c r="O375" s="7" t="str">
        <f>"REQ"&amp;TEXT([2]RequestList!$A376,"0000")</f>
        <v>REQ21910</v>
      </c>
      <c r="P375" s="7" t="str">
        <f>[2]RequestList!$J376</f>
        <v>Update FTP interface to a compliance interface protocol</v>
      </c>
      <c r="Q375" s="65">
        <f>SUMIF(日報!$R:$R,TEXT(YEAR($Q$2),"0000")&amp;TEXT(MONTH($Q$2),"00")&amp;$O375,日報!$L:$L)</f>
        <v>0</v>
      </c>
      <c r="R375" s="65">
        <f ca="1">SUMIF(日報!$J:$J,$O375,日報!$L:$L)</f>
        <v>0</v>
      </c>
    </row>
    <row r="376" spans="10:18" x14ac:dyDescent="0.15">
      <c r="J376" s="7">
        <f>[3]業務定義!$J378</f>
        <v>0</v>
      </c>
      <c r="K376" s="7">
        <f>[3]業務定義!$A378</f>
        <v>0</v>
      </c>
      <c r="L376" s="208"/>
      <c r="M376" s="65">
        <f ca="1">SUMIF(日報!$P:$P,TEXT(YEAR($M$2),"0000")&amp;TEXT(MONTH($M$2),"00")&amp;$K376,日報!$L:$L)</f>
        <v>0</v>
      </c>
      <c r="O376" s="7" t="str">
        <f>"REQ"&amp;TEXT([2]RequestList!$A377,"0000")</f>
        <v>REQ21911</v>
      </c>
      <c r="P376" s="7" t="str">
        <f>[2]RequestList!$J377</f>
        <v>お役立ちサイトの更新依頼</v>
      </c>
      <c r="Q376" s="65">
        <f>SUMIF(日報!$R:$R,TEXT(YEAR($Q$2),"0000")&amp;TEXT(MONTH($Q$2),"00")&amp;$O376,日報!$L:$L)</f>
        <v>0</v>
      </c>
      <c r="R376" s="65">
        <f ca="1">SUMIF(日報!$J:$J,$O376,日報!$L:$L)</f>
        <v>0</v>
      </c>
    </row>
    <row r="377" spans="10:18" x14ac:dyDescent="0.15">
      <c r="J377" s="7">
        <f>[3]業務定義!$J379</f>
        <v>0</v>
      </c>
      <c r="K377" s="7">
        <f>[3]業務定義!$A379</f>
        <v>0</v>
      </c>
      <c r="L377" s="208"/>
      <c r="M377" s="65">
        <f ca="1">SUMIF(日報!$P:$P,TEXT(YEAR($M$2),"0000")&amp;TEXT(MONTH($M$2),"00")&amp;$K377,日報!$L:$L)</f>
        <v>0</v>
      </c>
      <c r="O377" s="7" t="str">
        <f>"REQ"&amp;TEXT([2]RequestList!$A378,"0000")</f>
        <v>REQ21912</v>
      </c>
      <c r="P377" s="7" t="str">
        <f>[2]RequestList!$J378</f>
        <v>SAP BWのアナウンスに対しての問合せ対応</v>
      </c>
      <c r="Q377" s="65">
        <f>SUMIF(日報!$R:$R,TEXT(YEAR($Q$2),"0000")&amp;TEXT(MONTH($Q$2),"00")&amp;$O377,日報!$L:$L)</f>
        <v>0</v>
      </c>
      <c r="R377" s="65">
        <f ca="1">SUMIF(日報!$J:$J,$O377,日報!$L:$L)</f>
        <v>0</v>
      </c>
    </row>
    <row r="378" spans="10:18" x14ac:dyDescent="0.15">
      <c r="J378" s="7">
        <f>[3]業務定義!$J380</f>
        <v>0</v>
      </c>
      <c r="K378" s="7">
        <f>[3]業務定義!$A380</f>
        <v>0</v>
      </c>
      <c r="L378" s="208"/>
      <c r="M378" s="65">
        <f ca="1">SUMIF(日報!$P:$P,TEXT(YEAR($M$2),"0000")&amp;TEXT(MONTH($M$2),"00")&amp;$K378,日報!$L:$L)</f>
        <v>0</v>
      </c>
      <c r="O378" s="7" t="str">
        <f>"REQ"&amp;TEXT([2]RequestList!$A379,"0000")</f>
        <v>REQ21913</v>
      </c>
      <c r="P378" s="7" t="str">
        <f>[2]RequestList!$J379</f>
        <v>SAP BWのアナウンスに対しての問合せ対応</v>
      </c>
      <c r="Q378" s="65">
        <f>SUMIF(日報!$R:$R,TEXT(YEAR($Q$2),"0000")&amp;TEXT(MONTH($Q$2),"00")&amp;$O378,日報!$L:$L)</f>
        <v>0</v>
      </c>
      <c r="R378" s="65">
        <f ca="1">SUMIF(日報!$J:$J,$O378,日報!$L:$L)</f>
        <v>0</v>
      </c>
    </row>
    <row r="379" spans="10:18" x14ac:dyDescent="0.15">
      <c r="J379" s="7">
        <f>[3]業務定義!$J381</f>
        <v>0</v>
      </c>
      <c r="K379" s="7">
        <f>[3]業務定義!$A381</f>
        <v>0</v>
      </c>
      <c r="L379" s="208"/>
      <c r="M379" s="65">
        <f ca="1">SUMIF(日報!$P:$P,TEXT(YEAR($M$2),"0000")&amp;TEXT(MONTH($M$2),"00")&amp;$K379,日報!$L:$L)</f>
        <v>0</v>
      </c>
      <c r="O379" s="7" t="str">
        <f>"REQ"&amp;TEXT([2]RequestList!$A380,"0000")</f>
        <v>REQ21914</v>
      </c>
      <c r="P379" s="7" t="str">
        <f>[2]RequestList!$J380</f>
        <v>SAP BWのアナウンスに対しての問合せ対応</v>
      </c>
      <c r="Q379" s="65">
        <f>SUMIF(日報!$R:$R,TEXT(YEAR($Q$2),"0000")&amp;TEXT(MONTH($Q$2),"00")&amp;$O379,日報!$L:$L)</f>
        <v>0</v>
      </c>
      <c r="R379" s="65">
        <f ca="1">SUMIF(日報!$J:$J,$O379,日報!$L:$L)</f>
        <v>0</v>
      </c>
    </row>
    <row r="380" spans="10:18" x14ac:dyDescent="0.15">
      <c r="J380" s="7">
        <f>[3]業務定義!$J382</f>
        <v>0</v>
      </c>
      <c r="K380" s="7">
        <f>[3]業務定義!$A382</f>
        <v>0</v>
      </c>
      <c r="L380" s="208"/>
      <c r="M380" s="65">
        <f ca="1">SUMIF(日報!$P:$P,TEXT(YEAR($M$2),"0000")&amp;TEXT(MONTH($M$2),"00")&amp;$K380,日報!$L:$L)</f>
        <v>0</v>
      </c>
      <c r="O380" s="7" t="str">
        <f>"REQ"&amp;TEXT([2]RequestList!$A381,"0000")</f>
        <v>REQ21915</v>
      </c>
      <c r="P380" s="7" t="str">
        <f>[2]RequestList!$J381</f>
        <v>カレンダーマスタについて</v>
      </c>
      <c r="Q380" s="65">
        <f>SUMIF(日報!$R:$R,TEXT(YEAR($Q$2),"0000")&amp;TEXT(MONTH($Q$2),"00")&amp;$O380,日報!$L:$L)</f>
        <v>0</v>
      </c>
      <c r="R380" s="65">
        <f ca="1">SUMIF(日報!$J:$J,$O380,日報!$L:$L)</f>
        <v>0</v>
      </c>
    </row>
    <row r="381" spans="10:18" x14ac:dyDescent="0.15">
      <c r="J381" s="7">
        <f>[3]業務定義!$J383</f>
        <v>0</v>
      </c>
      <c r="K381" s="7">
        <f>[3]業務定義!$A383</f>
        <v>0</v>
      </c>
      <c r="L381" s="208"/>
      <c r="M381" s="65">
        <f ca="1">SUMIF(日報!$P:$P,TEXT(YEAR($M$2),"0000")&amp;TEXT(MONTH($M$2),"00")&amp;$K381,日報!$L:$L)</f>
        <v>0</v>
      </c>
      <c r="O381" s="7" t="str">
        <f>"REQ"&amp;TEXT([2]RequestList!$A382,"0000")</f>
        <v>REQ21916</v>
      </c>
      <c r="P381" s="7" t="str">
        <f>[2]RequestList!$J382</f>
        <v>SFCDKT</v>
      </c>
      <c r="Q381" s="65">
        <f>SUMIF(日報!$R:$R,TEXT(YEAR($Q$2),"0000")&amp;TEXT(MONTH($Q$2),"00")&amp;$O381,日報!$L:$L)</f>
        <v>0</v>
      </c>
      <c r="R381" s="65">
        <f ca="1">SUMIF(日報!$J:$J,$O381,日報!$L:$L)</f>
        <v>0</v>
      </c>
    </row>
    <row r="382" spans="10:18" x14ac:dyDescent="0.15">
      <c r="J382" s="7">
        <f>[3]業務定義!$J384</f>
        <v>0</v>
      </c>
      <c r="K382" s="7">
        <f>[3]業務定義!$A384</f>
        <v>0</v>
      </c>
      <c r="L382" s="208"/>
      <c r="M382" s="65">
        <f ca="1">SUMIF(日報!$P:$P,TEXT(YEAR($M$2),"0000")&amp;TEXT(MONTH($M$2),"00")&amp;$K382,日報!$L:$L)</f>
        <v>0</v>
      </c>
      <c r="O382" s="7" t="str">
        <f>"REQ"&amp;TEXT([2]RequestList!$A383,"0000")</f>
        <v>REQ21917</v>
      </c>
      <c r="P382" s="7" t="str">
        <f>[2]RequestList!$J383</f>
        <v>テストデータ作成依頼</v>
      </c>
      <c r="Q382" s="65">
        <f>SUMIF(日報!$R:$R,TEXT(YEAR($Q$2),"0000")&amp;TEXT(MONTH($Q$2),"00")&amp;$O382,日報!$L:$L)</f>
        <v>0</v>
      </c>
      <c r="R382" s="65">
        <f ca="1">SUMIF(日報!$J:$J,$O382,日報!$L:$L)</f>
        <v>0</v>
      </c>
    </row>
    <row r="383" spans="10:18" x14ac:dyDescent="0.15">
      <c r="J383" s="7">
        <f>[3]業務定義!$J385</f>
        <v>0</v>
      </c>
      <c r="K383" s="7">
        <f>[3]業務定義!$A385</f>
        <v>0</v>
      </c>
      <c r="L383" s="208"/>
      <c r="M383" s="65">
        <f ca="1">SUMIF(日報!$P:$P,TEXT(YEAR($M$2),"0000")&amp;TEXT(MONTH($M$2),"00")&amp;$K383,日報!$L:$L)</f>
        <v>0</v>
      </c>
      <c r="O383" s="7" t="str">
        <f>"REQ"&amp;TEXT([2]RequestList!$A384,"0000")</f>
        <v>REQ21918</v>
      </c>
      <c r="P383" s="7" t="str">
        <f>[2]RequestList!$J384</f>
        <v>Eagle Enhancementリスト作成</v>
      </c>
      <c r="Q383" s="65">
        <f>SUMIF(日報!$R:$R,TEXT(YEAR($Q$2),"0000")&amp;TEXT(MONTH($Q$2),"00")&amp;$O383,日報!$L:$L)</f>
        <v>0</v>
      </c>
      <c r="R383" s="65">
        <f ca="1">SUMIF(日報!$J:$J,$O383,日報!$L:$L)</f>
        <v>0</v>
      </c>
    </row>
    <row r="384" spans="10:18" x14ac:dyDescent="0.15">
      <c r="J384" s="7">
        <f>[3]業務定義!$J386</f>
        <v>0</v>
      </c>
      <c r="K384" s="7">
        <f>[3]業務定義!$A386</f>
        <v>0</v>
      </c>
      <c r="L384" s="208"/>
      <c r="M384" s="65">
        <f ca="1">SUMIF(日報!$P:$P,TEXT(YEAR($M$2),"0000")&amp;TEXT(MONTH($M$2),"00")&amp;$K384,日報!$L:$L)</f>
        <v>0</v>
      </c>
      <c r="O384" s="7" t="str">
        <f>"REQ"&amp;TEXT([2]RequestList!$A385,"0000")</f>
        <v>REQ21919</v>
      </c>
      <c r="P384" s="7" t="str">
        <f>[2]RequestList!$J385</f>
        <v>RHEL OS Patching Schedule || ITSSGSGLSP01863</v>
      </c>
      <c r="Q384" s="65">
        <f>SUMIF(日報!$R:$R,TEXT(YEAR($Q$2),"0000")&amp;TEXT(MONTH($Q$2),"00")&amp;$O384,日報!$L:$L)</f>
        <v>0</v>
      </c>
      <c r="R384" s="65">
        <f ca="1">SUMIF(日報!$J:$J,$O384,日報!$L:$L)</f>
        <v>0</v>
      </c>
    </row>
    <row r="385" spans="10:18" x14ac:dyDescent="0.15">
      <c r="J385" s="7">
        <f>[3]業務定義!$J387</f>
        <v>0</v>
      </c>
      <c r="K385" s="7">
        <f>[3]業務定義!$A387</f>
        <v>0</v>
      </c>
      <c r="L385" s="208"/>
      <c r="M385" s="65">
        <f ca="1">SUMIF(日報!$P:$P,TEXT(YEAR($M$2),"0000")&amp;TEXT(MONTH($M$2),"00")&amp;$K385,日報!$L:$L)</f>
        <v>0</v>
      </c>
      <c r="O385" s="7" t="str">
        <f>"REQ"&amp;TEXT([2]RequestList!$A386,"0000")</f>
        <v>REQ21920</v>
      </c>
      <c r="P385" s="7" t="str">
        <f>[2]RequestList!$J386</f>
        <v>新規MBOX project作成依頼</v>
      </c>
      <c r="Q385" s="65">
        <f>SUMIF(日報!$R:$R,TEXT(YEAR($Q$2),"0000")&amp;TEXT(MONTH($Q$2),"00")&amp;$O385,日報!$L:$L)</f>
        <v>0</v>
      </c>
      <c r="R385" s="65">
        <f ca="1">SUMIF(日報!$J:$J,$O385,日報!$L:$L)</f>
        <v>0</v>
      </c>
    </row>
    <row r="386" spans="10:18" x14ac:dyDescent="0.15">
      <c r="J386" s="7">
        <f>[3]業務定義!$J388</f>
        <v>0</v>
      </c>
      <c r="K386" s="7">
        <f>[3]業務定義!$A388</f>
        <v>0</v>
      </c>
      <c r="L386" s="208"/>
      <c r="M386" s="65">
        <f ca="1">SUMIF(日報!$P:$P,TEXT(YEAR($M$2),"0000")&amp;TEXT(MONTH($M$2),"00")&amp;$K386,日報!$L:$L)</f>
        <v>0</v>
      </c>
      <c r="O386" s="7" t="str">
        <f>"REQ"&amp;TEXT([2]RequestList!$A387,"0000")</f>
        <v>REQ21921</v>
      </c>
      <c r="P386" s="7" t="str">
        <f>[2]RequestList!$J387</f>
        <v>MBOX Admin権限付与</v>
      </c>
      <c r="Q386" s="65">
        <f>SUMIF(日報!$R:$R,TEXT(YEAR($Q$2),"0000")&amp;TEXT(MONTH($Q$2),"00")&amp;$O386,日報!$L:$L)</f>
        <v>0</v>
      </c>
      <c r="R386" s="65">
        <f ca="1">SUMIF(日報!$J:$J,$O386,日報!$L:$L)</f>
        <v>0</v>
      </c>
    </row>
    <row r="387" spans="10:18" x14ac:dyDescent="0.15">
      <c r="J387" s="7">
        <f>[3]業務定義!$J389</f>
        <v>0</v>
      </c>
      <c r="K387" s="7">
        <f>[3]業務定義!$A389</f>
        <v>0</v>
      </c>
      <c r="L387" s="208"/>
      <c r="M387" s="65">
        <f ca="1">SUMIF(日報!$P:$P,TEXT(YEAR($M$2),"0000")&amp;TEXT(MONTH($M$2),"00")&amp;$K387,日報!$L:$L)</f>
        <v>0</v>
      </c>
      <c r="O387" s="7" t="str">
        <f>"REQ"&amp;TEXT([2]RequestList!$A388,"0000")</f>
        <v>REQ21922</v>
      </c>
      <c r="P387" s="7" t="str">
        <f>[2]RequestList!$J388</f>
        <v>ナレッジビューの修正について</v>
      </c>
      <c r="Q387" s="65">
        <f>SUMIF(日報!$R:$R,TEXT(YEAR($Q$2),"0000")&amp;TEXT(MONTH($Q$2),"00")&amp;$O387,日報!$L:$L)</f>
        <v>0</v>
      </c>
      <c r="R387" s="65">
        <f ca="1">SUMIF(日報!$J:$J,$O387,日報!$L:$L)</f>
        <v>0</v>
      </c>
    </row>
    <row r="388" spans="10:18" x14ac:dyDescent="0.15">
      <c r="J388" s="7">
        <f>[3]業務定義!$J390</f>
        <v>0</v>
      </c>
      <c r="K388" s="7">
        <f>[3]業務定義!$A390</f>
        <v>0</v>
      </c>
      <c r="L388" s="208"/>
      <c r="M388" s="65">
        <f ca="1">SUMIF(日報!$P:$P,TEXT(YEAR($M$2),"0000")&amp;TEXT(MONTH($M$2),"00")&amp;$K388,日報!$L:$L)</f>
        <v>0</v>
      </c>
      <c r="O388" s="7" t="str">
        <f>"REQ"&amp;TEXT([2]RequestList!$A389,"0000")</f>
        <v>REQ21923</v>
      </c>
      <c r="P388" s="7" t="str">
        <f>[2]RequestList!$J389</f>
        <v>【データファイルが存在しない】SFDC⇒ARS</v>
      </c>
      <c r="Q388" s="65">
        <f>SUMIF(日報!$R:$R,TEXT(YEAR($Q$2),"0000")&amp;TEXT(MONTH($Q$2),"00")&amp;$O388,日報!$L:$L)</f>
        <v>0</v>
      </c>
      <c r="R388" s="65">
        <f ca="1">SUMIF(日報!$J:$J,$O388,日報!$L:$L)</f>
        <v>0</v>
      </c>
    </row>
    <row r="389" spans="10:18" x14ac:dyDescent="0.15">
      <c r="J389" s="7">
        <f>[3]業務定義!$J391</f>
        <v>0</v>
      </c>
      <c r="K389" s="7">
        <f>[3]業務定義!$A391</f>
        <v>0</v>
      </c>
      <c r="L389" s="208"/>
      <c r="M389" s="65">
        <f ca="1">SUMIF(日報!$P:$P,TEXT(YEAR($M$2),"0000")&amp;TEXT(MONTH($M$2),"00")&amp;$K389,日報!$L:$L)</f>
        <v>0</v>
      </c>
      <c r="O389" s="7" t="str">
        <f>"REQ"&amp;TEXT([2]RequestList!$A390,"0000")</f>
        <v>REQ21924</v>
      </c>
      <c r="P389" s="7" t="str">
        <f>[2]RequestList!$J390</f>
        <v>ITリクエスト申請(IT Request)【J-flowおよびSFDCアカウント申請　登録 Ping Ping / 削除 Yin Lan】</v>
      </c>
      <c r="Q389" s="65">
        <f>SUMIF(日報!$R:$R,TEXT(YEAR($Q$2),"0000")&amp;TEXT(MONTH($Q$2),"00")&amp;$O389,日報!$L:$L)</f>
        <v>0</v>
      </c>
      <c r="R389" s="65">
        <f ca="1">SUMIF(日報!$J:$J,$O389,日報!$L:$L)</f>
        <v>0</v>
      </c>
    </row>
    <row r="390" spans="10:18" x14ac:dyDescent="0.15">
      <c r="J390" s="7">
        <f>[3]業務定義!$J392</f>
        <v>0</v>
      </c>
      <c r="K390" s="7">
        <f>[3]業務定義!$A392</f>
        <v>0</v>
      </c>
      <c r="L390" s="208"/>
      <c r="M390" s="65">
        <f ca="1">SUMIF(日報!$P:$P,TEXT(YEAR($M$2),"0000")&amp;TEXT(MONTH($M$2),"00")&amp;$K390,日報!$L:$L)</f>
        <v>0</v>
      </c>
      <c r="O390" s="7" t="str">
        <f>"REQ"&amp;TEXT([2]RequestList!$A391,"0000")</f>
        <v>REQ21925</v>
      </c>
      <c r="P390" s="7" t="str">
        <f>[2]RequestList!$J391</f>
        <v>Eagle Stageテストデータ作成依頼</v>
      </c>
      <c r="Q390" s="65">
        <f>SUMIF(日報!$R:$R,TEXT(YEAR($Q$2),"0000")&amp;TEXT(MONTH($Q$2),"00")&amp;$O390,日報!$L:$L)</f>
        <v>0</v>
      </c>
      <c r="R390" s="65">
        <f ca="1">SUMIF(日報!$J:$J,$O390,日報!$L:$L)</f>
        <v>0</v>
      </c>
    </row>
    <row r="391" spans="10:18" x14ac:dyDescent="0.15">
      <c r="J391" s="7">
        <f>[3]業務定義!$J393</f>
        <v>0</v>
      </c>
      <c r="K391" s="7">
        <f>[3]業務定義!$A393</f>
        <v>0</v>
      </c>
      <c r="L391" s="208"/>
      <c r="M391" s="65">
        <f ca="1">SUMIF(日報!$P:$P,TEXT(YEAR($M$2),"0000")&amp;TEXT(MONTH($M$2),"00")&amp;$K391,日報!$L:$L)</f>
        <v>0</v>
      </c>
      <c r="O391" s="7" t="str">
        <f>"REQ"&amp;TEXT([2]RequestList!$A392,"0000")</f>
        <v>REQ21926</v>
      </c>
      <c r="P391" s="7" t="str">
        <f>[2]RequestList!$J392</f>
        <v>[Incident] Sales Review Sheet 年表示</v>
      </c>
      <c r="Q391" s="65">
        <f>SUMIF(日報!$R:$R,TEXT(YEAR($Q$2),"0000")&amp;TEXT(MONTH($Q$2),"00")&amp;$O391,日報!$L:$L)</f>
        <v>0</v>
      </c>
      <c r="R391" s="65">
        <f ca="1">SUMIF(日報!$J:$J,$O391,日報!$L:$L)</f>
        <v>0</v>
      </c>
    </row>
    <row r="392" spans="10:18" x14ac:dyDescent="0.15">
      <c r="J392" s="7">
        <f>[3]業務定義!$J394</f>
        <v>0</v>
      </c>
      <c r="K392" s="7">
        <f>[3]業務定義!$A394</f>
        <v>0</v>
      </c>
      <c r="L392" s="208"/>
      <c r="M392" s="65">
        <f ca="1">SUMIF(日報!$P:$P,TEXT(YEAR($M$2),"0000")&amp;TEXT(MONTH($M$2),"00")&amp;$K392,日報!$L:$L)</f>
        <v>0</v>
      </c>
      <c r="O392" s="7" t="str">
        <f>"REQ"&amp;TEXT([2]RequestList!$A393,"0000")</f>
        <v>REQ21927</v>
      </c>
      <c r="P392" s="7" t="str">
        <f>[2]RequestList!$J393</f>
        <v>欠損AOSデータ</v>
      </c>
      <c r="Q392" s="65">
        <f>SUMIF(日報!$R:$R,TEXT(YEAR($Q$2),"0000")&amp;TEXT(MONTH($Q$2),"00")&amp;$O392,日報!$L:$L)</f>
        <v>0</v>
      </c>
      <c r="R392" s="65">
        <f ca="1">SUMIF(日報!$J:$J,$O392,日報!$L:$L)</f>
        <v>0</v>
      </c>
    </row>
    <row r="393" spans="10:18" x14ac:dyDescent="0.15">
      <c r="J393" s="7">
        <f>[3]業務定義!$J395</f>
        <v>0</v>
      </c>
      <c r="K393" s="7">
        <f>[3]業務定義!$A395</f>
        <v>0</v>
      </c>
      <c r="L393" s="208"/>
      <c r="M393" s="65">
        <f ca="1">SUMIF(日報!$P:$P,TEXT(YEAR($M$2),"0000")&amp;TEXT(MONTH($M$2),"00")&amp;$K393,日報!$L:$L)</f>
        <v>0</v>
      </c>
      <c r="O393" s="7" t="str">
        <f>"REQ"&amp;TEXT([2]RequestList!$A394,"0000")</f>
        <v>REQ21928</v>
      </c>
      <c r="P393" s="7" t="str">
        <f>[2]RequestList!$J394</f>
        <v>定期便のデータについて</v>
      </c>
      <c r="Q393" s="65">
        <f>SUMIF(日報!$R:$R,TEXT(YEAR($Q$2),"0000")&amp;TEXT(MONTH($Q$2),"00")&amp;$O393,日報!$L:$L)</f>
        <v>0</v>
      </c>
      <c r="R393" s="65">
        <f ca="1">SUMIF(日報!$J:$J,$O393,日報!$L:$L)</f>
        <v>0</v>
      </c>
    </row>
    <row r="394" spans="10:18" x14ac:dyDescent="0.15">
      <c r="J394" s="7">
        <f>[3]業務定義!$J396</f>
        <v>0</v>
      </c>
      <c r="K394" s="7">
        <f>[3]業務定義!$A396</f>
        <v>0</v>
      </c>
      <c r="L394" s="208"/>
      <c r="M394" s="65">
        <f ca="1">SUMIF(日報!$P:$P,TEXT(YEAR($M$2),"0000")&amp;TEXT(MONTH($M$2),"00")&amp;$K394,日報!$L:$L)</f>
        <v>0</v>
      </c>
      <c r="O394" s="7" t="str">
        <f>"REQ"&amp;TEXT([2]RequestList!$A395,"0000")</f>
        <v>REQ21929</v>
      </c>
      <c r="P394" s="7" t="str">
        <f>[2]RequestList!$J395</f>
        <v>Oracleバージョンアップ</v>
      </c>
      <c r="Q394" s="65">
        <f>SUMIF(日報!$R:$R,TEXT(YEAR($Q$2),"0000")&amp;TEXT(MONTH($Q$2),"00")&amp;$O394,日報!$L:$L)</f>
        <v>0</v>
      </c>
      <c r="R394" s="65">
        <f ca="1">SUMIF(日報!$J:$J,$O394,日報!$L:$L)</f>
        <v>0</v>
      </c>
    </row>
    <row r="395" spans="10:18" x14ac:dyDescent="0.15">
      <c r="J395" s="7">
        <f>[3]業務定義!$J397</f>
        <v>0</v>
      </c>
      <c r="K395" s="7">
        <f>[3]業務定義!$A397</f>
        <v>0</v>
      </c>
      <c r="L395" s="208"/>
      <c r="M395" s="65">
        <f ca="1">SUMIF(日報!$P:$P,TEXT(YEAR($M$2),"0000")&amp;TEXT(MONTH($M$2),"00")&amp;$K395,日報!$L:$L)</f>
        <v>0</v>
      </c>
      <c r="O395" s="7" t="str">
        <f>"REQ"&amp;TEXT([2]RequestList!$A396,"0000")</f>
        <v>REQ21930</v>
      </c>
      <c r="P395" s="7" t="str">
        <f>[2]RequestList!$J396</f>
        <v>AOS, 定期便関連のデータ定義について</v>
      </c>
      <c r="Q395" s="65">
        <f>SUMIF(日報!$R:$R,TEXT(YEAR($Q$2),"0000")&amp;TEXT(MONTH($Q$2),"00")&amp;$O395,日報!$L:$L)</f>
        <v>0</v>
      </c>
      <c r="R395" s="65">
        <f ca="1">SUMIF(日報!$J:$J,$O395,日報!$L:$L)</f>
        <v>0</v>
      </c>
    </row>
    <row r="396" spans="10:18" x14ac:dyDescent="0.15">
      <c r="J396" s="7">
        <f>[3]業務定義!$J398</f>
        <v>0</v>
      </c>
      <c r="K396" s="7">
        <f>[3]業務定義!$A398</f>
        <v>0</v>
      </c>
      <c r="L396" s="208"/>
      <c r="M396" s="65">
        <f ca="1">SUMIF(日報!$P:$P,TEXT(YEAR($M$2),"0000")&amp;TEXT(MONTH($M$2),"00")&amp;$K396,日報!$L:$L)</f>
        <v>0</v>
      </c>
      <c r="O396" s="7" t="str">
        <f>"REQ"&amp;TEXT([2]RequestList!$A397,"0000")</f>
        <v>REQ21931</v>
      </c>
      <c r="P396" s="7" t="str">
        <f>[2]RequestList!$J397</f>
        <v>[Other EUS] Office365のライセンスについて</v>
      </c>
      <c r="Q396" s="65">
        <f>SUMIF(日報!$R:$R,TEXT(YEAR($Q$2),"0000")&amp;TEXT(MONTH($Q$2),"00")&amp;$O396,日報!$L:$L)</f>
        <v>0</v>
      </c>
      <c r="R396" s="65">
        <f ca="1">SUMIF(日報!$J:$J,$O396,日報!$L:$L)</f>
        <v>0</v>
      </c>
    </row>
    <row r="397" spans="10:18" x14ac:dyDescent="0.15">
      <c r="J397" s="7">
        <f>[3]業務定義!$J399</f>
        <v>0</v>
      </c>
      <c r="K397" s="7">
        <f>[3]業務定義!$A399</f>
        <v>0</v>
      </c>
      <c r="L397" s="208"/>
      <c r="M397" s="65">
        <f ca="1">SUMIF(日報!$P:$P,TEXT(YEAR($M$2),"0000")&amp;TEXT(MONTH($M$2),"00")&amp;$K397,日報!$L:$L)</f>
        <v>0</v>
      </c>
      <c r="O397" s="7" t="str">
        <f>"REQ"&amp;TEXT([2]RequestList!$A398,"0000")</f>
        <v>REQ21932</v>
      </c>
      <c r="P397" s="7" t="str">
        <f>[2]RequestList!$J398</f>
        <v>[JFLOW]申請書の自動却下についてお問い合わせ</v>
      </c>
      <c r="Q397" s="65">
        <f>SUMIF(日報!$R:$R,TEXT(YEAR($Q$2),"0000")&amp;TEXT(MONTH($Q$2),"00")&amp;$O397,日報!$L:$L)</f>
        <v>0</v>
      </c>
      <c r="R397" s="65">
        <f ca="1">SUMIF(日報!$J:$J,$O397,日報!$L:$L)</f>
        <v>0</v>
      </c>
    </row>
    <row r="398" spans="10:18" x14ac:dyDescent="0.15">
      <c r="J398" s="7">
        <f>[3]業務定義!$J400</f>
        <v>0</v>
      </c>
      <c r="K398" s="7">
        <f>[3]業務定義!$A400</f>
        <v>0</v>
      </c>
      <c r="L398" s="208"/>
      <c r="M398" s="65">
        <f ca="1">SUMIF(日報!$P:$P,TEXT(YEAR($M$2),"0000")&amp;TEXT(MONTH($M$2),"00")&amp;$K398,日報!$L:$L)</f>
        <v>0</v>
      </c>
      <c r="O398" s="7" t="str">
        <f>"REQ"&amp;TEXT([2]RequestList!$A399,"0000")</f>
        <v>REQ21933</v>
      </c>
      <c r="P398" s="7" t="str">
        <f>[2]RequestList!$J399</f>
        <v>[JFLOW]中澤大起さんのビジネスルールの登録</v>
      </c>
      <c r="Q398" s="65">
        <f>SUMIF(日報!$R:$R,TEXT(YEAR($Q$2),"0000")&amp;TEXT(MONTH($Q$2),"00")&amp;$O398,日報!$L:$L)</f>
        <v>0</v>
      </c>
      <c r="R398" s="65">
        <f ca="1">SUMIF(日報!$J:$J,$O398,日報!$L:$L)</f>
        <v>0</v>
      </c>
    </row>
    <row r="399" spans="10:18" x14ac:dyDescent="0.15">
      <c r="J399" s="7">
        <f>[3]業務定義!$J401</f>
        <v>0</v>
      </c>
      <c r="K399" s="7">
        <f>[3]業務定義!$A401</f>
        <v>0</v>
      </c>
      <c r="L399" s="208"/>
      <c r="M399" s="65">
        <f ca="1">SUMIF(日報!$P:$P,TEXT(YEAR($M$2),"0000")&amp;TEXT(MONTH($M$2),"00")&amp;$K399,日報!$L:$L)</f>
        <v>0</v>
      </c>
      <c r="O399" s="7" t="str">
        <f>"REQ"&amp;TEXT([2]RequestList!$A400,"0000")</f>
        <v>REQ21934</v>
      </c>
      <c r="P399" s="7" t="str">
        <f>[2]RequestList!$J400</f>
        <v>[JFLOW]QA環境へのアクセス権限依頼</v>
      </c>
      <c r="Q399" s="65">
        <f>SUMIF(日報!$R:$R,TEXT(YEAR($Q$2),"0000")&amp;TEXT(MONTH($Q$2),"00")&amp;$O399,日報!$L:$L)</f>
        <v>0</v>
      </c>
      <c r="R399" s="65">
        <f ca="1">SUMIF(日報!$J:$J,$O399,日報!$L:$L)</f>
        <v>0</v>
      </c>
    </row>
    <row r="400" spans="10:18" x14ac:dyDescent="0.15">
      <c r="J400" s="7">
        <f>[3]業務定義!$J402</f>
        <v>0</v>
      </c>
      <c r="K400" s="7">
        <f>[3]業務定義!$A402</f>
        <v>0</v>
      </c>
      <c r="L400" s="208"/>
      <c r="M400" s="65">
        <f ca="1">SUMIF(日報!$P:$P,TEXT(YEAR($M$2),"0000")&amp;TEXT(MONTH($M$2),"00")&amp;$K400,日報!$L:$L)</f>
        <v>0</v>
      </c>
      <c r="O400" s="7" t="str">
        <f>"REQ"&amp;TEXT([2]RequestList!$A401,"0000")</f>
        <v>REQ21935</v>
      </c>
      <c r="P400" s="7" t="str">
        <f>[2]RequestList!$J401</f>
        <v>[JFLOW]ワークフローの強制完了</v>
      </c>
      <c r="Q400" s="65">
        <f>SUMIF(日報!$R:$R,TEXT(YEAR($Q$2),"0000")&amp;TEXT(MONTH($Q$2),"00")&amp;$O400,日報!$L:$L)</f>
        <v>0</v>
      </c>
      <c r="R400" s="65">
        <f ca="1">SUMIF(日報!$J:$J,$O400,日報!$L:$L)</f>
        <v>0</v>
      </c>
    </row>
    <row r="401" spans="10:18" x14ac:dyDescent="0.15">
      <c r="J401" s="7">
        <f>[3]業務定義!$J403</f>
        <v>0</v>
      </c>
      <c r="K401" s="7">
        <f>[3]業務定義!$A403</f>
        <v>0</v>
      </c>
      <c r="L401" s="208"/>
      <c r="M401" s="65">
        <f ca="1">SUMIF(日報!$P:$P,TEXT(YEAR($M$2),"0000")&amp;TEXT(MONTH($M$2),"00")&amp;$K401,日報!$L:$L)</f>
        <v>0</v>
      </c>
      <c r="O401" s="7" t="str">
        <f>"REQ"&amp;TEXT([2]RequestList!$A402,"0000")</f>
        <v>REQ21936</v>
      </c>
      <c r="P401" s="7" t="str">
        <f>[2]RequestList!$J402</f>
        <v>[イントラ]Supportページの更新</v>
      </c>
      <c r="Q401" s="65">
        <f>SUMIF(日報!$R:$R,TEXT(YEAR($Q$2),"0000")&amp;TEXT(MONTH($Q$2),"00")&amp;$O401,日報!$L:$L)</f>
        <v>0</v>
      </c>
      <c r="R401" s="65">
        <f ca="1">SUMIF(日報!$J:$J,$O401,日報!$L:$L)</f>
        <v>0</v>
      </c>
    </row>
    <row r="402" spans="10:18" x14ac:dyDescent="0.15">
      <c r="J402" s="7">
        <f>[3]業務定義!$J404</f>
        <v>0</v>
      </c>
      <c r="K402" s="7">
        <f>[3]業務定義!$A404</f>
        <v>0</v>
      </c>
      <c r="L402" s="208"/>
      <c r="M402" s="65">
        <f ca="1">SUMIF(日報!$P:$P,TEXT(YEAR($M$2),"0000")&amp;TEXT(MONTH($M$2),"00")&amp;$K402,日報!$L:$L)</f>
        <v>0</v>
      </c>
      <c r="O402" s="7" t="str">
        <f>"REQ"&amp;TEXT([2]RequestList!$A403,"0000")</f>
        <v>REQ21937</v>
      </c>
      <c r="P402" s="7" t="str">
        <f>[2]RequestList!$J403</f>
        <v>[JFLOW]申請書VCJFI006について</v>
      </c>
      <c r="Q402" s="65">
        <f>SUMIF(日報!$R:$R,TEXT(YEAR($Q$2),"0000")&amp;TEXT(MONTH($Q$2),"00")&amp;$O402,日報!$L:$L)</f>
        <v>0</v>
      </c>
      <c r="R402" s="65">
        <f ca="1">SUMIF(日報!$J:$J,$O402,日報!$L:$L)</f>
        <v>0</v>
      </c>
    </row>
    <row r="403" spans="10:18" x14ac:dyDescent="0.15">
      <c r="J403" s="7">
        <f>[3]業務定義!$J405</f>
        <v>0</v>
      </c>
      <c r="K403" s="7">
        <f>[3]業務定義!$A405</f>
        <v>0</v>
      </c>
      <c r="L403" s="208"/>
      <c r="M403" s="65">
        <f ca="1">SUMIF(日報!$P:$P,TEXT(YEAR($M$2),"0000")&amp;TEXT(MONTH($M$2),"00")&amp;$K403,日報!$L:$L)</f>
        <v>0</v>
      </c>
      <c r="O403" s="7" t="str">
        <f>"REQ"&amp;TEXT([2]RequestList!$A404,"0000")</f>
        <v>REQ21938</v>
      </c>
      <c r="P403" s="7" t="str">
        <f>[2]RequestList!$J404</f>
        <v>[JFLOW]VCJAM008の印刷設定</v>
      </c>
      <c r="Q403" s="65">
        <f>SUMIF(日報!$R:$R,TEXT(YEAR($Q$2),"0000")&amp;TEXT(MONTH($Q$2),"00")&amp;$O403,日報!$L:$L)</f>
        <v>0</v>
      </c>
      <c r="R403" s="65">
        <f ca="1">SUMIF(日報!$J:$J,$O403,日報!$L:$L)</f>
        <v>0</v>
      </c>
    </row>
    <row r="404" spans="10:18" x14ac:dyDescent="0.15">
      <c r="J404" s="7">
        <f>[3]業務定義!$J406</f>
        <v>0</v>
      </c>
      <c r="K404" s="7">
        <f>[3]業務定義!$A406</f>
        <v>0</v>
      </c>
      <c r="L404" s="208"/>
      <c r="M404" s="65">
        <f ca="1">SUMIF(日報!$P:$P,TEXT(YEAR($M$2),"0000")&amp;TEXT(MONTH($M$2),"00")&amp;$K404,日報!$L:$L)</f>
        <v>0</v>
      </c>
      <c r="O404" s="7" t="str">
        <f>"REQ"&amp;TEXT([2]RequestList!$A405,"0000")</f>
        <v>REQ21939</v>
      </c>
      <c r="P404" s="7" t="str">
        <f>[2]RequestList!$J405</f>
        <v>[JFLOW]ビジネスルールの登録</v>
      </c>
      <c r="Q404" s="65">
        <f>SUMIF(日報!$R:$R,TEXT(YEAR($Q$2),"0000")&amp;TEXT(MONTH($Q$2),"00")&amp;$O404,日報!$L:$L)</f>
        <v>0</v>
      </c>
      <c r="R404" s="65">
        <f ca="1">SUMIF(日報!$J:$J,$O404,日報!$L:$L)</f>
        <v>0</v>
      </c>
    </row>
    <row r="405" spans="10:18" x14ac:dyDescent="0.15">
      <c r="J405" s="7">
        <f>[3]業務定義!$J407</f>
        <v>0</v>
      </c>
      <c r="K405" s="7">
        <f>[3]業務定義!$A407</f>
        <v>0</v>
      </c>
      <c r="L405" s="208"/>
      <c r="M405" s="65">
        <f ca="1">SUMIF(日報!$P:$P,TEXT(YEAR($M$2),"0000")&amp;TEXT(MONTH($M$2),"00")&amp;$K405,日報!$L:$L)</f>
        <v>0</v>
      </c>
      <c r="O405" s="7" t="str">
        <f>"REQ"&amp;TEXT([2]RequestList!$A406,"0000")</f>
        <v>REQ21940</v>
      </c>
      <c r="P405" s="7" t="str">
        <f>[2]RequestList!$J406</f>
        <v>定期便トップ画面が表示されない</v>
      </c>
      <c r="Q405" s="65">
        <f>SUMIF(日報!$R:$R,TEXT(YEAR($Q$2),"0000")&amp;TEXT(MONTH($Q$2),"00")&amp;$O405,日報!$L:$L)</f>
        <v>0</v>
      </c>
      <c r="R405" s="65">
        <f ca="1">SUMIF(日報!$J:$J,$O405,日報!$L:$L)</f>
        <v>0</v>
      </c>
    </row>
    <row r="406" spans="10:18" x14ac:dyDescent="0.15">
      <c r="J406" s="7">
        <f>[3]業務定義!$J408</f>
        <v>0</v>
      </c>
      <c r="K406" s="7">
        <f>[3]業務定義!$A408</f>
        <v>0</v>
      </c>
      <c r="L406" s="208"/>
      <c r="M406" s="65">
        <f ca="1">SUMIF(日報!$P:$P,TEXT(YEAR($M$2),"0000")&amp;TEXT(MONTH($M$2),"00")&amp;$K406,日報!$L:$L)</f>
        <v>0</v>
      </c>
      <c r="O406" s="7" t="str">
        <f>"REQ"&amp;TEXT([2]RequestList!$A407,"0000")</f>
        <v>REQ21941</v>
      </c>
      <c r="P406" s="7" t="str">
        <f>[2]RequestList!$J407</f>
        <v>[Incident]DCPDデータ未連携</v>
      </c>
      <c r="Q406" s="65">
        <f>SUMIF(日報!$R:$R,TEXT(YEAR($Q$2),"0000")&amp;TEXT(MONTH($Q$2),"00")&amp;$O406,日報!$L:$L)</f>
        <v>0</v>
      </c>
      <c r="R406" s="65">
        <f ca="1">SUMIF(日報!$J:$J,$O406,日報!$L:$L)</f>
        <v>0</v>
      </c>
    </row>
    <row r="407" spans="10:18" x14ac:dyDescent="0.15">
      <c r="J407" s="7">
        <f>[3]業務定義!$J409</f>
        <v>0</v>
      </c>
      <c r="K407" s="7">
        <f>[3]業務定義!$A409</f>
        <v>0</v>
      </c>
      <c r="L407" s="208"/>
      <c r="M407" s="65">
        <f ca="1">SUMIF(日報!$P:$P,TEXT(YEAR($M$2),"0000")&amp;TEXT(MONTH($M$2),"00")&amp;$K407,日報!$L:$L)</f>
        <v>0</v>
      </c>
      <c r="O407" s="7" t="str">
        <f>"REQ"&amp;TEXT([2]RequestList!$A408,"0000")</f>
        <v>REQ21942</v>
      </c>
      <c r="P407" s="7" t="str">
        <f>[2]RequestList!$J408</f>
        <v>BOIバッチエラー</v>
      </c>
      <c r="Q407" s="65">
        <f>SUMIF(日報!$R:$R,TEXT(YEAR($Q$2),"0000")&amp;TEXT(MONTH($Q$2),"00")&amp;$O407,日報!$L:$L)</f>
        <v>0</v>
      </c>
      <c r="R407" s="65">
        <f ca="1">SUMIF(日報!$J:$J,$O407,日報!$L:$L)</f>
        <v>0</v>
      </c>
    </row>
    <row r="408" spans="10:18" x14ac:dyDescent="0.15">
      <c r="J408" s="7">
        <f>[3]業務定義!$J410</f>
        <v>0</v>
      </c>
      <c r="K408" s="7">
        <f>[3]業務定義!$A410</f>
        <v>0</v>
      </c>
      <c r="L408" s="208"/>
      <c r="M408" s="65">
        <f ca="1">SUMIF(日報!$P:$P,TEXT(YEAR($M$2),"0000")&amp;TEXT(MONTH($M$2),"00")&amp;$K408,日報!$L:$L)</f>
        <v>0</v>
      </c>
      <c r="O408" s="7" t="str">
        <f>"REQ"&amp;TEXT([2]RequestList!$A409,"0000")</f>
        <v>REQ21943</v>
      </c>
      <c r="P408" s="7" t="str">
        <f>[2]RequestList!$J409</f>
        <v>INVバッチエラー</v>
      </c>
      <c r="Q408" s="65">
        <f>SUMIF(日報!$R:$R,TEXT(YEAR($Q$2),"0000")&amp;TEXT(MONTH($Q$2),"00")&amp;$O408,日報!$L:$L)</f>
        <v>0</v>
      </c>
      <c r="R408" s="65">
        <f ca="1">SUMIF(日報!$J:$J,$O408,日報!$L:$L)</f>
        <v>0</v>
      </c>
    </row>
    <row r="409" spans="10:18" x14ac:dyDescent="0.15">
      <c r="J409" s="7">
        <f>[3]業務定義!$J411</f>
        <v>0</v>
      </c>
      <c r="K409" s="7">
        <f>[3]業務定義!$A411</f>
        <v>0</v>
      </c>
      <c r="L409" s="208"/>
      <c r="M409" s="65">
        <f ca="1">SUMIF(日報!$P:$P,TEXT(YEAR($M$2),"0000")&amp;TEXT(MONTH($M$2),"00")&amp;$K409,日報!$L:$L)</f>
        <v>0</v>
      </c>
      <c r="O409" s="7" t="str">
        <f>"REQ"&amp;TEXT([2]RequestList!$A410,"0000")</f>
        <v>REQ21944</v>
      </c>
      <c r="P409" s="7" t="str">
        <f>[2]RequestList!$J410</f>
        <v>価格マスタ取り込みエラー</v>
      </c>
      <c r="Q409" s="65">
        <f>SUMIF(日報!$R:$R,TEXT(YEAR($Q$2),"0000")&amp;TEXT(MONTH($Q$2),"00")&amp;$O409,日報!$L:$L)</f>
        <v>0</v>
      </c>
      <c r="R409" s="65">
        <f ca="1">SUMIF(日報!$J:$J,$O409,日報!$L:$L)</f>
        <v>0</v>
      </c>
    </row>
    <row r="410" spans="10:18" x14ac:dyDescent="0.15">
      <c r="J410" s="7">
        <f>[3]業務定義!$J412</f>
        <v>0</v>
      </c>
      <c r="K410" s="7">
        <f>[3]業務定義!$A412</f>
        <v>0</v>
      </c>
      <c r="L410" s="208"/>
      <c r="M410" s="65">
        <f ca="1">SUMIF(日報!$P:$P,TEXT(YEAR($M$2),"0000")&amp;TEXT(MONTH($M$2),"00")&amp;$K410,日報!$L:$L)</f>
        <v>0</v>
      </c>
      <c r="O410" s="7" t="str">
        <f>"REQ"&amp;TEXT([2]RequestList!$A411,"0000")</f>
        <v>REQ21945</v>
      </c>
      <c r="P410" s="7" t="str">
        <f>[2]RequestList!$J411</f>
        <v>日次csvアップロードエラー</v>
      </c>
      <c r="Q410" s="65">
        <f>SUMIF(日報!$R:$R,TEXT(YEAR($Q$2),"0000")&amp;TEXT(MONTH($Q$2),"00")&amp;$O410,日報!$L:$L)</f>
        <v>0</v>
      </c>
      <c r="R410" s="65">
        <f ca="1">SUMIF(日報!$J:$J,$O410,日報!$L:$L)</f>
        <v>0</v>
      </c>
    </row>
    <row r="411" spans="10:18" x14ac:dyDescent="0.15">
      <c r="J411" s="7">
        <f>[3]業務定義!$J413</f>
        <v>0</v>
      </c>
      <c r="K411" s="7">
        <f>[3]業務定義!$A413</f>
        <v>0</v>
      </c>
      <c r="L411" s="208"/>
      <c r="M411" s="65">
        <f ca="1">SUMIF(日報!$P:$P,TEXT(YEAR($M$2),"0000")&amp;TEXT(MONTH($M$2),"00")&amp;$K411,日報!$L:$L)</f>
        <v>0</v>
      </c>
      <c r="O411" s="7" t="str">
        <f>"REQ"&amp;TEXT([2]RequestList!$A412,"0000")</f>
        <v>REQ21946</v>
      </c>
      <c r="P411" s="7" t="str">
        <f>[2]RequestList!$J412</f>
        <v>eCommerce人数抽出依頼</v>
      </c>
      <c r="Q411" s="65">
        <f>SUMIF(日報!$R:$R,TEXT(YEAR($Q$2),"0000")&amp;TEXT(MONTH($Q$2),"00")&amp;$O411,日報!$L:$L)</f>
        <v>0</v>
      </c>
      <c r="R411" s="65">
        <f ca="1">SUMIF(日報!$J:$J,$O411,日報!$L:$L)</f>
        <v>0</v>
      </c>
    </row>
    <row r="412" spans="10:18" x14ac:dyDescent="0.15">
      <c r="J412" s="7">
        <f>[3]業務定義!$J414</f>
        <v>0</v>
      </c>
      <c r="K412" s="7">
        <f>[3]業務定義!$A414</f>
        <v>0</v>
      </c>
      <c r="L412" s="208"/>
      <c r="M412" s="65">
        <f ca="1">SUMIF(日報!$P:$P,TEXT(YEAR($M$2),"0000")&amp;TEXT(MONTH($M$2),"00")&amp;$K412,日報!$L:$L)</f>
        <v>0</v>
      </c>
      <c r="O412" s="7" t="str">
        <f>"REQ"&amp;TEXT([2]RequestList!$A413,"0000")</f>
        <v>REQ21947</v>
      </c>
      <c r="P412" s="7" t="str">
        <f>[2]RequestList!$J413</f>
        <v>キクチ様の注文不可</v>
      </c>
      <c r="Q412" s="65">
        <f>SUMIF(日報!$R:$R,TEXT(YEAR($Q$2),"0000")&amp;TEXT(MONTH($Q$2),"00")&amp;$O412,日報!$L:$L)</f>
        <v>0</v>
      </c>
      <c r="R412" s="65">
        <f ca="1">SUMIF(日報!$J:$J,$O412,日報!$L:$L)</f>
        <v>0</v>
      </c>
    </row>
    <row r="413" spans="10:18" x14ac:dyDescent="0.15">
      <c r="J413" s="7">
        <f>[3]業務定義!$J415</f>
        <v>0</v>
      </c>
      <c r="K413" s="7">
        <f>[3]業務定義!$A415</f>
        <v>0</v>
      </c>
      <c r="L413" s="208"/>
      <c r="M413" s="65">
        <f ca="1">SUMIF(日報!$P:$P,TEXT(YEAR($M$2),"0000")&amp;TEXT(MONTH($M$2),"00")&amp;$K413,日報!$L:$L)</f>
        <v>0</v>
      </c>
      <c r="O413" s="7" t="str">
        <f>"REQ"&amp;TEXT([2]RequestList!$A414,"0000")</f>
        <v>REQ21948</v>
      </c>
      <c r="P413" s="7" t="str">
        <f>[2]RequestList!$J414</f>
        <v>CONSUMER_ACUVUE_CODE_RXのrx_idに関する問い合わせ</v>
      </c>
      <c r="Q413" s="65">
        <f>SUMIF(日報!$R:$R,TEXT(YEAR($Q$2),"0000")&amp;TEXT(MONTH($Q$2),"00")&amp;$O413,日報!$L:$L)</f>
        <v>0</v>
      </c>
      <c r="R413" s="65">
        <f ca="1">SUMIF(日報!$J:$J,$O413,日報!$L:$L)</f>
        <v>0</v>
      </c>
    </row>
    <row r="414" spans="10:18" x14ac:dyDescent="0.15">
      <c r="J414" s="7">
        <f>[3]業務定義!$J416</f>
        <v>0</v>
      </c>
      <c r="K414" s="7">
        <f>[3]業務定義!$A416</f>
        <v>0</v>
      </c>
      <c r="L414" s="208"/>
      <c r="M414" s="65">
        <f ca="1">SUMIF(日報!$P:$P,TEXT(YEAR($M$2),"0000")&amp;TEXT(MONTH($M$2),"00")&amp;$K414,日報!$L:$L)</f>
        <v>0</v>
      </c>
      <c r="O414" s="7" t="str">
        <f>"REQ"&amp;TEXT([2]RequestList!$A415,"0000")</f>
        <v>REQ21949</v>
      </c>
      <c r="P414" s="7" t="str">
        <f>[2]RequestList!$J415</f>
        <v>CEH開発</v>
      </c>
      <c r="Q414" s="65">
        <f>SUMIF(日報!$R:$R,TEXT(YEAR($Q$2),"0000")&amp;TEXT(MONTH($Q$2),"00")&amp;$O414,日報!$L:$L)</f>
        <v>0</v>
      </c>
      <c r="R414" s="65">
        <f ca="1">SUMIF(日報!$J:$J,$O414,日報!$L:$L)</f>
        <v>0</v>
      </c>
    </row>
    <row r="415" spans="10:18" x14ac:dyDescent="0.15">
      <c r="J415" s="7">
        <f>[3]業務定義!$J417</f>
        <v>0</v>
      </c>
      <c r="K415" s="7">
        <f>[3]業務定義!$A417</f>
        <v>0</v>
      </c>
      <c r="L415" s="208"/>
      <c r="M415" s="65">
        <f ca="1">SUMIF(日報!$P:$P,TEXT(YEAR($M$2),"0000")&amp;TEXT(MONTH($M$2),"00")&amp;$K415,日報!$L:$L)</f>
        <v>0</v>
      </c>
      <c r="O415" s="7" t="str">
        <f>"REQ"&amp;TEXT([2]RequestList!$A416,"0000")</f>
        <v>REQ21950</v>
      </c>
      <c r="P415" s="7" t="str">
        <f>[2]RequestList!$J416</f>
        <v>SFDC_JPN_ETL_ACCOUNT importエラー</v>
      </c>
      <c r="Q415" s="65">
        <f>SUMIF(日報!$R:$R,TEXT(YEAR($Q$2),"0000")&amp;TEXT(MONTH($Q$2),"00")&amp;$O415,日報!$L:$L)</f>
        <v>0</v>
      </c>
      <c r="R415" s="65">
        <f ca="1">SUMIF(日報!$J:$J,$O415,日報!$L:$L)</f>
        <v>0</v>
      </c>
    </row>
    <row r="416" spans="10:18" x14ac:dyDescent="0.15">
      <c r="J416" s="7">
        <f>[3]業務定義!$J418</f>
        <v>0</v>
      </c>
      <c r="K416" s="7">
        <f>[3]業務定義!$A418</f>
        <v>0</v>
      </c>
      <c r="L416" s="208"/>
      <c r="M416" s="65">
        <f ca="1">SUMIF(日報!$P:$P,TEXT(YEAR($M$2),"0000")&amp;TEXT(MONTH($M$2),"00")&amp;$K416,日報!$L:$L)</f>
        <v>0</v>
      </c>
      <c r="O416" s="7" t="str">
        <f>"REQ"&amp;TEXT([2]RequestList!$A417,"0000")</f>
        <v>REQ21951</v>
      </c>
      <c r="P416" s="7" t="str">
        <f>[2]RequestList!$J417</f>
        <v>店舗画像が表示されない件</v>
      </c>
      <c r="Q416" s="65">
        <f>SUMIF(日報!$R:$R,TEXT(YEAR($Q$2),"0000")&amp;TEXT(MONTH($Q$2),"00")&amp;$O416,日報!$L:$L)</f>
        <v>0</v>
      </c>
      <c r="R416" s="65">
        <f ca="1">SUMIF(日報!$J:$J,$O416,日報!$L:$L)</f>
        <v>0</v>
      </c>
    </row>
    <row r="417" spans="10:18" x14ac:dyDescent="0.15">
      <c r="J417" s="7">
        <f>[3]業務定義!$J419</f>
        <v>0</v>
      </c>
      <c r="K417" s="7">
        <f>[3]業務定義!$A419</f>
        <v>0</v>
      </c>
      <c r="L417" s="208"/>
      <c r="M417" s="65">
        <f ca="1">SUMIF(日報!$P:$P,TEXT(YEAR($M$2),"0000")&amp;TEXT(MONTH($M$2),"00")&amp;$K417,日報!$L:$L)</f>
        <v>0</v>
      </c>
      <c r="O417" s="7" t="str">
        <f>"REQ"&amp;TEXT([2]RequestList!$A418,"0000")</f>
        <v>REQ21952</v>
      </c>
      <c r="P417" s="7" t="str">
        <f>[2]RequestList!$J418</f>
        <v>ITリクエスト申請(IT Request)【Request for JFLOW Access for 3 Users】</v>
      </c>
      <c r="Q417" s="65">
        <f>SUMIF(日報!$R:$R,TEXT(YEAR($Q$2),"0000")&amp;TEXT(MONTH($Q$2),"00")&amp;$O417,日報!$L:$L)</f>
        <v>0</v>
      </c>
      <c r="R417" s="65">
        <f ca="1">SUMIF(日報!$J:$J,$O417,日報!$L:$L)</f>
        <v>0</v>
      </c>
    </row>
    <row r="418" spans="10:18" x14ac:dyDescent="0.15">
      <c r="J418" s="7">
        <f>[3]業務定義!$J420</f>
        <v>0</v>
      </c>
      <c r="K418" s="7">
        <f>[3]業務定義!$A420</f>
        <v>0</v>
      </c>
      <c r="L418" s="208"/>
      <c r="M418" s="65">
        <f ca="1">SUMIF(日報!$P:$P,TEXT(YEAR($M$2),"0000")&amp;TEXT(MONTH($M$2),"00")&amp;$K418,日報!$L:$L)</f>
        <v>0</v>
      </c>
      <c r="O418" s="7" t="str">
        <f>"REQ"&amp;TEXT([2]RequestList!$A419,"0000")</f>
        <v>REQ21953</v>
      </c>
      <c r="P418" s="7" t="str">
        <f>[2]RequestList!$J419</f>
        <v>SFDC_JPN_ETL_USER MBOX接続エラー</v>
      </c>
      <c r="Q418" s="65">
        <f>SUMIF(日報!$R:$R,TEXT(YEAR($Q$2),"0000")&amp;TEXT(MONTH($Q$2),"00")&amp;$O418,日報!$L:$L)</f>
        <v>0</v>
      </c>
      <c r="R418" s="65">
        <f ca="1">SUMIF(日報!$J:$J,$O418,日報!$L:$L)</f>
        <v>0</v>
      </c>
    </row>
    <row r="419" spans="10:18" x14ac:dyDescent="0.15">
      <c r="J419" s="7">
        <f>[3]業務定義!$J421</f>
        <v>0</v>
      </c>
      <c r="K419" s="7">
        <f>[3]業務定義!$A421</f>
        <v>0</v>
      </c>
      <c r="L419" s="208"/>
      <c r="M419" s="65">
        <f ca="1">SUMIF(日報!$P:$P,TEXT(YEAR($M$2),"0000")&amp;TEXT(MONTH($M$2),"00")&amp;$K419,日報!$L:$L)</f>
        <v>0</v>
      </c>
      <c r="O419" s="7" t="str">
        <f>"REQ"&amp;TEXT([2]RequestList!$A420,"0000")</f>
        <v>REQ21954</v>
      </c>
      <c r="P419" s="7" t="str">
        <f>[2]RequestList!$J420</f>
        <v>テストデータ作成依頼</v>
      </c>
      <c r="Q419" s="65">
        <f>SUMIF(日報!$R:$R,TEXT(YEAR($Q$2),"0000")&amp;TEXT(MONTH($Q$2),"00")&amp;$O419,日報!$L:$L)</f>
        <v>0</v>
      </c>
      <c r="R419" s="65">
        <f ca="1">SUMIF(日報!$J:$J,$O419,日報!$L:$L)</f>
        <v>0</v>
      </c>
    </row>
    <row r="420" spans="10:18" x14ac:dyDescent="0.15">
      <c r="J420" s="7">
        <f>[3]業務定義!$J422</f>
        <v>0</v>
      </c>
      <c r="K420" s="7">
        <f>[3]業務定義!$A422</f>
        <v>0</v>
      </c>
      <c r="L420" s="208"/>
      <c r="M420" s="65">
        <f ca="1">SUMIF(日報!$P:$P,TEXT(YEAR($M$2),"0000")&amp;TEXT(MONTH($M$2),"00")&amp;$K420,日報!$L:$L)</f>
        <v>0</v>
      </c>
      <c r="O420" s="7" t="str">
        <f>"REQ"&amp;TEXT([2]RequestList!$A421,"0000")</f>
        <v>REQ21955</v>
      </c>
      <c r="P420" s="7" t="str">
        <f>[2]RequestList!$J421</f>
        <v>Paymetricエラー対応依頼</v>
      </c>
      <c r="Q420" s="65">
        <f>SUMIF(日報!$R:$R,TEXT(YEAR($Q$2),"0000")&amp;TEXT(MONTH($Q$2),"00")&amp;$O420,日報!$L:$L)</f>
        <v>0</v>
      </c>
      <c r="R420" s="65">
        <f ca="1">SUMIF(日報!$J:$J,$O420,日報!$L:$L)</f>
        <v>0</v>
      </c>
    </row>
    <row r="421" spans="10:18" x14ac:dyDescent="0.15">
      <c r="J421" s="7">
        <f>[3]業務定義!$J423</f>
        <v>0</v>
      </c>
      <c r="K421" s="7">
        <f>[3]業務定義!$A423</f>
        <v>0</v>
      </c>
      <c r="L421" s="208"/>
      <c r="M421" s="65">
        <f ca="1">SUMIF(日報!$P:$P,TEXT(YEAR($M$2),"0000")&amp;TEXT(MONTH($M$2),"00")&amp;$K421,日報!$L:$L)</f>
        <v>0</v>
      </c>
      <c r="O421" s="7" t="str">
        <f>"REQ"&amp;TEXT([2]RequestList!$A422,"0000")</f>
        <v>REQ21956</v>
      </c>
      <c r="P421" s="7" t="str">
        <f>[2]RequestList!$J422</f>
        <v>MBOXフォルダ作成・権限付与</v>
      </c>
      <c r="Q421" s="65">
        <f>SUMIF(日報!$R:$R,TEXT(YEAR($Q$2),"0000")&amp;TEXT(MONTH($Q$2),"00")&amp;$O421,日報!$L:$L)</f>
        <v>0</v>
      </c>
      <c r="R421" s="65">
        <f ca="1">SUMIF(日報!$J:$J,$O421,日報!$L:$L)</f>
        <v>0</v>
      </c>
    </row>
    <row r="422" spans="10:18" x14ac:dyDescent="0.15">
      <c r="J422" s="7">
        <f>[3]業務定義!$J424</f>
        <v>0</v>
      </c>
      <c r="K422" s="7">
        <f>[3]業務定義!$A424</f>
        <v>0</v>
      </c>
      <c r="L422" s="208"/>
      <c r="M422" s="65">
        <f ca="1">SUMIF(日報!$P:$P,TEXT(YEAR($M$2),"0000")&amp;TEXT(MONTH($M$2),"00")&amp;$K422,日報!$L:$L)</f>
        <v>0</v>
      </c>
      <c r="O422" s="7" t="str">
        <f>"REQ"&amp;TEXT([2]RequestList!$A423,"0000")</f>
        <v>REQ21957</v>
      </c>
      <c r="P422" s="7" t="str">
        <f>[2]RequestList!$J423</f>
        <v>MBOXフォルダ作成・権限付与</v>
      </c>
      <c r="Q422" s="65">
        <f>SUMIF(日報!$R:$R,TEXT(YEAR($Q$2),"0000")&amp;TEXT(MONTH($Q$2),"00")&amp;$O422,日報!$L:$L)</f>
        <v>0</v>
      </c>
      <c r="R422" s="65">
        <f ca="1">SUMIF(日報!$J:$J,$O422,日報!$L:$L)</f>
        <v>0</v>
      </c>
    </row>
    <row r="423" spans="10:18" x14ac:dyDescent="0.15">
      <c r="J423" s="7">
        <f>[3]業務定義!$J425</f>
        <v>0</v>
      </c>
      <c r="K423" s="7">
        <f>[3]業務定義!$A425</f>
        <v>0</v>
      </c>
      <c r="L423" s="208"/>
      <c r="M423" s="65">
        <f ca="1">SUMIF(日報!$P:$P,TEXT(YEAR($M$2),"0000")&amp;TEXT(MONTH($M$2),"00")&amp;$K423,日報!$L:$L)</f>
        <v>0</v>
      </c>
      <c r="O423" s="7" t="str">
        <f>"REQ"&amp;TEXT([2]RequestList!$A424,"0000")</f>
        <v>REQ21958</v>
      </c>
      <c r="P423" s="7" t="str">
        <f>[2]RequestList!$J424</f>
        <v>新製品Protean2</v>
      </c>
      <c r="Q423" s="65">
        <f>SUMIF(日報!$R:$R,TEXT(YEAR($Q$2),"0000")&amp;TEXT(MONTH($Q$2),"00")&amp;$O423,日報!$L:$L)</f>
        <v>0</v>
      </c>
      <c r="R423" s="65">
        <f ca="1">SUMIF(日報!$J:$J,$O423,日報!$L:$L)</f>
        <v>0</v>
      </c>
    </row>
    <row r="424" spans="10:18" x14ac:dyDescent="0.15">
      <c r="J424" s="7">
        <f>[3]業務定義!$J426</f>
        <v>0</v>
      </c>
      <c r="K424" s="7">
        <f>[3]業務定義!$A426</f>
        <v>0</v>
      </c>
      <c r="L424" s="208"/>
      <c r="M424" s="65">
        <f ca="1">SUMIF(日報!$P:$P,TEXT(YEAR($M$2),"0000")&amp;TEXT(MONTH($M$2),"00")&amp;$K424,日報!$L:$L)</f>
        <v>0</v>
      </c>
      <c r="O424" s="7" t="str">
        <f>"REQ"&amp;TEXT([2]RequestList!$A425,"0000")</f>
        <v>REQ21959</v>
      </c>
      <c r="P424" s="7" t="str">
        <f>[2]RequestList!$J425</f>
        <v>データ抽出依頼</v>
      </c>
      <c r="Q424" s="65">
        <f>SUMIF(日報!$R:$R,TEXT(YEAR($Q$2),"0000")&amp;TEXT(MONTH($Q$2),"00")&amp;$O424,日報!$L:$L)</f>
        <v>0</v>
      </c>
      <c r="R424" s="65">
        <f ca="1">SUMIF(日報!$J:$J,$O424,日報!$L:$L)</f>
        <v>0</v>
      </c>
    </row>
    <row r="425" spans="10:18" x14ac:dyDescent="0.15">
      <c r="J425" s="7">
        <f>[3]業務定義!$J427</f>
        <v>0</v>
      </c>
      <c r="K425" s="7">
        <f>[3]業務定義!$A427</f>
        <v>0</v>
      </c>
      <c r="L425" s="208"/>
      <c r="M425" s="65">
        <f ca="1">SUMIF(日報!$P:$P,TEXT(YEAR($M$2),"0000")&amp;TEXT(MONTH($M$2),"00")&amp;$K425,日報!$L:$L)</f>
        <v>0</v>
      </c>
      <c r="O425" s="7" t="str">
        <f>"REQ"&amp;TEXT([2]RequestList!$A426,"0000")</f>
        <v>REQ21960</v>
      </c>
      <c r="P425" s="7" t="str">
        <f>[2]RequestList!$J426</f>
        <v>データ抽出依頼</v>
      </c>
      <c r="Q425" s="65">
        <f>SUMIF(日報!$R:$R,TEXT(YEAR($Q$2),"0000")&amp;TEXT(MONTH($Q$2),"00")&amp;$O425,日報!$L:$L)</f>
        <v>0</v>
      </c>
      <c r="R425" s="65">
        <f ca="1">SUMIF(日報!$J:$J,$O425,日報!$L:$L)</f>
        <v>0</v>
      </c>
    </row>
    <row r="426" spans="10:18" x14ac:dyDescent="0.15">
      <c r="J426" s="7">
        <f>[3]業務定義!$J428</f>
        <v>0</v>
      </c>
      <c r="K426" s="7">
        <f>[3]業務定義!$A428</f>
        <v>0</v>
      </c>
      <c r="L426" s="208"/>
      <c r="M426" s="65">
        <f ca="1">SUMIF(日報!$P:$P,TEXT(YEAR($M$2),"0000")&amp;TEXT(MONTH($M$2),"00")&amp;$K426,日報!$L:$L)</f>
        <v>0</v>
      </c>
      <c r="O426" s="7" t="str">
        <f>"REQ"&amp;TEXT([2]RequestList!$A427,"0000")</f>
        <v>REQ21961</v>
      </c>
      <c r="P426" s="7" t="str">
        <f>[2]RequestList!$J427</f>
        <v>取扱い店検索管理画面アカウント作成</v>
      </c>
      <c r="Q426" s="65">
        <f>SUMIF(日報!$R:$R,TEXT(YEAR($Q$2),"0000")&amp;TEXT(MONTH($Q$2),"00")&amp;$O426,日報!$L:$L)</f>
        <v>0</v>
      </c>
      <c r="R426" s="65">
        <f ca="1">SUMIF(日報!$J:$J,$O426,日報!$L:$L)</f>
        <v>0</v>
      </c>
    </row>
    <row r="427" spans="10:18" x14ac:dyDescent="0.15">
      <c r="J427" s="7">
        <f>[3]業務定義!$J429</f>
        <v>0</v>
      </c>
      <c r="K427" s="7">
        <f>[3]業務定義!$A429</f>
        <v>0</v>
      </c>
      <c r="L427" s="208"/>
      <c r="M427" s="65">
        <f ca="1">SUMIF(日報!$P:$P,TEXT(YEAR($M$2),"0000")&amp;TEXT(MONTH($M$2),"00")&amp;$K427,日報!$L:$L)</f>
        <v>0</v>
      </c>
      <c r="O427" s="7" t="str">
        <f>"REQ"&amp;TEXT([2]RequestList!$A428,"0000")</f>
        <v>REQ21962</v>
      </c>
      <c r="P427" s="7" t="str">
        <f>[2]RequestList!$J428</f>
        <v>データ抽出依頼</v>
      </c>
      <c r="Q427" s="65">
        <f>SUMIF(日報!$R:$R,TEXT(YEAR($Q$2),"0000")&amp;TEXT(MONTH($Q$2),"00")&amp;$O427,日報!$L:$L)</f>
        <v>0</v>
      </c>
      <c r="R427" s="65">
        <f ca="1">SUMIF(日報!$J:$J,$O427,日報!$L:$L)</f>
        <v>0</v>
      </c>
    </row>
    <row r="428" spans="10:18" x14ac:dyDescent="0.15">
      <c r="J428" s="7">
        <f>[3]業務定義!$J430</f>
        <v>0</v>
      </c>
      <c r="K428" s="7">
        <f>[3]業務定義!$A430</f>
        <v>0</v>
      </c>
      <c r="L428" s="208"/>
      <c r="M428" s="65">
        <f ca="1">SUMIF(日報!$P:$P,TEXT(YEAR($M$2),"0000")&amp;TEXT(MONTH($M$2),"00")&amp;$K428,日報!$L:$L)</f>
        <v>0</v>
      </c>
      <c r="O428" s="7" t="str">
        <f>"REQ"&amp;TEXT([2]RequestList!$A429,"0000")</f>
        <v>REQ21963</v>
      </c>
      <c r="P428" s="7" t="str">
        <f>[2]RequestList!$J429</f>
        <v>CONSUMER_ACUVUE_CODE_RXのrx_idがNull</v>
      </c>
      <c r="Q428" s="65">
        <f>SUMIF(日報!$R:$R,TEXT(YEAR($Q$2),"0000")&amp;TEXT(MONTH($Q$2),"00")&amp;$O428,日報!$L:$L)</f>
        <v>0</v>
      </c>
      <c r="R428" s="65">
        <f ca="1">SUMIF(日報!$J:$J,$O428,日報!$L:$L)</f>
        <v>0</v>
      </c>
    </row>
    <row r="429" spans="10:18" x14ac:dyDescent="0.15">
      <c r="J429" s="7">
        <f>[3]業務定義!$J431</f>
        <v>0</v>
      </c>
      <c r="K429" s="7">
        <f>[3]業務定義!$A431</f>
        <v>0</v>
      </c>
      <c r="L429" s="208"/>
      <c r="M429" s="65">
        <f ca="1">SUMIF(日報!$P:$P,TEXT(YEAR($M$2),"0000")&amp;TEXT(MONTH($M$2),"00")&amp;$K429,日報!$L:$L)</f>
        <v>0</v>
      </c>
      <c r="O429" s="7" t="str">
        <f>"REQ"&amp;TEXT([2]RequestList!$A430,"0000")</f>
        <v>REQ21964</v>
      </c>
      <c r="P429" s="7" t="str">
        <f>[2]RequestList!$J430</f>
        <v>subus_detaiとorder_headerの関連性について</v>
      </c>
      <c r="Q429" s="65">
        <f>SUMIF(日報!$R:$R,TEXT(YEAR($Q$2),"0000")&amp;TEXT(MONTH($Q$2),"00")&amp;$O429,日報!$L:$L)</f>
        <v>0</v>
      </c>
      <c r="R429" s="65">
        <f ca="1">SUMIF(日報!$J:$J,$O429,日報!$L:$L)</f>
        <v>0</v>
      </c>
    </row>
    <row r="430" spans="10:18" x14ac:dyDescent="0.15">
      <c r="J430" s="7">
        <f>[3]業務定義!$J432</f>
        <v>0</v>
      </c>
      <c r="K430" s="7">
        <f>[3]業務定義!$A432</f>
        <v>0</v>
      </c>
      <c r="L430" s="208"/>
      <c r="M430" s="65">
        <f ca="1">SUMIF(日報!$P:$P,TEXT(YEAR($M$2),"0000")&amp;TEXT(MONTH($M$2),"00")&amp;$K430,日報!$L:$L)</f>
        <v>0</v>
      </c>
      <c r="O430" s="7" t="str">
        <f>"REQ"&amp;TEXT([2]RequestList!$A431,"0000")</f>
        <v>REQ21965</v>
      </c>
      <c r="P430" s="7" t="str">
        <f>[2]RequestList!$J431</f>
        <v>3/15のacuvue_code欠損</v>
      </c>
      <c r="Q430" s="65">
        <f>SUMIF(日報!$R:$R,TEXT(YEAR($Q$2),"0000")&amp;TEXT(MONTH($Q$2),"00")&amp;$O430,日報!$L:$L)</f>
        <v>0</v>
      </c>
      <c r="R430" s="65">
        <f ca="1">SUMIF(日報!$J:$J,$O430,日報!$L:$L)</f>
        <v>0</v>
      </c>
    </row>
    <row r="431" spans="10:18" x14ac:dyDescent="0.15">
      <c r="J431" s="7">
        <f>[3]業務定義!$J433</f>
        <v>0</v>
      </c>
      <c r="K431" s="7">
        <f>[3]業務定義!$A433</f>
        <v>0</v>
      </c>
      <c r="L431" s="208"/>
      <c r="M431" s="65">
        <f ca="1">SUMIF(日報!$P:$P,TEXT(YEAR($M$2),"0000")&amp;TEXT(MONTH($M$2),"00")&amp;$K431,日報!$L:$L)</f>
        <v>0</v>
      </c>
      <c r="O431" s="7" t="str">
        <f>"REQ"&amp;TEXT([2]RequestList!$A432,"0000")</f>
        <v>REQ21966</v>
      </c>
      <c r="P431" s="7" t="str">
        <f>[2]RequestList!$J432</f>
        <v>canceledのフォーマット不正</v>
      </c>
      <c r="Q431" s="65">
        <f>SUMIF(日報!$R:$R,TEXT(YEAR($Q$2),"0000")&amp;TEXT(MONTH($Q$2),"00")&amp;$O431,日報!$L:$L)</f>
        <v>0</v>
      </c>
      <c r="R431" s="65">
        <f ca="1">SUMIF(日報!$J:$J,$O431,日報!$L:$L)</f>
        <v>0</v>
      </c>
    </row>
    <row r="432" spans="10:18" x14ac:dyDescent="0.15">
      <c r="J432" s="7">
        <f>[3]業務定義!$J434</f>
        <v>0</v>
      </c>
      <c r="K432" s="7">
        <f>[3]業務定義!$A434</f>
        <v>0</v>
      </c>
      <c r="L432" s="208"/>
      <c r="M432" s="65">
        <f ca="1">SUMIF(日報!$P:$P,TEXT(YEAR($M$2),"0000")&amp;TEXT(MONTH($M$2),"00")&amp;$K432,日報!$L:$L)</f>
        <v>0</v>
      </c>
      <c r="O432" s="7" t="str">
        <f>"REQ"&amp;TEXT([2]RequestList!$A433,"0000")</f>
        <v>REQ21967</v>
      </c>
      <c r="P432" s="7" t="str">
        <f>[2]RequestList!$J433</f>
        <v>status_3のデータが不正更新</v>
      </c>
      <c r="Q432" s="65">
        <f>SUMIF(日報!$R:$R,TEXT(YEAR($Q$2),"0000")&amp;TEXT(MONTH($Q$2),"00")&amp;$O432,日報!$L:$L)</f>
        <v>0</v>
      </c>
      <c r="R432" s="65">
        <f ca="1">SUMIF(日報!$J:$J,$O432,日報!$L:$L)</f>
        <v>0</v>
      </c>
    </row>
    <row r="433" spans="10:18" x14ac:dyDescent="0.15">
      <c r="J433" s="7">
        <f>[3]業務定義!$J435</f>
        <v>0</v>
      </c>
      <c r="K433" s="7">
        <f>[3]業務定義!$A435</f>
        <v>0</v>
      </c>
      <c r="L433" s="208"/>
      <c r="M433" s="65">
        <f ca="1">SUMIF(日報!$P:$P,TEXT(YEAR($M$2),"0000")&amp;TEXT(MONTH($M$2),"00")&amp;$K433,日報!$L:$L)</f>
        <v>0</v>
      </c>
      <c r="O433" s="7" t="str">
        <f>"REQ"&amp;TEXT([2]RequestList!$A434,"0000")</f>
        <v>REQ21968</v>
      </c>
      <c r="P433" s="7" t="str">
        <f>[2]RequestList!$J434</f>
        <v>AOS連携の定常チェック検討</v>
      </c>
      <c r="Q433" s="65">
        <f>SUMIF(日報!$R:$R,TEXT(YEAR($Q$2),"0000")&amp;TEXT(MONTH($Q$2),"00")&amp;$O433,日報!$L:$L)</f>
        <v>0</v>
      </c>
      <c r="R433" s="65">
        <f ca="1">SUMIF(日報!$J:$J,$O433,日報!$L:$L)</f>
        <v>0</v>
      </c>
    </row>
    <row r="434" spans="10:18" x14ac:dyDescent="0.15">
      <c r="J434" s="7">
        <f>[3]業務定義!$J436</f>
        <v>0</v>
      </c>
      <c r="K434" s="7">
        <f>[3]業務定義!$A436</f>
        <v>0</v>
      </c>
      <c r="L434" s="208"/>
      <c r="M434" s="65">
        <f ca="1">SUMIF(日報!$P:$P,TEXT(YEAR($M$2),"0000")&amp;TEXT(MONTH($M$2),"00")&amp;$K434,日報!$L:$L)</f>
        <v>0</v>
      </c>
      <c r="O434" s="7" t="str">
        <f>"REQ"&amp;TEXT([2]RequestList!$A435,"0000")</f>
        <v>REQ21969</v>
      </c>
      <c r="P434" s="7" t="str">
        <f>[2]RequestList!$J435</f>
        <v>Paymetricエラー</v>
      </c>
      <c r="Q434" s="65">
        <f>SUMIF(日報!$R:$R,TEXT(YEAR($Q$2),"0000")&amp;TEXT(MONTH($Q$2),"00")&amp;$O434,日報!$L:$L)</f>
        <v>0</v>
      </c>
      <c r="R434" s="65">
        <f ca="1">SUMIF(日報!$J:$J,$O434,日報!$L:$L)</f>
        <v>0</v>
      </c>
    </row>
    <row r="435" spans="10:18" x14ac:dyDescent="0.15">
      <c r="J435" s="7">
        <f>[3]業務定義!$J437</f>
        <v>0</v>
      </c>
      <c r="K435" s="7">
        <f>[3]業務定義!$A437</f>
        <v>0</v>
      </c>
      <c r="L435" s="208"/>
      <c r="M435" s="65">
        <f ca="1">SUMIF(日報!$P:$P,TEXT(YEAR($M$2),"0000")&amp;TEXT(MONTH($M$2),"00")&amp;$K435,日報!$L:$L)</f>
        <v>0</v>
      </c>
      <c r="O435" s="7" t="str">
        <f>"REQ"&amp;TEXT([2]RequestList!$A436,"0000")</f>
        <v>REQ21970</v>
      </c>
      <c r="P435" s="7" t="str">
        <f>[2]RequestList!$J436</f>
        <v>NewGroupNumECPIdImport error</v>
      </c>
      <c r="Q435" s="65">
        <f>SUMIF(日報!$R:$R,TEXT(YEAR($Q$2),"0000")&amp;TEXT(MONTH($Q$2),"00")&amp;$O435,日報!$L:$L)</f>
        <v>0</v>
      </c>
      <c r="R435" s="65">
        <f ca="1">SUMIF(日報!$J:$J,$O435,日報!$L:$L)</f>
        <v>0</v>
      </c>
    </row>
    <row r="436" spans="10:18" x14ac:dyDescent="0.15">
      <c r="J436" s="7">
        <f>[3]業務定義!$J438</f>
        <v>0</v>
      </c>
      <c r="K436" s="7">
        <f>[3]業務定義!$A438</f>
        <v>0</v>
      </c>
      <c r="L436" s="208"/>
      <c r="M436" s="65">
        <f ca="1">SUMIF(日報!$P:$P,TEXT(YEAR($M$2),"0000")&amp;TEXT(MONTH($M$2),"00")&amp;$K436,日報!$L:$L)</f>
        <v>0</v>
      </c>
      <c r="O436" s="7" t="str">
        <f>"REQ"&amp;TEXT([2]RequestList!$A437,"0000")</f>
        <v>REQ21971</v>
      </c>
      <c r="P436" s="7" t="str">
        <f>[2]RequestList!$J437</f>
        <v>価格マスタ取り込みエラー</v>
      </c>
      <c r="Q436" s="65">
        <f>SUMIF(日報!$R:$R,TEXT(YEAR($Q$2),"0000")&amp;TEXT(MONTH($Q$2),"00")&amp;$O436,日報!$L:$L)</f>
        <v>0</v>
      </c>
      <c r="R436" s="65">
        <f ca="1">SUMIF(日報!$J:$J,$O436,日報!$L:$L)</f>
        <v>0</v>
      </c>
    </row>
    <row r="437" spans="10:18" x14ac:dyDescent="0.15">
      <c r="J437" s="7">
        <f>[3]業務定義!$J439</f>
        <v>0</v>
      </c>
      <c r="K437" s="7">
        <f>[3]業務定義!$A439</f>
        <v>0</v>
      </c>
      <c r="L437" s="208"/>
      <c r="M437" s="65">
        <f ca="1">SUMIF(日報!$P:$P,TEXT(YEAR($M$2),"0000")&amp;TEXT(MONTH($M$2),"00")&amp;$K437,日報!$L:$L)</f>
        <v>0</v>
      </c>
      <c r="O437" s="7" t="str">
        <f>"REQ"&amp;TEXT([2]RequestList!$A438,"0000")</f>
        <v>REQ21972</v>
      </c>
      <c r="P437" s="7" t="str">
        <f>[2]RequestList!$J438</f>
        <v>ACUVUE DEV DBについて</v>
      </c>
      <c r="Q437" s="65">
        <f>SUMIF(日報!$R:$R,TEXT(YEAR($Q$2),"0000")&amp;TEXT(MONTH($Q$2),"00")&amp;$O437,日報!$L:$L)</f>
        <v>0</v>
      </c>
      <c r="R437" s="65">
        <f ca="1">SUMIF(日報!$J:$J,$O437,日報!$L:$L)</f>
        <v>0</v>
      </c>
    </row>
    <row r="438" spans="10:18" x14ac:dyDescent="0.15">
      <c r="J438" s="7">
        <f>[3]業務定義!$J440</f>
        <v>0</v>
      </c>
      <c r="K438" s="7">
        <f>[3]業務定義!$A440</f>
        <v>0</v>
      </c>
      <c r="L438" s="208"/>
      <c r="M438" s="65">
        <f ca="1">SUMIF(日報!$P:$P,TEXT(YEAR($M$2),"0000")&amp;TEXT(MONTH($M$2),"00")&amp;$K438,日報!$L:$L)</f>
        <v>0</v>
      </c>
      <c r="O438" s="7" t="str">
        <f>"REQ"&amp;TEXT([2]RequestList!$A439,"0000")</f>
        <v>REQ21973</v>
      </c>
      <c r="P438" s="7" t="str">
        <f>[2]RequestList!$J439</f>
        <v>ACUVUE CODEについて</v>
      </c>
      <c r="Q438" s="65">
        <f>SUMIF(日報!$R:$R,TEXT(YEAR($Q$2),"0000")&amp;TEXT(MONTH($Q$2),"00")&amp;$O438,日報!$L:$L)</f>
        <v>0</v>
      </c>
      <c r="R438" s="65">
        <f ca="1">SUMIF(日報!$J:$J,$O438,日報!$L:$L)</f>
        <v>0</v>
      </c>
    </row>
    <row r="439" spans="10:18" x14ac:dyDescent="0.15">
      <c r="J439" s="7">
        <f>[3]業務定義!$J441</f>
        <v>0</v>
      </c>
      <c r="K439" s="7">
        <f>[3]業務定義!$A441</f>
        <v>0</v>
      </c>
      <c r="L439" s="208"/>
      <c r="M439" s="65">
        <f ca="1">SUMIF(日報!$P:$P,TEXT(YEAR($M$2),"0000")&amp;TEXT(MONTH($M$2),"00")&amp;$K439,日報!$L:$L)</f>
        <v>0</v>
      </c>
      <c r="O439" s="7" t="str">
        <f>"REQ"&amp;TEXT([2]RequestList!$A440,"0000")</f>
        <v>REQ21974</v>
      </c>
      <c r="P439" s="7" t="str">
        <f>[2]RequestList!$J440</f>
        <v>Marketing Cloud　FTP仕様変更について</v>
      </c>
      <c r="Q439" s="65">
        <f>SUMIF(日報!$R:$R,TEXT(YEAR($Q$2),"0000")&amp;TEXT(MONTH($Q$2),"00")&amp;$O439,日報!$L:$L)</f>
        <v>0</v>
      </c>
      <c r="R439" s="65">
        <f ca="1">SUMIF(日報!$J:$J,$O439,日報!$L:$L)</f>
        <v>0</v>
      </c>
    </row>
    <row r="440" spans="10:18" x14ac:dyDescent="0.15">
      <c r="J440" s="7">
        <f>[3]業務定義!$J442</f>
        <v>0</v>
      </c>
      <c r="K440" s="7">
        <f>[3]業務定義!$A442</f>
        <v>0</v>
      </c>
      <c r="L440" s="208"/>
      <c r="M440" s="65">
        <f ca="1">SUMIF(日報!$P:$P,TEXT(YEAR($M$2),"0000")&amp;TEXT(MONTH($M$2),"00")&amp;$K440,日報!$L:$L)</f>
        <v>0</v>
      </c>
      <c r="O440" s="7" t="str">
        <f>"REQ"&amp;TEXT([2]RequestList!$A441,"0000")</f>
        <v>REQ21975</v>
      </c>
      <c r="P440" s="7" t="str">
        <f>[2]RequestList!$J441</f>
        <v>ARS overview作成</v>
      </c>
      <c r="Q440" s="65">
        <f>SUMIF(日報!$R:$R,TEXT(YEAR($Q$2),"0000")&amp;TEXT(MONTH($Q$2),"00")&amp;$O440,日報!$L:$L)</f>
        <v>0</v>
      </c>
      <c r="R440" s="65">
        <f ca="1">SUMIF(日報!$J:$J,$O440,日報!$L:$L)</f>
        <v>0</v>
      </c>
    </row>
    <row r="441" spans="10:18" x14ac:dyDescent="0.15">
      <c r="J441" s="7">
        <f>[3]業務定義!$J443</f>
        <v>0</v>
      </c>
      <c r="K441" s="7">
        <f>[3]業務定義!$A443</f>
        <v>0</v>
      </c>
      <c r="L441" s="208"/>
      <c r="M441" s="65">
        <f ca="1">SUMIF(日報!$P:$P,TEXT(YEAR($M$2),"0000")&amp;TEXT(MONTH($M$2),"00")&amp;$K441,日報!$L:$L)</f>
        <v>0</v>
      </c>
      <c r="O441" s="7" t="str">
        <f>"REQ"&amp;TEXT([2]RequestList!$A442,"0000")</f>
        <v>REQ21976</v>
      </c>
      <c r="P441" s="7" t="str">
        <f>[2]RequestList!$J442</f>
        <v>e-proお知らせの新規登録ができない</v>
      </c>
      <c r="Q441" s="65">
        <f>SUMIF(日報!$R:$R,TEXT(YEAR($Q$2),"0000")&amp;TEXT(MONTH($Q$2),"00")&amp;$O441,日報!$L:$L)</f>
        <v>0</v>
      </c>
      <c r="R441" s="65">
        <f ca="1">SUMIF(日報!$J:$J,$O441,日報!$L:$L)</f>
        <v>0</v>
      </c>
    </row>
    <row r="442" spans="10:18" x14ac:dyDescent="0.15">
      <c r="J442" s="7">
        <f>[3]業務定義!$J444</f>
        <v>0</v>
      </c>
      <c r="K442" s="7">
        <f>[3]業務定義!$A444</f>
        <v>0</v>
      </c>
      <c r="L442" s="208"/>
      <c r="M442" s="65">
        <f ca="1">SUMIF(日報!$P:$P,TEXT(YEAR($M$2),"0000")&amp;TEXT(MONTH($M$2),"00")&amp;$K442,日報!$L:$L)</f>
        <v>0</v>
      </c>
      <c r="O442" s="7" t="str">
        <f>"REQ"&amp;TEXT([2]RequestList!$A443,"0000")</f>
        <v>REQ21977</v>
      </c>
      <c r="P442" s="7" t="str">
        <f>[2]RequestList!$J443</f>
        <v>Protean2新製品対応</v>
      </c>
      <c r="Q442" s="65">
        <f>SUMIF(日報!$R:$R,TEXT(YEAR($Q$2),"0000")&amp;TEXT(MONTH($Q$2),"00")&amp;$O442,日報!$L:$L)</f>
        <v>0</v>
      </c>
      <c r="R442" s="65">
        <f ca="1">SUMIF(日報!$J:$J,$O442,日報!$L:$L)</f>
        <v>0</v>
      </c>
    </row>
    <row r="443" spans="10:18" x14ac:dyDescent="0.15">
      <c r="J443" s="7">
        <f>[3]業務定義!$J445</f>
        <v>0</v>
      </c>
      <c r="K443" s="7">
        <f>[3]業務定義!$A445</f>
        <v>0</v>
      </c>
      <c r="L443" s="208"/>
      <c r="M443" s="65">
        <f ca="1">SUMIF(日報!$P:$P,TEXT(YEAR($M$2),"0000")&amp;TEXT(MONTH($M$2),"00")&amp;$K443,日報!$L:$L)</f>
        <v>0</v>
      </c>
      <c r="O443" s="7" t="str">
        <f>"REQ"&amp;TEXT([2]RequestList!$A444,"0000")</f>
        <v>REQ21978</v>
      </c>
      <c r="P443" s="7" t="str">
        <f>[2]RequestList!$J444</f>
        <v>MyAcuvue連携障害</v>
      </c>
      <c r="Q443" s="65">
        <f>SUMIF(日報!$R:$R,TEXT(YEAR($Q$2),"0000")&amp;TEXT(MONTH($Q$2),"00")&amp;$O443,日報!$L:$L)</f>
        <v>0</v>
      </c>
      <c r="R443" s="65">
        <f ca="1">SUMIF(日報!$J:$J,$O443,日報!$L:$L)</f>
        <v>0</v>
      </c>
    </row>
    <row r="444" spans="10:18" x14ac:dyDescent="0.15">
      <c r="J444" s="7">
        <f>[3]業務定義!$J446</f>
        <v>0</v>
      </c>
      <c r="K444" s="7">
        <f>[3]業務定義!$A446</f>
        <v>0</v>
      </c>
      <c r="L444" s="208"/>
      <c r="M444" s="65">
        <f ca="1">SUMIF(日報!$P:$P,TEXT(YEAR($M$2),"0000")&amp;TEXT(MONTH($M$2),"00")&amp;$K444,日報!$L:$L)</f>
        <v>0</v>
      </c>
      <c r="O444" s="7" t="str">
        <f>"REQ"&amp;TEXT([2]RequestList!$A445,"0000")</f>
        <v>REQ21979</v>
      </c>
      <c r="P444" s="7" t="str">
        <f>[2]RequestList!$J445</f>
        <v>VCJIT004_0002275_ITリクエスト申請(IT Request)【Request for JFLOW Access for 3 Users】</v>
      </c>
      <c r="Q444" s="65">
        <f>SUMIF(日報!$R:$R,TEXT(YEAR($Q$2),"0000")&amp;TEXT(MONTH($Q$2),"00")&amp;$O444,日報!$L:$L)</f>
        <v>0</v>
      </c>
      <c r="R444" s="65">
        <f ca="1">SUMIF(日報!$J:$J,$O444,日報!$L:$L)</f>
        <v>0</v>
      </c>
    </row>
    <row r="445" spans="10:18" x14ac:dyDescent="0.15">
      <c r="J445" s="7">
        <f>[3]業務定義!$J447</f>
        <v>0</v>
      </c>
      <c r="K445" s="7">
        <f>[3]業務定義!$A447</f>
        <v>0</v>
      </c>
      <c r="L445" s="208"/>
      <c r="M445" s="65">
        <f ca="1">SUMIF(日報!$P:$P,TEXT(YEAR($M$2),"0000")&amp;TEXT(MONTH($M$2),"00")&amp;$K445,日報!$L:$L)</f>
        <v>0</v>
      </c>
      <c r="O445" s="7" t="str">
        <f>"REQ"&amp;TEXT([2]RequestList!$A446,"0000")</f>
        <v>REQ21980</v>
      </c>
      <c r="P445" s="7" t="str">
        <f>[2]RequestList!$J446</f>
        <v>SFDC_JPN_ETL_USER インポートエラー</v>
      </c>
      <c r="Q445" s="65">
        <f>SUMIF(日報!$R:$R,TEXT(YEAR($Q$2),"0000")&amp;TEXT(MONTH($Q$2),"00")&amp;$O445,日報!$L:$L)</f>
        <v>0</v>
      </c>
      <c r="R445" s="65">
        <f ca="1">SUMIF(日報!$J:$J,$O445,日報!$L:$L)</f>
        <v>0</v>
      </c>
    </row>
    <row r="446" spans="10:18" x14ac:dyDescent="0.15">
      <c r="J446" s="7">
        <f>[3]業務定義!$J448</f>
        <v>0</v>
      </c>
      <c r="K446" s="7">
        <f>[3]業務定義!$A448</f>
        <v>0</v>
      </c>
      <c r="L446" s="208"/>
      <c r="M446" s="65">
        <f ca="1">SUMIF(日報!$P:$P,TEXT(YEAR($M$2),"0000")&amp;TEXT(MONTH($M$2),"00")&amp;$K446,日報!$L:$L)</f>
        <v>0</v>
      </c>
      <c r="O446" s="7" t="str">
        <f>"REQ"&amp;TEXT([2]RequestList!$A447,"0000")</f>
        <v>REQ21981</v>
      </c>
      <c r="P446" s="7" t="str">
        <f>[2]RequestList!$J447</f>
        <v>WM2ARS_CSTMSインポートエラー</v>
      </c>
      <c r="Q446" s="65">
        <f>SUMIF(日報!$R:$R,TEXT(YEAR($Q$2),"0000")&amp;TEXT(MONTH($Q$2),"00")&amp;$O446,日報!$L:$L)</f>
        <v>0</v>
      </c>
      <c r="R446" s="65">
        <f ca="1">SUMIF(日報!$J:$J,$O446,日報!$L:$L)</f>
        <v>0</v>
      </c>
    </row>
    <row r="447" spans="10:18" x14ac:dyDescent="0.15">
      <c r="J447" s="7">
        <f>[3]業務定義!$J449</f>
        <v>0</v>
      </c>
      <c r="K447" s="7">
        <f>[3]業務定義!$A449</f>
        <v>0</v>
      </c>
      <c r="L447" s="208"/>
      <c r="M447" s="65">
        <f ca="1">SUMIF(日報!$P:$P,TEXT(YEAR($M$2),"0000")&amp;TEXT(MONTH($M$2),"00")&amp;$K447,日報!$L:$L)</f>
        <v>0</v>
      </c>
      <c r="O447" s="7" t="str">
        <f>"REQ"&amp;TEXT([2]RequestList!$A448,"0000")</f>
        <v>REQ21982</v>
      </c>
      <c r="P447" s="7" t="str">
        <f>[2]RequestList!$J448</f>
        <v>WM2ARS_CSTMSインポートエラー</v>
      </c>
      <c r="Q447" s="65">
        <f>SUMIF(日報!$R:$R,TEXT(YEAR($Q$2),"0000")&amp;TEXT(MONTH($Q$2),"00")&amp;$O447,日報!$L:$L)</f>
        <v>0</v>
      </c>
      <c r="R447" s="65">
        <f ca="1">SUMIF(日報!$J:$J,$O447,日報!$L:$L)</f>
        <v>0</v>
      </c>
    </row>
    <row r="448" spans="10:18" x14ac:dyDescent="0.15">
      <c r="J448" s="7">
        <f>[3]業務定義!$J450</f>
        <v>0</v>
      </c>
      <c r="K448" s="7">
        <f>[3]業務定義!$A450</f>
        <v>0</v>
      </c>
      <c r="L448" s="208"/>
      <c r="M448" s="65">
        <f ca="1">SUMIF(日報!$P:$P,TEXT(YEAR($M$2),"0000")&amp;TEXT(MONTH($M$2),"00")&amp;$K448,日報!$L:$L)</f>
        <v>0</v>
      </c>
      <c r="O448" s="7" t="str">
        <f>"REQ"&amp;TEXT([2]RequestList!$A449,"0000")</f>
        <v>REQ21983</v>
      </c>
      <c r="P448" s="7" t="str">
        <f>[2]RequestList!$J449</f>
        <v>ITリクエスト申請(IT Request)【ワークフロー新規/変更依頼_DBA顧客マスタメンテナンス申請】</v>
      </c>
      <c r="Q448" s="65">
        <f>SUMIF(日報!$R:$R,TEXT(YEAR($Q$2),"0000")&amp;TEXT(MONTH($Q$2),"00")&amp;$O448,日報!$L:$L)</f>
        <v>0</v>
      </c>
      <c r="R448" s="65">
        <f ca="1">SUMIF(日報!$J:$J,$O448,日報!$L:$L)</f>
        <v>0</v>
      </c>
    </row>
    <row r="449" spans="10:18" x14ac:dyDescent="0.15">
      <c r="J449" s="7">
        <f>[3]業務定義!$J451</f>
        <v>0</v>
      </c>
      <c r="K449" s="7">
        <f>[3]業務定義!$A451</f>
        <v>0</v>
      </c>
      <c r="L449" s="208"/>
      <c r="M449" s="65">
        <f ca="1">SUMIF(日報!$P:$P,TEXT(YEAR($M$2),"0000")&amp;TEXT(MONTH($M$2),"00")&amp;$K449,日報!$L:$L)</f>
        <v>0</v>
      </c>
      <c r="O449" s="7" t="str">
        <f>"REQ"&amp;TEXT([2]RequestList!$A450,"0000")</f>
        <v>REQ21984</v>
      </c>
      <c r="P449" s="7" t="str">
        <f>[2]RequestList!$J450</f>
        <v>AMO J-Flow新規WorkFlow開発</v>
      </c>
      <c r="Q449" s="65">
        <f>SUMIF(日報!$R:$R,TEXT(YEAR($Q$2),"0000")&amp;TEXT(MONTH($Q$2),"00")&amp;$O449,日報!$L:$L)</f>
        <v>0</v>
      </c>
      <c r="R449" s="65">
        <f ca="1">SUMIF(日報!$J:$J,$O449,日報!$L:$L)</f>
        <v>0</v>
      </c>
    </row>
    <row r="450" spans="10:18" x14ac:dyDescent="0.15">
      <c r="J450" s="7">
        <f>[3]業務定義!$J452</f>
        <v>0</v>
      </c>
      <c r="K450" s="7">
        <f>[3]業務定義!$A452</f>
        <v>0</v>
      </c>
      <c r="L450" s="208"/>
      <c r="M450" s="65">
        <f ca="1">SUMIF(日報!$P:$P,TEXT(YEAR($M$2),"0000")&amp;TEXT(MONTH($M$2),"00")&amp;$K450,日報!$L:$L)</f>
        <v>0</v>
      </c>
      <c r="O450" s="7" t="str">
        <f>"REQ"&amp;TEXT([2]RequestList!$A451,"0000")</f>
        <v>REQ21985</v>
      </c>
      <c r="P450" s="7" t="str">
        <f>[2]RequestList!$J451</f>
        <v>NewGroupNumECPIdImport error</v>
      </c>
      <c r="Q450" s="65">
        <f>SUMIF(日報!$R:$R,TEXT(YEAR($Q$2),"0000")&amp;TEXT(MONTH($Q$2),"00")&amp;$O450,日報!$L:$L)</f>
        <v>0</v>
      </c>
      <c r="R450" s="65">
        <f ca="1">SUMIF(日報!$J:$J,$O450,日報!$L:$L)</f>
        <v>0</v>
      </c>
    </row>
    <row r="451" spans="10:18" x14ac:dyDescent="0.15">
      <c r="J451" s="7">
        <f>[3]業務定義!$J453</f>
        <v>0</v>
      </c>
      <c r="K451" s="7">
        <f>[3]業務定義!$A453</f>
        <v>0</v>
      </c>
      <c r="L451" s="208"/>
      <c r="M451" s="65">
        <f ca="1">SUMIF(日報!$P:$P,TEXT(YEAR($M$2),"0000")&amp;TEXT(MONTH($M$2),"00")&amp;$K451,日報!$L:$L)</f>
        <v>0</v>
      </c>
      <c r="O451" s="7" t="str">
        <f>"REQ"&amp;TEXT([2]RequestList!$A452,"0000")</f>
        <v>REQ21986</v>
      </c>
      <c r="P451" s="7" t="str">
        <f>[2]RequestList!$J452</f>
        <v>証明書更新確認</v>
      </c>
      <c r="Q451" s="65">
        <f>SUMIF(日報!$R:$R,TEXT(YEAR($Q$2),"0000")&amp;TEXT(MONTH($Q$2),"00")&amp;$O451,日報!$L:$L)</f>
        <v>0</v>
      </c>
      <c r="R451" s="65">
        <f ca="1">SUMIF(日報!$J:$J,$O451,日報!$L:$L)</f>
        <v>0</v>
      </c>
    </row>
    <row r="452" spans="10:18" x14ac:dyDescent="0.15">
      <c r="J452" s="7">
        <f>[3]業務定義!$J454</f>
        <v>0</v>
      </c>
      <c r="K452" s="7">
        <f>[3]業務定義!$A454</f>
        <v>0</v>
      </c>
      <c r="L452" s="208"/>
      <c r="M452" s="65">
        <f ca="1">SUMIF(日報!$P:$P,TEXT(YEAR($M$2),"0000")&amp;TEXT(MONTH($M$2),"00")&amp;$K452,日報!$L:$L)</f>
        <v>0</v>
      </c>
      <c r="O452" s="7" t="str">
        <f>"REQ"&amp;TEXT([2]RequestList!$A453,"0000")</f>
        <v>REQ21987</v>
      </c>
      <c r="P452" s="7" t="str">
        <f>[2]RequestList!$J453</f>
        <v>e-eyes.pro.jpがCloudflareに属していない</v>
      </c>
      <c r="Q452" s="65">
        <f>SUMIF(日報!$R:$R,TEXT(YEAR($Q$2),"0000")&amp;TEXT(MONTH($Q$2),"00")&amp;$O452,日報!$L:$L)</f>
        <v>0</v>
      </c>
      <c r="R452" s="65">
        <f ca="1">SUMIF(日報!$J:$J,$O452,日報!$L:$L)</f>
        <v>0</v>
      </c>
    </row>
    <row r="453" spans="10:18" x14ac:dyDescent="0.15">
      <c r="J453" s="7">
        <f>[3]業務定義!$J455</f>
        <v>0</v>
      </c>
      <c r="K453" s="7">
        <f>[3]業務定義!$A455</f>
        <v>0</v>
      </c>
      <c r="L453" s="208"/>
      <c r="M453" s="65">
        <f ca="1">SUMIF(日報!$P:$P,TEXT(YEAR($M$2),"0000")&amp;TEXT(MONTH($M$2),"00")&amp;$K453,日報!$L:$L)</f>
        <v>0</v>
      </c>
      <c r="O453" s="7" t="str">
        <f>"REQ"&amp;TEXT([2]RequestList!$A454,"0000")</f>
        <v>REQ21988</v>
      </c>
      <c r="P453" s="7" t="str">
        <f>[2]RequestList!$J454</f>
        <v>ARSアカウントのパスワードがわからない</v>
      </c>
      <c r="Q453" s="65">
        <f>SUMIF(日報!$R:$R,TEXT(YEAR($Q$2),"0000")&amp;TEXT(MONTH($Q$2),"00")&amp;$O453,日報!$L:$L)</f>
        <v>0</v>
      </c>
      <c r="R453" s="65">
        <f ca="1">SUMIF(日報!$J:$J,$O453,日報!$L:$L)</f>
        <v>0</v>
      </c>
    </row>
    <row r="454" spans="10:18" x14ac:dyDescent="0.15">
      <c r="J454" s="7">
        <f>[3]業務定義!$J456</f>
        <v>0</v>
      </c>
      <c r="K454" s="7">
        <f>[3]業務定義!$A456</f>
        <v>0</v>
      </c>
      <c r="L454" s="208"/>
      <c r="M454" s="65">
        <f ca="1">SUMIF(日報!$P:$P,TEXT(YEAR($M$2),"0000")&amp;TEXT(MONTH($M$2),"00")&amp;$K454,日報!$L:$L)</f>
        <v>0</v>
      </c>
      <c r="O454" s="7" t="str">
        <f>"REQ"&amp;TEXT([2]RequestList!$A455,"0000")</f>
        <v>REQ21989</v>
      </c>
      <c r="P454" s="7" t="str">
        <f>[2]RequestList!$J455</f>
        <v>ARSアカウントのパスワードがわからない</v>
      </c>
      <c r="Q454" s="65">
        <f>SUMIF(日報!$R:$R,TEXT(YEAR($Q$2),"0000")&amp;TEXT(MONTH($Q$2),"00")&amp;$O454,日報!$L:$L)</f>
        <v>0</v>
      </c>
      <c r="R454" s="65">
        <f ca="1">SUMIF(日報!$J:$J,$O454,日報!$L:$L)</f>
        <v>0</v>
      </c>
    </row>
    <row r="455" spans="10:18" x14ac:dyDescent="0.15">
      <c r="J455" s="7">
        <f>[3]業務定義!$J457</f>
        <v>0</v>
      </c>
      <c r="K455" s="7">
        <f>[3]業務定義!$A457</f>
        <v>0</v>
      </c>
      <c r="L455" s="208"/>
      <c r="M455" s="65">
        <f ca="1">SUMIF(日報!$P:$P,TEXT(YEAR($M$2),"0000")&amp;TEXT(MONTH($M$2),"00")&amp;$K455,日報!$L:$L)</f>
        <v>0</v>
      </c>
      <c r="O455" s="7" t="str">
        <f>"REQ"&amp;TEXT([2]RequestList!$A456,"0000")</f>
        <v>REQ21990</v>
      </c>
      <c r="P455" s="7" t="str">
        <f>[2]RequestList!$J456</f>
        <v>ARSアカウントのパスワードがわからない</v>
      </c>
      <c r="Q455" s="65">
        <f>SUMIF(日報!$R:$R,TEXT(YEAR($Q$2),"0000")&amp;TEXT(MONTH($Q$2),"00")&amp;$O455,日報!$L:$L)</f>
        <v>0</v>
      </c>
      <c r="R455" s="65">
        <f ca="1">SUMIF(日報!$J:$J,$O455,日報!$L:$L)</f>
        <v>0</v>
      </c>
    </row>
    <row r="456" spans="10:18" x14ac:dyDescent="0.15">
      <c r="J456" s="7">
        <f>[3]業務定義!$J458</f>
        <v>0</v>
      </c>
      <c r="K456" s="7">
        <f>[3]業務定義!$A458</f>
        <v>0</v>
      </c>
      <c r="L456" s="208"/>
      <c r="M456" s="65">
        <f ca="1">SUMIF(日報!$P:$P,TEXT(YEAR($M$2),"0000")&amp;TEXT(MONTH($M$2),"00")&amp;$K456,日報!$L:$L)</f>
        <v>0</v>
      </c>
      <c r="O456" s="7" t="str">
        <f>"REQ"&amp;TEXT([2]RequestList!$A457,"0000")</f>
        <v>REQ21991</v>
      </c>
      <c r="P456" s="7" t="str">
        <f>[2]RequestList!$J457</f>
        <v>ARS上でのProtean2新製品対応</v>
      </c>
      <c r="Q456" s="65">
        <f>SUMIF(日報!$R:$R,TEXT(YEAR($Q$2),"0000")&amp;TEXT(MONTH($Q$2),"00")&amp;$O456,日報!$L:$L)</f>
        <v>0</v>
      </c>
      <c r="R456" s="65">
        <f ca="1">SUMIF(日報!$J:$J,$O456,日報!$L:$L)</f>
        <v>0</v>
      </c>
    </row>
    <row r="457" spans="10:18" x14ac:dyDescent="0.15">
      <c r="J457" s="7">
        <f>[3]業務定義!$J459</f>
        <v>0</v>
      </c>
      <c r="K457" s="7">
        <f>[3]業務定義!$A459</f>
        <v>0</v>
      </c>
      <c r="L457" s="208"/>
      <c r="M457" s="65">
        <f ca="1">SUMIF(日報!$P:$P,TEXT(YEAR($M$2),"0000")&amp;TEXT(MONTH($M$2),"00")&amp;$K457,日報!$L:$L)</f>
        <v>0</v>
      </c>
      <c r="O457" s="7" t="str">
        <f>"REQ"&amp;TEXT([2]RequestList!$A458,"0000")</f>
        <v>REQ21992</v>
      </c>
      <c r="P457" s="7" t="str">
        <f>[2]RequestList!$J458</f>
        <v>本番環境で地図が表示されない件</v>
      </c>
      <c r="Q457" s="65">
        <f>SUMIF(日報!$R:$R,TEXT(YEAR($Q$2),"0000")&amp;TEXT(MONTH($Q$2),"00")&amp;$O457,日報!$L:$L)</f>
        <v>0</v>
      </c>
      <c r="R457" s="65">
        <f ca="1">SUMIF(日報!$J:$J,$O457,日報!$L:$L)</f>
        <v>0</v>
      </c>
    </row>
    <row r="458" spans="10:18" x14ac:dyDescent="0.15">
      <c r="J458" s="7">
        <f>[3]業務定義!$J460</f>
        <v>0</v>
      </c>
      <c r="K458" s="7">
        <f>[3]業務定義!$A460</f>
        <v>0</v>
      </c>
      <c r="L458" s="208"/>
      <c r="M458" s="65">
        <f ca="1">SUMIF(日報!$P:$P,TEXT(YEAR($M$2),"0000")&amp;TEXT(MONTH($M$2),"00")&amp;$K458,日報!$L:$L)</f>
        <v>0</v>
      </c>
      <c r="O458" s="7" t="str">
        <f>"REQ"&amp;TEXT([2]RequestList!$A459,"0000")</f>
        <v>REQ21993</v>
      </c>
      <c r="P458" s="7" t="str">
        <f>[2]RequestList!$J459</f>
        <v>海外ユーザ登録及びビジネスルールへの追加</v>
      </c>
      <c r="Q458" s="65">
        <f>SUMIF(日報!$R:$R,TEXT(YEAR($Q$2),"0000")&amp;TEXT(MONTH($Q$2),"00")&amp;$O458,日報!$L:$L)</f>
        <v>0</v>
      </c>
      <c r="R458" s="65">
        <f ca="1">SUMIF(日報!$J:$J,$O458,日報!$L:$L)</f>
        <v>0</v>
      </c>
    </row>
    <row r="459" spans="10:18" x14ac:dyDescent="0.15">
      <c r="J459" s="7">
        <f>[3]業務定義!$J461</f>
        <v>0</v>
      </c>
      <c r="K459" s="7">
        <f>[3]業務定義!$A461</f>
        <v>0</v>
      </c>
      <c r="L459" s="208"/>
      <c r="M459" s="65">
        <f ca="1">SUMIF(日報!$P:$P,TEXT(YEAR($M$2),"0000")&amp;TEXT(MONTH($M$2),"00")&amp;$K459,日報!$L:$L)</f>
        <v>0</v>
      </c>
      <c r="O459" s="7" t="str">
        <f>"REQ"&amp;TEXT([2]RequestList!$A460,"0000")</f>
        <v>REQ21994</v>
      </c>
      <c r="P459" s="7" t="str">
        <f>[2]RequestList!$J460</f>
        <v>ARS棚卸作業</v>
      </c>
      <c r="Q459" s="65">
        <f>SUMIF(日報!$R:$R,TEXT(YEAR($Q$2),"0000")&amp;TEXT(MONTH($Q$2),"00")&amp;$O459,日報!$L:$L)</f>
        <v>0</v>
      </c>
      <c r="R459" s="65">
        <f ca="1">SUMIF(日報!$J:$J,$O459,日報!$L:$L)</f>
        <v>0</v>
      </c>
    </row>
    <row r="460" spans="10:18" x14ac:dyDescent="0.15">
      <c r="J460" s="7">
        <f>[3]業務定義!$J462</f>
        <v>0</v>
      </c>
      <c r="K460" s="7">
        <f>[3]業務定義!$A462</f>
        <v>0</v>
      </c>
      <c r="L460" s="208"/>
      <c r="M460" s="65">
        <f ca="1">SUMIF(日報!$P:$P,TEXT(YEAR($M$2),"0000")&amp;TEXT(MONTH($M$2),"00")&amp;$K460,日報!$L:$L)</f>
        <v>0</v>
      </c>
      <c r="O460" s="7" t="str">
        <f>"REQ"&amp;TEXT([2]RequestList!$A461,"0000")</f>
        <v>REQ21995</v>
      </c>
      <c r="P460" s="7" t="str">
        <f>[2]RequestList!$J461</f>
        <v>本番環境で地図が表示されない件</v>
      </c>
      <c r="Q460" s="65">
        <f>SUMIF(日報!$R:$R,TEXT(YEAR($Q$2),"0000")&amp;TEXT(MONTH($Q$2),"00")&amp;$O460,日報!$L:$L)</f>
        <v>0</v>
      </c>
      <c r="R460" s="65">
        <f ca="1">SUMIF(日報!$J:$J,$O460,日報!$L:$L)</f>
        <v>0</v>
      </c>
    </row>
    <row r="461" spans="10:18" x14ac:dyDescent="0.15">
      <c r="J461" s="7">
        <f>[3]業務定義!$J463</f>
        <v>0</v>
      </c>
      <c r="K461" s="7">
        <f>[3]業務定義!$A463</f>
        <v>0</v>
      </c>
      <c r="L461" s="208"/>
      <c r="M461" s="65">
        <f ca="1">SUMIF(日報!$P:$P,TEXT(YEAR($M$2),"0000")&amp;TEXT(MONTH($M$2),"00")&amp;$K461,日報!$L:$L)</f>
        <v>0</v>
      </c>
      <c r="O461" s="7" t="str">
        <f>"REQ"&amp;TEXT([2]RequestList!$A462,"0000")</f>
        <v>REQ21996</v>
      </c>
      <c r="P461" s="7" t="str">
        <f>[2]RequestList!$J462</f>
        <v>ナレッジビューの抽出箇所の変更</v>
      </c>
      <c r="Q461" s="65">
        <f>SUMIF(日報!$R:$R,TEXT(YEAR($Q$2),"0000")&amp;TEXT(MONTH($Q$2),"00")&amp;$O461,日報!$L:$L)</f>
        <v>0</v>
      </c>
      <c r="R461" s="65">
        <f ca="1">SUMIF(日報!$J:$J,$O461,日報!$L:$L)</f>
        <v>0</v>
      </c>
    </row>
    <row r="462" spans="10:18" x14ac:dyDescent="0.15">
      <c r="J462" s="7">
        <f>[3]業務定義!$J464</f>
        <v>0</v>
      </c>
      <c r="K462" s="7">
        <f>[3]業務定義!$A464</f>
        <v>0</v>
      </c>
      <c r="L462" s="208"/>
      <c r="M462" s="65">
        <f ca="1">SUMIF(日報!$P:$P,TEXT(YEAR($M$2),"0000")&amp;TEXT(MONTH($M$2),"00")&amp;$K462,日報!$L:$L)</f>
        <v>0</v>
      </c>
      <c r="O462" s="7" t="str">
        <f>"REQ"&amp;TEXT([2]RequestList!$A463,"0000")</f>
        <v>REQ21997</v>
      </c>
      <c r="P462" s="7" t="str">
        <f>[2]RequestList!$J463</f>
        <v>海外ユーザのJFLOWユーザ登録、ビジネスルール追加</v>
      </c>
      <c r="Q462" s="65">
        <f>SUMIF(日報!$R:$R,TEXT(YEAR($Q$2),"0000")&amp;TEXT(MONTH($Q$2),"00")&amp;$O462,日報!$L:$L)</f>
        <v>0</v>
      </c>
      <c r="R462" s="65">
        <f ca="1">SUMIF(日報!$J:$J,$O462,日報!$L:$L)</f>
        <v>0</v>
      </c>
    </row>
    <row r="463" spans="10:18" x14ac:dyDescent="0.15">
      <c r="J463" s="7">
        <f>[3]業務定義!$J465</f>
        <v>0</v>
      </c>
      <c r="K463" s="7">
        <f>[3]業務定義!$A465</f>
        <v>0</v>
      </c>
      <c r="L463" s="208"/>
      <c r="M463" s="65">
        <f ca="1">SUMIF(日報!$P:$P,TEXT(YEAR($M$2),"0000")&amp;TEXT(MONTH($M$2),"00")&amp;$K463,日報!$L:$L)</f>
        <v>0</v>
      </c>
      <c r="O463" s="7" t="str">
        <f>"REQ"&amp;TEXT([2]RequestList!$A464,"0000")</f>
        <v>REQ21998</v>
      </c>
      <c r="P463" s="7" t="str">
        <f>[2]RequestList!$J464</f>
        <v>取扱い店検索の縮尺変更依頼</v>
      </c>
      <c r="Q463" s="65">
        <f>SUMIF(日報!$R:$R,TEXT(YEAR($Q$2),"0000")&amp;TEXT(MONTH($Q$2),"00")&amp;$O463,日報!$L:$L)</f>
        <v>0</v>
      </c>
      <c r="R463" s="65">
        <f ca="1">SUMIF(日報!$J:$J,$O463,日報!$L:$L)</f>
        <v>0</v>
      </c>
    </row>
    <row r="464" spans="10:18" x14ac:dyDescent="0.15">
      <c r="J464" s="7">
        <f>[3]業務定義!$J466</f>
        <v>0</v>
      </c>
      <c r="K464" s="7">
        <f>[3]業務定義!$A466</f>
        <v>0</v>
      </c>
      <c r="L464" s="208"/>
      <c r="M464" s="65">
        <f ca="1">SUMIF(日報!$P:$P,TEXT(YEAR($M$2),"0000")&amp;TEXT(MONTH($M$2),"00")&amp;$K464,日報!$L:$L)</f>
        <v>0</v>
      </c>
      <c r="O464" s="7" t="str">
        <f>"REQ"&amp;TEXT([2]RequestList!$A465,"0000")</f>
        <v>REQ21999</v>
      </c>
      <c r="P464" s="7" t="str">
        <f>[2]RequestList!$J465</f>
        <v>Web管理ツール_ID削除</v>
      </c>
      <c r="Q464" s="65">
        <f>SUMIF(日報!$R:$R,TEXT(YEAR($Q$2),"0000")&amp;TEXT(MONTH($Q$2),"00")&amp;$O464,日報!$L:$L)</f>
        <v>0</v>
      </c>
      <c r="R464" s="65">
        <f ca="1">SUMIF(日報!$J:$J,$O464,日報!$L:$L)</f>
        <v>0</v>
      </c>
    </row>
    <row r="465" spans="10:18" x14ac:dyDescent="0.15">
      <c r="J465" s="7">
        <f>[3]業務定義!$J467</f>
        <v>0</v>
      </c>
      <c r="K465" s="7">
        <f>[3]業務定義!$A467</f>
        <v>0</v>
      </c>
      <c r="L465" s="208"/>
      <c r="M465" s="65">
        <f ca="1">SUMIF(日報!$P:$P,TEXT(YEAR($M$2),"0000")&amp;TEXT(MONTH($M$2),"00")&amp;$K465,日報!$L:$L)</f>
        <v>0</v>
      </c>
      <c r="O465" s="7" t="str">
        <f>"REQ"&amp;TEXT([2]RequestList!$A466,"0000")</f>
        <v>REQ22000</v>
      </c>
      <c r="P465" s="7" t="str">
        <f>[2]RequestList!$J466</f>
        <v>AOStoSFMCのファイルが連携されていない</v>
      </c>
      <c r="Q465" s="65">
        <f>SUMIF(日報!$R:$R,TEXT(YEAR($Q$2),"0000")&amp;TEXT(MONTH($Q$2),"00")&amp;$O465,日報!$L:$L)</f>
        <v>0</v>
      </c>
      <c r="R465" s="65">
        <f ca="1">SUMIF(日報!$J:$J,$O465,日報!$L:$L)</f>
        <v>0</v>
      </c>
    </row>
    <row r="466" spans="10:18" x14ac:dyDescent="0.15">
      <c r="J466" s="7">
        <f>[3]業務定義!$J468</f>
        <v>0</v>
      </c>
      <c r="K466" s="7">
        <f>[3]業務定義!$A468</f>
        <v>0</v>
      </c>
      <c r="L466" s="208"/>
      <c r="M466" s="65">
        <f ca="1">SUMIF(日報!$P:$P,TEXT(YEAR($M$2),"0000")&amp;TEXT(MONTH($M$2),"00")&amp;$K466,日報!$L:$L)</f>
        <v>0</v>
      </c>
      <c r="O466" s="7" t="str">
        <f>"REQ"&amp;TEXT([2]RequestList!$A467,"0000")</f>
        <v>REQ22001</v>
      </c>
      <c r="P466" s="7" t="str">
        <f>[2]RequestList!$J467</f>
        <v>COVID-19アイコンの追加</v>
      </c>
      <c r="Q466" s="65">
        <f>SUMIF(日報!$R:$R,TEXT(YEAR($Q$2),"0000")&amp;TEXT(MONTH($Q$2),"00")&amp;$O466,日報!$L:$L)</f>
        <v>0</v>
      </c>
      <c r="R466" s="65">
        <f ca="1">SUMIF(日報!$J:$J,$O466,日報!$L:$L)</f>
        <v>0</v>
      </c>
    </row>
    <row r="467" spans="10:18" x14ac:dyDescent="0.15">
      <c r="J467" s="7">
        <f>[3]業務定義!$J469</f>
        <v>0</v>
      </c>
      <c r="K467" s="7">
        <f>[3]業務定義!$A469</f>
        <v>0</v>
      </c>
      <c r="L467" s="208"/>
      <c r="M467" s="65">
        <f ca="1">SUMIF(日報!$P:$P,TEXT(YEAR($M$2),"0000")&amp;TEXT(MONTH($M$2),"00")&amp;$K467,日報!$L:$L)</f>
        <v>0</v>
      </c>
      <c r="O467" s="7" t="str">
        <f>"REQ"&amp;TEXT([2]RequestList!$A468,"0000")</f>
        <v>REQ22002</v>
      </c>
      <c r="P467" s="7" t="str">
        <f>[2]RequestList!$J468</f>
        <v>お使いのスタンドアロンPC with Win XPの調査について</v>
      </c>
      <c r="Q467" s="65">
        <f>SUMIF(日報!$R:$R,TEXT(YEAR($Q$2),"0000")&amp;TEXT(MONTH($Q$2),"00")&amp;$O467,日報!$L:$L)</f>
        <v>0</v>
      </c>
      <c r="R467" s="65">
        <f ca="1">SUMIF(日報!$J:$J,$O467,日報!$L:$L)</f>
        <v>0</v>
      </c>
    </row>
    <row r="468" spans="10:18" x14ac:dyDescent="0.15">
      <c r="J468" s="7">
        <f>[3]業務定義!$J470</f>
        <v>0</v>
      </c>
      <c r="K468" s="7">
        <f>[3]業務定義!$A470</f>
        <v>0</v>
      </c>
      <c r="L468" s="208"/>
      <c r="M468" s="65">
        <f ca="1">SUMIF(日報!$P:$P,TEXT(YEAR($M$2),"0000")&amp;TEXT(MONTH($M$2),"00")&amp;$K468,日報!$L:$L)</f>
        <v>0</v>
      </c>
      <c r="O468" s="7" t="str">
        <f>"REQ"&amp;TEXT([2]RequestList!$A469,"0000")</f>
        <v>REQ22003</v>
      </c>
      <c r="P468" s="7" t="str">
        <f>[2]RequestList!$J469</f>
        <v>J-FLOW　顧客マスタメンテナンスについて</v>
      </c>
      <c r="Q468" s="65">
        <f>SUMIF(日報!$R:$R,TEXT(YEAR($Q$2),"0000")&amp;TEXT(MONTH($Q$2),"00")&amp;$O468,日報!$L:$L)</f>
        <v>0</v>
      </c>
      <c r="R468" s="65">
        <f ca="1">SUMIF(日報!$J:$J,$O468,日報!$L:$L)</f>
        <v>0</v>
      </c>
    </row>
    <row r="469" spans="10:18" x14ac:dyDescent="0.15">
      <c r="J469" s="7">
        <f>[3]業務定義!$J471</f>
        <v>0</v>
      </c>
      <c r="K469" s="7">
        <f>[3]業務定義!$A471</f>
        <v>0</v>
      </c>
      <c r="L469" s="208"/>
      <c r="M469" s="65">
        <f ca="1">SUMIF(日報!$P:$P,TEXT(YEAR($M$2),"0000")&amp;TEXT(MONTH($M$2),"00")&amp;$K469,日報!$L:$L)</f>
        <v>0</v>
      </c>
      <c r="O469" s="7" t="str">
        <f>"REQ"&amp;TEXT([2]RequestList!$A470,"0000")</f>
        <v>REQ22004</v>
      </c>
      <c r="P469" s="7" t="str">
        <f>[2]RequestList!$J470</f>
        <v>販促物の取り下げ</v>
      </c>
      <c r="Q469" s="65">
        <f>SUMIF(日報!$R:$R,TEXT(YEAR($Q$2),"0000")&amp;TEXT(MONTH($Q$2),"00")&amp;$O469,日報!$L:$L)</f>
        <v>0</v>
      </c>
      <c r="R469" s="65">
        <f ca="1">SUMIF(日報!$J:$J,$O469,日報!$L:$L)</f>
        <v>0</v>
      </c>
    </row>
    <row r="470" spans="10:18" x14ac:dyDescent="0.15">
      <c r="J470" s="7">
        <f>[3]業務定義!$J472</f>
        <v>0</v>
      </c>
      <c r="K470" s="7">
        <f>[3]業務定義!$A472</f>
        <v>0</v>
      </c>
      <c r="L470" s="208"/>
      <c r="M470" s="65">
        <f ca="1">SUMIF(日報!$P:$P,TEXT(YEAR($M$2),"0000")&amp;TEXT(MONTH($M$2),"00")&amp;$K470,日報!$L:$L)</f>
        <v>0</v>
      </c>
      <c r="O470" s="7" t="str">
        <f>"REQ"&amp;TEXT([2]RequestList!$A471,"0000")</f>
        <v>REQ22005</v>
      </c>
      <c r="P470" s="7" t="str">
        <f>[2]RequestList!$J471</f>
        <v>定期便レポート</v>
      </c>
      <c r="Q470" s="65">
        <f>SUMIF(日報!$R:$R,TEXT(YEAR($Q$2),"0000")&amp;TEXT(MONTH($Q$2),"00")&amp;$O470,日報!$L:$L)</f>
        <v>0</v>
      </c>
      <c r="R470" s="65">
        <f ca="1">SUMIF(日報!$J:$J,$O470,日報!$L:$L)</f>
        <v>0</v>
      </c>
    </row>
    <row r="471" spans="10:18" x14ac:dyDescent="0.15">
      <c r="J471" s="7">
        <f>[3]業務定義!$J473</f>
        <v>0</v>
      </c>
      <c r="K471" s="7">
        <f>[3]業務定義!$A473</f>
        <v>0</v>
      </c>
      <c r="L471" s="208"/>
      <c r="M471" s="65">
        <f ca="1">SUMIF(日報!$P:$P,TEXT(YEAR($M$2),"0000")&amp;TEXT(MONTH($M$2),"00")&amp;$K471,日報!$L:$L)</f>
        <v>0</v>
      </c>
      <c r="O471" s="7" t="str">
        <f>"REQ"&amp;TEXT([2]RequestList!$A472,"0000")</f>
        <v>REQ22006</v>
      </c>
      <c r="P471" s="7" t="str">
        <f>[2]RequestList!$J472</f>
        <v>Contact from Cognos technical team</v>
      </c>
      <c r="Q471" s="65">
        <f>SUMIF(日報!$R:$R,TEXT(YEAR($Q$2),"0000")&amp;TEXT(MONTH($Q$2),"00")&amp;$O471,日報!$L:$L)</f>
        <v>0</v>
      </c>
      <c r="R471" s="65">
        <f ca="1">SUMIF(日報!$J:$J,$O471,日報!$L:$L)</f>
        <v>0</v>
      </c>
    </row>
    <row r="472" spans="10:18" x14ac:dyDescent="0.15">
      <c r="J472" s="7">
        <f>[3]業務定義!$J474</f>
        <v>0</v>
      </c>
      <c r="K472" s="7">
        <f>[3]業務定義!$A474</f>
        <v>0</v>
      </c>
      <c r="L472" s="208"/>
      <c r="M472" s="65">
        <f ca="1">SUMIF(日報!$P:$P,TEXT(YEAR($M$2),"0000")&amp;TEXT(MONTH($M$2),"00")&amp;$K472,日報!$L:$L)</f>
        <v>0</v>
      </c>
      <c r="O472" s="7" t="str">
        <f>"REQ"&amp;TEXT([2]RequestList!$A473,"0000")</f>
        <v>REQ22007</v>
      </c>
      <c r="P472" s="7" t="str">
        <f>[2]RequestList!$J473</f>
        <v>リダイレクト管理システムのbasic認証パスワードについて</v>
      </c>
      <c r="Q472" s="65">
        <f>SUMIF(日報!$R:$R,TEXT(YEAR($Q$2),"0000")&amp;TEXT(MONTH($Q$2),"00")&amp;$O472,日報!$L:$L)</f>
        <v>0</v>
      </c>
      <c r="R472" s="65">
        <f ca="1">SUMIF(日報!$J:$J,$O472,日報!$L:$L)</f>
        <v>0</v>
      </c>
    </row>
    <row r="473" spans="10:18" x14ac:dyDescent="0.15">
      <c r="J473" s="7">
        <f>[3]業務定義!$J475</f>
        <v>0</v>
      </c>
      <c r="K473" s="7">
        <f>[3]業務定義!$A475</f>
        <v>0</v>
      </c>
      <c r="L473" s="208"/>
      <c r="M473" s="65">
        <f ca="1">SUMIF(日報!$P:$P,TEXT(YEAR($M$2),"0000")&amp;TEXT(MONTH($M$2),"00")&amp;$K473,日報!$L:$L)</f>
        <v>0</v>
      </c>
      <c r="O473" s="7" t="str">
        <f>"REQ"&amp;TEXT([2]RequestList!$A474,"0000")</f>
        <v>REQ22008</v>
      </c>
      <c r="P473" s="7" t="str">
        <f>[2]RequestList!$J474</f>
        <v>ナレッジビュー権限の申請</v>
      </c>
      <c r="Q473" s="65">
        <f>SUMIF(日報!$R:$R,TEXT(YEAR($Q$2),"0000")&amp;TEXT(MONTH($Q$2),"00")&amp;$O473,日報!$L:$L)</f>
        <v>0</v>
      </c>
      <c r="R473" s="65">
        <f ca="1">SUMIF(日報!$J:$J,$O473,日報!$L:$L)</f>
        <v>0</v>
      </c>
    </row>
    <row r="474" spans="10:18" x14ac:dyDescent="0.15">
      <c r="J474" s="7">
        <f>[3]業務定義!$J476</f>
        <v>0</v>
      </c>
      <c r="K474" s="7">
        <f>[3]業務定義!$A476</f>
        <v>0</v>
      </c>
      <c r="L474" s="208"/>
      <c r="M474" s="65">
        <f ca="1">SUMIF(日報!$P:$P,TEXT(YEAR($M$2),"0000")&amp;TEXT(MONTH($M$2),"00")&amp;$K474,日報!$L:$L)</f>
        <v>0</v>
      </c>
      <c r="O474" s="7" t="str">
        <f>"REQ"&amp;TEXT([2]RequestList!$A475,"0000")</f>
        <v>REQ22009</v>
      </c>
      <c r="P474" s="7" t="str">
        <f>[2]RequestList!$J475</f>
        <v>Importバッチのエラーについての調査</v>
      </c>
      <c r="Q474" s="65">
        <f>SUMIF(日報!$R:$R,TEXT(YEAR($Q$2),"0000")&amp;TEXT(MONTH($Q$2),"00")&amp;$O474,日報!$L:$L)</f>
        <v>0</v>
      </c>
      <c r="R474" s="65">
        <f ca="1">SUMIF(日報!$J:$J,$O474,日報!$L:$L)</f>
        <v>0</v>
      </c>
    </row>
    <row r="475" spans="10:18" x14ac:dyDescent="0.15">
      <c r="J475" s="7">
        <f>[3]業務定義!$J477</f>
        <v>0</v>
      </c>
      <c r="K475" s="7">
        <f>[3]業務定義!$A477</f>
        <v>0</v>
      </c>
      <c r="L475" s="208"/>
      <c r="M475" s="65">
        <f ca="1">SUMIF(日報!$P:$P,TEXT(YEAR($M$2),"0000")&amp;TEXT(MONTH($M$2),"00")&amp;$K475,日報!$L:$L)</f>
        <v>0</v>
      </c>
      <c r="O475" s="7" t="str">
        <f>"REQ"&amp;TEXT([2]RequestList!$A476,"0000")</f>
        <v>REQ22010</v>
      </c>
      <c r="P475" s="7" t="str">
        <f>[2]RequestList!$J476</f>
        <v>[Incident]CustomerData未連携</v>
      </c>
      <c r="Q475" s="65">
        <f>SUMIF(日報!$R:$R,TEXT(YEAR($Q$2),"0000")&amp;TEXT(MONTH($Q$2),"00")&amp;$O475,日報!$L:$L)</f>
        <v>0</v>
      </c>
      <c r="R475" s="65">
        <f ca="1">SUMIF(日報!$J:$J,$O475,日報!$L:$L)</f>
        <v>0</v>
      </c>
    </row>
    <row r="476" spans="10:18" x14ac:dyDescent="0.15">
      <c r="J476" s="7">
        <f>[3]業務定義!$J478</f>
        <v>0</v>
      </c>
      <c r="K476" s="7">
        <f>[3]業務定義!$A478</f>
        <v>0</v>
      </c>
      <c r="L476" s="208"/>
      <c r="M476" s="65">
        <f ca="1">SUMIF(日報!$P:$P,TEXT(YEAR($M$2),"0000")&amp;TEXT(MONTH($M$2),"00")&amp;$K476,日報!$L:$L)</f>
        <v>0</v>
      </c>
      <c r="O476" s="7" t="str">
        <f>"REQ"&amp;TEXT([2]RequestList!$A477,"0000")</f>
        <v>REQ22011</v>
      </c>
      <c r="P476" s="7" t="str">
        <f>[2]RequestList!$J477</f>
        <v>[Incident]SalesData未連携</v>
      </c>
      <c r="Q476" s="65">
        <f>SUMIF(日報!$R:$R,TEXT(YEAR($Q$2),"0000")&amp;TEXT(MONTH($Q$2),"00")&amp;$O476,日報!$L:$L)</f>
        <v>0</v>
      </c>
      <c r="R476" s="65">
        <f ca="1">SUMIF(日報!$J:$J,$O476,日報!$L:$L)</f>
        <v>0</v>
      </c>
    </row>
    <row r="477" spans="10:18" x14ac:dyDescent="0.15">
      <c r="J477" s="7">
        <f>[3]業務定義!$J479</f>
        <v>0</v>
      </c>
      <c r="K477" s="7">
        <f>[3]業務定義!$A479</f>
        <v>0</v>
      </c>
      <c r="L477" s="208"/>
      <c r="M477" s="65">
        <f ca="1">SUMIF(日報!$P:$P,TEXT(YEAR($M$2),"0000")&amp;TEXT(MONTH($M$2),"00")&amp;$K477,日報!$L:$L)</f>
        <v>0</v>
      </c>
      <c r="O477" s="7" t="str">
        <f>"REQ"&amp;TEXT([2]RequestList!$A478,"0000")</f>
        <v>REQ22012</v>
      </c>
      <c r="P477" s="7" t="str">
        <f>[2]RequestList!$J478</f>
        <v>[Incident]AOSD障害による未連携Data</v>
      </c>
      <c r="Q477" s="65">
        <f>SUMIF(日報!$R:$R,TEXT(YEAR($Q$2),"0000")&amp;TEXT(MONTH($Q$2),"00")&amp;$O477,日報!$L:$L)</f>
        <v>0</v>
      </c>
      <c r="R477" s="65">
        <f ca="1">SUMIF(日報!$J:$J,$O477,日報!$L:$L)</f>
        <v>0</v>
      </c>
    </row>
    <row r="478" spans="10:18" x14ac:dyDescent="0.15">
      <c r="J478" s="7">
        <f>[3]業務定義!$J480</f>
        <v>0</v>
      </c>
      <c r="K478" s="7">
        <f>[3]業務定義!$A480</f>
        <v>0</v>
      </c>
      <c r="L478" s="208"/>
      <c r="M478" s="65">
        <f ca="1">SUMIF(日報!$P:$P,TEXT(YEAR($M$2),"0000")&amp;TEXT(MONTH($M$2),"00")&amp;$K478,日報!$L:$L)</f>
        <v>0</v>
      </c>
      <c r="O478" s="7" t="str">
        <f>"REQ"&amp;TEXT([2]RequestList!$A479,"0000")</f>
        <v>REQ22013</v>
      </c>
      <c r="P478" s="7" t="str">
        <f>[2]RequestList!$J479</f>
        <v>[Inquiry] AOSのMBOX接続先確認</v>
      </c>
      <c r="Q478" s="65">
        <f>SUMIF(日報!$R:$R,TEXT(YEAR($Q$2),"0000")&amp;TEXT(MONTH($Q$2),"00")&amp;$O478,日報!$L:$L)</f>
        <v>0</v>
      </c>
      <c r="R478" s="65">
        <f ca="1">SUMIF(日報!$J:$J,$O478,日報!$L:$L)</f>
        <v>0</v>
      </c>
    </row>
    <row r="479" spans="10:18" x14ac:dyDescent="0.15">
      <c r="J479" s="7">
        <f>[3]業務定義!$J481</f>
        <v>0</v>
      </c>
      <c r="K479" s="7">
        <f>[3]業務定義!$A481</f>
        <v>0</v>
      </c>
      <c r="L479" s="208"/>
      <c r="M479" s="65">
        <f ca="1">SUMIF(日報!$P:$P,TEXT(YEAR($M$2),"0000")&amp;TEXT(MONTH($M$2),"00")&amp;$K479,日報!$L:$L)</f>
        <v>0</v>
      </c>
      <c r="O479" s="7" t="str">
        <f>"REQ"&amp;TEXT([2]RequestList!$A480,"0000")</f>
        <v>REQ22014</v>
      </c>
      <c r="P479" s="7" t="str">
        <f>[2]RequestList!$J480</f>
        <v>[CR] BIのInterface精査</v>
      </c>
      <c r="Q479" s="65">
        <f>SUMIF(日報!$R:$R,TEXT(YEAR($Q$2),"0000")&amp;TEXT(MONTH($Q$2),"00")&amp;$O479,日報!$L:$L)</f>
        <v>0</v>
      </c>
      <c r="R479" s="65">
        <f ca="1">SUMIF(日報!$J:$J,$O479,日報!$L:$L)</f>
        <v>0</v>
      </c>
    </row>
    <row r="480" spans="10:18" x14ac:dyDescent="0.15">
      <c r="J480" s="7">
        <f>[3]業務定義!$J482</f>
        <v>0</v>
      </c>
      <c r="K480" s="7">
        <f>[3]業務定義!$A482</f>
        <v>0</v>
      </c>
      <c r="L480" s="208"/>
      <c r="M480" s="65">
        <f ca="1">SUMIF(日報!$P:$P,TEXT(YEAR($M$2),"0000")&amp;TEXT(MONTH($M$2),"00")&amp;$K480,日報!$L:$L)</f>
        <v>0</v>
      </c>
      <c r="O480" s="7" t="str">
        <f>"REQ"&amp;TEXT([2]RequestList!$A481,"0000")</f>
        <v>REQ22015</v>
      </c>
      <c r="P480" s="7" t="str">
        <f>[2]RequestList!$J481</f>
        <v>【ARS】Tele-Approachフラグ
ARSのTele-Approachフラグの選択肢を増やしてほしい</v>
      </c>
      <c r="Q480" s="65">
        <f>SUMIF(日報!$R:$R,TEXT(YEAR($Q$2),"0000")&amp;TEXT(MONTH($Q$2),"00")&amp;$O480,日報!$L:$L)</f>
        <v>0</v>
      </c>
      <c r="R480" s="65">
        <f ca="1">SUMIF(日報!$J:$J,$O480,日報!$L:$L)</f>
        <v>0</v>
      </c>
    </row>
    <row r="481" spans="10:18" x14ac:dyDescent="0.15">
      <c r="J481" s="7">
        <f>[3]業務定義!$J483</f>
        <v>0</v>
      </c>
      <c r="K481" s="7">
        <f>[3]業務定義!$A483</f>
        <v>0</v>
      </c>
      <c r="L481" s="208"/>
      <c r="M481" s="65">
        <f ca="1">SUMIF(日報!$P:$P,TEXT(YEAR($M$2),"0000")&amp;TEXT(MONTH($M$2),"00")&amp;$K481,日報!$L:$L)</f>
        <v>0</v>
      </c>
      <c r="O481" s="7" t="str">
        <f>"REQ"&amp;TEXT([2]RequestList!$A482,"0000")</f>
        <v>REQ22016</v>
      </c>
      <c r="P481" s="7" t="str">
        <f>[2]RequestList!$J482</f>
        <v>[定期便]定期便コードを登録しようとすると500エラーになる</v>
      </c>
      <c r="Q481" s="65">
        <f>SUMIF(日報!$R:$R,TEXT(YEAR($Q$2),"0000")&amp;TEXT(MONTH($Q$2),"00")&amp;$O481,日報!$L:$L)</f>
        <v>0</v>
      </c>
      <c r="R481" s="65">
        <f ca="1">SUMIF(日報!$J:$J,$O481,日報!$L:$L)</f>
        <v>0</v>
      </c>
    </row>
    <row r="482" spans="10:18" x14ac:dyDescent="0.15">
      <c r="J482" s="7">
        <f>[3]業務定義!$J484</f>
        <v>0</v>
      </c>
      <c r="K482" s="7">
        <f>[3]業務定義!$A484</f>
        <v>0</v>
      </c>
      <c r="L482" s="208"/>
      <c r="M482" s="65">
        <f ca="1">SUMIF(日報!$P:$P,TEXT(YEAR($M$2),"0000")&amp;TEXT(MONTH($M$2),"00")&amp;$K482,日報!$L:$L)</f>
        <v>0</v>
      </c>
      <c r="O482" s="7" t="str">
        <f>"REQ"&amp;TEXT([2]RequestList!$A483,"0000")</f>
        <v>REQ22017</v>
      </c>
      <c r="P482" s="7" t="str">
        <f>[2]RequestList!$J483</f>
        <v>UAT支援</v>
      </c>
      <c r="Q482" s="65">
        <f>SUMIF(日報!$R:$R,TEXT(YEAR($Q$2),"0000")&amp;TEXT(MONTH($Q$2),"00")&amp;$O482,日報!$L:$L)</f>
        <v>0</v>
      </c>
      <c r="R482" s="65">
        <f ca="1">SUMIF(日報!$J:$J,$O482,日報!$L:$L)</f>
        <v>0</v>
      </c>
    </row>
    <row r="483" spans="10:18" x14ac:dyDescent="0.15">
      <c r="J483" s="7">
        <f>[3]業務定義!$J485</f>
        <v>0</v>
      </c>
      <c r="K483" s="7">
        <f>[3]業務定義!$A485</f>
        <v>0</v>
      </c>
      <c r="L483" s="208"/>
      <c r="M483" s="65">
        <f ca="1">SUMIF(日報!$P:$P,TEXT(YEAR($M$2),"0000")&amp;TEXT(MONTH($M$2),"00")&amp;$K483,日報!$L:$L)</f>
        <v>0</v>
      </c>
      <c r="O483" s="7" t="str">
        <f>"REQ"&amp;TEXT([2]RequestList!$A484,"0000")</f>
        <v>REQ22018</v>
      </c>
      <c r="P483" s="7" t="str">
        <f>[2]RequestList!$J484</f>
        <v>イーエムエーよりI/Fファイルの未受信報告</v>
      </c>
      <c r="Q483" s="65">
        <f>SUMIF(日報!$R:$R,TEXT(YEAR($Q$2),"0000")&amp;TEXT(MONTH($Q$2),"00")&amp;$O483,日報!$L:$L)</f>
        <v>0</v>
      </c>
      <c r="R483" s="65">
        <f ca="1">SUMIF(日報!$J:$J,$O483,日報!$L:$L)</f>
        <v>0</v>
      </c>
    </row>
    <row r="484" spans="10:18" x14ac:dyDescent="0.15">
      <c r="J484" s="7">
        <f>[3]業務定義!$J486</f>
        <v>0</v>
      </c>
      <c r="K484" s="7">
        <f>[3]業務定義!$A486</f>
        <v>0</v>
      </c>
      <c r="L484" s="208"/>
      <c r="M484" s="65">
        <f ca="1">SUMIF(日報!$P:$P,TEXT(YEAR($M$2),"0000")&amp;TEXT(MONTH($M$2),"00")&amp;$K484,日報!$L:$L)</f>
        <v>0</v>
      </c>
      <c r="O484" s="7" t="str">
        <f>"REQ"&amp;TEXT([2]RequestList!$A485,"0000")</f>
        <v>REQ22019</v>
      </c>
      <c r="P484" s="7" t="str">
        <f>[2]RequestList!$J485</f>
        <v>ACUVUEコード発行</v>
      </c>
      <c r="Q484" s="65">
        <f>SUMIF(日報!$R:$R,TEXT(YEAR($Q$2),"0000")&amp;TEXT(MONTH($Q$2),"00")&amp;$O484,日報!$L:$L)</f>
        <v>0</v>
      </c>
      <c r="R484" s="65">
        <f ca="1">SUMIF(日報!$J:$J,$O484,日報!$L:$L)</f>
        <v>0</v>
      </c>
    </row>
    <row r="485" spans="10:18" x14ac:dyDescent="0.15">
      <c r="J485" s="7">
        <f>[3]業務定義!$J487</f>
        <v>0</v>
      </c>
      <c r="K485" s="7">
        <f>[3]業務定義!$A487</f>
        <v>0</v>
      </c>
      <c r="L485" s="208"/>
      <c r="M485" s="65">
        <f ca="1">SUMIF(日報!$P:$P,TEXT(YEAR($M$2),"0000")&amp;TEXT(MONTH($M$2),"00")&amp;$K485,日報!$L:$L)</f>
        <v>0</v>
      </c>
      <c r="O485" s="7" t="str">
        <f>"REQ"&amp;TEXT([2]RequestList!$A486,"0000")</f>
        <v>REQ22020</v>
      </c>
      <c r="P485" s="7" t="str">
        <f>[2]RequestList!$J486</f>
        <v>Marketing Cloud　FTP仕様変更のテスト</v>
      </c>
      <c r="Q485" s="65">
        <f>SUMIF(日報!$R:$R,TEXT(YEAR($Q$2),"0000")&amp;TEXT(MONTH($Q$2),"00")&amp;$O485,日報!$L:$L)</f>
        <v>0</v>
      </c>
      <c r="R485" s="65">
        <f ca="1">SUMIF(日報!$J:$J,$O485,日報!$L:$L)</f>
        <v>0</v>
      </c>
    </row>
    <row r="486" spans="10:18" x14ac:dyDescent="0.15">
      <c r="J486" s="7">
        <f>[3]業務定義!$J488</f>
        <v>0</v>
      </c>
      <c r="K486" s="7">
        <f>[3]業務定義!$A488</f>
        <v>0</v>
      </c>
      <c r="L486" s="208"/>
      <c r="M486" s="65">
        <f ca="1">SUMIF(日報!$P:$P,TEXT(YEAR($M$2),"0000")&amp;TEXT(MONTH($M$2),"00")&amp;$K486,日報!$L:$L)</f>
        <v>0</v>
      </c>
      <c r="O486" s="7" t="str">
        <f>"REQ"&amp;TEXT([2]RequestList!$A487,"0000")</f>
        <v>REQ22021</v>
      </c>
      <c r="P486" s="7" t="str">
        <f>[2]RequestList!$J487</f>
        <v>MyACUVUE1.0管理画面使用状況の確認</v>
      </c>
      <c r="Q486" s="65">
        <f>SUMIF(日報!$R:$R,TEXT(YEAR($Q$2),"0000")&amp;TEXT(MONTH($Q$2),"00")&amp;$O486,日報!$L:$L)</f>
        <v>0</v>
      </c>
      <c r="R486" s="65">
        <f ca="1">SUMIF(日報!$J:$J,$O486,日報!$L:$L)</f>
        <v>0</v>
      </c>
    </row>
    <row r="487" spans="10:18" x14ac:dyDescent="0.15">
      <c r="J487" s="7">
        <f>[3]業務定義!$J489</f>
        <v>0</v>
      </c>
      <c r="K487" s="7">
        <f>[3]業務定義!$A489</f>
        <v>0</v>
      </c>
      <c r="L487" s="208"/>
      <c r="M487" s="65">
        <f ca="1">SUMIF(日報!$P:$P,TEXT(YEAR($M$2),"0000")&amp;TEXT(MONTH($M$2),"00")&amp;$K487,日報!$L:$L)</f>
        <v>0</v>
      </c>
      <c r="O487" s="7" t="str">
        <f>"REQ"&amp;TEXT([2]RequestList!$A488,"0000")</f>
        <v>REQ22022</v>
      </c>
      <c r="P487" s="7" t="str">
        <f>[2]RequestList!$J488</f>
        <v>アキュビューQA機外部ベンダーアクセスアカウントのパスワード変更</v>
      </c>
      <c r="Q487" s="65">
        <f>SUMIF(日報!$R:$R,TEXT(YEAR($Q$2),"0000")&amp;TEXT(MONTH($Q$2),"00")&amp;$O487,日報!$L:$L)</f>
        <v>0</v>
      </c>
      <c r="R487" s="65">
        <f ca="1">SUMIF(日報!$J:$J,$O487,日報!$L:$L)</f>
        <v>0</v>
      </c>
    </row>
    <row r="488" spans="10:18" x14ac:dyDescent="0.15">
      <c r="J488" s="7">
        <f>[3]業務定義!$J490</f>
        <v>0</v>
      </c>
      <c r="K488" s="7">
        <f>[3]業務定義!$A490</f>
        <v>0</v>
      </c>
      <c r="L488" s="208"/>
      <c r="M488" s="65">
        <f ca="1">SUMIF(日報!$P:$P,TEXT(YEAR($M$2),"0000")&amp;TEXT(MONTH($M$2),"00")&amp;$K488,日報!$L:$L)</f>
        <v>0</v>
      </c>
      <c r="O488" s="7" t="str">
        <f>"REQ"&amp;TEXT([2]RequestList!$A489,"0000")</f>
        <v>REQ22023</v>
      </c>
      <c r="P488" s="7" t="str">
        <f>[2]RequestList!$J489</f>
        <v>MA+のロットマスタ取り込み失敗について</v>
      </c>
      <c r="Q488" s="65">
        <f>SUMIF(日報!$R:$R,TEXT(YEAR($Q$2),"0000")&amp;TEXT(MONTH($Q$2),"00")&amp;$O488,日報!$L:$L)</f>
        <v>0</v>
      </c>
      <c r="R488" s="65">
        <f ca="1">SUMIF(日報!$J:$J,$O488,日報!$L:$L)</f>
        <v>0</v>
      </c>
    </row>
    <row r="489" spans="10:18" x14ac:dyDescent="0.15">
      <c r="J489" s="7">
        <f>[3]業務定義!$J491</f>
        <v>0</v>
      </c>
      <c r="K489" s="7">
        <f>[3]業務定義!$A491</f>
        <v>0</v>
      </c>
      <c r="L489" s="208"/>
      <c r="M489" s="65">
        <f ca="1">SUMIF(日報!$P:$P,TEXT(YEAR($M$2),"0000")&amp;TEXT(MONTH($M$2),"00")&amp;$K489,日報!$L:$L)</f>
        <v>0</v>
      </c>
      <c r="O489" s="7" t="str">
        <f>"REQ"&amp;TEXT([2]RequestList!$A490,"0000")</f>
        <v>REQ22024</v>
      </c>
      <c r="P489" s="7" t="str">
        <f>[2]RequestList!$J490</f>
        <v>データ抽出依頼</v>
      </c>
      <c r="Q489" s="65">
        <f>SUMIF(日報!$R:$R,TEXT(YEAR($Q$2),"0000")&amp;TEXT(MONTH($Q$2),"00")&amp;$O489,日報!$L:$L)</f>
        <v>0</v>
      </c>
      <c r="R489" s="65">
        <f ca="1">SUMIF(日報!$J:$J,$O489,日報!$L:$L)</f>
        <v>0</v>
      </c>
    </row>
    <row r="490" spans="10:18" x14ac:dyDescent="0.15">
      <c r="J490" s="7">
        <f>[3]業務定義!$J492</f>
        <v>0</v>
      </c>
      <c r="K490" s="7">
        <f>[3]業務定義!$A492</f>
        <v>0</v>
      </c>
      <c r="L490" s="208"/>
      <c r="M490" s="65">
        <f ca="1">SUMIF(日報!$P:$P,TEXT(YEAR($M$2),"0000")&amp;TEXT(MONTH($M$2),"00")&amp;$K490,日報!$L:$L)</f>
        <v>0</v>
      </c>
      <c r="O490" s="7" t="str">
        <f>"REQ"&amp;TEXT([2]RequestList!$A491,"0000")</f>
        <v>REQ22025</v>
      </c>
      <c r="P490" s="7" t="str">
        <f>[2]RequestList!$J491</f>
        <v>データ抽出依頼</v>
      </c>
      <c r="Q490" s="65">
        <f>SUMIF(日報!$R:$R,TEXT(YEAR($Q$2),"0000")&amp;TEXT(MONTH($Q$2),"00")&amp;$O490,日報!$L:$L)</f>
        <v>0</v>
      </c>
      <c r="R490" s="65">
        <f ca="1">SUMIF(日報!$J:$J,$O490,日報!$L:$L)</f>
        <v>0</v>
      </c>
    </row>
    <row r="491" spans="10:18" x14ac:dyDescent="0.15">
      <c r="J491" s="7">
        <f>[3]業務定義!$J493</f>
        <v>0</v>
      </c>
      <c r="K491" s="7">
        <f>[3]業務定義!$A493</f>
        <v>0</v>
      </c>
      <c r="L491" s="208"/>
      <c r="M491" s="65">
        <f ca="1">SUMIF(日報!$P:$P,TEXT(YEAR($M$2),"0000")&amp;TEXT(MONTH($M$2),"00")&amp;$K491,日報!$L:$L)</f>
        <v>0</v>
      </c>
      <c r="O491" s="7" t="str">
        <f>"REQ"&amp;TEXT([2]RequestList!$A492,"0000")</f>
        <v>REQ22026</v>
      </c>
      <c r="P491" s="7" t="str">
        <f>[2]RequestList!$J492</f>
        <v>[定期便]BI向けレポート不備</v>
      </c>
      <c r="Q491" s="65">
        <f>SUMIF(日報!$R:$R,TEXT(YEAR($Q$2),"0000")&amp;TEXT(MONTH($Q$2),"00")&amp;$O491,日報!$L:$L)</f>
        <v>0</v>
      </c>
      <c r="R491" s="65">
        <f ca="1">SUMIF(日報!$J:$J,$O491,日報!$L:$L)</f>
        <v>0</v>
      </c>
    </row>
    <row r="492" spans="10:18" x14ac:dyDescent="0.15">
      <c r="J492" s="7">
        <f>[3]業務定義!$J494</f>
        <v>0</v>
      </c>
      <c r="K492" s="7">
        <f>[3]業務定義!$A494</f>
        <v>0</v>
      </c>
      <c r="L492" s="208"/>
      <c r="M492" s="65">
        <f ca="1">SUMIF(日報!$P:$P,TEXT(YEAR($M$2),"0000")&amp;TEXT(MONTH($M$2),"00")&amp;$K492,日報!$L:$L)</f>
        <v>0</v>
      </c>
      <c r="O492" s="7" t="str">
        <f>"REQ"&amp;TEXT([2]RequestList!$A493,"0000")</f>
        <v>REQ22027</v>
      </c>
      <c r="P492" s="7" t="str">
        <f>[2]RequestList!$J493</f>
        <v>[定期便]BI向けレポート不備</v>
      </c>
      <c r="Q492" s="65">
        <f>SUMIF(日報!$R:$R,TEXT(YEAR($Q$2),"0000")&amp;TEXT(MONTH($Q$2),"00")&amp;$O492,日報!$L:$L)</f>
        <v>0</v>
      </c>
      <c r="R492" s="65">
        <f ca="1">SUMIF(日報!$J:$J,$O492,日報!$L:$L)</f>
        <v>0</v>
      </c>
    </row>
    <row r="493" spans="10:18" x14ac:dyDescent="0.15">
      <c r="J493" s="7">
        <f>[3]業務定義!$J495</f>
        <v>0</v>
      </c>
      <c r="K493" s="7">
        <f>[3]業務定義!$A495</f>
        <v>0</v>
      </c>
      <c r="L493" s="208"/>
      <c r="M493" s="65">
        <f ca="1">SUMIF(日報!$P:$P,TEXT(YEAR($M$2),"0000")&amp;TEXT(MONTH($M$2),"00")&amp;$K493,日報!$L:$L)</f>
        <v>0</v>
      </c>
      <c r="O493" s="7" t="str">
        <f>"REQ"&amp;TEXT([2]RequestList!$A494,"0000")</f>
        <v>REQ22028</v>
      </c>
      <c r="P493" s="7" t="str">
        <f>[2]RequestList!$J494</f>
        <v>[SR]AOSデータ抽出</v>
      </c>
      <c r="Q493" s="65">
        <f>SUMIF(日報!$R:$R,TEXT(YEAR($Q$2),"0000")&amp;TEXT(MONTH($Q$2),"00")&amp;$O493,日報!$L:$L)</f>
        <v>0</v>
      </c>
      <c r="R493" s="65">
        <f ca="1">SUMIF(日報!$J:$J,$O493,日報!$L:$L)</f>
        <v>0</v>
      </c>
    </row>
    <row r="494" spans="10:18" x14ac:dyDescent="0.15">
      <c r="J494" s="7">
        <f>[3]業務定義!$J496</f>
        <v>0</v>
      </c>
      <c r="K494" s="7">
        <f>[3]業務定義!$A496</f>
        <v>0</v>
      </c>
      <c r="L494" s="208"/>
      <c r="M494" s="65">
        <f ca="1">SUMIF(日報!$P:$P,TEXT(YEAR($M$2),"0000")&amp;TEXT(MONTH($M$2),"00")&amp;$K494,日報!$L:$L)</f>
        <v>0</v>
      </c>
      <c r="O494" s="7" t="str">
        <f>"REQ"&amp;TEXT([2]RequestList!$A495,"0000")</f>
        <v>REQ22029</v>
      </c>
      <c r="P494" s="7" t="str">
        <f>[2]RequestList!$J495</f>
        <v>AMO J-Flow新規WorkFlow開発サポート</v>
      </c>
      <c r="Q494" s="65">
        <f>SUMIF(日報!$R:$R,TEXT(YEAR($Q$2),"0000")&amp;TEXT(MONTH($Q$2),"00")&amp;$O494,日報!$L:$L)</f>
        <v>0</v>
      </c>
      <c r="R494" s="65">
        <f ca="1">SUMIF(日報!$J:$J,$O494,日報!$L:$L)</f>
        <v>0</v>
      </c>
    </row>
    <row r="495" spans="10:18" x14ac:dyDescent="0.15">
      <c r="J495" s="7">
        <f>[3]業務定義!$J497</f>
        <v>0</v>
      </c>
      <c r="K495" s="7">
        <f>[3]業務定義!$A497</f>
        <v>0</v>
      </c>
      <c r="L495" s="208"/>
      <c r="M495" s="65">
        <f ca="1">SUMIF(日報!$P:$P,TEXT(YEAR($M$2),"0000")&amp;TEXT(MONTH($M$2),"00")&amp;$K495,日報!$L:$L)</f>
        <v>0</v>
      </c>
      <c r="O495" s="7" t="str">
        <f>"REQ"&amp;TEXT([2]RequestList!$A496,"0000")</f>
        <v>REQ22030</v>
      </c>
      <c r="P495" s="7" t="str">
        <f>[2]RequestList!$J496</f>
        <v>[Incident] SUBS_DETAILデータ未連携</v>
      </c>
      <c r="Q495" s="65">
        <f>SUMIF(日報!$R:$R,TEXT(YEAR($Q$2),"0000")&amp;TEXT(MONTH($Q$2),"00")&amp;$O495,日報!$L:$L)</f>
        <v>0</v>
      </c>
      <c r="R495" s="65">
        <f ca="1">SUMIF(日報!$J:$J,$O495,日報!$L:$L)</f>
        <v>0</v>
      </c>
    </row>
    <row r="496" spans="10:18" x14ac:dyDescent="0.15">
      <c r="J496" s="7">
        <f>[3]業務定義!$J498</f>
        <v>0</v>
      </c>
      <c r="K496" s="7">
        <f>[3]業務定義!$A498</f>
        <v>0</v>
      </c>
      <c r="L496" s="208"/>
      <c r="M496" s="65">
        <f ca="1">SUMIF(日報!$P:$P,TEXT(YEAR($M$2),"0000")&amp;TEXT(MONTH($M$2),"00")&amp;$K496,日報!$L:$L)</f>
        <v>0</v>
      </c>
      <c r="O496" s="7" t="str">
        <f>"REQ"&amp;TEXT([2]RequestList!$A497,"0000")</f>
        <v>REQ22031</v>
      </c>
      <c r="P496" s="7" t="str">
        <f>[2]RequestList!$J497</f>
        <v>バッチテストデータ</v>
      </c>
      <c r="Q496" s="65">
        <f>SUMIF(日報!$R:$R,TEXT(YEAR($Q$2),"0000")&amp;TEXT(MONTH($Q$2),"00")&amp;$O496,日報!$L:$L)</f>
        <v>0</v>
      </c>
      <c r="R496" s="65">
        <f ca="1">SUMIF(日報!$J:$J,$O496,日報!$L:$L)</f>
        <v>0</v>
      </c>
    </row>
    <row r="497" spans="10:18" x14ac:dyDescent="0.15">
      <c r="J497" s="7">
        <f>[3]業務定義!$J499</f>
        <v>0</v>
      </c>
      <c r="K497" s="7">
        <f>[3]業務定義!$A499</f>
        <v>0</v>
      </c>
      <c r="L497" s="208"/>
      <c r="M497" s="65">
        <f ca="1">SUMIF(日報!$P:$P,TEXT(YEAR($M$2),"0000")&amp;TEXT(MONTH($M$2),"00")&amp;$K497,日報!$L:$L)</f>
        <v>0</v>
      </c>
      <c r="O497" s="7" t="str">
        <f>"REQ"&amp;TEXT([2]RequestList!$A498,"0000")</f>
        <v>REQ22032</v>
      </c>
      <c r="P497" s="7" t="str">
        <f>[2]RequestList!$J498</f>
        <v>Eproの請求データやロット番号等の表示について</v>
      </c>
      <c r="Q497" s="65">
        <f>SUMIF(日報!$R:$R,TEXT(YEAR($Q$2),"0000")&amp;TEXT(MONTH($Q$2),"00")&amp;$O497,日報!$L:$L)</f>
        <v>0</v>
      </c>
      <c r="R497" s="65">
        <f ca="1">SUMIF(日報!$J:$J,$O497,日報!$L:$L)</f>
        <v>0</v>
      </c>
    </row>
    <row r="498" spans="10:18" x14ac:dyDescent="0.15">
      <c r="J498" s="7">
        <f>[3]業務定義!$J500</f>
        <v>0</v>
      </c>
      <c r="K498" s="7">
        <f>[3]業務定義!$A500</f>
        <v>0</v>
      </c>
      <c r="L498" s="208"/>
      <c r="M498" s="65">
        <f ca="1">SUMIF(日報!$P:$P,TEXT(YEAR($M$2),"0000")&amp;TEXT(MONTH($M$2),"00")&amp;$K498,日報!$L:$L)</f>
        <v>0</v>
      </c>
      <c r="O498" s="7" t="str">
        <f>"REQ"&amp;TEXT([2]RequestList!$A499,"0000")</f>
        <v>REQ22033</v>
      </c>
      <c r="P498" s="7" t="str">
        <f>[2]RequestList!$J499</f>
        <v>[定期便]UAT支援</v>
      </c>
      <c r="Q498" s="65">
        <f>SUMIF(日報!$R:$R,TEXT(YEAR($Q$2),"0000")&amp;TEXT(MONTH($Q$2),"00")&amp;$O498,日報!$L:$L)</f>
        <v>0</v>
      </c>
      <c r="R498" s="65">
        <f ca="1">SUMIF(日報!$J:$J,$O498,日報!$L:$L)</f>
        <v>0</v>
      </c>
    </row>
    <row r="499" spans="10:18" x14ac:dyDescent="0.15">
      <c r="J499" s="7">
        <f>[3]業務定義!$J501</f>
        <v>0</v>
      </c>
      <c r="K499" s="7">
        <f>[3]業務定義!$A501</f>
        <v>0</v>
      </c>
      <c r="L499" s="208"/>
      <c r="M499" s="65">
        <f ca="1">SUMIF(日報!$P:$P,TEXT(YEAR($M$2),"0000")&amp;TEXT(MONTH($M$2),"00")&amp;$K499,日報!$L:$L)</f>
        <v>0</v>
      </c>
      <c r="O499" s="7" t="str">
        <f>"REQ"&amp;TEXT([2]RequestList!$A500,"0000")</f>
        <v>REQ22034</v>
      </c>
      <c r="P499" s="7" t="str">
        <f>[2]RequestList!$J500</f>
        <v>Eagle マンスリーデータについて</v>
      </c>
      <c r="Q499" s="65">
        <f>SUMIF(日報!$R:$R,TEXT(YEAR($Q$2),"0000")&amp;TEXT(MONTH($Q$2),"00")&amp;$O499,日報!$L:$L)</f>
        <v>0</v>
      </c>
      <c r="R499" s="65">
        <f ca="1">SUMIF(日報!$J:$J,$O499,日報!$L:$L)</f>
        <v>0</v>
      </c>
    </row>
    <row r="500" spans="10:18" x14ac:dyDescent="0.15">
      <c r="J500" s="7">
        <f>[3]業務定義!$J502</f>
        <v>0</v>
      </c>
      <c r="K500" s="7">
        <f>[3]業務定義!$A502</f>
        <v>0</v>
      </c>
      <c r="L500" s="208"/>
      <c r="M500" s="65">
        <f ca="1">SUMIF(日報!$P:$P,TEXT(YEAR($M$2),"0000")&amp;TEXT(MONTH($M$2),"00")&amp;$K500,日報!$L:$L)</f>
        <v>0</v>
      </c>
      <c r="O500" s="7" t="str">
        <f>"REQ"&amp;TEXT([2]RequestList!$A501,"0000")</f>
        <v>REQ22035</v>
      </c>
      <c r="P500" s="7" t="str">
        <f>[2]RequestList!$J501</f>
        <v>ネコポス対応について</v>
      </c>
      <c r="Q500" s="65">
        <f>SUMIF(日報!$R:$R,TEXT(YEAR($Q$2),"0000")&amp;TEXT(MONTH($Q$2),"00")&amp;$O500,日報!$L:$L)</f>
        <v>0</v>
      </c>
      <c r="R500" s="65">
        <f ca="1">SUMIF(日報!$J:$J,$O500,日報!$L:$L)</f>
        <v>0</v>
      </c>
    </row>
    <row r="501" spans="10:18" x14ac:dyDescent="0.15">
      <c r="J501" s="7">
        <f>[3]業務定義!$J503</f>
        <v>0</v>
      </c>
      <c r="K501" s="7">
        <f>[3]業務定義!$A503</f>
        <v>0</v>
      </c>
      <c r="L501" s="208"/>
      <c r="M501" s="65">
        <f ca="1">SUMIF(日報!$P:$P,TEXT(YEAR($M$2),"0000")&amp;TEXT(MONTH($M$2),"00")&amp;$K501,日報!$L:$L)</f>
        <v>0</v>
      </c>
      <c r="O501" s="7" t="str">
        <f>"REQ"&amp;TEXT([2]RequestList!$A502,"0000")</f>
        <v>REQ22036</v>
      </c>
      <c r="P501" s="7" t="str">
        <f>[2]RequestList!$J502</f>
        <v>[Inquiry]AOSのIFファイルのS3格納場所の確認</v>
      </c>
      <c r="Q501" s="65">
        <f>SUMIF(日報!$R:$R,TEXT(YEAR($Q$2),"0000")&amp;TEXT(MONTH($Q$2),"00")&amp;$O501,日報!$L:$L)</f>
        <v>0</v>
      </c>
      <c r="R501" s="65">
        <f ca="1">SUMIF(日報!$J:$J,$O501,日報!$L:$L)</f>
        <v>0</v>
      </c>
    </row>
    <row r="502" spans="10:18" x14ac:dyDescent="0.15">
      <c r="J502" s="7">
        <f>[3]業務定義!$J504</f>
        <v>0</v>
      </c>
      <c r="K502" s="7">
        <f>[3]業務定義!$A504</f>
        <v>0</v>
      </c>
      <c r="L502" s="208"/>
      <c r="M502" s="65">
        <f ca="1">SUMIF(日報!$P:$P,TEXT(YEAR($M$2),"0000")&amp;TEXT(MONTH($M$2),"00")&amp;$K502,日報!$L:$L)</f>
        <v>0</v>
      </c>
      <c r="O502" s="7" t="str">
        <f>"REQ"&amp;TEXT([2]RequestList!$A503,"0000")</f>
        <v>REQ22037</v>
      </c>
      <c r="P502" s="7" t="str">
        <f>[2]RequestList!$J503</f>
        <v>[Incident] SUBS_DETAILデータ未連携</v>
      </c>
      <c r="Q502" s="65">
        <f>SUMIF(日報!$R:$R,TEXT(YEAR($Q$2),"0000")&amp;TEXT(MONTH($Q$2),"00")&amp;$O502,日報!$L:$L)</f>
        <v>0</v>
      </c>
      <c r="R502" s="65">
        <f ca="1">SUMIF(日報!$J:$J,$O502,日報!$L:$L)</f>
        <v>0</v>
      </c>
    </row>
    <row r="503" spans="10:18" x14ac:dyDescent="0.15">
      <c r="J503" s="7">
        <f>[3]業務定義!$J505</f>
        <v>0</v>
      </c>
      <c r="K503" s="7">
        <f>[3]業務定義!$A505</f>
        <v>0</v>
      </c>
      <c r="L503" s="208"/>
      <c r="M503" s="65">
        <f ca="1">SUMIF(日報!$P:$P,TEXT(YEAR($M$2),"0000")&amp;TEXT(MONTH($M$2),"00")&amp;$K503,日報!$L:$L)</f>
        <v>0</v>
      </c>
      <c r="O503" s="7" t="str">
        <f>"REQ"&amp;TEXT([2]RequestList!$A504,"0000")</f>
        <v>REQ22038</v>
      </c>
      <c r="P503" s="7" t="str">
        <f>[2]RequestList!$J504</f>
        <v>[Incident] FSMCIFファイル未作成</v>
      </c>
      <c r="Q503" s="65">
        <f>SUMIF(日報!$R:$R,TEXT(YEAR($Q$2),"0000")&amp;TEXT(MONTH($Q$2),"00")&amp;$O503,日報!$L:$L)</f>
        <v>0</v>
      </c>
      <c r="R503" s="65">
        <f ca="1">SUMIF(日報!$J:$J,$O503,日報!$L:$L)</f>
        <v>0</v>
      </c>
    </row>
    <row r="504" spans="10:18" x14ac:dyDescent="0.15">
      <c r="J504" s="7">
        <f>[3]業務定義!$J506</f>
        <v>0</v>
      </c>
      <c r="K504" s="7">
        <f>[3]業務定義!$A506</f>
        <v>0</v>
      </c>
      <c r="L504" s="208"/>
      <c r="M504" s="65">
        <f ca="1">SUMIF(日報!$P:$P,TEXT(YEAR($M$2),"0000")&amp;TEXT(MONTH($M$2),"00")&amp;$K504,日報!$L:$L)</f>
        <v>0</v>
      </c>
      <c r="O504" s="7" t="str">
        <f>"REQ"&amp;TEXT([2]RequestList!$A505,"0000")</f>
        <v>REQ22039</v>
      </c>
      <c r="P504" s="7" t="str">
        <f>[2]RequestList!$J505</f>
        <v>Appsflyer Data Locker対応</v>
      </c>
      <c r="Q504" s="65">
        <f>SUMIF(日報!$R:$R,TEXT(YEAR($Q$2),"0000")&amp;TEXT(MONTH($Q$2),"00")&amp;$O504,日報!$L:$L)</f>
        <v>0</v>
      </c>
      <c r="R504" s="65">
        <f ca="1">SUMIF(日報!$J:$J,$O504,日報!$L:$L)</f>
        <v>0</v>
      </c>
    </row>
    <row r="505" spans="10:18" x14ac:dyDescent="0.15">
      <c r="J505" s="7">
        <f>[3]業務定義!$J507</f>
        <v>0</v>
      </c>
      <c r="K505" s="7">
        <f>[3]業務定義!$A507</f>
        <v>0</v>
      </c>
      <c r="L505" s="208"/>
      <c r="M505" s="65">
        <f ca="1">SUMIF(日報!$P:$P,TEXT(YEAR($M$2),"0000")&amp;TEXT(MONTH($M$2),"00")&amp;$K505,日報!$L:$L)</f>
        <v>0</v>
      </c>
      <c r="O505" s="7" t="str">
        <f>"REQ"&amp;TEXT([2]RequestList!$A506,"0000")</f>
        <v>REQ22040</v>
      </c>
      <c r="P505" s="7" t="str">
        <f>[2]RequestList!$J506</f>
        <v>ETL処理一覧の作成</v>
      </c>
      <c r="Q505" s="65">
        <f>SUMIF(日報!$R:$R,TEXT(YEAR($Q$2),"0000")&amp;TEXT(MONTH($Q$2),"00")&amp;$O505,日報!$L:$L)</f>
        <v>0</v>
      </c>
      <c r="R505" s="65">
        <f ca="1">SUMIF(日報!$J:$J,$O505,日報!$L:$L)</f>
        <v>0</v>
      </c>
    </row>
    <row r="506" spans="10:18" x14ac:dyDescent="0.15">
      <c r="J506" s="7">
        <f>[3]業務定義!$J508</f>
        <v>0</v>
      </c>
      <c r="K506" s="7">
        <f>[3]業務定義!$A508</f>
        <v>0</v>
      </c>
      <c r="L506" s="208"/>
      <c r="M506" s="65">
        <f ca="1">SUMIF(日報!$P:$P,TEXT(YEAR($M$2),"0000")&amp;TEXT(MONTH($M$2),"00")&amp;$K506,日報!$L:$L)</f>
        <v>0</v>
      </c>
      <c r="O506" s="7" t="str">
        <f>"REQ"&amp;TEXT([2]RequestList!$A507,"0000")</f>
        <v>REQ22041</v>
      </c>
      <c r="P506" s="7" t="str">
        <f>[2]RequestList!$J507</f>
        <v>[Incident] Acquire_user_Target未取込</v>
      </c>
      <c r="Q506" s="65">
        <f>SUMIF(日報!$R:$R,TEXT(YEAR($Q$2),"0000")&amp;TEXT(MONTH($Q$2),"00")&amp;$O506,日報!$L:$L)</f>
        <v>0</v>
      </c>
      <c r="R506" s="65">
        <f ca="1">SUMIF(日報!$J:$J,$O506,日報!$L:$L)</f>
        <v>0</v>
      </c>
    </row>
    <row r="507" spans="10:18" x14ac:dyDescent="0.15">
      <c r="J507" s="7">
        <f>[3]業務定義!$J509</f>
        <v>0</v>
      </c>
      <c r="K507" s="7">
        <f>[3]業務定義!$A509</f>
        <v>0</v>
      </c>
      <c r="L507" s="208"/>
      <c r="M507" s="65">
        <f ca="1">SUMIF(日報!$P:$P,TEXT(YEAR($M$2),"0000")&amp;TEXT(MONTH($M$2),"00")&amp;$K507,日報!$L:$L)</f>
        <v>0</v>
      </c>
      <c r="O507" s="7" t="str">
        <f>"REQ"&amp;TEXT([2]RequestList!$A508,"0000")</f>
        <v>REQ22042</v>
      </c>
      <c r="P507" s="7" t="str">
        <f>[2]RequestList!$J508</f>
        <v>[SR] カレンダーマスター作成</v>
      </c>
      <c r="Q507" s="65">
        <f>SUMIF(日報!$R:$R,TEXT(YEAR($Q$2),"0000")&amp;TEXT(MONTH($Q$2),"00")&amp;$O507,日報!$L:$L)</f>
        <v>0</v>
      </c>
      <c r="R507" s="65">
        <f ca="1">SUMIF(日報!$J:$J,$O507,日報!$L:$L)</f>
        <v>0</v>
      </c>
    </row>
    <row r="508" spans="10:18" x14ac:dyDescent="0.15">
      <c r="J508" s="7">
        <f>[3]業務定義!$J510</f>
        <v>0</v>
      </c>
      <c r="K508" s="7">
        <f>[3]業務定義!$A510</f>
        <v>0</v>
      </c>
      <c r="L508" s="208"/>
      <c r="M508" s="65">
        <f ca="1">SUMIF(日報!$P:$P,TEXT(YEAR($M$2),"0000")&amp;TEXT(MONTH($M$2),"00")&amp;$K508,日報!$L:$L)</f>
        <v>0</v>
      </c>
      <c r="O508" s="7" t="str">
        <f>"REQ"&amp;TEXT([2]RequestList!$A509,"0000")</f>
        <v>REQ22043</v>
      </c>
      <c r="P508" s="7" t="str">
        <f>[2]RequestList!$J509</f>
        <v>WM2ARS_CSTMSバッチのImportエラー</v>
      </c>
      <c r="Q508" s="65">
        <f>SUMIF(日報!$R:$R,TEXT(YEAR($Q$2),"0000")&amp;TEXT(MONTH($Q$2),"00")&amp;$O508,日報!$L:$L)</f>
        <v>0</v>
      </c>
      <c r="R508" s="65">
        <f ca="1">SUMIF(日報!$J:$J,$O508,日報!$L:$L)</f>
        <v>0</v>
      </c>
    </row>
    <row r="509" spans="10:18" x14ac:dyDescent="0.15">
      <c r="J509" s="7">
        <f>[3]業務定義!$J511</f>
        <v>0</v>
      </c>
      <c r="K509" s="7">
        <f>[3]業務定義!$A511</f>
        <v>0</v>
      </c>
      <c r="L509" s="208"/>
      <c r="M509" s="65">
        <f ca="1">SUMIF(日報!$P:$P,TEXT(YEAR($M$2),"0000")&amp;TEXT(MONTH($M$2),"00")&amp;$K509,日報!$L:$L)</f>
        <v>0</v>
      </c>
      <c r="O509" s="7" t="str">
        <f>"REQ"&amp;TEXT([2]RequestList!$A510,"0000")</f>
        <v>REQ22044</v>
      </c>
      <c r="P509" s="7" t="str">
        <f>[2]RequestList!$J510</f>
        <v>Incentiv連携監視</v>
      </c>
      <c r="Q509" s="65">
        <f>SUMIF(日報!$R:$R,TEXT(YEAR($Q$2),"0000")&amp;TEXT(MONTH($Q$2),"00")&amp;$O509,日報!$L:$L)</f>
        <v>0</v>
      </c>
      <c r="R509" s="65">
        <f ca="1">SUMIF(日報!$J:$J,$O509,日報!$L:$L)</f>
        <v>0</v>
      </c>
    </row>
    <row r="510" spans="10:18" x14ac:dyDescent="0.15">
      <c r="J510" s="7">
        <f>[3]業務定義!$J512</f>
        <v>0</v>
      </c>
      <c r="K510" s="7">
        <f>[3]業務定義!$A512</f>
        <v>0</v>
      </c>
      <c r="L510" s="208"/>
      <c r="M510" s="65">
        <f ca="1">SUMIF(日報!$P:$P,TEXT(YEAR($M$2),"0000")&amp;TEXT(MONTH($M$2),"00")&amp;$K510,日報!$L:$L)</f>
        <v>0</v>
      </c>
      <c r="O510" s="7" t="str">
        <f>"REQ"&amp;TEXT([2]RequestList!$A511,"0000")</f>
        <v>REQ22045</v>
      </c>
      <c r="P510" s="7" t="str">
        <f>[2]RequestList!$J511</f>
        <v>MBOX操作手順書更新</v>
      </c>
      <c r="Q510" s="65">
        <f>SUMIF(日報!$R:$R,TEXT(YEAR($Q$2),"0000")&amp;TEXT(MONTH($Q$2),"00")&amp;$O510,日報!$L:$L)</f>
        <v>0</v>
      </c>
      <c r="R510" s="65">
        <f ca="1">SUMIF(日報!$J:$J,$O510,日報!$L:$L)</f>
        <v>0</v>
      </c>
    </row>
    <row r="511" spans="10:18" x14ac:dyDescent="0.15">
      <c r="J511" s="7">
        <f>[3]業務定義!$J513</f>
        <v>0</v>
      </c>
      <c r="K511" s="7">
        <f>[3]業務定義!$A513</f>
        <v>0</v>
      </c>
      <c r="L511" s="208"/>
      <c r="M511" s="65">
        <f ca="1">SUMIF(日報!$P:$P,TEXT(YEAR($M$2),"0000")&amp;TEXT(MONTH($M$2),"00")&amp;$K511,日報!$L:$L)</f>
        <v>0</v>
      </c>
      <c r="O511" s="7" t="str">
        <f>"REQ"&amp;TEXT([2]RequestList!$A512,"0000")</f>
        <v>REQ22046</v>
      </c>
      <c r="P511" s="7" t="str">
        <f>[2]RequestList!$J512</f>
        <v>[定期便] ID・PWの自動登録について</v>
      </c>
      <c r="Q511" s="65">
        <f>SUMIF(日報!$R:$R,TEXT(YEAR($Q$2),"0000")&amp;TEXT(MONTH($Q$2),"00")&amp;$O511,日報!$L:$L)</f>
        <v>0</v>
      </c>
      <c r="R511" s="65">
        <f ca="1">SUMIF(日報!$J:$J,$O511,日報!$L:$L)</f>
        <v>0</v>
      </c>
    </row>
    <row r="512" spans="10:18" x14ac:dyDescent="0.15">
      <c r="J512" s="7">
        <f>[3]業務定義!$J514</f>
        <v>0</v>
      </c>
      <c r="K512" s="7">
        <f>[3]業務定義!$A514</f>
        <v>0</v>
      </c>
      <c r="L512" s="208"/>
      <c r="M512" s="65">
        <f ca="1">SUMIF(日報!$P:$P,TEXT(YEAR($M$2),"0000")&amp;TEXT(MONTH($M$2),"00")&amp;$K512,日報!$L:$L)</f>
        <v>0</v>
      </c>
      <c r="O512" s="7" t="str">
        <f>"REQ"&amp;TEXT([2]RequestList!$A513,"0000")</f>
        <v>REQ22047</v>
      </c>
      <c r="P512" s="7" t="str">
        <f>[2]RequestList!$J513</f>
        <v>アキュビューユーザーガイドブックの差し替え</v>
      </c>
      <c r="Q512" s="65">
        <f>SUMIF(日報!$R:$R,TEXT(YEAR($Q$2),"0000")&amp;TEXT(MONTH($Q$2),"00")&amp;$O512,日報!$L:$L)</f>
        <v>0</v>
      </c>
      <c r="R512" s="65">
        <f ca="1">SUMIF(日報!$J:$J,$O512,日報!$L:$L)</f>
        <v>0</v>
      </c>
    </row>
    <row r="513" spans="10:18" x14ac:dyDescent="0.15">
      <c r="J513" s="7">
        <f>[3]業務定義!$J515</f>
        <v>0</v>
      </c>
      <c r="K513" s="7">
        <f>[3]業務定義!$A515</f>
        <v>0</v>
      </c>
      <c r="L513" s="208"/>
      <c r="M513" s="65">
        <f ca="1">SUMIF(日報!$P:$P,TEXT(YEAR($M$2),"0000")&amp;TEXT(MONTH($M$2),"00")&amp;$K513,日報!$L:$L)</f>
        <v>0</v>
      </c>
      <c r="O513" s="7" t="str">
        <f>"REQ"&amp;TEXT([2]RequestList!$A514,"0000")</f>
        <v>REQ22048</v>
      </c>
      <c r="P513" s="7" t="str">
        <f>[2]RequestList!$J514</f>
        <v>不正なパラメータによるアクセスエラー</v>
      </c>
      <c r="Q513" s="65">
        <f>SUMIF(日報!$R:$R,TEXT(YEAR($Q$2),"0000")&amp;TEXT(MONTH($Q$2),"00")&amp;$O513,日報!$L:$L)</f>
        <v>0</v>
      </c>
      <c r="R513" s="65">
        <f ca="1">SUMIF(日報!$J:$J,$O513,日報!$L:$L)</f>
        <v>0</v>
      </c>
    </row>
    <row r="514" spans="10:18" x14ac:dyDescent="0.15">
      <c r="J514" s="7">
        <f>[3]業務定義!$J516</f>
        <v>0</v>
      </c>
      <c r="K514" s="7">
        <f>[3]業務定義!$A516</f>
        <v>0</v>
      </c>
      <c r="L514" s="208"/>
      <c r="M514" s="65">
        <f ca="1">SUMIF(日報!$P:$P,TEXT(YEAR($M$2),"0000")&amp;TEXT(MONTH($M$2),"00")&amp;$K514,日報!$L:$L)</f>
        <v>0</v>
      </c>
      <c r="O514" s="7" t="str">
        <f>"REQ"&amp;TEXT([2]RequestList!$A515,"0000")</f>
        <v>REQ22049</v>
      </c>
      <c r="P514" s="7" t="str">
        <f>[2]RequestList!$J515</f>
        <v>NewGroupNumECPIdImport error</v>
      </c>
      <c r="Q514" s="65">
        <f>SUMIF(日報!$R:$R,TEXT(YEAR($Q$2),"0000")&amp;TEXT(MONTH($Q$2),"00")&amp;$O514,日報!$L:$L)</f>
        <v>0</v>
      </c>
      <c r="R514" s="65">
        <f ca="1">SUMIF(日報!$J:$J,$O514,日報!$L:$L)</f>
        <v>0</v>
      </c>
    </row>
    <row r="515" spans="10:18" x14ac:dyDescent="0.15">
      <c r="J515" s="7">
        <f>[3]業務定義!$J517</f>
        <v>0</v>
      </c>
      <c r="K515" s="7">
        <f>[3]業務定義!$A517</f>
        <v>0</v>
      </c>
      <c r="L515" s="208"/>
      <c r="M515" s="65">
        <f ca="1">SUMIF(日報!$P:$P,TEXT(YEAR($M$2),"0000")&amp;TEXT(MONTH($M$2),"00")&amp;$K515,日報!$L:$L)</f>
        <v>0</v>
      </c>
      <c r="O515" s="7" t="str">
        <f>"REQ"&amp;TEXT([2]RequestList!$A516,"0000")</f>
        <v>REQ22050</v>
      </c>
      <c r="P515" s="7" t="str">
        <f>[2]RequestList!$J516</f>
        <v>得意先申請のエラーについて</v>
      </c>
      <c r="Q515" s="65">
        <f>SUMIF(日報!$R:$R,TEXT(YEAR($Q$2),"0000")&amp;TEXT(MONTH($Q$2),"00")&amp;$O515,日報!$L:$L)</f>
        <v>0</v>
      </c>
      <c r="R515" s="65">
        <f ca="1">SUMIF(日報!$J:$J,$O515,日報!$L:$L)</f>
        <v>0</v>
      </c>
    </row>
    <row r="516" spans="10:18" x14ac:dyDescent="0.15">
      <c r="J516" s="7">
        <f>[3]業務定義!$J518</f>
        <v>0</v>
      </c>
      <c r="K516" s="7">
        <f>[3]業務定義!$A518</f>
        <v>0</v>
      </c>
      <c r="L516" s="208"/>
      <c r="M516" s="65">
        <f ca="1">SUMIF(日報!$P:$P,TEXT(YEAR($M$2),"0000")&amp;TEXT(MONTH($M$2),"00")&amp;$K516,日報!$L:$L)</f>
        <v>0</v>
      </c>
      <c r="O516" s="7" t="str">
        <f>"REQ"&amp;TEXT([2]RequestList!$A517,"0000")</f>
        <v>REQ22051</v>
      </c>
      <c r="P516" s="7" t="str">
        <f>[2]RequestList!$J517</f>
        <v>新規得意先申請時の編集不可について</v>
      </c>
      <c r="Q516" s="65">
        <f>SUMIF(日報!$R:$R,TEXT(YEAR($Q$2),"0000")&amp;TEXT(MONTH($Q$2),"00")&amp;$O516,日報!$L:$L)</f>
        <v>0</v>
      </c>
      <c r="R516" s="65">
        <f ca="1">SUMIF(日報!$J:$J,$O516,日報!$L:$L)</f>
        <v>0</v>
      </c>
    </row>
    <row r="517" spans="10:18" x14ac:dyDescent="0.15">
      <c r="J517" s="7">
        <f>[3]業務定義!$J519</f>
        <v>0</v>
      </c>
      <c r="K517" s="7">
        <f>[3]業務定義!$A519</f>
        <v>0</v>
      </c>
      <c r="L517" s="208"/>
      <c r="M517" s="65">
        <f ca="1">SUMIF(日報!$P:$P,TEXT(YEAR($M$2),"0000")&amp;TEXT(MONTH($M$2),"00")&amp;$K517,日報!$L:$L)</f>
        <v>0</v>
      </c>
      <c r="O517" s="7" t="str">
        <f>"REQ"&amp;TEXT([2]RequestList!$A518,"0000")</f>
        <v>REQ22052</v>
      </c>
      <c r="P517" s="7" t="str">
        <f>[2]RequestList!$J518</f>
        <v>Chatter freeアカウントについて</v>
      </c>
      <c r="Q517" s="65">
        <f>SUMIF(日報!$R:$R,TEXT(YEAR($Q$2),"0000")&amp;TEXT(MONTH($Q$2),"00")&amp;$O517,日報!$L:$L)</f>
        <v>0</v>
      </c>
      <c r="R517" s="65">
        <f ca="1">SUMIF(日報!$J:$J,$O517,日報!$L:$L)</f>
        <v>0</v>
      </c>
    </row>
    <row r="518" spans="10:18" x14ac:dyDescent="0.15">
      <c r="J518" s="7">
        <f>[3]業務定義!$J520</f>
        <v>0</v>
      </c>
      <c r="K518" s="7">
        <f>[3]業務定義!$A520</f>
        <v>0</v>
      </c>
      <c r="L518" s="208"/>
      <c r="M518" s="65">
        <f ca="1">SUMIF(日報!$P:$P,TEXT(YEAR($M$2),"0000")&amp;TEXT(MONTH($M$2),"00")&amp;$K518,日報!$L:$L)</f>
        <v>0</v>
      </c>
      <c r="O518" s="7" t="str">
        <f>"REQ"&amp;TEXT([2]RequestList!$A519,"0000")</f>
        <v>REQ22053</v>
      </c>
      <c r="P518" s="7" t="str">
        <f>[2]RequestList!$J519</f>
        <v>使用できなくなったCopy&amp;Pasteの確認および修正</v>
      </c>
      <c r="Q518" s="65">
        <f>SUMIF(日報!$R:$R,TEXT(YEAR($Q$2),"0000")&amp;TEXT(MONTH($Q$2),"00")&amp;$O518,日報!$L:$L)</f>
        <v>0</v>
      </c>
      <c r="R518" s="65">
        <f ca="1">SUMIF(日報!$J:$J,$O518,日報!$L:$L)</f>
        <v>0</v>
      </c>
    </row>
    <row r="519" spans="10:18" x14ac:dyDescent="0.15">
      <c r="J519" s="7">
        <f>[3]業務定義!$J521</f>
        <v>0</v>
      </c>
      <c r="K519" s="7">
        <f>[3]業務定義!$A521</f>
        <v>0</v>
      </c>
      <c r="L519" s="208"/>
      <c r="M519" s="65">
        <f ca="1">SUMIF(日報!$P:$P,TEXT(YEAR($M$2),"0000")&amp;TEXT(MONTH($M$2),"00")&amp;$K519,日報!$L:$L)</f>
        <v>0</v>
      </c>
      <c r="O519" s="7" t="str">
        <f>"REQ"&amp;TEXT([2]RequestList!$A520,"0000")</f>
        <v>REQ22054</v>
      </c>
      <c r="P519" s="7" t="str">
        <f>[2]RequestList!$J520</f>
        <v>Chatter投稿数のレポートについて</v>
      </c>
      <c r="Q519" s="65">
        <f>SUMIF(日報!$R:$R,TEXT(YEAR($Q$2),"0000")&amp;TEXT(MONTH($Q$2),"00")&amp;$O519,日報!$L:$L)</f>
        <v>0</v>
      </c>
      <c r="R519" s="65">
        <f ca="1">SUMIF(日報!$J:$J,$O519,日報!$L:$L)</f>
        <v>0</v>
      </c>
    </row>
    <row r="520" spans="10:18" x14ac:dyDescent="0.15">
      <c r="J520" s="7">
        <f>[3]業務定義!$J522</f>
        <v>0</v>
      </c>
      <c r="K520" s="7">
        <f>[3]業務定義!$A522</f>
        <v>0</v>
      </c>
      <c r="L520" s="208"/>
      <c r="M520" s="65">
        <f ca="1">SUMIF(日報!$P:$P,TEXT(YEAR($M$2),"0000")&amp;TEXT(MONTH($M$2),"00")&amp;$K520,日報!$L:$L)</f>
        <v>0</v>
      </c>
      <c r="O520" s="7" t="str">
        <f>"REQ"&amp;TEXT([2]RequestList!$A521,"0000")</f>
        <v>REQ22055</v>
      </c>
      <c r="P520" s="7" t="str">
        <f>[2]RequestList!$J521</f>
        <v>Chatter投稿数について</v>
      </c>
      <c r="Q520" s="65">
        <f>SUMIF(日報!$R:$R,TEXT(YEAR($Q$2),"0000")&amp;TEXT(MONTH($Q$2),"00")&amp;$O520,日報!$L:$L)</f>
        <v>0</v>
      </c>
      <c r="R520" s="65">
        <f ca="1">SUMIF(日報!$J:$J,$O520,日報!$L:$L)</f>
        <v>0</v>
      </c>
    </row>
    <row r="521" spans="10:18" x14ac:dyDescent="0.15">
      <c r="J521" s="7">
        <f>[3]業務定義!$J523</f>
        <v>0</v>
      </c>
      <c r="K521" s="7">
        <f>[3]業務定義!$A523</f>
        <v>0</v>
      </c>
      <c r="L521" s="208"/>
      <c r="M521" s="65">
        <f ca="1">SUMIF(日報!$P:$P,TEXT(YEAR($M$2),"0000")&amp;TEXT(MONTH($M$2),"00")&amp;$K521,日報!$L:$L)</f>
        <v>0</v>
      </c>
      <c r="O521" s="7" t="str">
        <f>"REQ"&amp;TEXT([2]RequestList!$A522,"0000")</f>
        <v>REQ22056</v>
      </c>
      <c r="P521" s="7" t="str">
        <f>[2]RequestList!$J522</f>
        <v>POP Orderにおいて連携されていないデータが存在している</v>
      </c>
      <c r="Q521" s="65">
        <f>SUMIF(日報!$R:$R,TEXT(YEAR($Q$2),"0000")&amp;TEXT(MONTH($Q$2),"00")&amp;$O521,日報!$L:$L)</f>
        <v>0</v>
      </c>
      <c r="R521" s="65">
        <f ca="1">SUMIF(日報!$J:$J,$O521,日報!$L:$L)</f>
        <v>0</v>
      </c>
    </row>
    <row r="522" spans="10:18" x14ac:dyDescent="0.15">
      <c r="J522" s="7">
        <f>[3]業務定義!$J524</f>
        <v>0</v>
      </c>
      <c r="K522" s="7">
        <f>[3]業務定義!$A524</f>
        <v>0</v>
      </c>
      <c r="L522" s="208"/>
      <c r="M522" s="65">
        <f ca="1">SUMIF(日報!$P:$P,TEXT(YEAR($M$2),"0000")&amp;TEXT(MONTH($M$2),"00")&amp;$K522,日報!$L:$L)</f>
        <v>0</v>
      </c>
      <c r="O522" s="7" t="str">
        <f>"REQ"&amp;TEXT([2]RequestList!$A523,"0000")</f>
        <v>REQ22057</v>
      </c>
      <c r="P522" s="7" t="str">
        <f>[2]RequestList!$J523</f>
        <v>訪問に関するレポートについて</v>
      </c>
      <c r="Q522" s="65">
        <f>SUMIF(日報!$R:$R,TEXT(YEAR($Q$2),"0000")&amp;TEXT(MONTH($Q$2),"00")&amp;$O522,日報!$L:$L)</f>
        <v>0</v>
      </c>
      <c r="R522" s="65">
        <f ca="1">SUMIF(日報!$J:$J,$O522,日報!$L:$L)</f>
        <v>0</v>
      </c>
    </row>
    <row r="523" spans="10:18" x14ac:dyDescent="0.15">
      <c r="J523" s="7">
        <f>[3]業務定義!$J525</f>
        <v>0</v>
      </c>
      <c r="K523" s="7">
        <f>[3]業務定義!$A525</f>
        <v>0</v>
      </c>
      <c r="L523" s="208"/>
      <c r="M523" s="65">
        <f ca="1">SUMIF(日報!$P:$P,TEXT(YEAR($M$2),"0000")&amp;TEXT(MONTH($M$2),"00")&amp;$K523,日報!$L:$L)</f>
        <v>0</v>
      </c>
      <c r="O523" s="7" t="str">
        <f>"REQ"&amp;TEXT([2]RequestList!$A524,"0000")</f>
        <v>REQ22058</v>
      </c>
      <c r="P523" s="7" t="str">
        <f>[2]RequestList!$J524</f>
        <v>アイオプトおまかせプラン→AOSの流出について</v>
      </c>
      <c r="Q523" s="65">
        <f>SUMIF(日報!$R:$R,TEXT(YEAR($Q$2),"0000")&amp;TEXT(MONTH($Q$2),"00")&amp;$O523,日報!$L:$L)</f>
        <v>0</v>
      </c>
      <c r="R523" s="65">
        <f ca="1">SUMIF(日報!$J:$J,$O523,日報!$L:$L)</f>
        <v>0</v>
      </c>
    </row>
    <row r="524" spans="10:18" x14ac:dyDescent="0.15">
      <c r="J524" s="7">
        <f>[3]業務定義!$J526</f>
        <v>0</v>
      </c>
      <c r="K524" s="7">
        <f>[3]業務定義!$A526</f>
        <v>0</v>
      </c>
      <c r="L524" s="208"/>
      <c r="M524" s="65">
        <f ca="1">SUMIF(日報!$P:$P,TEXT(YEAR($M$2),"0000")&amp;TEXT(MONTH($M$2),"00")&amp;$K524,日報!$L:$L)</f>
        <v>0</v>
      </c>
      <c r="O524" s="7" t="str">
        <f>"REQ"&amp;TEXT([2]RequestList!$A525,"0000")</f>
        <v>REQ22059</v>
      </c>
      <c r="P524" s="7" t="str">
        <f>[2]RequestList!$J525</f>
        <v>SAPへの注文再送</v>
      </c>
      <c r="Q524" s="65">
        <f>SUMIF(日報!$R:$R,TEXT(YEAR($Q$2),"0000")&amp;TEXT(MONTH($Q$2),"00")&amp;$O524,日報!$L:$L)</f>
        <v>0</v>
      </c>
      <c r="R524" s="65">
        <f ca="1">SUMIF(日報!$J:$J,$O524,日報!$L:$L)</f>
        <v>0</v>
      </c>
    </row>
    <row r="525" spans="10:18" x14ac:dyDescent="0.15">
      <c r="J525" s="7">
        <f>[3]業務定義!$J527</f>
        <v>0</v>
      </c>
      <c r="K525" s="7">
        <f>[3]業務定義!$A527</f>
        <v>0</v>
      </c>
      <c r="L525" s="208"/>
      <c r="M525" s="65">
        <f ca="1">SUMIF(日報!$P:$P,TEXT(YEAR($M$2),"0000")&amp;TEXT(MONTH($M$2),"00")&amp;$K525,日報!$L:$L)</f>
        <v>0</v>
      </c>
      <c r="O525" s="7" t="str">
        <f>"REQ"&amp;TEXT([2]RequestList!$A526,"0000")</f>
        <v>REQ22060</v>
      </c>
      <c r="P525" s="7" t="str">
        <f>[2]RequestList!$J526</f>
        <v>ダウンロード後に保存できない</v>
      </c>
      <c r="Q525" s="65">
        <f>SUMIF(日報!$R:$R,TEXT(YEAR($Q$2),"0000")&amp;TEXT(MONTH($Q$2),"00")&amp;$O525,日報!$L:$L)</f>
        <v>0</v>
      </c>
      <c r="R525" s="65">
        <f ca="1">SUMIF(日報!$J:$J,$O525,日報!$L:$L)</f>
        <v>0</v>
      </c>
    </row>
    <row r="526" spans="10:18" x14ac:dyDescent="0.15">
      <c r="J526" s="7">
        <f>[3]業務定義!$J528</f>
        <v>0</v>
      </c>
      <c r="K526" s="7">
        <f>[3]業務定義!$A528</f>
        <v>0</v>
      </c>
      <c r="L526" s="208"/>
      <c r="M526" s="65">
        <f ca="1">SUMIF(日報!$P:$P,TEXT(YEAR($M$2),"0000")&amp;TEXT(MONTH($M$2),"00")&amp;$K526,日報!$L:$L)</f>
        <v>0</v>
      </c>
      <c r="O526" s="7" t="str">
        <f>"REQ"&amp;TEXT([2]RequestList!$A527,"0000")</f>
        <v>REQ22061</v>
      </c>
      <c r="P526" s="7" t="str">
        <f>[2]RequestList!$J527</f>
        <v>日本語名称のほかに英語名称の項目を追加</v>
      </c>
      <c r="Q526" s="65">
        <f>SUMIF(日報!$R:$R,TEXT(YEAR($Q$2),"0000")&amp;TEXT(MONTH($Q$2),"00")&amp;$O526,日報!$L:$L)</f>
        <v>0</v>
      </c>
      <c r="R526" s="65">
        <f ca="1">SUMIF(日報!$J:$J,$O526,日報!$L:$L)</f>
        <v>0</v>
      </c>
    </row>
    <row r="527" spans="10:18" x14ac:dyDescent="0.15">
      <c r="J527" s="7">
        <f>[3]業務定義!$J529</f>
        <v>0</v>
      </c>
      <c r="K527" s="7">
        <f>[3]業務定義!$A529</f>
        <v>0</v>
      </c>
      <c r="L527" s="208"/>
      <c r="M527" s="65">
        <f ca="1">SUMIF(日報!$P:$P,TEXT(YEAR($M$2),"0000")&amp;TEXT(MONTH($M$2),"00")&amp;$K527,日報!$L:$L)</f>
        <v>0</v>
      </c>
      <c r="O527" s="7" t="str">
        <f>"REQ"&amp;TEXT([2]RequestList!$A528,"0000")</f>
        <v>REQ22062</v>
      </c>
      <c r="P527" s="7" t="str">
        <f>[2]RequestList!$J528</f>
        <v>Salesorder error</v>
      </c>
      <c r="Q527" s="65">
        <f>SUMIF(日報!$R:$R,TEXT(YEAR($Q$2),"0000")&amp;TEXT(MONTH($Q$2),"00")&amp;$O527,日報!$L:$L)</f>
        <v>0</v>
      </c>
      <c r="R527" s="65">
        <f ca="1">SUMIF(日報!$J:$J,$O527,日報!$L:$L)</f>
        <v>0</v>
      </c>
    </row>
    <row r="528" spans="10:18" x14ac:dyDescent="0.15">
      <c r="J528" s="7">
        <f>[3]業務定義!$J530</f>
        <v>0</v>
      </c>
      <c r="K528" s="7">
        <f>[3]業務定義!$A530</f>
        <v>0</v>
      </c>
      <c r="L528" s="208"/>
      <c r="M528" s="65">
        <f ca="1">SUMIF(日報!$P:$P,TEXT(YEAR($M$2),"0000")&amp;TEXT(MONTH($M$2),"00")&amp;$K528,日報!$L:$L)</f>
        <v>0</v>
      </c>
      <c r="O528" s="7" t="str">
        <f>"REQ"&amp;TEXT([2]RequestList!$A529,"0000")</f>
        <v>REQ22063</v>
      </c>
      <c r="P528" s="7" t="str">
        <f>[2]RequestList!$J529</f>
        <v xml:space="preserve">sendmail error: </v>
      </c>
      <c r="Q528" s="65">
        <f>SUMIF(日報!$R:$R,TEXT(YEAR($Q$2),"0000")&amp;TEXT(MONTH($Q$2),"00")&amp;$O528,日報!$L:$L)</f>
        <v>0</v>
      </c>
      <c r="R528" s="65">
        <f ca="1">SUMIF(日報!$J:$J,$O528,日報!$L:$L)</f>
        <v>0</v>
      </c>
    </row>
    <row r="529" spans="10:18" x14ac:dyDescent="0.15">
      <c r="J529" s="7">
        <f>[3]業務定義!$J531</f>
        <v>0</v>
      </c>
      <c r="K529" s="7">
        <f>[3]業務定義!$A531</f>
        <v>0</v>
      </c>
      <c r="L529" s="208"/>
      <c r="M529" s="65">
        <f ca="1">SUMIF(日報!$P:$P,TEXT(YEAR($M$2),"0000")&amp;TEXT(MONTH($M$2),"00")&amp;$K529,日報!$L:$L)</f>
        <v>0</v>
      </c>
      <c r="O529" s="7" t="str">
        <f>"REQ"&amp;TEXT([2]RequestList!$A530,"0000")</f>
        <v>REQ22064</v>
      </c>
      <c r="P529" s="7" t="str">
        <f>[2]RequestList!$J530</f>
        <v>Paymetric security key発行(本番)</v>
      </c>
      <c r="Q529" s="65">
        <f>SUMIF(日報!$R:$R,TEXT(YEAR($Q$2),"0000")&amp;TEXT(MONTH($Q$2),"00")&amp;$O529,日報!$L:$L)</f>
        <v>0</v>
      </c>
      <c r="R529" s="65">
        <f ca="1">SUMIF(日報!$J:$J,$O529,日報!$L:$L)</f>
        <v>0</v>
      </c>
    </row>
    <row r="530" spans="10:18" x14ac:dyDescent="0.15">
      <c r="J530" s="7">
        <f>[3]業務定義!$J532</f>
        <v>0</v>
      </c>
      <c r="K530" s="7">
        <f>[3]業務定義!$A532</f>
        <v>0</v>
      </c>
      <c r="L530" s="208"/>
      <c r="M530" s="65">
        <f ca="1">SUMIF(日報!$P:$P,TEXT(YEAR($M$2),"0000")&amp;TEXT(MONTH($M$2),"00")&amp;$K530,日報!$L:$L)</f>
        <v>0</v>
      </c>
      <c r="O530" s="7" t="str">
        <f>"REQ"&amp;TEXT([2]RequestList!$A531,"0000")</f>
        <v>REQ22065</v>
      </c>
      <c r="P530" s="7" t="str">
        <f>[2]RequestList!$J531</f>
        <v>[Inquery] SAPとtableauの金額差異について</v>
      </c>
      <c r="Q530" s="65">
        <f>SUMIF(日報!$R:$R,TEXT(YEAR($Q$2),"0000")&amp;TEXT(MONTH($Q$2),"00")&amp;$O530,日報!$L:$L)</f>
        <v>0</v>
      </c>
      <c r="R530" s="65">
        <f ca="1">SUMIF(日報!$J:$J,$O530,日報!$L:$L)</f>
        <v>0</v>
      </c>
    </row>
    <row r="531" spans="10:18" x14ac:dyDescent="0.15">
      <c r="J531" s="7">
        <f>[3]業務定義!$J533</f>
        <v>0</v>
      </c>
      <c r="K531" s="7">
        <f>[3]業務定義!$A533</f>
        <v>0</v>
      </c>
      <c r="L531" s="208"/>
      <c r="M531" s="65">
        <f ca="1">SUMIF(日報!$P:$P,TEXT(YEAR($M$2),"0000")&amp;TEXT(MONTH($M$2),"00")&amp;$K531,日報!$L:$L)</f>
        <v>0</v>
      </c>
      <c r="O531" s="7" t="str">
        <f>"REQ"&amp;TEXT([2]RequestList!$A532,"0000")</f>
        <v>REQ22066</v>
      </c>
      <c r="P531" s="7" t="str">
        <f>[2]RequestList!$J532</f>
        <v>Control-M権限</v>
      </c>
      <c r="Q531" s="65">
        <f>SUMIF(日報!$R:$R,TEXT(YEAR($Q$2),"0000")&amp;TEXT(MONTH($Q$2),"00")&amp;$O531,日報!$L:$L)</f>
        <v>0</v>
      </c>
      <c r="R531" s="65">
        <f ca="1">SUMIF(日報!$J:$J,$O531,日報!$L:$L)</f>
        <v>0</v>
      </c>
    </row>
    <row r="532" spans="10:18" x14ac:dyDescent="0.15">
      <c r="J532" s="7">
        <f>[3]業務定義!$J534</f>
        <v>0</v>
      </c>
      <c r="K532" s="7">
        <f>[3]業務定義!$A534</f>
        <v>0</v>
      </c>
      <c r="L532" s="208"/>
      <c r="M532" s="65">
        <f ca="1">SUMIF(日報!$P:$P,TEXT(YEAR($M$2),"0000")&amp;TEXT(MONTH($M$2),"00")&amp;$K532,日報!$L:$L)</f>
        <v>0</v>
      </c>
      <c r="O532" s="7" t="str">
        <f>"REQ"&amp;TEXT([2]RequestList!$A533,"0000")</f>
        <v>REQ22067</v>
      </c>
      <c r="P532" s="7" t="str">
        <f>[2]RequestList!$J533</f>
        <v>MyAcuvueのMonthly JOBの停止確認</v>
      </c>
      <c r="Q532" s="65">
        <f>SUMIF(日報!$R:$R,TEXT(YEAR($Q$2),"0000")&amp;TEXT(MONTH($Q$2),"00")&amp;$O532,日報!$L:$L)</f>
        <v>0</v>
      </c>
      <c r="R532" s="65">
        <f ca="1">SUMIF(日報!$J:$J,$O532,日報!$L:$L)</f>
        <v>0</v>
      </c>
    </row>
    <row r="533" spans="10:18" x14ac:dyDescent="0.15">
      <c r="J533" s="7">
        <f>[3]業務定義!$J535</f>
        <v>0</v>
      </c>
      <c r="K533" s="7">
        <f>[3]業務定義!$A535</f>
        <v>0</v>
      </c>
      <c r="L533" s="208"/>
      <c r="M533" s="65">
        <f ca="1">SUMIF(日報!$P:$P,TEXT(YEAR($M$2),"0000")&amp;TEXT(MONTH($M$2),"00")&amp;$K533,日報!$L:$L)</f>
        <v>0</v>
      </c>
      <c r="O533" s="7" t="str">
        <f>"REQ"&amp;TEXT([2]RequestList!$A534,"0000")</f>
        <v>REQ22068</v>
      </c>
      <c r="P533" s="7" t="str">
        <f>[2]RequestList!$J534</f>
        <v>[Inquery] SFDCの訪問フラグ</v>
      </c>
      <c r="Q533" s="65">
        <f>SUMIF(日報!$R:$R,TEXT(YEAR($Q$2),"0000")&amp;TEXT(MONTH($Q$2),"00")&amp;$O533,日報!$L:$L)</f>
        <v>0</v>
      </c>
      <c r="R533" s="65">
        <f ca="1">SUMIF(日報!$J:$J,$O533,日報!$L:$L)</f>
        <v>0</v>
      </c>
    </row>
    <row r="534" spans="10:18" x14ac:dyDescent="0.15">
      <c r="J534" s="7">
        <f>[3]業務定義!$J536</f>
        <v>0</v>
      </c>
      <c r="K534" s="7">
        <f>[3]業務定義!$A536</f>
        <v>0</v>
      </c>
      <c r="L534" s="208"/>
      <c r="M534" s="65">
        <f ca="1">SUMIF(日報!$P:$P,TEXT(YEAR($M$2),"0000")&amp;TEXT(MONTH($M$2),"00")&amp;$K534,日報!$L:$L)</f>
        <v>0</v>
      </c>
      <c r="O534" s="7" t="str">
        <f>"REQ"&amp;TEXT([2]RequestList!$A535,"0000")</f>
        <v>REQ22069</v>
      </c>
      <c r="P534" s="7" t="str">
        <f>[2]RequestList!$J535</f>
        <v>[Inquery] カレンダーマスタの稼働日について</v>
      </c>
      <c r="Q534" s="65">
        <f>SUMIF(日報!$R:$R,TEXT(YEAR($Q$2),"0000")&amp;TEXT(MONTH($Q$2),"00")&amp;$O534,日報!$L:$L)</f>
        <v>0</v>
      </c>
      <c r="R534" s="65">
        <f ca="1">SUMIF(日報!$J:$J,$O534,日報!$L:$L)</f>
        <v>0</v>
      </c>
    </row>
    <row r="535" spans="10:18" x14ac:dyDescent="0.15">
      <c r="J535" s="7">
        <f>[3]業務定義!$J537</f>
        <v>0</v>
      </c>
      <c r="K535" s="7">
        <f>[3]業務定義!$A537</f>
        <v>0</v>
      </c>
      <c r="L535" s="208"/>
      <c r="M535" s="65">
        <f ca="1">SUMIF(日報!$P:$P,TEXT(YEAR($M$2),"0000")&amp;TEXT(MONTH($M$2),"00")&amp;$K535,日報!$L:$L)</f>
        <v>0</v>
      </c>
      <c r="O535" s="7" t="str">
        <f>"REQ"&amp;TEXT([2]RequestList!$A536,"0000")</f>
        <v>REQ22070</v>
      </c>
      <c r="P535" s="7" t="str">
        <f>[2]RequestList!$J536</f>
        <v>[Incident] SUBS_DETAILデータ未連携(7/6)</v>
      </c>
      <c r="Q535" s="65">
        <f>SUMIF(日報!$R:$R,TEXT(YEAR($Q$2),"0000")&amp;TEXT(MONTH($Q$2),"00")&amp;$O535,日報!$L:$L)</f>
        <v>0</v>
      </c>
      <c r="R535" s="65">
        <f ca="1">SUMIF(日報!$J:$J,$O535,日報!$L:$L)</f>
        <v>0</v>
      </c>
    </row>
    <row r="536" spans="10:18" x14ac:dyDescent="0.15">
      <c r="J536" s="7">
        <f>[3]業務定義!$J538</f>
        <v>0</v>
      </c>
      <c r="K536" s="7">
        <f>[3]業務定義!$A538</f>
        <v>0</v>
      </c>
      <c r="L536" s="208"/>
      <c r="M536" s="65">
        <f ca="1">SUMIF(日報!$P:$P,TEXT(YEAR($M$2),"0000")&amp;TEXT(MONTH($M$2),"00")&amp;$K536,日報!$L:$L)</f>
        <v>0</v>
      </c>
      <c r="O536" s="7" t="str">
        <f>"REQ"&amp;TEXT([2]RequestList!$A537,"0000")</f>
        <v>REQ22071</v>
      </c>
      <c r="P536" s="7" t="str">
        <f>[2]RequestList!$J537</f>
        <v>ARS Oracleバージョンアップ</v>
      </c>
      <c r="Q536" s="65">
        <f>SUMIF(日報!$R:$R,TEXT(YEAR($Q$2),"0000")&amp;TEXT(MONTH($Q$2),"00")&amp;$O536,日報!$L:$L)</f>
        <v>0</v>
      </c>
      <c r="R536" s="65">
        <f ca="1">SUMIF(日報!$J:$J,$O536,日報!$L:$L)</f>
        <v>0</v>
      </c>
    </row>
    <row r="537" spans="10:18" x14ac:dyDescent="0.15">
      <c r="J537" s="7">
        <f>[3]業務定義!$J539</f>
        <v>0</v>
      </c>
      <c r="K537" s="7">
        <f>[3]業務定義!$A539</f>
        <v>0</v>
      </c>
      <c r="L537" s="208"/>
      <c r="M537" s="65">
        <f ca="1">SUMIF(日報!$P:$P,TEXT(YEAR($M$2),"0000")&amp;TEXT(MONTH($M$2),"00")&amp;$K537,日報!$L:$L)</f>
        <v>0</v>
      </c>
      <c r="O537" s="7" t="str">
        <f>"REQ"&amp;TEXT([2]RequestList!$A538,"0000")</f>
        <v>REQ22072</v>
      </c>
      <c r="P537" s="7" t="str">
        <f>[2]RequestList!$J538</f>
        <v>AOS/JELS was down due to DB storage is full</v>
      </c>
      <c r="Q537" s="65">
        <f>SUMIF(日報!$R:$R,TEXT(YEAR($Q$2),"0000")&amp;TEXT(MONTH($Q$2),"00")&amp;$O537,日報!$L:$L)</f>
        <v>0</v>
      </c>
      <c r="R537" s="65">
        <f ca="1">SUMIF(日報!$J:$J,$O537,日報!$L:$L)</f>
        <v>0</v>
      </c>
    </row>
    <row r="538" spans="10:18" x14ac:dyDescent="0.15">
      <c r="J538" s="7">
        <f>[3]業務定義!$J540</f>
        <v>0</v>
      </c>
      <c r="K538" s="7">
        <f>[3]業務定義!$A540</f>
        <v>0</v>
      </c>
      <c r="L538" s="208"/>
      <c r="M538" s="65">
        <f ca="1">SUMIF(日報!$P:$P,TEXT(YEAR($M$2),"0000")&amp;TEXT(MONTH($M$2),"00")&amp;$K538,日報!$L:$L)</f>
        <v>0</v>
      </c>
      <c r="O538" s="7" t="str">
        <f>"REQ"&amp;TEXT([2]RequestList!$A539,"0000")</f>
        <v>REQ22073</v>
      </c>
      <c r="P538" s="7" t="str">
        <f>[2]RequestList!$J539</f>
        <v>送料設定不備</v>
      </c>
      <c r="Q538" s="65">
        <f>SUMIF(日報!$R:$R,TEXT(YEAR($Q$2),"0000")&amp;TEXT(MONTH($Q$2),"00")&amp;$O538,日報!$L:$L)</f>
        <v>0</v>
      </c>
      <c r="R538" s="65">
        <f ca="1">SUMIF(日報!$J:$J,$O538,日報!$L:$L)</f>
        <v>0</v>
      </c>
    </row>
    <row r="539" spans="10:18" x14ac:dyDescent="0.15">
      <c r="J539" s="7">
        <f>[3]業務定義!$J541</f>
        <v>0</v>
      </c>
      <c r="K539" s="7">
        <f>[3]業務定義!$A541</f>
        <v>0</v>
      </c>
      <c r="L539" s="208"/>
      <c r="M539" s="65">
        <f ca="1">SUMIF(日報!$P:$P,TEXT(YEAR($M$2),"0000")&amp;TEXT(MONTH($M$2),"00")&amp;$K539,日報!$L:$L)</f>
        <v>0</v>
      </c>
      <c r="O539" s="7" t="str">
        <f>"REQ"&amp;TEXT([2]RequestList!$A540,"0000")</f>
        <v>REQ22074</v>
      </c>
      <c r="P539" s="7" t="str">
        <f>[2]RequestList!$J540</f>
        <v>DBアカウント登録</v>
      </c>
      <c r="Q539" s="65">
        <f>SUMIF(日報!$R:$R,TEXT(YEAR($Q$2),"0000")&amp;TEXT(MONTH($Q$2),"00")&amp;$O539,日報!$L:$L)</f>
        <v>0</v>
      </c>
      <c r="R539" s="65">
        <f ca="1">SUMIF(日報!$J:$J,$O539,日報!$L:$L)</f>
        <v>0</v>
      </c>
    </row>
    <row r="540" spans="10:18" x14ac:dyDescent="0.15">
      <c r="J540" s="7">
        <f>[3]業務定義!$J542</f>
        <v>0</v>
      </c>
      <c r="K540" s="7">
        <f>[3]業務定義!$A542</f>
        <v>0</v>
      </c>
      <c r="L540" s="208"/>
      <c r="M540" s="65">
        <f ca="1">SUMIF(日報!$P:$P,TEXT(YEAR($M$2),"0000")&amp;TEXT(MONTH($M$2),"00")&amp;$K540,日報!$L:$L)</f>
        <v>0</v>
      </c>
      <c r="O540" s="7" t="str">
        <f>"REQ"&amp;TEXT([2]RequestList!$A541,"0000")</f>
        <v>REQ22075</v>
      </c>
      <c r="P540" s="7" t="str">
        <f>[2]RequestList!$J541</f>
        <v>[Incident] SUBS_DETAILデータ未連携(7/9)</v>
      </c>
      <c r="Q540" s="65">
        <f>SUMIF(日報!$R:$R,TEXT(YEAR($Q$2),"0000")&amp;TEXT(MONTH($Q$2),"00")&amp;$O540,日報!$L:$L)</f>
        <v>0</v>
      </c>
      <c r="R540" s="65">
        <f ca="1">SUMIF(日報!$J:$J,$O540,日報!$L:$L)</f>
        <v>0</v>
      </c>
    </row>
    <row r="541" spans="10:18" x14ac:dyDescent="0.15">
      <c r="J541" s="7">
        <f>[3]業務定義!$J543</f>
        <v>0</v>
      </c>
      <c r="K541" s="7">
        <f>[3]業務定義!$A543</f>
        <v>0</v>
      </c>
      <c r="L541" s="208"/>
      <c r="M541" s="65">
        <f ca="1">SUMIF(日報!$P:$P,TEXT(YEAR($M$2),"0000")&amp;TEXT(MONTH($M$2),"00")&amp;$K541,日報!$L:$L)</f>
        <v>0</v>
      </c>
      <c r="O541" s="7" t="str">
        <f>"REQ"&amp;TEXT([2]RequestList!$A542,"0000")</f>
        <v>REQ22076</v>
      </c>
      <c r="P541" s="7" t="str">
        <f>[2]RequestList!$J542</f>
        <v>[Incident] SFMC未作成</v>
      </c>
      <c r="Q541" s="65">
        <f>SUMIF(日報!$R:$R,TEXT(YEAR($Q$2),"0000")&amp;TEXT(MONTH($Q$2),"00")&amp;$O541,日報!$L:$L)</f>
        <v>0</v>
      </c>
      <c r="R541" s="65">
        <f ca="1">SUMIF(日報!$J:$J,$O541,日報!$L:$L)</f>
        <v>0</v>
      </c>
    </row>
    <row r="542" spans="10:18" x14ac:dyDescent="0.15">
      <c r="J542" s="7">
        <f>[3]業務定義!$J544</f>
        <v>0</v>
      </c>
      <c r="K542" s="7">
        <f>[3]業務定義!$A544</f>
        <v>0</v>
      </c>
      <c r="L542" s="208"/>
      <c r="M542" s="65">
        <f ca="1">SUMIF(日報!$P:$P,TEXT(YEAR($M$2),"0000")&amp;TEXT(MONTH($M$2),"00")&amp;$K542,日報!$L:$L)</f>
        <v>0</v>
      </c>
      <c r="O542" s="7" t="str">
        <f>"REQ"&amp;TEXT([2]RequestList!$A543,"0000")</f>
        <v>REQ22077</v>
      </c>
      <c r="P542" s="7" t="str">
        <f>[2]RequestList!$J543</f>
        <v>第三者のマイページ画面が表示された</v>
      </c>
      <c r="Q542" s="65">
        <f>SUMIF(日報!$R:$R,TEXT(YEAR($Q$2),"0000")&amp;TEXT(MONTH($Q$2),"00")&amp;$O542,日報!$L:$L)</f>
        <v>0</v>
      </c>
      <c r="R542" s="65">
        <f ca="1">SUMIF(日報!$J:$J,$O542,日報!$L:$L)</f>
        <v>0</v>
      </c>
    </row>
    <row r="543" spans="10:18" x14ac:dyDescent="0.15">
      <c r="J543" s="7">
        <f>[3]業務定義!$J545</f>
        <v>0</v>
      </c>
      <c r="K543" s="7">
        <f>[3]業務定義!$A545</f>
        <v>0</v>
      </c>
      <c r="L543" s="208"/>
      <c r="M543" s="65">
        <f ca="1">SUMIF(日報!$P:$P,TEXT(YEAR($M$2),"0000")&amp;TEXT(MONTH($M$2),"00")&amp;$K543,日報!$L:$L)</f>
        <v>0</v>
      </c>
      <c r="O543" s="7" t="str">
        <f>"REQ"&amp;TEXT([2]RequestList!$A544,"0000")</f>
        <v>REQ22078</v>
      </c>
      <c r="P543" s="7" t="str">
        <f>[2]RequestList!$J544</f>
        <v>返品受付票画面のレポート出力について</v>
      </c>
      <c r="Q543" s="65">
        <f>SUMIF(日報!$R:$R,TEXT(YEAR($Q$2),"0000")&amp;TEXT(MONTH($Q$2),"00")&amp;$O543,日報!$L:$L)</f>
        <v>0</v>
      </c>
      <c r="R543" s="65">
        <f ca="1">SUMIF(日報!$J:$J,$O543,日報!$L:$L)</f>
        <v>0</v>
      </c>
    </row>
    <row r="544" spans="10:18" x14ac:dyDescent="0.15">
      <c r="J544" s="7">
        <f>[3]業務定義!$J546</f>
        <v>0</v>
      </c>
      <c r="K544" s="7">
        <f>[3]業務定義!$A546</f>
        <v>0</v>
      </c>
      <c r="L544" s="208"/>
      <c r="M544" s="65">
        <f ca="1">SUMIF(日報!$P:$P,TEXT(YEAR($M$2),"0000")&amp;TEXT(MONTH($M$2),"00")&amp;$K544,日報!$L:$L)</f>
        <v>0</v>
      </c>
      <c r="O544" s="7" t="str">
        <f>"REQ"&amp;TEXT([2]RequestList!$A545,"0000")</f>
        <v>REQ22079</v>
      </c>
      <c r="P544" s="7" t="str">
        <f>[2]RequestList!$J545</f>
        <v>Paymetric error</v>
      </c>
      <c r="Q544" s="65">
        <f>SUMIF(日報!$R:$R,TEXT(YEAR($Q$2),"0000")&amp;TEXT(MONTH($Q$2),"00")&amp;$O544,日報!$L:$L)</f>
        <v>0</v>
      </c>
      <c r="R544" s="65">
        <f ca="1">SUMIF(日報!$J:$J,$O544,日報!$L:$L)</f>
        <v>0</v>
      </c>
    </row>
    <row r="545" spans="10:18" x14ac:dyDescent="0.15">
      <c r="J545" s="7">
        <f>[3]業務定義!$J547</f>
        <v>0</v>
      </c>
      <c r="K545" s="7">
        <f>[3]業務定義!$A547</f>
        <v>0</v>
      </c>
      <c r="L545" s="208"/>
      <c r="M545" s="65">
        <f ca="1">SUMIF(日報!$P:$P,TEXT(YEAR($M$2),"0000")&amp;TEXT(MONTH($M$2),"00")&amp;$K545,日報!$L:$L)</f>
        <v>0</v>
      </c>
      <c r="O545" s="7" t="str">
        <f>"REQ"&amp;TEXT([2]RequestList!$A546,"0000")</f>
        <v>REQ22080</v>
      </c>
      <c r="P545" s="7" t="str">
        <f>[2]RequestList!$J546</f>
        <v>MBOXアカウント作成</v>
      </c>
      <c r="Q545" s="65">
        <f>SUMIF(日報!$R:$R,TEXT(YEAR($Q$2),"0000")&amp;TEXT(MONTH($Q$2),"00")&amp;$O545,日報!$L:$L)</f>
        <v>0</v>
      </c>
      <c r="R545" s="65">
        <f ca="1">SUMIF(日報!$J:$J,$O545,日報!$L:$L)</f>
        <v>0</v>
      </c>
    </row>
    <row r="546" spans="10:18" x14ac:dyDescent="0.15">
      <c r="J546" s="7">
        <f>[3]業務定義!$J548</f>
        <v>0</v>
      </c>
      <c r="K546" s="7">
        <f>[3]業務定義!$A548</f>
        <v>0</v>
      </c>
      <c r="L546" s="208"/>
      <c r="M546" s="65">
        <f ca="1">SUMIF(日報!$P:$P,TEXT(YEAR($M$2),"0000")&amp;TEXT(MONTH($M$2),"00")&amp;$K546,日報!$L:$L)</f>
        <v>0</v>
      </c>
      <c r="O546" s="7" t="str">
        <f>"REQ"&amp;TEXT([2]RequestList!$A547,"0000")</f>
        <v>REQ22081</v>
      </c>
      <c r="P546" s="7" t="str">
        <f>[2]RequestList!$J547</f>
        <v>DL作成・アラートメール宛先変更依頼</v>
      </c>
      <c r="Q546" s="65">
        <f>SUMIF(日報!$R:$R,TEXT(YEAR($Q$2),"0000")&amp;TEXT(MONTH($Q$2),"00")&amp;$O546,日報!$L:$L)</f>
        <v>0</v>
      </c>
      <c r="R546" s="65">
        <f ca="1">SUMIF(日報!$J:$J,$O546,日報!$L:$L)</f>
        <v>0</v>
      </c>
    </row>
    <row r="547" spans="10:18" x14ac:dyDescent="0.15">
      <c r="J547" s="7">
        <f>[3]業務定義!$J549</f>
        <v>0</v>
      </c>
      <c r="K547" s="7">
        <f>[3]業務定義!$A549</f>
        <v>0</v>
      </c>
      <c r="L547" s="208"/>
      <c r="M547" s="65">
        <f ca="1">SUMIF(日報!$P:$P,TEXT(YEAR($M$2),"0000")&amp;TEXT(MONTH($M$2),"00")&amp;$K547,日報!$L:$L)</f>
        <v>0</v>
      </c>
      <c r="O547" s="7" t="str">
        <f>"REQ"&amp;TEXT([2]RequestList!$A548,"0000")</f>
        <v>REQ22082</v>
      </c>
      <c r="P547" s="7" t="str">
        <f>[2]RequestList!$J548</f>
        <v>AOS返品伝票のステータスがおかしい</v>
      </c>
      <c r="Q547" s="65">
        <f>SUMIF(日報!$R:$R,TEXT(YEAR($Q$2),"0000")&amp;TEXT(MONTH($Q$2),"00")&amp;$O547,日報!$L:$L)</f>
        <v>0</v>
      </c>
      <c r="R547" s="65">
        <f ca="1">SUMIF(日報!$J:$J,$O547,日報!$L:$L)</f>
        <v>0</v>
      </c>
    </row>
    <row r="548" spans="10:18" x14ac:dyDescent="0.15">
      <c r="J548" s="7">
        <f>[3]業務定義!$J550</f>
        <v>0</v>
      </c>
      <c r="K548" s="7">
        <f>[3]業務定義!$A550</f>
        <v>0</v>
      </c>
      <c r="L548" s="208"/>
      <c r="M548" s="65">
        <f ca="1">SUMIF(日報!$P:$P,TEXT(YEAR($M$2),"0000")&amp;TEXT(MONTH($M$2),"00")&amp;$K548,日報!$L:$L)</f>
        <v>0</v>
      </c>
      <c r="O548" s="7" t="str">
        <f>"REQ"&amp;TEXT([2]RequestList!$A549,"0000")</f>
        <v>REQ22083</v>
      </c>
      <c r="P548" s="7" t="str">
        <f>[2]RequestList!$J549</f>
        <v>AOS日次チェック</v>
      </c>
      <c r="Q548" s="65">
        <f>SUMIF(日報!$R:$R,TEXT(YEAR($Q$2),"0000")&amp;TEXT(MONTH($Q$2),"00")&amp;$O548,日報!$L:$L)</f>
        <v>0</v>
      </c>
      <c r="R548" s="65">
        <f ca="1">SUMIF(日報!$J:$J,$O548,日報!$L:$L)</f>
        <v>0</v>
      </c>
    </row>
    <row r="549" spans="10:18" x14ac:dyDescent="0.15">
      <c r="J549" s="7">
        <f>[3]業務定義!$J551</f>
        <v>0</v>
      </c>
      <c r="K549" s="7">
        <f>[3]業務定義!$A551</f>
        <v>0</v>
      </c>
      <c r="L549" s="208"/>
      <c r="M549" s="65">
        <f ca="1">SUMIF(日報!$P:$P,TEXT(YEAR($M$2),"0000")&amp;TEXT(MONTH($M$2),"00")&amp;$K549,日報!$L:$L)</f>
        <v>0</v>
      </c>
      <c r="O549" s="7" t="str">
        <f>"REQ"&amp;TEXT([2]RequestList!$A550,"0000")</f>
        <v>REQ22084</v>
      </c>
      <c r="P549" s="7" t="str">
        <f>[2]RequestList!$J550</f>
        <v>[Incident] Salesデータ未連携</v>
      </c>
      <c r="Q549" s="65">
        <f>SUMIF(日報!$R:$R,TEXT(YEAR($Q$2),"0000")&amp;TEXT(MONTH($Q$2),"00")&amp;$O549,日報!$L:$L)</f>
        <v>0</v>
      </c>
      <c r="R549" s="65">
        <f ca="1">SUMIF(日報!$J:$J,$O549,日報!$L:$L)</f>
        <v>0</v>
      </c>
    </row>
    <row r="550" spans="10:18" x14ac:dyDescent="0.15">
      <c r="J550" s="7">
        <f>[3]業務定義!$J552</f>
        <v>0</v>
      </c>
      <c r="K550" s="7">
        <f>[3]業務定義!$A552</f>
        <v>0</v>
      </c>
      <c r="L550" s="208"/>
      <c r="M550" s="65">
        <f ca="1">SUMIF(日報!$P:$P,TEXT(YEAR($M$2),"0000")&amp;TEXT(MONTH($M$2),"00")&amp;$K550,日報!$L:$L)</f>
        <v>0</v>
      </c>
      <c r="O550" s="7" t="str">
        <f>"REQ"&amp;TEXT([2]RequestList!$A551,"0000")</f>
        <v>REQ22085</v>
      </c>
      <c r="P550" s="7" t="str">
        <f>[2]RequestList!$J551</f>
        <v>SubscriptionDashbaordのデータ抽出</v>
      </c>
      <c r="Q550" s="65">
        <f>SUMIF(日報!$R:$R,TEXT(YEAR($Q$2),"0000")&amp;TEXT(MONTH($Q$2),"00")&amp;$O550,日報!$L:$L)</f>
        <v>0</v>
      </c>
      <c r="R550" s="65">
        <f ca="1">SUMIF(日報!$J:$J,$O550,日報!$L:$L)</f>
        <v>0</v>
      </c>
    </row>
    <row r="551" spans="10:18" x14ac:dyDescent="0.15">
      <c r="J551" s="7">
        <f>[3]業務定義!$J553</f>
        <v>0</v>
      </c>
      <c r="K551" s="7">
        <f>[3]業務定義!$A553</f>
        <v>0</v>
      </c>
      <c r="L551" s="208"/>
      <c r="M551" s="65">
        <f ca="1">SUMIF(日報!$P:$P,TEXT(YEAR($M$2),"0000")&amp;TEXT(MONTH($M$2),"00")&amp;$K551,日報!$L:$L)</f>
        <v>0</v>
      </c>
      <c r="O551" s="7" t="str">
        <f>"REQ"&amp;TEXT([2]RequestList!$A552,"0000")</f>
        <v>REQ22086</v>
      </c>
      <c r="P551" s="7" t="str">
        <f>[2]RequestList!$J552</f>
        <v>[CR] EST_SHIP_CHARGE項目追加</v>
      </c>
      <c r="Q551" s="65">
        <f>SUMIF(日報!$R:$R,TEXT(YEAR($Q$2),"0000")&amp;TEXT(MONTH($Q$2),"00")&amp;$O551,日報!$L:$L)</f>
        <v>0</v>
      </c>
      <c r="R551" s="65">
        <f ca="1">SUMIF(日報!$J:$J,$O551,日報!$L:$L)</f>
        <v>0</v>
      </c>
    </row>
    <row r="552" spans="10:18" x14ac:dyDescent="0.15">
      <c r="J552" s="7">
        <f>[3]業務定義!$J554</f>
        <v>0</v>
      </c>
      <c r="K552" s="7">
        <f>[3]業務定義!$A554</f>
        <v>0</v>
      </c>
      <c r="L552" s="208"/>
      <c r="M552" s="65">
        <f ca="1">SUMIF(日報!$P:$P,TEXT(YEAR($M$2),"0000")&amp;TEXT(MONTH($M$2),"00")&amp;$K552,日報!$L:$L)</f>
        <v>0</v>
      </c>
      <c r="O552" s="7" t="str">
        <f>"REQ"&amp;TEXT([2]RequestList!$A553,"0000")</f>
        <v>REQ22087</v>
      </c>
      <c r="P552" s="7" t="str">
        <f>[2]RequestList!$J553</f>
        <v>ブランドマスタと品目マスタのJOINについて</v>
      </c>
      <c r="Q552" s="65">
        <f>SUMIF(日報!$R:$R,TEXT(YEAR($Q$2),"0000")&amp;TEXT(MONTH($Q$2),"00")&amp;$O552,日報!$L:$L)</f>
        <v>0</v>
      </c>
      <c r="R552" s="65">
        <f ca="1">SUMIF(日報!$J:$J,$O552,日報!$L:$L)</f>
        <v>0</v>
      </c>
    </row>
    <row r="553" spans="10:18" x14ac:dyDescent="0.15">
      <c r="J553" s="7">
        <f>[3]業務定義!$J555</f>
        <v>0</v>
      </c>
      <c r="K553" s="7">
        <f>[3]業務定義!$A555</f>
        <v>0</v>
      </c>
      <c r="L553" s="208"/>
      <c r="M553" s="65">
        <f ca="1">SUMIF(日報!$P:$P,TEXT(YEAR($M$2),"0000")&amp;TEXT(MONTH($M$2),"00")&amp;$K553,日報!$L:$L)</f>
        <v>0</v>
      </c>
      <c r="O553" s="7" t="str">
        <f>"REQ"&amp;TEXT([2]RequestList!$A554,"0000")</f>
        <v>REQ22088</v>
      </c>
      <c r="P553" s="7" t="str">
        <f>[2]RequestList!$J554</f>
        <v>[Inquery] 不明なchange freeze requestについて</v>
      </c>
      <c r="Q553" s="65">
        <f>SUMIF(日報!$R:$R,TEXT(YEAR($Q$2),"0000")&amp;TEXT(MONTH($Q$2),"00")&amp;$O553,日報!$L:$L)</f>
        <v>0</v>
      </c>
      <c r="R553" s="65">
        <f ca="1">SUMIF(日報!$J:$J,$O553,日報!$L:$L)</f>
        <v>0</v>
      </c>
    </row>
    <row r="554" spans="10:18" x14ac:dyDescent="0.15">
      <c r="J554" s="7">
        <f>[3]業務定義!$J556</f>
        <v>0</v>
      </c>
      <c r="K554" s="7">
        <f>[3]業務定義!$A556</f>
        <v>0</v>
      </c>
      <c r="L554" s="208"/>
      <c r="M554" s="65">
        <f ca="1">SUMIF(日報!$P:$P,TEXT(YEAR($M$2),"0000")&amp;TEXT(MONTH($M$2),"00")&amp;$K554,日報!$L:$L)</f>
        <v>0</v>
      </c>
      <c r="O554" s="7" t="str">
        <f>"REQ"&amp;TEXT([2]RequestList!$A555,"0000")</f>
        <v>REQ22089</v>
      </c>
      <c r="P554" s="7" t="str">
        <f>[2]RequestList!$J555</f>
        <v>WM2ARS_CSTMSバッチのImportエラー</v>
      </c>
      <c r="Q554" s="65">
        <f>SUMIF(日報!$R:$R,TEXT(YEAR($Q$2),"0000")&amp;TEXT(MONTH($Q$2),"00")&amp;$O554,日報!$L:$L)</f>
        <v>0</v>
      </c>
      <c r="R554" s="65">
        <f ca="1">SUMIF(日報!$J:$J,$O554,日報!$L:$L)</f>
        <v>0</v>
      </c>
    </row>
    <row r="555" spans="10:18" x14ac:dyDescent="0.15">
      <c r="J555" s="7">
        <f>[3]業務定義!$J557</f>
        <v>0</v>
      </c>
      <c r="K555" s="7">
        <f>[3]業務定義!$A557</f>
        <v>0</v>
      </c>
      <c r="L555" s="208"/>
      <c r="M555" s="65">
        <f ca="1">SUMIF(日報!$P:$P,TEXT(YEAR($M$2),"0000")&amp;TEXT(MONTH($M$2),"00")&amp;$K555,日報!$L:$L)</f>
        <v>0</v>
      </c>
      <c r="O555" s="7" t="str">
        <f>"REQ"&amp;TEXT([2]RequestList!$A556,"0000")</f>
        <v>REQ22090</v>
      </c>
      <c r="P555" s="7" t="str">
        <f>[2]RequestList!$J556</f>
        <v>購入時と異なるクレカが登録されている場合に返品による返金は可能か？</v>
      </c>
      <c r="Q555" s="65">
        <f>SUMIF(日報!$R:$R,TEXT(YEAR($Q$2),"0000")&amp;TEXT(MONTH($Q$2),"00")&amp;$O555,日報!$L:$L)</f>
        <v>0</v>
      </c>
      <c r="R555" s="65">
        <f ca="1">SUMIF(日報!$J:$J,$O555,日報!$L:$L)</f>
        <v>0</v>
      </c>
    </row>
    <row r="556" spans="10:18" x14ac:dyDescent="0.15">
      <c r="J556" s="7">
        <f>[3]業務定義!$J558</f>
        <v>0</v>
      </c>
      <c r="K556" s="7">
        <f>[3]業務定義!$A558</f>
        <v>0</v>
      </c>
      <c r="L556" s="208"/>
      <c r="M556" s="65">
        <f ca="1">SUMIF(日報!$P:$P,TEXT(YEAR($M$2),"0000")&amp;TEXT(MONTH($M$2),"00")&amp;$K556,日報!$L:$L)</f>
        <v>0</v>
      </c>
      <c r="O556" s="7" t="str">
        <f>"REQ"&amp;TEXT([2]RequestList!$A557,"0000")</f>
        <v>REQ22091</v>
      </c>
      <c r="P556" s="7" t="str">
        <f>[2]RequestList!$J557</f>
        <v>E-proお客様情報削除操作時のエラーメッセージについて</v>
      </c>
      <c r="Q556" s="65">
        <f>SUMIF(日報!$R:$R,TEXT(YEAR($Q$2),"0000")&amp;TEXT(MONTH($Q$2),"00")&amp;$O556,日報!$L:$L)</f>
        <v>0</v>
      </c>
      <c r="R556" s="65">
        <f ca="1">SUMIF(日報!$J:$J,$O556,日報!$L:$L)</f>
        <v>0</v>
      </c>
    </row>
    <row r="557" spans="10:18" x14ac:dyDescent="0.15">
      <c r="J557" s="7">
        <f>[3]業務定義!$J559</f>
        <v>0</v>
      </c>
      <c r="K557" s="7">
        <f>[3]業務定義!$A559</f>
        <v>0</v>
      </c>
      <c r="L557" s="208"/>
      <c r="M557" s="65">
        <f ca="1">SUMIF(日報!$P:$P,TEXT(YEAR($M$2),"0000")&amp;TEXT(MONTH($M$2),"00")&amp;$K557,日報!$L:$L)</f>
        <v>0</v>
      </c>
      <c r="O557" s="7" t="str">
        <f>"REQ"&amp;TEXT([2]RequestList!$A558,"0000")</f>
        <v>REQ22092</v>
      </c>
      <c r="P557" s="7" t="str">
        <f>[2]RequestList!$J558</f>
        <v>BI向けレポート不備</v>
      </c>
      <c r="Q557" s="65">
        <f>SUMIF(日報!$R:$R,TEXT(YEAR($Q$2),"0000")&amp;TEXT(MONTH($Q$2),"00")&amp;$O557,日報!$L:$L)</f>
        <v>0</v>
      </c>
      <c r="R557" s="65">
        <f ca="1">SUMIF(日報!$J:$J,$O557,日報!$L:$L)</f>
        <v>0</v>
      </c>
    </row>
    <row r="558" spans="10:18" x14ac:dyDescent="0.15">
      <c r="J558" s="7">
        <f>[3]業務定義!$J560</f>
        <v>0</v>
      </c>
      <c r="K558" s="7">
        <f>[3]業務定義!$A560</f>
        <v>0</v>
      </c>
      <c r="L558" s="208"/>
      <c r="M558" s="65">
        <f ca="1">SUMIF(日報!$P:$P,TEXT(YEAR($M$2),"0000")&amp;TEXT(MONTH($M$2),"00")&amp;$K558,日報!$L:$L)</f>
        <v>0</v>
      </c>
      <c r="O558" s="7" t="str">
        <f>"REQ"&amp;TEXT([2]RequestList!$A559,"0000")</f>
        <v>REQ22093</v>
      </c>
      <c r="P558" s="7" t="str">
        <f>[2]RequestList!$J559</f>
        <v>新リージョン創設に伴うMaster変更による影響範囲の確認</v>
      </c>
      <c r="Q558" s="65">
        <f>SUMIF(日報!$R:$R,TEXT(YEAR($Q$2),"0000")&amp;TEXT(MONTH($Q$2),"00")&amp;$O558,日報!$L:$L)</f>
        <v>0</v>
      </c>
      <c r="R558" s="65">
        <f ca="1">SUMIF(日報!$J:$J,$O558,日報!$L:$L)</f>
        <v>0</v>
      </c>
    </row>
    <row r="559" spans="10:18" x14ac:dyDescent="0.15">
      <c r="J559" s="7">
        <f>[3]業務定義!$J561</f>
        <v>0</v>
      </c>
      <c r="K559" s="7">
        <f>[3]業務定義!$A561</f>
        <v>0</v>
      </c>
      <c r="L559" s="208"/>
      <c r="M559" s="65">
        <f ca="1">SUMIF(日報!$P:$P,TEXT(YEAR($M$2),"0000")&amp;TEXT(MONTH($M$2),"00")&amp;$K559,日報!$L:$L)</f>
        <v>0</v>
      </c>
      <c r="O559" s="7" t="str">
        <f>"REQ"&amp;TEXT([2]RequestList!$A560,"0000")</f>
        <v>REQ22094</v>
      </c>
      <c r="P559" s="7" t="str">
        <f>[2]RequestList!$J560</f>
        <v>[Incident] SFMC未連携(7/20)</v>
      </c>
      <c r="Q559" s="65">
        <f>SUMIF(日報!$R:$R,TEXT(YEAR($Q$2),"0000")&amp;TEXT(MONTH($Q$2),"00")&amp;$O559,日報!$L:$L)</f>
        <v>0</v>
      </c>
      <c r="R559" s="65">
        <f ca="1">SUMIF(日報!$J:$J,$O559,日報!$L:$L)</f>
        <v>0</v>
      </c>
    </row>
    <row r="560" spans="10:18" x14ac:dyDescent="0.15">
      <c r="J560" s="7">
        <f>[3]業務定義!$J562</f>
        <v>0</v>
      </c>
      <c r="K560" s="7">
        <f>[3]業務定義!$A562</f>
        <v>0</v>
      </c>
      <c r="L560" s="208"/>
      <c r="M560" s="65">
        <f ca="1">SUMIF(日報!$P:$P,TEXT(YEAR($M$2),"0000")&amp;TEXT(MONTH($M$2),"00")&amp;$K560,日報!$L:$L)</f>
        <v>0</v>
      </c>
      <c r="O560" s="7" t="str">
        <f>"REQ"&amp;TEXT([2]RequestList!$A561,"0000")</f>
        <v>REQ22095</v>
      </c>
      <c r="P560" s="7" t="str">
        <f>[2]RequestList!$J561</f>
        <v>[Weekly Mtg] Analytics Weekly</v>
      </c>
      <c r="Q560" s="65">
        <f>SUMIF(日報!$R:$R,TEXT(YEAR($Q$2),"0000")&amp;TEXT(MONTH($Q$2),"00")&amp;$O560,日報!$L:$L)</f>
        <v>0</v>
      </c>
      <c r="R560" s="65">
        <f ca="1">SUMIF(日報!$J:$J,$O560,日報!$L:$L)</f>
        <v>0</v>
      </c>
    </row>
    <row r="561" spans="10:18" x14ac:dyDescent="0.15">
      <c r="J561" s="7">
        <f>[3]業務定義!$J563</f>
        <v>0</v>
      </c>
      <c r="K561" s="7">
        <f>[3]業務定義!$A563</f>
        <v>0</v>
      </c>
      <c r="L561" s="208"/>
      <c r="M561" s="65">
        <f ca="1">SUMIF(日報!$P:$P,TEXT(YEAR($M$2),"0000")&amp;TEXT(MONTH($M$2),"00")&amp;$K561,日報!$L:$L)</f>
        <v>0</v>
      </c>
      <c r="O561" s="7" t="str">
        <f>"REQ"&amp;TEXT([2]RequestList!$A562,"0000")</f>
        <v>REQ22096</v>
      </c>
      <c r="P561" s="7" t="str">
        <f>[2]RequestList!$J562</f>
        <v>Skywalker MBoX related issue</v>
      </c>
      <c r="Q561" s="65">
        <f>SUMIF(日報!$R:$R,TEXT(YEAR($Q$2),"0000")&amp;TEXT(MONTH($Q$2),"00")&amp;$O561,日報!$L:$L)</f>
        <v>0</v>
      </c>
      <c r="R561" s="65">
        <f ca="1">SUMIF(日報!$J:$J,$O561,日報!$L:$L)</f>
        <v>0</v>
      </c>
    </row>
    <row r="562" spans="10:18" x14ac:dyDescent="0.15">
      <c r="J562" s="7">
        <f>[3]業務定義!$J564</f>
        <v>0</v>
      </c>
      <c r="K562" s="7">
        <f>[3]業務定義!$A564</f>
        <v>0</v>
      </c>
      <c r="L562" s="208"/>
      <c r="M562" s="65">
        <f ca="1">SUMIF(日報!$P:$P,TEXT(YEAR($M$2),"0000")&amp;TEXT(MONTH($M$2),"00")&amp;$K562,日報!$L:$L)</f>
        <v>0</v>
      </c>
      <c r="O562" s="7" t="str">
        <f>"REQ"&amp;TEXT([2]RequestList!$A563,"0000")</f>
        <v>REQ22097</v>
      </c>
      <c r="P562" s="7" t="str">
        <f>[2]RequestList!$J563</f>
        <v>Cloudflare outage</v>
      </c>
      <c r="Q562" s="65">
        <f>SUMIF(日報!$R:$R,TEXT(YEAR($Q$2),"0000")&amp;TEXT(MONTH($Q$2),"00")&amp;$O562,日報!$L:$L)</f>
        <v>0</v>
      </c>
      <c r="R562" s="65">
        <f ca="1">SUMIF(日報!$J:$J,$O562,日報!$L:$L)</f>
        <v>0</v>
      </c>
    </row>
    <row r="563" spans="10:18" x14ac:dyDescent="0.15">
      <c r="J563" s="7">
        <f>[3]業務定義!$J565</f>
        <v>0</v>
      </c>
      <c r="K563" s="7">
        <f>[3]業務定義!$A565</f>
        <v>0</v>
      </c>
      <c r="L563" s="208"/>
      <c r="M563" s="65">
        <f ca="1">SUMIF(日報!$P:$P,TEXT(YEAR($M$2),"0000")&amp;TEXT(MONTH($M$2),"00")&amp;$K563,日報!$L:$L)</f>
        <v>0</v>
      </c>
      <c r="O563" s="7" t="str">
        <f>"REQ"&amp;TEXT([2]RequestList!$A564,"0000")</f>
        <v>REQ22098</v>
      </c>
      <c r="P563" s="7" t="str">
        <f>[2]RequestList!$J564</f>
        <v xml:space="preserve">Modification Request for Tableau Report </v>
      </c>
      <c r="Q563" s="65">
        <f>SUMIF(日報!$R:$R,TEXT(YEAR($Q$2),"0000")&amp;TEXT(MONTH($Q$2),"00")&amp;$O563,日報!$L:$L)</f>
        <v>0</v>
      </c>
      <c r="R563" s="65">
        <f ca="1">SUMIF(日報!$J:$J,$O563,日報!$L:$L)</f>
        <v>0</v>
      </c>
    </row>
    <row r="564" spans="10:18" x14ac:dyDescent="0.15">
      <c r="J564" s="7">
        <f>[3]業務定義!$J566</f>
        <v>0</v>
      </c>
      <c r="K564" s="7">
        <f>[3]業務定義!$A566</f>
        <v>0</v>
      </c>
      <c r="L564" s="208"/>
      <c r="M564" s="65">
        <f ca="1">SUMIF(日報!$P:$P,TEXT(YEAR($M$2),"0000")&amp;TEXT(MONTH($M$2),"00")&amp;$K564,日報!$L:$L)</f>
        <v>0</v>
      </c>
      <c r="O564" s="7" t="str">
        <f>"REQ"&amp;TEXT([2]RequestList!$A565,"0000")</f>
        <v>REQ22099</v>
      </c>
      <c r="P564" s="7" t="str">
        <f>[2]RequestList!$J565</f>
        <v>SFMC障害連絡について</v>
      </c>
      <c r="Q564" s="65">
        <f>SUMIF(日報!$R:$R,TEXT(YEAR($Q$2),"0000")&amp;TEXT(MONTH($Q$2),"00")&amp;$O564,日報!$L:$L)</f>
        <v>0</v>
      </c>
      <c r="R564" s="65">
        <f ca="1">SUMIF(日報!$J:$J,$O564,日報!$L:$L)</f>
        <v>0</v>
      </c>
    </row>
    <row r="565" spans="10:18" x14ac:dyDescent="0.15">
      <c r="J565" s="7">
        <f>[3]業務定義!$J567</f>
        <v>0</v>
      </c>
      <c r="K565" s="7">
        <f>[3]業務定義!$A567</f>
        <v>0</v>
      </c>
      <c r="L565" s="208"/>
      <c r="M565" s="65">
        <f ca="1">SUMIF(日報!$P:$P,TEXT(YEAR($M$2),"0000")&amp;TEXT(MONTH($M$2),"00")&amp;$K565,日報!$L:$L)</f>
        <v>0</v>
      </c>
      <c r="O565" s="7" t="str">
        <f>"REQ"&amp;TEXT([2]RequestList!$A566,"0000")</f>
        <v>REQ22100</v>
      </c>
      <c r="P565" s="7" t="str">
        <f>[2]RequestList!$J566</f>
        <v>定業作業自動化について</v>
      </c>
      <c r="Q565" s="65">
        <f>SUMIF(日報!$R:$R,TEXT(YEAR($Q$2),"0000")&amp;TEXT(MONTH($Q$2),"00")&amp;$O565,日報!$L:$L)</f>
        <v>0</v>
      </c>
      <c r="R565" s="65">
        <f ca="1">SUMIF(日報!$J:$J,$O565,日報!$L:$L)</f>
        <v>0</v>
      </c>
    </row>
    <row r="566" spans="10:18" x14ac:dyDescent="0.15">
      <c r="J566" s="7">
        <f>[3]業務定義!$J568</f>
        <v>0</v>
      </c>
      <c r="K566" s="7">
        <f>[3]業務定義!$A568</f>
        <v>0</v>
      </c>
      <c r="L566" s="208"/>
      <c r="M566" s="65">
        <f ca="1">SUMIF(日報!$P:$P,TEXT(YEAR($M$2),"0000")&amp;TEXT(MONTH($M$2),"00")&amp;$K566,日報!$L:$L)</f>
        <v>0</v>
      </c>
      <c r="O566" s="7" t="str">
        <f>"REQ"&amp;TEXT([2]RequestList!$A567,"0000")</f>
        <v>REQ22101</v>
      </c>
      <c r="P566" s="7" t="str">
        <f>[2]RequestList!$J567</f>
        <v xml:space="preserve">ARSアカウントの登録依頼
</v>
      </c>
      <c r="Q566" s="65">
        <f>SUMIF(日報!$R:$R,TEXT(YEAR($Q$2),"0000")&amp;TEXT(MONTH($Q$2),"00")&amp;$O566,日報!$L:$L)</f>
        <v>0</v>
      </c>
      <c r="R566" s="65">
        <f ca="1">SUMIF(日報!$J:$J,$O566,日報!$L:$L)</f>
        <v>0</v>
      </c>
    </row>
    <row r="567" spans="10:18" x14ac:dyDescent="0.15">
      <c r="J567" s="7">
        <f>[3]業務定義!$J569</f>
        <v>0</v>
      </c>
      <c r="K567" s="7">
        <f>[3]業務定義!$A569</f>
        <v>0</v>
      </c>
      <c r="L567" s="208"/>
      <c r="M567" s="65">
        <f ca="1">SUMIF(日報!$P:$P,TEXT(YEAR($M$2),"0000")&amp;TEXT(MONTH($M$2),"00")&amp;$K567,日報!$L:$L)</f>
        <v>0</v>
      </c>
      <c r="O567" s="7" t="str">
        <f>"REQ"&amp;TEXT([2]RequestList!$A568,"0000")</f>
        <v>REQ22102</v>
      </c>
      <c r="P567" s="7" t="str">
        <f>[2]RequestList!$J568</f>
        <v>Talendの処理のロジック変更</v>
      </c>
      <c r="Q567" s="65">
        <f>SUMIF(日報!$R:$R,TEXT(YEAR($Q$2),"0000")&amp;TEXT(MONTH($Q$2),"00")&amp;$O567,日報!$L:$L)</f>
        <v>0</v>
      </c>
      <c r="R567" s="65">
        <f ca="1">SUMIF(日報!$J:$J,$O567,日報!$L:$L)</f>
        <v>0</v>
      </c>
    </row>
    <row r="568" spans="10:18" x14ac:dyDescent="0.15">
      <c r="J568" s="7">
        <f>[3]業務定義!$J570</f>
        <v>0</v>
      </c>
      <c r="K568" s="7">
        <f>[3]業務定義!$A570</f>
        <v>0</v>
      </c>
      <c r="L568" s="208"/>
      <c r="M568" s="65">
        <f ca="1">SUMIF(日報!$P:$P,TEXT(YEAR($M$2),"0000")&amp;TEXT(MONTH($M$2),"00")&amp;$K568,日報!$L:$L)</f>
        <v>0</v>
      </c>
      <c r="O568" s="7" t="str">
        <f>"REQ"&amp;TEXT([2]RequestList!$A569,"0000")</f>
        <v>REQ22103</v>
      </c>
      <c r="P568" s="7" t="str">
        <f>[2]RequestList!$J569</f>
        <v>Callオブジェクトの検証について</v>
      </c>
      <c r="Q568" s="65">
        <f>SUMIF(日報!$R:$R,TEXT(YEAR($Q$2),"0000")&amp;TEXT(MONTH($Q$2),"00")&amp;$O568,日報!$L:$L)</f>
        <v>0</v>
      </c>
      <c r="R568" s="65">
        <f ca="1">SUMIF(日報!$J:$J,$O568,日報!$L:$L)</f>
        <v>0</v>
      </c>
    </row>
    <row r="569" spans="10:18" x14ac:dyDescent="0.15">
      <c r="J569" s="7">
        <f>[3]業務定義!$J571</f>
        <v>0</v>
      </c>
      <c r="K569" s="7">
        <f>[3]業務定義!$A571</f>
        <v>0</v>
      </c>
      <c r="L569" s="208"/>
      <c r="M569" s="65">
        <f ca="1">SUMIF(日報!$P:$P,TEXT(YEAR($M$2),"0000")&amp;TEXT(MONTH($M$2),"00")&amp;$K569,日報!$L:$L)</f>
        <v>0</v>
      </c>
      <c r="O569" s="7" t="str">
        <f>"REQ"&amp;TEXT([2]RequestList!$A570,"0000")</f>
        <v>REQ22104</v>
      </c>
      <c r="P569" s="7" t="str">
        <f>[2]RequestList!$J570</f>
        <v>Initial Stock Orderのメールが届いていない</v>
      </c>
      <c r="Q569" s="65">
        <f>SUMIF(日報!$R:$R,TEXT(YEAR($Q$2),"0000")&amp;TEXT(MONTH($Q$2),"00")&amp;$O569,日報!$L:$L)</f>
        <v>0</v>
      </c>
      <c r="R569" s="65">
        <f ca="1">SUMIF(日報!$J:$J,$O569,日報!$L:$L)</f>
        <v>0</v>
      </c>
    </row>
    <row r="570" spans="10:18" x14ac:dyDescent="0.15">
      <c r="J570" s="7">
        <f>[3]業務定義!$J572</f>
        <v>0</v>
      </c>
      <c r="K570" s="7">
        <f>[3]業務定義!$A572</f>
        <v>0</v>
      </c>
      <c r="L570" s="208"/>
      <c r="M570" s="65">
        <f ca="1">SUMIF(日報!$P:$P,TEXT(YEAR($M$2),"0000")&amp;TEXT(MONTH($M$2),"00")&amp;$K570,日報!$L:$L)</f>
        <v>0</v>
      </c>
      <c r="O570" s="7" t="str">
        <f>"REQ"&amp;TEXT([2]RequestList!$A571,"0000")</f>
        <v>REQ22105</v>
      </c>
      <c r="P570" s="7" t="str">
        <f>[2]RequestList!$J571</f>
        <v>SFDCアカウント申請内容の詳細確認</v>
      </c>
      <c r="Q570" s="65">
        <f>SUMIF(日報!$R:$R,TEXT(YEAR($Q$2),"0000")&amp;TEXT(MONTH($Q$2),"00")&amp;$O570,日報!$L:$L)</f>
        <v>0</v>
      </c>
      <c r="R570" s="65">
        <f ca="1">SUMIF(日報!$J:$J,$O570,日報!$L:$L)</f>
        <v>0</v>
      </c>
    </row>
    <row r="571" spans="10:18" x14ac:dyDescent="0.15">
      <c r="J571" s="7">
        <f>[3]業務定義!$J573</f>
        <v>0</v>
      </c>
      <c r="K571" s="7">
        <f>[3]業務定義!$A573</f>
        <v>0</v>
      </c>
      <c r="L571" s="208"/>
      <c r="M571" s="65">
        <f ca="1">SUMIF(日報!$P:$P,TEXT(YEAR($M$2),"0000")&amp;TEXT(MONTH($M$2),"00")&amp;$K571,日報!$L:$L)</f>
        <v>0</v>
      </c>
      <c r="O571" s="7" t="str">
        <f>"REQ"&amp;TEXT([2]RequestList!$A572,"0000")</f>
        <v>REQ22106</v>
      </c>
      <c r="P571" s="7" t="str">
        <f>[2]RequestList!$J572</f>
        <v>レコードタイプStaffおよび職種Drの情報について</v>
      </c>
      <c r="Q571" s="65">
        <f>SUMIF(日報!$R:$R,TEXT(YEAR($Q$2),"0000")&amp;TEXT(MONTH($Q$2),"00")&amp;$O571,日報!$L:$L)</f>
        <v>0</v>
      </c>
      <c r="R571" s="65">
        <f ca="1">SUMIF(日報!$J:$J,$O571,日報!$L:$L)</f>
        <v>0</v>
      </c>
    </row>
    <row r="572" spans="10:18" x14ac:dyDescent="0.15">
      <c r="J572" s="7">
        <f>[3]業務定義!$J574</f>
        <v>0</v>
      </c>
      <c r="K572" s="7">
        <f>[3]業務定義!$A574</f>
        <v>0</v>
      </c>
      <c r="L572" s="208"/>
      <c r="M572" s="65">
        <f ca="1">SUMIF(日報!$P:$P,TEXT(YEAR($M$2),"0000")&amp;TEXT(MONTH($M$2),"00")&amp;$K572,日報!$L:$L)</f>
        <v>0</v>
      </c>
      <c r="O572" s="7" t="str">
        <f>"REQ"&amp;TEXT([2]RequestList!$A573,"0000")</f>
        <v>REQ22107</v>
      </c>
      <c r="P572" s="7" t="str">
        <f>[2]RequestList!$J573</f>
        <v>訪問禁止フラグについて</v>
      </c>
      <c r="Q572" s="65">
        <f>SUMIF(日報!$R:$R,TEXT(YEAR($Q$2),"0000")&amp;TEXT(MONTH($Q$2),"00")&amp;$O572,日報!$L:$L)</f>
        <v>0</v>
      </c>
      <c r="R572" s="65">
        <f ca="1">SUMIF(日報!$J:$J,$O572,日報!$L:$L)</f>
        <v>0</v>
      </c>
    </row>
    <row r="573" spans="10:18" x14ac:dyDescent="0.15">
      <c r="J573" s="7">
        <f>[3]業務定義!$J575</f>
        <v>0</v>
      </c>
      <c r="K573" s="7">
        <f>[3]業務定義!$A575</f>
        <v>0</v>
      </c>
      <c r="L573" s="208"/>
      <c r="M573" s="65">
        <f ca="1">SUMIF(日報!$P:$P,TEXT(YEAR($M$2),"0000")&amp;TEXT(MONTH($M$2),"00")&amp;$K573,日報!$L:$L)</f>
        <v>0</v>
      </c>
      <c r="O573" s="7" t="str">
        <f>"REQ"&amp;TEXT([2]RequestList!$A574,"0000")</f>
        <v>REQ22108</v>
      </c>
      <c r="P573" s="7" t="str">
        <f>[2]RequestList!$J574</f>
        <v>SFDCのデータ連携タイミングについて</v>
      </c>
      <c r="Q573" s="65">
        <f>SUMIF(日報!$R:$R,TEXT(YEAR($Q$2),"0000")&amp;TEXT(MONTH($Q$2),"00")&amp;$O573,日報!$L:$L)</f>
        <v>0</v>
      </c>
      <c r="R573" s="65">
        <f ca="1">SUMIF(日報!$J:$J,$O573,日報!$L:$L)</f>
        <v>0</v>
      </c>
    </row>
    <row r="574" spans="10:18" x14ac:dyDescent="0.15">
      <c r="J574" s="7">
        <f>[3]業務定義!$J576</f>
        <v>0</v>
      </c>
      <c r="K574" s="7">
        <f>[3]業務定義!$A576</f>
        <v>0</v>
      </c>
      <c r="L574" s="208"/>
      <c r="M574" s="65">
        <f ca="1">SUMIF(日報!$P:$P,TEXT(YEAR($M$2),"0000")&amp;TEXT(MONTH($M$2),"00")&amp;$K574,日報!$L:$L)</f>
        <v>0</v>
      </c>
      <c r="O574" s="7" t="str">
        <f>"REQ"&amp;TEXT([2]RequestList!$A575,"0000")</f>
        <v>REQ22109</v>
      </c>
      <c r="P574" s="7" t="str">
        <f>[2]RequestList!$J575</f>
        <v>SFDC PLO Mtg</v>
      </c>
      <c r="Q574" s="65">
        <f>SUMIF(日報!$R:$R,TEXT(YEAR($Q$2),"0000")&amp;TEXT(MONTH($Q$2),"00")&amp;$O574,日報!$L:$L)</f>
        <v>0</v>
      </c>
      <c r="R574" s="65">
        <f ca="1">SUMIF(日報!$J:$J,$O574,日報!$L:$L)</f>
        <v>0</v>
      </c>
    </row>
    <row r="575" spans="10:18" x14ac:dyDescent="0.15">
      <c r="J575" s="7">
        <f>[3]業務定義!$J577</f>
        <v>0</v>
      </c>
      <c r="K575" s="7">
        <f>[3]業務定義!$A577</f>
        <v>0</v>
      </c>
      <c r="L575" s="208"/>
      <c r="M575" s="65">
        <f ca="1">SUMIF(日報!$P:$P,TEXT(YEAR($M$2),"0000")&amp;TEXT(MONTH($M$2),"00")&amp;$K575,日報!$L:$L)</f>
        <v>0</v>
      </c>
      <c r="O575" s="7" t="str">
        <f>"REQ"&amp;TEXT([2]RequestList!$A576,"0000")</f>
        <v>REQ22110</v>
      </c>
      <c r="P575" s="7" t="str">
        <f>[2]RequestList!$J576</f>
        <v>POP Orderについての連携検証</v>
      </c>
      <c r="Q575" s="65">
        <f>SUMIF(日報!$R:$R,TEXT(YEAR($Q$2),"0000")&amp;TEXT(MONTH($Q$2),"00")&amp;$O575,日報!$L:$L)</f>
        <v>0</v>
      </c>
      <c r="R575" s="65">
        <f ca="1">SUMIF(日報!$J:$J,$O575,日報!$L:$L)</f>
        <v>0</v>
      </c>
    </row>
    <row r="576" spans="10:18" x14ac:dyDescent="0.15">
      <c r="J576" s="7">
        <f>[3]業務定義!$J578</f>
        <v>0</v>
      </c>
      <c r="K576" s="7">
        <f>[3]業務定義!$A578</f>
        <v>0</v>
      </c>
      <c r="L576" s="208"/>
      <c r="M576" s="65">
        <f ca="1">SUMIF(日報!$P:$P,TEXT(YEAR($M$2),"0000")&amp;TEXT(MONTH($M$2),"00")&amp;$K576,日報!$L:$L)</f>
        <v>0</v>
      </c>
      <c r="O576" s="7" t="str">
        <f>"REQ"&amp;TEXT([2]RequestList!$A577,"0000")</f>
        <v>REQ22111</v>
      </c>
      <c r="P576" s="7" t="str">
        <f>[2]RequestList!$J577</f>
        <v>得意先の定期便フラグについて</v>
      </c>
      <c r="Q576" s="65">
        <f>SUMIF(日報!$R:$R,TEXT(YEAR($Q$2),"0000")&amp;TEXT(MONTH($Q$2),"00")&amp;$O576,日報!$L:$L)</f>
        <v>0</v>
      </c>
      <c r="R576" s="65">
        <f ca="1">SUMIF(日報!$J:$J,$O576,日報!$L:$L)</f>
        <v>0</v>
      </c>
    </row>
    <row r="577" spans="10:18" x14ac:dyDescent="0.15">
      <c r="J577" s="7">
        <f>[3]業務定義!$J579</f>
        <v>0</v>
      </c>
      <c r="K577" s="7">
        <f>[3]業務定義!$A579</f>
        <v>0</v>
      </c>
      <c r="L577" s="208"/>
      <c r="M577" s="65">
        <f ca="1">SUMIF(日報!$P:$P,TEXT(YEAR($M$2),"0000")&amp;TEXT(MONTH($M$2),"00")&amp;$K577,日報!$L:$L)</f>
        <v>0</v>
      </c>
      <c r="O577" s="7" t="str">
        <f>"REQ"&amp;TEXT([2]RequestList!$A578,"0000")</f>
        <v>REQ22112</v>
      </c>
      <c r="P577" s="7" t="str">
        <f>[2]RequestList!$J578</f>
        <v>Ultmarcデータに関する擦り合わせMtg</v>
      </c>
      <c r="Q577" s="65">
        <f>SUMIF(日報!$R:$R,TEXT(YEAR($Q$2),"0000")&amp;TEXT(MONTH($Q$2),"00")&amp;$O577,日報!$L:$L)</f>
        <v>0</v>
      </c>
      <c r="R577" s="65">
        <f ca="1">SUMIF(日報!$J:$J,$O577,日報!$L:$L)</f>
        <v>0</v>
      </c>
    </row>
    <row r="578" spans="10:18" x14ac:dyDescent="0.15">
      <c r="J578" s="7">
        <f>[3]業務定義!$J580</f>
        <v>0</v>
      </c>
      <c r="K578" s="7">
        <f>[3]業務定義!$A580</f>
        <v>0</v>
      </c>
      <c r="L578" s="208"/>
      <c r="M578" s="65">
        <f ca="1">SUMIF(日報!$P:$P,TEXT(YEAR($M$2),"0000")&amp;TEXT(MONTH($M$2),"00")&amp;$K578,日報!$L:$L)</f>
        <v>0</v>
      </c>
      <c r="O578" s="7" t="str">
        <f>"REQ"&amp;TEXT([2]RequestList!$A579,"0000")</f>
        <v>REQ22113</v>
      </c>
      <c r="P578" s="7" t="str">
        <f>[2]RequestList!$J579</f>
        <v>SFDCアカウントのプロファイルおよびロールの確認</v>
      </c>
      <c r="Q578" s="65">
        <f>SUMIF(日報!$R:$R,TEXT(YEAR($Q$2),"0000")&amp;TEXT(MONTH($Q$2),"00")&amp;$O578,日報!$L:$L)</f>
        <v>0</v>
      </c>
      <c r="R578" s="65">
        <f ca="1">SUMIF(日報!$J:$J,$O578,日報!$L:$L)</f>
        <v>0</v>
      </c>
    </row>
    <row r="579" spans="10:18" x14ac:dyDescent="0.15">
      <c r="J579" s="7">
        <f>[3]業務定義!$J581</f>
        <v>0</v>
      </c>
      <c r="K579" s="7">
        <f>[3]業務定義!$A581</f>
        <v>0</v>
      </c>
      <c r="L579" s="208"/>
      <c r="M579" s="65">
        <f ca="1">SUMIF(日報!$P:$P,TEXT(YEAR($M$2),"0000")&amp;TEXT(MONTH($M$2),"00")&amp;$K579,日報!$L:$L)</f>
        <v>0</v>
      </c>
      <c r="O579" s="7" t="str">
        <f>"REQ"&amp;TEXT([2]RequestList!$A580,"0000")</f>
        <v>REQ22114</v>
      </c>
      <c r="P579" s="7" t="str">
        <f>[2]RequestList!$J580</f>
        <v>データインポートウィザードに関するMtg</v>
      </c>
      <c r="Q579" s="65">
        <f>SUMIF(日報!$R:$R,TEXT(YEAR($Q$2),"0000")&amp;TEXT(MONTH($Q$2),"00")&amp;$O579,日報!$L:$L)</f>
        <v>0</v>
      </c>
      <c r="R579" s="65">
        <f ca="1">SUMIF(日報!$J:$J,$O579,日報!$L:$L)</f>
        <v>0</v>
      </c>
    </row>
    <row r="580" spans="10:18" x14ac:dyDescent="0.15">
      <c r="J580" s="7">
        <f>[3]業務定義!$J582</f>
        <v>0</v>
      </c>
      <c r="K580" s="7">
        <f>[3]業務定義!$A582</f>
        <v>0</v>
      </c>
      <c r="L580" s="208"/>
      <c r="M580" s="65">
        <f ca="1">SUMIF(日報!$P:$P,TEXT(YEAR($M$2),"0000")&amp;TEXT(MONTH($M$2),"00")&amp;$K580,日報!$L:$L)</f>
        <v>0</v>
      </c>
      <c r="O580" s="7" t="str">
        <f>"REQ"&amp;TEXT([2]RequestList!$A581,"0000")</f>
        <v>REQ22115</v>
      </c>
      <c r="P580" s="7" t="str">
        <f>[2]RequestList!$J581</f>
        <v>SAM/RAMが新規得意先申請を作成する際にエラーが表示された</v>
      </c>
      <c r="Q580" s="65">
        <f>SUMIF(日報!$R:$R,TEXT(YEAR($Q$2),"0000")&amp;TEXT(MONTH($Q$2),"00")&amp;$O580,日報!$L:$L)</f>
        <v>0</v>
      </c>
      <c r="R580" s="65">
        <f ca="1">SUMIF(日報!$J:$J,$O580,日報!$L:$L)</f>
        <v>0</v>
      </c>
    </row>
    <row r="581" spans="10:18" x14ac:dyDescent="0.15">
      <c r="J581" s="7">
        <f>[3]業務定義!$J583</f>
        <v>0</v>
      </c>
      <c r="K581" s="7">
        <f>[3]業務定義!$A583</f>
        <v>0</v>
      </c>
      <c r="L581" s="208"/>
      <c r="M581" s="65">
        <f ca="1">SUMIF(日報!$P:$P,TEXT(YEAR($M$2),"0000")&amp;TEXT(MONTH($M$2),"00")&amp;$K581,日報!$L:$L)</f>
        <v>0</v>
      </c>
      <c r="O581" s="7" t="str">
        <f>"REQ"&amp;TEXT([2]RequestList!$A582,"0000")</f>
        <v>REQ22116</v>
      </c>
      <c r="P581" s="7" t="str">
        <f>[2]RequestList!$J582</f>
        <v>IFListの更新について</v>
      </c>
      <c r="Q581" s="65">
        <f>SUMIF(日報!$R:$R,TEXT(YEAR($Q$2),"0000")&amp;TEXT(MONTH($Q$2),"00")&amp;$O581,日報!$L:$L)</f>
        <v>0</v>
      </c>
      <c r="R581" s="65">
        <f ca="1">SUMIF(日報!$J:$J,$O581,日報!$L:$L)</f>
        <v>0</v>
      </c>
    </row>
    <row r="582" spans="10:18" x14ac:dyDescent="0.15">
      <c r="J582" s="7">
        <f>[3]業務定義!$J584</f>
        <v>0</v>
      </c>
      <c r="K582" s="7">
        <f>[3]業務定義!$A584</f>
        <v>0</v>
      </c>
      <c r="L582" s="208"/>
      <c r="M582" s="65">
        <f ca="1">SUMIF(日報!$P:$P,TEXT(YEAR($M$2),"0000")&amp;TEXT(MONTH($M$2),"00")&amp;$K582,日報!$L:$L)</f>
        <v>0</v>
      </c>
      <c r="O582" s="7" t="str">
        <f>"REQ"&amp;TEXT([2]RequestList!$A583,"0000")</f>
        <v>REQ22117</v>
      </c>
      <c r="P582" s="7" t="str">
        <f>[2]RequestList!$J583</f>
        <v>リージョン変更対応に伴う影響について</v>
      </c>
      <c r="Q582" s="65">
        <f>SUMIF(日報!$R:$R,TEXT(YEAR($Q$2),"0000")&amp;TEXT(MONTH($Q$2),"00")&amp;$O582,日報!$L:$L)</f>
        <v>0</v>
      </c>
      <c r="R582" s="65">
        <f ca="1">SUMIF(日報!$J:$J,$O582,日報!$L:$L)</f>
        <v>0</v>
      </c>
    </row>
    <row r="583" spans="10:18" x14ac:dyDescent="0.15">
      <c r="J583" s="7">
        <f>[3]業務定義!$J585</f>
        <v>0</v>
      </c>
      <c r="K583" s="7">
        <f>[3]業務定義!$A585</f>
        <v>0</v>
      </c>
      <c r="L583" s="208"/>
      <c r="M583" s="65">
        <f ca="1">SUMIF(日報!$P:$P,TEXT(YEAR($M$2),"0000")&amp;TEXT(MONTH($M$2),"00")&amp;$K583,日報!$L:$L)</f>
        <v>0</v>
      </c>
      <c r="O583" s="7" t="str">
        <f>"REQ"&amp;TEXT([2]RequestList!$A584,"0000")</f>
        <v>REQ22118</v>
      </c>
      <c r="P583" s="7" t="str">
        <f>[2]RequestList!$J584</f>
        <v>Copy&amp;Pasteの修正および大隈さんへのCpy&amp;Pasteについての利用方法回答</v>
      </c>
      <c r="Q583" s="65">
        <f>SUMIF(日報!$R:$R,TEXT(YEAR($Q$2),"0000")&amp;TEXT(MONTH($Q$2),"00")&amp;$O583,日報!$L:$L)</f>
        <v>0</v>
      </c>
      <c r="R583" s="65">
        <f ca="1">SUMIF(日報!$J:$J,$O583,日報!$L:$L)</f>
        <v>0</v>
      </c>
    </row>
    <row r="584" spans="10:18" x14ac:dyDescent="0.15">
      <c r="J584" s="7">
        <f>[3]業務定義!$J586</f>
        <v>0</v>
      </c>
      <c r="K584" s="7">
        <f>[3]業務定義!$A586</f>
        <v>0</v>
      </c>
      <c r="L584" s="208"/>
      <c r="M584" s="65">
        <f ca="1">SUMIF(日報!$P:$P,TEXT(YEAR($M$2),"0000")&amp;TEXT(MONTH($M$2),"00")&amp;$K584,日報!$L:$L)</f>
        <v>0</v>
      </c>
      <c r="O584" s="7" t="str">
        <f>"REQ"&amp;TEXT([2]RequestList!$A585,"0000")</f>
        <v>REQ22119</v>
      </c>
      <c r="P584" s="7" t="str">
        <f>[2]RequestList!$J585</f>
        <v>SFDC→SAP POP Order IFの変更について</v>
      </c>
      <c r="Q584" s="65">
        <f>SUMIF(日報!$R:$R,TEXT(YEAR($Q$2),"0000")&amp;TEXT(MONTH($Q$2),"00")&amp;$O584,日報!$L:$L)</f>
        <v>0</v>
      </c>
      <c r="R584" s="65">
        <f ca="1">SUMIF(日報!$J:$J,$O584,日報!$L:$L)</f>
        <v>0</v>
      </c>
    </row>
    <row r="585" spans="10:18" x14ac:dyDescent="0.15">
      <c r="J585" s="7">
        <f>[3]業務定義!$J587</f>
        <v>0</v>
      </c>
      <c r="K585" s="7">
        <f>[3]業務定義!$A587</f>
        <v>0</v>
      </c>
      <c r="L585" s="208"/>
      <c r="M585" s="65">
        <f ca="1">SUMIF(日報!$P:$P,TEXT(YEAR($M$2),"0000")&amp;TEXT(MONTH($M$2),"00")&amp;$K585,日報!$L:$L)</f>
        <v>0</v>
      </c>
      <c r="O585" s="7" t="str">
        <f>"REQ"&amp;TEXT([2]RequestList!$A586,"0000")</f>
        <v>REQ22120</v>
      </c>
      <c r="P585" s="7" t="str">
        <f>[2]RequestList!$J586</f>
        <v>SAアカウントのパスワードが自分で変更できない</v>
      </c>
      <c r="Q585" s="65">
        <f>SUMIF(日報!$R:$R,TEXT(YEAR($Q$2),"0000")&amp;TEXT(MONTH($Q$2),"00")&amp;$O585,日報!$L:$L)</f>
        <v>0</v>
      </c>
      <c r="R585" s="65">
        <f ca="1">SUMIF(日報!$J:$J,$O585,日報!$L:$L)</f>
        <v>0</v>
      </c>
    </row>
    <row r="586" spans="10:18" x14ac:dyDescent="0.15">
      <c r="J586" s="7">
        <f>[3]業務定義!$J588</f>
        <v>0</v>
      </c>
      <c r="K586" s="7">
        <f>[3]業務定義!$A588</f>
        <v>0</v>
      </c>
      <c r="L586" s="208"/>
      <c r="M586" s="65">
        <f ca="1">SUMIF(日報!$P:$P,TEXT(YEAR($M$2),"0000")&amp;TEXT(MONTH($M$2),"00")&amp;$K586,日報!$L:$L)</f>
        <v>0</v>
      </c>
      <c r="O586" s="7" t="str">
        <f>"REQ"&amp;TEXT([2]RequestList!$A587,"0000")</f>
        <v>REQ22121</v>
      </c>
      <c r="P586" s="7" t="str">
        <f>[2]RequestList!$J587</f>
        <v>POP Orderの連携について</v>
      </c>
      <c r="Q586" s="65">
        <f>SUMIF(日報!$R:$R,TEXT(YEAR($Q$2),"0000")&amp;TEXT(MONTH($Q$2),"00")&amp;$O586,日報!$L:$L)</f>
        <v>0</v>
      </c>
      <c r="R586" s="65">
        <f ca="1">SUMIF(日報!$J:$J,$O586,日報!$L:$L)</f>
        <v>0</v>
      </c>
    </row>
    <row r="587" spans="10:18" x14ac:dyDescent="0.15">
      <c r="J587" s="7">
        <f>[3]業務定義!$J589</f>
        <v>0</v>
      </c>
      <c r="K587" s="7">
        <f>[3]業務定義!$A589</f>
        <v>0</v>
      </c>
      <c r="L587" s="208"/>
      <c r="M587" s="65">
        <f ca="1">SUMIF(日報!$P:$P,TEXT(YEAR($M$2),"0000")&amp;TEXT(MONTH($M$2),"00")&amp;$K587,日報!$L:$L)</f>
        <v>0</v>
      </c>
      <c r="O587" s="7" t="str">
        <f>"REQ"&amp;TEXT([2]RequestList!$A588,"0000")</f>
        <v>REQ22122</v>
      </c>
      <c r="P587" s="7" t="str">
        <f>[2]RequestList!$J588</f>
        <v>TritonAの価格データの確認</v>
      </c>
      <c r="Q587" s="65">
        <f>SUMIF(日報!$R:$R,TEXT(YEAR($Q$2),"0000")&amp;TEXT(MONTH($Q$2),"00")&amp;$O587,日報!$L:$L)</f>
        <v>0</v>
      </c>
      <c r="R587" s="65">
        <f ca="1">SUMIF(日報!$J:$J,$O587,日報!$L:$L)</f>
        <v>0</v>
      </c>
    </row>
    <row r="588" spans="10:18" x14ac:dyDescent="0.15">
      <c r="J588" s="7">
        <f>[3]業務定義!$J590</f>
        <v>0</v>
      </c>
      <c r="K588" s="7">
        <f>[3]業務定義!$A590</f>
        <v>0</v>
      </c>
      <c r="L588" s="208"/>
      <c r="M588" s="65">
        <f ca="1">SUMIF(日報!$P:$P,TEXT(YEAR($M$2),"0000")&amp;TEXT(MONTH($M$2),"00")&amp;$K588,日報!$L:$L)</f>
        <v>0</v>
      </c>
      <c r="O588" s="7" t="str">
        <f>"REQ"&amp;TEXT([2]RequestList!$A589,"0000")</f>
        <v>REQ22123</v>
      </c>
      <c r="P588" s="7" t="str">
        <f>[2]RequestList!$J589</f>
        <v>一部得意先のコードについて</v>
      </c>
      <c r="Q588" s="65">
        <f>SUMIF(日報!$R:$R,TEXT(YEAR($Q$2),"0000")&amp;TEXT(MONTH($Q$2),"00")&amp;$O588,日報!$L:$L)</f>
        <v>0</v>
      </c>
      <c r="R588" s="65">
        <f ca="1">SUMIF(日報!$J:$J,$O588,日報!$L:$L)</f>
        <v>0</v>
      </c>
    </row>
    <row r="589" spans="10:18" x14ac:dyDescent="0.15">
      <c r="J589" s="7">
        <f>[3]業務定義!$J591</f>
        <v>0</v>
      </c>
      <c r="K589" s="7">
        <f>[3]業務定義!$A591</f>
        <v>0</v>
      </c>
      <c r="L589" s="208"/>
      <c r="M589" s="65">
        <f ca="1">SUMIF(日報!$P:$P,TEXT(YEAR($M$2),"0000")&amp;TEXT(MONTH($M$2),"00")&amp;$K589,日報!$L:$L)</f>
        <v>0</v>
      </c>
      <c r="O589" s="7" t="str">
        <f>"REQ"&amp;TEXT([2]RequestList!$A590,"0000")</f>
        <v>REQ22124</v>
      </c>
      <c r="P589" s="7" t="str">
        <f>[2]RequestList!$J590</f>
        <v>SFDCでログインがうまくいかない件について</v>
      </c>
      <c r="Q589" s="65">
        <f>SUMIF(日報!$R:$R,TEXT(YEAR($Q$2),"0000")&amp;TEXT(MONTH($Q$2),"00")&amp;$O589,日報!$L:$L)</f>
        <v>0</v>
      </c>
      <c r="R589" s="65">
        <f ca="1">SUMIF(日報!$J:$J,$O589,日報!$L:$L)</f>
        <v>0</v>
      </c>
    </row>
    <row r="590" spans="10:18" x14ac:dyDescent="0.15">
      <c r="J590" s="7">
        <f>[3]業務定義!$J592</f>
        <v>0</v>
      </c>
      <c r="K590" s="7">
        <f>[3]業務定義!$A592</f>
        <v>0</v>
      </c>
      <c r="L590" s="208"/>
      <c r="M590" s="65">
        <f ca="1">SUMIF(日報!$P:$P,TEXT(YEAR($M$2),"0000")&amp;TEXT(MONTH($M$2),"00")&amp;$K590,日報!$L:$L)</f>
        <v>0</v>
      </c>
      <c r="O590" s="7" t="str">
        <f>"REQ"&amp;TEXT([2]RequestList!$A591,"0000")</f>
        <v>REQ22125</v>
      </c>
      <c r="P590" s="7" t="str">
        <f>[2]RequestList!$J591</f>
        <v>得意先の所有者が担当者になっていない得意先がいくつか存在する</v>
      </c>
      <c r="Q590" s="65">
        <f>SUMIF(日報!$R:$R,TEXT(YEAR($Q$2),"0000")&amp;TEXT(MONTH($Q$2),"00")&amp;$O590,日報!$L:$L)</f>
        <v>0</v>
      </c>
      <c r="R590" s="65">
        <f ca="1">SUMIF(日報!$J:$J,$O590,日報!$L:$L)</f>
        <v>0</v>
      </c>
    </row>
    <row r="591" spans="10:18" x14ac:dyDescent="0.15">
      <c r="J591" s="7">
        <f>[3]業務定義!$J593</f>
        <v>0</v>
      </c>
      <c r="K591" s="7">
        <f>[3]業務定義!$A593</f>
        <v>0</v>
      </c>
      <c r="L591" s="208"/>
      <c r="M591" s="65">
        <f ca="1">SUMIF(日報!$P:$P,TEXT(YEAR($M$2),"0000")&amp;TEXT(MONTH($M$2),"00")&amp;$K591,日報!$L:$L)</f>
        <v>0</v>
      </c>
      <c r="O591" s="7" t="str">
        <f>"REQ"&amp;TEXT([2]RequestList!$A592,"0000")</f>
        <v>REQ22126</v>
      </c>
      <c r="P591" s="7" t="str">
        <f>[2]RequestList!$J592</f>
        <v>サブドメインの作成方法について</v>
      </c>
      <c r="Q591" s="65">
        <f>SUMIF(日報!$R:$R,TEXT(YEAR($Q$2),"0000")&amp;TEXT(MONTH($Q$2),"00")&amp;$O591,日報!$L:$L)</f>
        <v>0</v>
      </c>
      <c r="R591" s="65">
        <f ca="1">SUMIF(日報!$J:$J,$O591,日報!$L:$L)</f>
        <v>0</v>
      </c>
    </row>
    <row r="592" spans="10:18" x14ac:dyDescent="0.15">
      <c r="J592" s="7">
        <f>[3]業務定義!$J594</f>
        <v>0</v>
      </c>
      <c r="K592" s="7">
        <f>[3]業務定義!$A594</f>
        <v>0</v>
      </c>
      <c r="L592" s="208"/>
      <c r="M592" s="65">
        <f ca="1">SUMIF(日報!$P:$P,TEXT(YEAR($M$2),"0000")&amp;TEXT(MONTH($M$2),"00")&amp;$K592,日報!$L:$L)</f>
        <v>0</v>
      </c>
      <c r="O592" s="7" t="str">
        <f>"REQ"&amp;TEXT([2]RequestList!$A593,"0000")</f>
        <v>REQ22127</v>
      </c>
      <c r="P592" s="7" t="str">
        <f>[2]RequestList!$J593</f>
        <v>KAIZENが無効になった</v>
      </c>
      <c r="Q592" s="65">
        <f>SUMIF(日報!$R:$R,TEXT(YEAR($Q$2),"0000")&amp;TEXT(MONTH($Q$2),"00")&amp;$O592,日報!$L:$L)</f>
        <v>0</v>
      </c>
      <c r="R592" s="65">
        <f ca="1">SUMIF(日報!$J:$J,$O592,日報!$L:$L)</f>
        <v>0</v>
      </c>
    </row>
    <row r="593" spans="10:18" x14ac:dyDescent="0.15">
      <c r="J593" s="7">
        <f>[3]業務定義!$J595</f>
        <v>0</v>
      </c>
      <c r="K593" s="7">
        <f>[3]業務定義!$A595</f>
        <v>0</v>
      </c>
      <c r="L593" s="208"/>
      <c r="M593" s="65">
        <f ca="1">SUMIF(日報!$P:$P,TEXT(YEAR($M$2),"0000")&amp;TEXT(MONTH($M$2),"00")&amp;$K593,日報!$L:$L)</f>
        <v>0</v>
      </c>
      <c r="O593" s="7" t="str">
        <f>"REQ"&amp;TEXT([2]RequestList!$A594,"0000")</f>
        <v>REQ22128</v>
      </c>
      <c r="P593" s="7" t="str">
        <f>[2]RequestList!$J594</f>
        <v>UAT支援</v>
      </c>
      <c r="Q593" s="65">
        <f>SUMIF(日報!$R:$R,TEXT(YEAR($Q$2),"0000")&amp;TEXT(MONTH($Q$2),"00")&amp;$O593,日報!$L:$L)</f>
        <v>0</v>
      </c>
      <c r="R593" s="65">
        <f ca="1">SUMIF(日報!$J:$J,$O593,日報!$L:$L)</f>
        <v>0</v>
      </c>
    </row>
    <row r="594" spans="10:18" x14ac:dyDescent="0.15">
      <c r="J594" s="7">
        <f>[3]業務定義!$J596</f>
        <v>0</v>
      </c>
      <c r="K594" s="7">
        <f>[3]業務定義!$A596</f>
        <v>0</v>
      </c>
      <c r="L594" s="208"/>
      <c r="M594" s="65">
        <f ca="1">SUMIF(日報!$P:$P,TEXT(YEAR($M$2),"0000")&amp;TEXT(MONTH($M$2),"00")&amp;$K594,日報!$L:$L)</f>
        <v>0</v>
      </c>
      <c r="O594" s="7" t="str">
        <f>"REQ"&amp;TEXT([2]RequestList!$A595,"0000")</f>
        <v>REQ22129</v>
      </c>
      <c r="P594" s="7" t="str">
        <f>[2]RequestList!$J595</f>
        <v>emailsender error</v>
      </c>
      <c r="Q594" s="65">
        <f>SUMIF(日報!$R:$R,TEXT(YEAR($Q$2),"0000")&amp;TEXT(MONTH($Q$2),"00")&amp;$O594,日報!$L:$L)</f>
        <v>0</v>
      </c>
      <c r="R594" s="65">
        <f ca="1">SUMIF(日報!$J:$J,$O594,日報!$L:$L)</f>
        <v>0</v>
      </c>
    </row>
    <row r="595" spans="10:18" x14ac:dyDescent="0.15">
      <c r="J595" s="7">
        <f>[3]業務定義!$J597</f>
        <v>0</v>
      </c>
      <c r="K595" s="7">
        <f>[3]業務定義!$A597</f>
        <v>0</v>
      </c>
      <c r="L595" s="208"/>
      <c r="M595" s="65">
        <f ca="1">SUMIF(日報!$P:$P,TEXT(YEAR($M$2),"0000")&amp;TEXT(MONTH($M$2),"00")&amp;$K595,日報!$L:$L)</f>
        <v>0</v>
      </c>
      <c r="O595" s="7" t="str">
        <f>"REQ"&amp;TEXT([2]RequestList!$A596,"0000")</f>
        <v>REQ22130</v>
      </c>
      <c r="P595" s="7" t="str">
        <f>[2]RequestList!$J596</f>
        <v>UAT支援</v>
      </c>
      <c r="Q595" s="65">
        <f>SUMIF(日報!$R:$R,TEXT(YEAR($Q$2),"0000")&amp;TEXT(MONTH($Q$2),"00")&amp;$O595,日報!$L:$L)</f>
        <v>0</v>
      </c>
      <c r="R595" s="65">
        <f ca="1">SUMIF(日報!$J:$J,$O595,日報!$L:$L)</f>
        <v>0</v>
      </c>
    </row>
    <row r="596" spans="10:18" x14ac:dyDescent="0.15">
      <c r="J596" s="7">
        <f>[3]業務定義!$J598</f>
        <v>0</v>
      </c>
      <c r="K596" s="7">
        <f>[3]業務定義!$A598</f>
        <v>0</v>
      </c>
      <c r="L596" s="208"/>
      <c r="M596" s="65">
        <f ca="1">SUMIF(日報!$P:$P,TEXT(YEAR($M$2),"0000")&amp;TEXT(MONTH($M$2),"00")&amp;$K596,日報!$L:$L)</f>
        <v>0</v>
      </c>
      <c r="O596" s="7" t="str">
        <f>"REQ"&amp;TEXT([2]RequestList!$A597,"0000")</f>
        <v>REQ22131</v>
      </c>
      <c r="P596" s="7" t="str">
        <f>[2]RequestList!$J597</f>
        <v>warehouse_t.t_jcr_customer_d_histの更新方法</v>
      </c>
      <c r="Q596" s="65">
        <f>SUMIF(日報!$R:$R,TEXT(YEAR($Q$2),"0000")&amp;TEXT(MONTH($Q$2),"00")&amp;$O596,日報!$L:$L)</f>
        <v>0</v>
      </c>
      <c r="R596" s="65">
        <f ca="1">SUMIF(日報!$J:$J,$O596,日報!$L:$L)</f>
        <v>0</v>
      </c>
    </row>
    <row r="597" spans="10:18" x14ac:dyDescent="0.15">
      <c r="J597" s="7">
        <f>[3]業務定義!$J599</f>
        <v>0</v>
      </c>
      <c r="K597" s="7">
        <f>[3]業務定義!$A599</f>
        <v>0</v>
      </c>
      <c r="L597" s="208"/>
      <c r="M597" s="65">
        <f ca="1">SUMIF(日報!$P:$P,TEXT(YEAR($M$2),"0000")&amp;TEXT(MONTH($M$2),"00")&amp;$K597,日報!$L:$L)</f>
        <v>0</v>
      </c>
      <c r="O597" s="7" t="str">
        <f>"REQ"&amp;TEXT([2]RequestList!$A598,"0000")</f>
        <v>REQ22132</v>
      </c>
      <c r="P597" s="7" t="str">
        <f>[2]RequestList!$J598</f>
        <v>グローバルサポートのサービス品質について</v>
      </c>
      <c r="Q597" s="65">
        <f>SUMIF(日報!$R:$R,TEXT(YEAR($Q$2),"0000")&amp;TEXT(MONTH($Q$2),"00")&amp;$O597,日報!$L:$L)</f>
        <v>0</v>
      </c>
      <c r="R597" s="65">
        <f ca="1">SUMIF(日報!$J:$J,$O597,日報!$L:$L)</f>
        <v>0</v>
      </c>
    </row>
    <row r="598" spans="10:18" x14ac:dyDescent="0.15">
      <c r="J598" s="7">
        <f>[3]業務定義!$J600</f>
        <v>0</v>
      </c>
      <c r="K598" s="7">
        <f>[3]業務定義!$A600</f>
        <v>0</v>
      </c>
      <c r="L598" s="208"/>
      <c r="M598" s="65">
        <f ca="1">SUMIF(日報!$P:$P,TEXT(YEAR($M$2),"0000")&amp;TEXT(MONTH($M$2),"00")&amp;$K598,日報!$L:$L)</f>
        <v>0</v>
      </c>
      <c r="O598" s="7" t="str">
        <f>"REQ"&amp;TEXT([2]RequestList!$A599,"0000")</f>
        <v>REQ22133</v>
      </c>
      <c r="P598" s="7" t="str">
        <f>[2]RequestList!$J599</f>
        <v>返品受付画面の修正</v>
      </c>
      <c r="Q598" s="65">
        <f>SUMIF(日報!$R:$R,TEXT(YEAR($Q$2),"0000")&amp;TEXT(MONTH($Q$2),"00")&amp;$O598,日報!$L:$L)</f>
        <v>0</v>
      </c>
      <c r="R598" s="65">
        <f ca="1">SUMIF(日報!$J:$J,$O598,日報!$L:$L)</f>
        <v>0</v>
      </c>
    </row>
    <row r="599" spans="10:18" x14ac:dyDescent="0.15">
      <c r="J599" s="7">
        <f>[3]業務定義!$J601</f>
        <v>0</v>
      </c>
      <c r="K599" s="7">
        <f>[3]業務定義!$A601</f>
        <v>0</v>
      </c>
      <c r="L599" s="208"/>
      <c r="M599" s="65">
        <f ca="1">SUMIF(日報!$P:$P,TEXT(YEAR($M$2),"0000")&amp;TEXT(MONTH($M$2),"00")&amp;$K599,日報!$L:$L)</f>
        <v>0</v>
      </c>
      <c r="O599" s="7" t="str">
        <f>"REQ"&amp;TEXT([2]RequestList!$A600,"0000")</f>
        <v>REQ22134</v>
      </c>
      <c r="P599" s="7" t="str">
        <f>[2]RequestList!$J600</f>
        <v>古い申請書が回ってきたという問い合わせ</v>
      </c>
      <c r="Q599" s="65">
        <f>SUMIF(日報!$R:$R,TEXT(YEAR($Q$2),"0000")&amp;TEXT(MONTH($Q$2),"00")&amp;$O599,日報!$L:$L)</f>
        <v>0</v>
      </c>
      <c r="R599" s="65">
        <f ca="1">SUMIF(日報!$J:$J,$O599,日報!$L:$L)</f>
        <v>0</v>
      </c>
    </row>
    <row r="600" spans="10:18" x14ac:dyDescent="0.15">
      <c r="J600" s="7">
        <f>[3]業務定義!$J602</f>
        <v>0</v>
      </c>
      <c r="K600" s="7">
        <f>[3]業務定義!$A602</f>
        <v>0</v>
      </c>
      <c r="L600" s="208"/>
      <c r="M600" s="65">
        <f ca="1">SUMIF(日報!$P:$P,TEXT(YEAR($M$2),"0000")&amp;TEXT(MONTH($M$2),"00")&amp;$K600,日報!$L:$L)</f>
        <v>0</v>
      </c>
      <c r="O600" s="7" t="str">
        <f>"REQ"&amp;TEXT([2]RequestList!$A601,"0000")</f>
        <v>REQ22135</v>
      </c>
      <c r="P600" s="7" t="str">
        <f>[2]RequestList!$J601</f>
        <v>J-flowのHCC申請に関する承認者の変更について</v>
      </c>
      <c r="Q600" s="65">
        <f>SUMIF(日報!$R:$R,TEXT(YEAR($Q$2),"0000")&amp;TEXT(MONTH($Q$2),"00")&amp;$O600,日報!$L:$L)</f>
        <v>0</v>
      </c>
      <c r="R600" s="65">
        <f ca="1">SUMIF(日報!$J:$J,$O600,日報!$L:$L)</f>
        <v>0</v>
      </c>
    </row>
    <row r="601" spans="10:18" x14ac:dyDescent="0.15">
      <c r="J601" s="7">
        <f>[3]業務定義!$J603</f>
        <v>0</v>
      </c>
      <c r="K601" s="7">
        <f>[3]業務定義!$A603</f>
        <v>0</v>
      </c>
      <c r="L601" s="208"/>
      <c r="M601" s="65">
        <f ca="1">SUMIF(日報!$P:$P,TEXT(YEAR($M$2),"0000")&amp;TEXT(MONTH($M$2),"00")&amp;$K601,日報!$L:$L)</f>
        <v>0</v>
      </c>
      <c r="O601" s="7" t="str">
        <f>"REQ"&amp;TEXT([2]RequestList!$A602,"0000")</f>
        <v>REQ22136</v>
      </c>
      <c r="P601" s="7" t="str">
        <f>[2]RequestList!$J602</f>
        <v>テストデータ作成</v>
      </c>
      <c r="Q601" s="65">
        <f>SUMIF(日報!$R:$R,TEXT(YEAR($Q$2),"0000")&amp;TEXT(MONTH($Q$2),"00")&amp;$O601,日報!$L:$L)</f>
        <v>0</v>
      </c>
      <c r="R601" s="65">
        <f ca="1">SUMIF(日報!$J:$J,$O601,日報!$L:$L)</f>
        <v>0</v>
      </c>
    </row>
    <row r="602" spans="10:18" x14ac:dyDescent="0.15">
      <c r="J602" s="7">
        <f>[3]業務定義!$J604</f>
        <v>0</v>
      </c>
      <c r="K602" s="7">
        <f>[3]業務定義!$A604</f>
        <v>0</v>
      </c>
      <c r="L602" s="208"/>
      <c r="M602" s="65">
        <f ca="1">SUMIF(日報!$P:$P,TEXT(YEAR($M$2),"0000")&amp;TEXT(MONTH($M$2),"00")&amp;$K602,日報!$L:$L)</f>
        <v>0</v>
      </c>
      <c r="O602" s="7" t="str">
        <f>"REQ"&amp;TEXT([2]RequestList!$A603,"0000")</f>
        <v>REQ22137</v>
      </c>
      <c r="P602" s="7" t="str">
        <f>[2]RequestList!$J603</f>
        <v>マイアカウントのクレジットカード情報認証について</v>
      </c>
      <c r="Q602" s="65">
        <f>SUMIF(日報!$R:$R,TEXT(YEAR($Q$2),"0000")&amp;TEXT(MONTH($Q$2),"00")&amp;$O602,日報!$L:$L)</f>
        <v>0</v>
      </c>
      <c r="R602" s="65">
        <f ca="1">SUMIF(日報!$J:$J,$O602,日報!$L:$L)</f>
        <v>0</v>
      </c>
    </row>
    <row r="603" spans="10:18" x14ac:dyDescent="0.15">
      <c r="J603" s="7">
        <f>[3]業務定義!$J605</f>
        <v>0</v>
      </c>
      <c r="K603" s="7">
        <f>[3]業務定義!$A605</f>
        <v>0</v>
      </c>
      <c r="L603" s="208"/>
      <c r="M603" s="65">
        <f ca="1">SUMIF(日報!$P:$P,TEXT(YEAR($M$2),"0000")&amp;TEXT(MONTH($M$2),"00")&amp;$K603,日報!$L:$L)</f>
        <v>0</v>
      </c>
      <c r="O603" s="7" t="str">
        <f>"REQ"&amp;TEXT([2]RequestList!$A604,"0000")</f>
        <v>REQ22138</v>
      </c>
      <c r="P603" s="7" t="str">
        <f>[2]RequestList!$J604</f>
        <v>UAT支援</v>
      </c>
      <c r="Q603" s="65">
        <f>SUMIF(日報!$R:$R,TEXT(YEAR($Q$2),"0000")&amp;TEXT(MONTH($Q$2),"00")&amp;$O603,日報!$L:$L)</f>
        <v>0</v>
      </c>
      <c r="R603" s="65">
        <f ca="1">SUMIF(日報!$J:$J,$O603,日報!$L:$L)</f>
        <v>0</v>
      </c>
    </row>
    <row r="604" spans="10:18" x14ac:dyDescent="0.15">
      <c r="J604" s="7">
        <f>[3]業務定義!$J606</f>
        <v>0</v>
      </c>
      <c r="K604" s="7">
        <f>[3]業務定義!$A606</f>
        <v>0</v>
      </c>
      <c r="L604" s="208"/>
      <c r="M604" s="65">
        <f ca="1">SUMIF(日報!$P:$P,TEXT(YEAR($M$2),"0000")&amp;TEXT(MONTH($M$2),"00")&amp;$K604,日報!$L:$L)</f>
        <v>0</v>
      </c>
      <c r="O604" s="7" t="str">
        <f>"REQ"&amp;TEXT([2]RequestList!$A605,"0000")</f>
        <v>REQ22139</v>
      </c>
      <c r="P604" s="7" t="str">
        <f>[2]RequestList!$J605</f>
        <v>コンテンツ更新 バーコード更新</v>
      </c>
      <c r="Q604" s="65">
        <f>SUMIF(日報!$R:$R,TEXT(YEAR($Q$2),"0000")&amp;TEXT(MONTH($Q$2),"00")&amp;$O604,日報!$L:$L)</f>
        <v>0</v>
      </c>
      <c r="R604" s="65">
        <f ca="1">SUMIF(日報!$J:$J,$O604,日報!$L:$L)</f>
        <v>0</v>
      </c>
    </row>
    <row r="605" spans="10:18" x14ac:dyDescent="0.15">
      <c r="J605" s="7">
        <f>[3]業務定義!$J607</f>
        <v>0</v>
      </c>
      <c r="K605" s="7">
        <f>[3]業務定義!$A607</f>
        <v>0</v>
      </c>
      <c r="L605" s="208"/>
      <c r="M605" s="65">
        <f ca="1">SUMIF(日報!$P:$P,TEXT(YEAR($M$2),"0000")&amp;TEXT(MONTH($M$2),"00")&amp;$K605,日報!$L:$L)</f>
        <v>0</v>
      </c>
      <c r="O605" s="7" t="str">
        <f>"REQ"&amp;TEXT([2]RequestList!$A606,"0000")</f>
        <v>REQ22140</v>
      </c>
      <c r="P605" s="7" t="str">
        <f>[2]RequestList!$J606</f>
        <v>Solace Triton-Aナショナルローンチ</v>
      </c>
      <c r="Q605" s="65">
        <f>SUMIF(日報!$R:$R,TEXT(YEAR($Q$2),"0000")&amp;TEXT(MONTH($Q$2),"00")&amp;$O605,日報!$L:$L)</f>
        <v>0</v>
      </c>
      <c r="R605" s="65">
        <f ca="1">SUMIF(日報!$J:$J,$O605,日報!$L:$L)</f>
        <v>0</v>
      </c>
    </row>
    <row r="606" spans="10:18" x14ac:dyDescent="0.15">
      <c r="J606" s="7">
        <f>[3]業務定義!$J608</f>
        <v>0</v>
      </c>
      <c r="K606" s="7">
        <f>[3]業務定義!$A608</f>
        <v>0</v>
      </c>
      <c r="L606" s="208"/>
      <c r="M606" s="65">
        <f ca="1">SUMIF(日報!$P:$P,TEXT(YEAR($M$2),"0000")&amp;TEXT(MONTH($M$2),"00")&amp;$K606,日報!$L:$L)</f>
        <v>0</v>
      </c>
      <c r="O606" s="7" t="str">
        <f>"REQ"&amp;TEXT([2]RequestList!$A607,"0000")</f>
        <v>REQ22141</v>
      </c>
      <c r="P606" s="7" t="str">
        <f>[2]RequestList!$J607</f>
        <v>Web-inの1DO乱に価格が表示される</v>
      </c>
      <c r="Q606" s="65">
        <f>SUMIF(日報!$R:$R,TEXT(YEAR($Q$2),"0000")&amp;TEXT(MONTH($Q$2),"00")&amp;$O606,日報!$L:$L)</f>
        <v>0</v>
      </c>
      <c r="R606" s="65">
        <f ca="1">SUMIF(日報!$J:$J,$O606,日報!$L:$L)</f>
        <v>0</v>
      </c>
    </row>
    <row r="607" spans="10:18" x14ac:dyDescent="0.15">
      <c r="J607" s="7">
        <f>[3]業務定義!$J609</f>
        <v>0</v>
      </c>
      <c r="K607" s="7">
        <f>[3]業務定義!$A609</f>
        <v>0</v>
      </c>
      <c r="L607" s="208"/>
      <c r="M607" s="65">
        <f ca="1">SUMIF(日報!$P:$P,TEXT(YEAR($M$2),"0000")&amp;TEXT(MONTH($M$2),"00")&amp;$K607,日報!$L:$L)</f>
        <v>0</v>
      </c>
      <c r="O607" s="7" t="str">
        <f>"REQ"&amp;TEXT([2]RequestList!$A608,"0000")</f>
        <v>REQ22142</v>
      </c>
      <c r="P607" s="7" t="str">
        <f>[2]RequestList!$J608</f>
        <v>WM2ARS_CSTMSバッチのImportエラー</v>
      </c>
      <c r="Q607" s="65">
        <f>SUMIF(日報!$R:$R,TEXT(YEAR($Q$2),"0000")&amp;TEXT(MONTH($Q$2),"00")&amp;$O607,日報!$L:$L)</f>
        <v>0</v>
      </c>
      <c r="R607" s="65">
        <f ca="1">SUMIF(日報!$J:$J,$O607,日報!$L:$L)</f>
        <v>0</v>
      </c>
    </row>
    <row r="608" spans="10:18" x14ac:dyDescent="0.15">
      <c r="O608" s="7" t="str">
        <f>"REQ"&amp;TEXT([2]RequestList!$A609,"0000")</f>
        <v>REQ22143</v>
      </c>
      <c r="P608" s="7" t="str">
        <f>[2]RequestList!$J609</f>
        <v>ITリクエスト申請(IT Request)【アカウント申請（ARS）_レポートコンソール「Mail:User」の権限付与】</v>
      </c>
      <c r="Q608" s="65">
        <f>SUMIF(日報!$R:$R,TEXT(YEAR($Q$2),"0000")&amp;TEXT(MONTH($Q$2),"00")&amp;$O608,日報!$L:$L)</f>
        <v>0</v>
      </c>
      <c r="R608" s="65">
        <f ca="1">SUMIF(日報!$J:$J,$O608,日報!$L:$L)</f>
        <v>0</v>
      </c>
    </row>
    <row r="609" spans="15:18" x14ac:dyDescent="0.15">
      <c r="O609" s="7" t="str">
        <f>"REQ"&amp;TEXT([2]RequestList!$A610,"0000")</f>
        <v>REQ22144</v>
      </c>
      <c r="P609" s="7" t="str">
        <f>[2]RequestList!$J610</f>
        <v>ITリクエスト申請(IT Request)【アカウント申請（ARS）_レポートコンソール「Mail:User」の権限付与】</v>
      </c>
      <c r="Q609" s="65">
        <f>SUMIF(日報!$R:$R,TEXT(YEAR($Q$2),"0000")&amp;TEXT(MONTH($Q$2),"00")&amp;$O609,日報!$L:$L)</f>
        <v>0</v>
      </c>
      <c r="R609" s="65">
        <f ca="1">SUMIF(日報!$J:$J,$O609,日報!$L:$L)</f>
        <v>0</v>
      </c>
    </row>
    <row r="610" spans="15:18" x14ac:dyDescent="0.15">
      <c r="O610" s="7" t="str">
        <f>"REQ"&amp;TEXT([2]RequestList!$A611,"0000")</f>
        <v>REQ22145</v>
      </c>
      <c r="P610" s="7" t="str">
        <f>[2]RequestList!$J611</f>
        <v xml:space="preserve">ARSアカウントの削除
</v>
      </c>
      <c r="Q610" s="65">
        <f>SUMIF(日報!$R:$R,TEXT(YEAR($Q$2),"0000")&amp;TEXT(MONTH($Q$2),"00")&amp;$O610,日報!$L:$L)</f>
        <v>0</v>
      </c>
      <c r="R610" s="65">
        <f ca="1">SUMIF(日報!$J:$J,$O610,日報!$L:$L)</f>
        <v>0</v>
      </c>
    </row>
    <row r="611" spans="15:18" x14ac:dyDescent="0.15">
      <c r="O611" s="7" t="str">
        <f>"REQ"&amp;TEXT([2]RequestList!$A612,"0000")</f>
        <v>REQ22146</v>
      </c>
      <c r="P611" s="7" t="str">
        <f>[2]RequestList!$J612</f>
        <v>SAP BWのFavorites migration</v>
      </c>
      <c r="Q611" s="65">
        <f>SUMIF(日報!$R:$R,TEXT(YEAR($Q$2),"0000")&amp;TEXT(MONTH($Q$2),"00")&amp;$O611,日報!$L:$L)</f>
        <v>0</v>
      </c>
      <c r="R611" s="65">
        <f ca="1">SUMIF(日報!$J:$J,$O611,日報!$L:$L)</f>
        <v>0</v>
      </c>
    </row>
    <row r="612" spans="15:18" x14ac:dyDescent="0.15">
      <c r="O612" s="7" t="str">
        <f>"REQ"&amp;TEXT([2]RequestList!$A613,"0000")</f>
        <v>REQ22147</v>
      </c>
      <c r="P612" s="7" t="str">
        <f>[2]RequestList!$J613</f>
        <v xml:space="preserve">ARSアカウントの削除
</v>
      </c>
      <c r="Q612" s="65">
        <f>SUMIF(日報!$R:$R,TEXT(YEAR($Q$2),"0000")&amp;TEXT(MONTH($Q$2),"00")&amp;$O612,日報!$L:$L)</f>
        <v>0</v>
      </c>
      <c r="R612" s="65">
        <f ca="1">SUMIF(日報!$J:$J,$O612,日報!$L:$L)</f>
        <v>0</v>
      </c>
    </row>
    <row r="613" spans="15:18" x14ac:dyDescent="0.15">
      <c r="O613" s="7" t="str">
        <f>"REQ"&amp;TEXT([2]RequestList!$A614,"0000")</f>
        <v>REQ22148</v>
      </c>
      <c r="P613" s="7" t="str">
        <f>[2]RequestList!$J614</f>
        <v>アカウント権限の削除</v>
      </c>
      <c r="Q613" s="65">
        <f>SUMIF(日報!$R:$R,TEXT(YEAR($Q$2),"0000")&amp;TEXT(MONTH($Q$2),"00")&amp;$O613,日報!$L:$L)</f>
        <v>0</v>
      </c>
      <c r="R613" s="65">
        <f ca="1">SUMIF(日報!$J:$J,$O613,日報!$L:$L)</f>
        <v>0</v>
      </c>
    </row>
    <row r="614" spans="15:18" x14ac:dyDescent="0.15">
      <c r="O614" s="7" t="str">
        <f>"REQ"&amp;TEXT([2]RequestList!$A615,"0000")</f>
        <v>REQ22149</v>
      </c>
      <c r="P614" s="7" t="str">
        <f>[2]RequestList!$J615</f>
        <v>ビジネスルールの変更、アカウント権限の変更</v>
      </c>
      <c r="Q614" s="65">
        <f>SUMIF(日報!$R:$R,TEXT(YEAR($Q$2),"0000")&amp;TEXT(MONTH($Q$2),"00")&amp;$O614,日報!$L:$L)</f>
        <v>0</v>
      </c>
      <c r="R614" s="65">
        <f ca="1">SUMIF(日報!$J:$J,$O614,日報!$L:$L)</f>
        <v>0</v>
      </c>
    </row>
    <row r="615" spans="15:18" x14ac:dyDescent="0.15">
      <c r="O615" s="7" t="str">
        <f>"REQ"&amp;TEXT([2]RequestList!$A616,"0000")</f>
        <v>REQ22150</v>
      </c>
      <c r="P615" s="7" t="str">
        <f>[2]RequestList!$J616</f>
        <v>【ARS改修依頼】返品受付票/本部一括返品2</v>
      </c>
      <c r="Q615" s="65">
        <f>SUMIF(日報!$R:$R,TEXT(YEAR($Q$2),"0000")&amp;TEXT(MONTH($Q$2),"00")&amp;$O615,日報!$L:$L)</f>
        <v>0</v>
      </c>
      <c r="R615" s="65">
        <f ca="1">SUMIF(日報!$J:$J,$O615,日報!$L:$L)</f>
        <v>0</v>
      </c>
    </row>
    <row r="616" spans="15:18" x14ac:dyDescent="0.15">
      <c r="O616" s="7" t="str">
        <f>"REQ"&amp;TEXT([2]RequestList!$A617,"0000")</f>
        <v>REQ22151</v>
      </c>
      <c r="P616" s="7" t="str">
        <f>[2]RequestList!$J617</f>
        <v>ビジネスルールの変更、アカウント権限の変更</v>
      </c>
      <c r="Q616" s="65">
        <f>SUMIF(日報!$R:$R,TEXT(YEAR($Q$2),"0000")&amp;TEXT(MONTH($Q$2),"00")&amp;$O616,日報!$L:$L)</f>
        <v>0</v>
      </c>
      <c r="R616" s="65">
        <f ca="1">SUMIF(日報!$J:$J,$O616,日報!$L:$L)</f>
        <v>0</v>
      </c>
    </row>
    <row r="617" spans="15:18" x14ac:dyDescent="0.15">
      <c r="O617" s="7" t="str">
        <f>"REQ"&amp;TEXT([2]RequestList!$A618,"0000")</f>
        <v>REQ22152</v>
      </c>
      <c r="P617" s="7" t="str">
        <f>[2]RequestList!$J618</f>
        <v>JFLOW申請の通知設定</v>
      </c>
      <c r="Q617" s="65">
        <f>SUMIF(日報!$R:$R,TEXT(YEAR($Q$2),"0000")&amp;TEXT(MONTH($Q$2),"00")&amp;$O617,日報!$L:$L)</f>
        <v>0</v>
      </c>
      <c r="R617" s="65">
        <f ca="1">SUMIF(日報!$J:$J,$O617,日報!$L:$L)</f>
        <v>0</v>
      </c>
    </row>
    <row r="618" spans="15:18" x14ac:dyDescent="0.15">
      <c r="O618" s="7" t="str">
        <f>"REQ"&amp;TEXT([2]RequestList!$A619,"0000")</f>
        <v>REQ22153</v>
      </c>
      <c r="P618" s="7" t="str">
        <f>[2]RequestList!$J619</f>
        <v>WM2ARS_CSTMSバッチのImportエラー</v>
      </c>
      <c r="Q618" s="65">
        <f>SUMIF(日報!$R:$R,TEXT(YEAR($Q$2),"0000")&amp;TEXT(MONTH($Q$2),"00")&amp;$O618,日報!$L:$L)</f>
        <v>0</v>
      </c>
      <c r="R618" s="65">
        <f ca="1">SUMIF(日報!$J:$J,$O618,日報!$L:$L)</f>
        <v>0</v>
      </c>
    </row>
    <row r="619" spans="15:18" x14ac:dyDescent="0.15">
      <c r="O619" s="7" t="str">
        <f>"REQ"&amp;TEXT([2]RequestList!$A620,"0000")</f>
        <v>REQ22154</v>
      </c>
      <c r="P619" s="7" t="str">
        <f>[2]RequestList!$J620</f>
        <v>ARSアカウントの作成</v>
      </c>
      <c r="Q619" s="65">
        <f>SUMIF(日報!$R:$R,TEXT(YEAR($Q$2),"0000")&amp;TEXT(MONTH($Q$2),"00")&amp;$O619,日報!$L:$L)</f>
        <v>0</v>
      </c>
      <c r="R619" s="65">
        <f ca="1">SUMIF(日報!$J:$J,$O619,日報!$L:$L)</f>
        <v>0</v>
      </c>
    </row>
    <row r="620" spans="15:18" x14ac:dyDescent="0.15">
      <c r="O620" s="7" t="str">
        <f>"REQ"&amp;TEXT([2]RequestList!$A621,"0000")</f>
        <v>REQ22155</v>
      </c>
      <c r="P620" s="7" t="str">
        <f>[2]RequestList!$J621</f>
        <v>SAPからの月跨ぎデータ連携</v>
      </c>
      <c r="Q620" s="65">
        <f>SUMIF(日報!$R:$R,TEXT(YEAR($Q$2),"0000")&amp;TEXT(MONTH($Q$2),"00")&amp;$O620,日報!$L:$L)</f>
        <v>0</v>
      </c>
      <c r="R620" s="65">
        <f ca="1">SUMIF(日報!$J:$J,$O620,日報!$L:$L)</f>
        <v>0</v>
      </c>
    </row>
    <row r="621" spans="15:18" x14ac:dyDescent="0.15">
      <c r="O621" s="7" t="str">
        <f>"REQ"&amp;TEXT([2]RequestList!$A622,"0000")</f>
        <v>REQ22156</v>
      </c>
      <c r="P621" s="7" t="str">
        <f>[2]RequestList!$J622</f>
        <v>MyAcuvue+の件数差異</v>
      </c>
      <c r="Q621" s="65">
        <f>SUMIF(日報!$R:$R,TEXT(YEAR($Q$2),"0000")&amp;TEXT(MONTH($Q$2),"00")&amp;$O621,日報!$L:$L)</f>
        <v>0</v>
      </c>
      <c r="R621" s="65">
        <f ca="1">SUMIF(日報!$J:$J,$O621,日報!$L:$L)</f>
        <v>0</v>
      </c>
    </row>
    <row r="622" spans="15:18" x14ac:dyDescent="0.15">
      <c r="O622" s="7" t="str">
        <f>"REQ"&amp;TEXT([2]RequestList!$A623,"0000")</f>
        <v>REQ22157</v>
      </c>
      <c r="P622" s="7" t="str">
        <f>[2]RequestList!$J623</f>
        <v>Material Group5のコード体系について</v>
      </c>
      <c r="Q622" s="65">
        <f>SUMIF(日報!$R:$R,TEXT(YEAR($Q$2),"0000")&amp;TEXT(MONTH($Q$2),"00")&amp;$O622,日報!$L:$L)</f>
        <v>0</v>
      </c>
      <c r="R622" s="65">
        <f ca="1">SUMIF(日報!$J:$J,$O622,日報!$L:$L)</f>
        <v>0</v>
      </c>
    </row>
    <row r="623" spans="15:18" x14ac:dyDescent="0.15">
      <c r="O623" s="7" t="str">
        <f>"REQ"&amp;TEXT([2]RequestList!$A624,"0000")</f>
        <v>REQ22158</v>
      </c>
      <c r="P623" s="7" t="str">
        <f>[2]RequestList!$J624</f>
        <v>Material Group5のコード体系について</v>
      </c>
      <c r="Q623" s="65">
        <f>SUMIF(日報!$R:$R,TEXT(YEAR($Q$2),"0000")&amp;TEXT(MONTH($Q$2),"00")&amp;$O623,日報!$L:$L)</f>
        <v>0</v>
      </c>
      <c r="R623" s="65">
        <f ca="1">SUMIF(日報!$J:$J,$O623,日報!$L:$L)</f>
        <v>0</v>
      </c>
    </row>
    <row r="624" spans="15:18" x14ac:dyDescent="0.15">
      <c r="O624" s="7" t="str">
        <f>"REQ"&amp;TEXT([2]RequestList!$A625,"0000")</f>
        <v>REQ22159</v>
      </c>
      <c r="P624" s="7" t="str">
        <f>[2]RequestList!$J625</f>
        <v>テストアカウント作成</v>
      </c>
      <c r="Q624" s="65">
        <f>SUMIF(日報!$R:$R,TEXT(YEAR($Q$2),"0000")&amp;TEXT(MONTH($Q$2),"00")&amp;$O624,日報!$L:$L)</f>
        <v>0</v>
      </c>
      <c r="R624" s="65">
        <f ca="1">SUMIF(日報!$J:$J,$O624,日報!$L:$L)</f>
        <v>0</v>
      </c>
    </row>
    <row r="625" spans="15:18" x14ac:dyDescent="0.15">
      <c r="O625" s="7" t="str">
        <f>"REQ"&amp;TEXT([2]RequestList!$A626,"0000")</f>
        <v>REQ22160</v>
      </c>
      <c r="P625" s="7" t="str">
        <f>[2]RequestList!$J626</f>
        <v>コンビニ払いの時の手数料について</v>
      </c>
      <c r="Q625" s="65">
        <f>SUMIF(日報!$R:$R,TEXT(YEAR($Q$2),"0000")&amp;TEXT(MONTH($Q$2),"00")&amp;$O625,日報!$L:$L)</f>
        <v>0</v>
      </c>
      <c r="R625" s="65">
        <f ca="1">SUMIF(日報!$J:$J,$O625,日報!$L:$L)</f>
        <v>0</v>
      </c>
    </row>
    <row r="626" spans="15:18" x14ac:dyDescent="0.15">
      <c r="O626" s="7" t="str">
        <f>"REQ"&amp;TEXT([2]RequestList!$A627,"0000")</f>
        <v>REQ22161</v>
      </c>
      <c r="P626" s="7" t="str">
        <f>[2]RequestList!$J627</f>
        <v>LドライブからSharepointへの移行</v>
      </c>
      <c r="Q626" s="65">
        <f>SUMIF(日報!$R:$R,TEXT(YEAR($Q$2),"0000")&amp;TEXT(MONTH($Q$2),"00")&amp;$O626,日報!$L:$L)</f>
        <v>0</v>
      </c>
      <c r="R626" s="65">
        <f ca="1">SUMIF(日報!$J:$J,$O626,日報!$L:$L)</f>
        <v>0</v>
      </c>
    </row>
    <row r="627" spans="15:18" x14ac:dyDescent="0.15">
      <c r="O627" s="7" t="str">
        <f>"REQ"&amp;TEXT([2]RequestList!$A628,"0000")</f>
        <v>REQ22162</v>
      </c>
      <c r="P627" s="7" t="str">
        <f>[2]RequestList!$J628</f>
        <v>WebTrackr個人情報削除</v>
      </c>
      <c r="Q627" s="65">
        <f>SUMIF(日報!$R:$R,TEXT(YEAR($Q$2),"0000")&amp;TEXT(MONTH($Q$2),"00")&amp;$O627,日報!$L:$L)</f>
        <v>0</v>
      </c>
      <c r="R627" s="65">
        <f ca="1">SUMIF(日報!$J:$J,$O627,日報!$L:$L)</f>
        <v>0</v>
      </c>
    </row>
    <row r="628" spans="15:18" x14ac:dyDescent="0.15">
      <c r="O628" s="7" t="str">
        <f>"REQ"&amp;TEXT([2]RequestList!$A629,"0000")</f>
        <v>REQ22163</v>
      </c>
      <c r="P628" s="7" t="str">
        <f>[2]RequestList!$J629</f>
        <v>[J-FLOW] VCJIT004_0002317_ITリクエスト申請(IT Request)【CEH　価格登録申請の通知人、SO処理担当者変更】&lt;IT処理 | IT Process&gt;</v>
      </c>
      <c r="Q628" s="65">
        <f>SUMIF(日報!$R:$R,TEXT(YEAR($Q$2),"0000")&amp;TEXT(MONTH($Q$2),"00")&amp;$O628,日報!$L:$L)</f>
        <v>0</v>
      </c>
      <c r="R628" s="65">
        <f ca="1">SUMIF(日報!$J:$J,$O628,日報!$L:$L)</f>
        <v>0</v>
      </c>
    </row>
    <row r="629" spans="15:18" x14ac:dyDescent="0.15">
      <c r="O629" s="7" t="str">
        <f>"REQ"&amp;TEXT([2]RequestList!$A630,"0000")</f>
        <v>REQ22164</v>
      </c>
      <c r="P629" s="7" t="str">
        <f>[2]RequestList!$J630</f>
        <v>WM2ARS_CSTMSバッチのImportエラー</v>
      </c>
      <c r="Q629" s="65">
        <f>SUMIF(日報!$R:$R,TEXT(YEAR($Q$2),"0000")&amp;TEXT(MONTH($Q$2),"00")&amp;$O629,日報!$L:$L)</f>
        <v>0</v>
      </c>
      <c r="R629" s="65">
        <f ca="1">SUMIF(日報!$J:$J,$O629,日報!$L:$L)</f>
        <v>0</v>
      </c>
    </row>
    <row r="630" spans="15:18" x14ac:dyDescent="0.15">
      <c r="O630" s="7" t="str">
        <f>"REQ"&amp;TEXT([2]RequestList!$A631,"0000")</f>
        <v>REQ22165</v>
      </c>
      <c r="P630" s="7" t="str">
        <f>[2]RequestList!$J631</f>
        <v>Material Group5のコード体系について</v>
      </c>
      <c r="Q630" s="65">
        <f>SUMIF(日報!$R:$R,TEXT(YEAR($Q$2),"0000")&amp;TEXT(MONTH($Q$2),"00")&amp;$O630,日報!$L:$L)</f>
        <v>0</v>
      </c>
      <c r="R630" s="65">
        <f ca="1">SUMIF(日報!$J:$J,$O630,日報!$L:$L)</f>
        <v>0</v>
      </c>
    </row>
    <row r="631" spans="15:18" x14ac:dyDescent="0.15">
      <c r="O631" s="7" t="str">
        <f>"REQ"&amp;TEXT([2]RequestList!$A632,"0000")</f>
        <v>REQ22166</v>
      </c>
      <c r="P631" s="7" t="str">
        <f>[2]RequestList!$J632</f>
        <v>MBOXメンテナンス日変更依頼</v>
      </c>
      <c r="Q631" s="65">
        <f>SUMIF(日報!$R:$R,TEXT(YEAR($Q$2),"0000")&amp;TEXT(MONTH($Q$2),"00")&amp;$O631,日報!$L:$L)</f>
        <v>0</v>
      </c>
      <c r="R631" s="65">
        <f ca="1">SUMIF(日報!$J:$J,$O631,日報!$L:$L)</f>
        <v>0</v>
      </c>
    </row>
    <row r="632" spans="15:18" x14ac:dyDescent="0.15">
      <c r="O632" s="7" t="str">
        <f>"REQ"&amp;TEXT([2]RequestList!$A633,"0000")</f>
        <v>REQ22167</v>
      </c>
      <c r="P632" s="7" t="str">
        <f>[2]RequestList!$J633</f>
        <v>利用規約画面の表示について</v>
      </c>
      <c r="Q632" s="65">
        <f>SUMIF(日報!$R:$R,TEXT(YEAR($Q$2),"0000")&amp;TEXT(MONTH($Q$2),"00")&amp;$O632,日報!$L:$L)</f>
        <v>0</v>
      </c>
      <c r="R632" s="65">
        <f ca="1">SUMIF(日報!$J:$J,$O632,日報!$L:$L)</f>
        <v>0</v>
      </c>
    </row>
    <row r="633" spans="15:18" x14ac:dyDescent="0.15">
      <c r="O633" s="7" t="str">
        <f>"REQ"&amp;TEXT([2]RequestList!$A634,"0000")</f>
        <v>REQ22168</v>
      </c>
      <c r="P633" s="7" t="str">
        <f>[2]RequestList!$J634</f>
        <v>GTMタグ周りプレビュー確認のお願い</v>
      </c>
      <c r="Q633" s="65">
        <f>SUMIF(日報!$R:$R,TEXT(YEAR($Q$2),"0000")&amp;TEXT(MONTH($Q$2),"00")&amp;$O633,日報!$L:$L)</f>
        <v>0</v>
      </c>
      <c r="R633" s="65">
        <f ca="1">SUMIF(日報!$J:$J,$O633,日報!$L:$L)</f>
        <v>0</v>
      </c>
    </row>
    <row r="634" spans="15:18" x14ac:dyDescent="0.15">
      <c r="O634" s="7" t="str">
        <f>"REQ"&amp;TEXT([2]RequestList!$A635,"0000")</f>
        <v>REQ22169</v>
      </c>
      <c r="P634" s="7" t="str">
        <f>[2]RequestList!$J635</f>
        <v>発行ACUVUEコードと発行店数の集計</v>
      </c>
      <c r="Q634" s="65">
        <f>SUMIF(日報!$R:$R,TEXT(YEAR($Q$2),"0000")&amp;TEXT(MONTH($Q$2),"00")&amp;$O634,日報!$L:$L)</f>
        <v>0</v>
      </c>
      <c r="R634" s="65">
        <f ca="1">SUMIF(日報!$J:$J,$O634,日報!$L:$L)</f>
        <v>0</v>
      </c>
    </row>
    <row r="635" spans="15:18" x14ac:dyDescent="0.15">
      <c r="O635" s="7" t="str">
        <f>"REQ"&amp;TEXT([2]RequestList!$A636,"0000")</f>
        <v>REQ22170</v>
      </c>
      <c r="P635" s="7" t="str">
        <f>[2]RequestList!$J636</f>
        <v>AOS Admin tool でクーポンが登録できない</v>
      </c>
      <c r="Q635" s="65">
        <f>SUMIF(日報!$R:$R,TEXT(YEAR($Q$2),"0000")&amp;TEXT(MONTH($Q$2),"00")&amp;$O635,日報!$L:$L)</f>
        <v>0</v>
      </c>
      <c r="R635" s="65">
        <f ca="1">SUMIF(日報!$J:$J,$O635,日報!$L:$L)</f>
        <v>0</v>
      </c>
    </row>
    <row r="636" spans="15:18" x14ac:dyDescent="0.15">
      <c r="O636" s="7" t="str">
        <f>"REQ"&amp;TEXT([2]RequestList!$A637,"0000")</f>
        <v>REQ22171</v>
      </c>
      <c r="P636" s="7" t="str">
        <f>[2]RequestList!$J637</f>
        <v>Panoramaが更新されてない</v>
      </c>
      <c r="Q636" s="65">
        <f>SUMIF(日報!$R:$R,TEXT(YEAR($Q$2),"0000")&amp;TEXT(MONTH($Q$2),"00")&amp;$O636,日報!$L:$L)</f>
        <v>0</v>
      </c>
      <c r="R636" s="65">
        <f ca="1">SUMIF(日報!$J:$J,$O636,日報!$L:$L)</f>
        <v>0</v>
      </c>
    </row>
    <row r="637" spans="15:18" x14ac:dyDescent="0.15">
      <c r="O637" s="7" t="str">
        <f>"REQ"&amp;TEXT([2]RequestList!$A638,"0000")</f>
        <v>REQ22172</v>
      </c>
      <c r="P637" s="7" t="str">
        <f>[2]RequestList!$J638</f>
        <v>&lt;JFLOW&gt;VCJIT004_0002326_ITリクエスト申請(IT Request)【ワークフロー新規/変更依頼】</v>
      </c>
      <c r="Q637" s="65">
        <f>SUMIF(日報!$R:$R,TEXT(YEAR($Q$2),"0000")&amp;TEXT(MONTH($Q$2),"00")&amp;$O637,日報!$L:$L)</f>
        <v>0</v>
      </c>
      <c r="R637" s="65">
        <f ca="1">SUMIF(日報!$J:$J,$O637,日報!$L:$L)</f>
        <v>0</v>
      </c>
    </row>
    <row r="638" spans="15:18" x14ac:dyDescent="0.15">
      <c r="O638" s="7" t="str">
        <f>"REQ"&amp;TEXT([2]RequestList!$A639,"0000")</f>
        <v>REQ22173</v>
      </c>
      <c r="P638" s="7" t="str">
        <f>[2]RequestList!$J639</f>
        <v>予約注文の金額が誤っている</v>
      </c>
      <c r="Q638" s="65">
        <f>SUMIF(日報!$R:$R,TEXT(YEAR($Q$2),"0000")&amp;TEXT(MONTH($Q$2),"00")&amp;$O638,日報!$L:$L)</f>
        <v>0</v>
      </c>
      <c r="R638" s="65">
        <f ca="1">SUMIF(日報!$J:$J,$O638,日報!$L:$L)</f>
        <v>0</v>
      </c>
    </row>
    <row r="639" spans="15:18" x14ac:dyDescent="0.15">
      <c r="O639" s="7" t="str">
        <f>"REQ"&amp;TEXT([2]RequestList!$A640,"0000")</f>
        <v>REQ22174</v>
      </c>
      <c r="P639" s="7" t="str">
        <f>[2]RequestList!$J640</f>
        <v>障害アナウンスアドレス追加</v>
      </c>
      <c r="Q639" s="65">
        <f>SUMIF(日報!$R:$R,TEXT(YEAR($Q$2),"0000")&amp;TEXT(MONTH($Q$2),"00")&amp;$O639,日報!$L:$L)</f>
        <v>0</v>
      </c>
      <c r="R639" s="65">
        <f ca="1">SUMIF(日報!$J:$J,$O639,日報!$L:$L)</f>
        <v>0</v>
      </c>
    </row>
    <row r="640" spans="15:18" x14ac:dyDescent="0.15">
      <c r="O640" s="7" t="str">
        <f>"REQ"&amp;TEXT([2]RequestList!$A641,"0000")</f>
        <v>REQ22175</v>
      </c>
      <c r="P640" s="7" t="str">
        <f>[2]RequestList!$J641</f>
        <v>AODのDailyCheck縮小検討</v>
      </c>
      <c r="Q640" s="65">
        <f>SUMIF(日報!$R:$R,TEXT(YEAR($Q$2),"0000")&amp;TEXT(MONTH($Q$2),"00")&amp;$O640,日報!$L:$L)</f>
        <v>0</v>
      </c>
      <c r="R640" s="65">
        <f ca="1">SUMIF(日報!$J:$J,$O640,日報!$L:$L)</f>
        <v>0</v>
      </c>
    </row>
    <row r="641" spans="15:18" x14ac:dyDescent="0.15">
      <c r="O641" s="7" t="str">
        <f>"REQ"&amp;TEXT([2]RequestList!$A642,"0000")</f>
        <v>REQ22176</v>
      </c>
      <c r="P641" s="7" t="str">
        <f>[2]RequestList!$J642</f>
        <v>MG5構成変更による影響調査</v>
      </c>
      <c r="Q641" s="65">
        <f>SUMIF(日報!$R:$R,TEXT(YEAR($Q$2),"0000")&amp;TEXT(MONTH($Q$2),"00")&amp;$O641,日報!$L:$L)</f>
        <v>0</v>
      </c>
      <c r="R641" s="65">
        <f ca="1">SUMIF(日報!$J:$J,$O641,日報!$L:$L)</f>
        <v>0</v>
      </c>
    </row>
    <row r="642" spans="15:18" x14ac:dyDescent="0.15">
      <c r="O642" s="7" t="str">
        <f>"REQ"&amp;TEXT([2]RequestList!$A643,"0000")</f>
        <v>REQ22177</v>
      </c>
      <c r="P642" s="7" t="str">
        <f>[2]RequestList!$J643</f>
        <v>tableau license棚卸し</v>
      </c>
      <c r="Q642" s="65">
        <f>SUMIF(日報!$R:$R,TEXT(YEAR($Q$2),"0000")&amp;TEXT(MONTH($Q$2),"00")&amp;$O642,日報!$L:$L)</f>
        <v>0</v>
      </c>
      <c r="R642" s="65">
        <f ca="1">SUMIF(日報!$J:$J,$O642,日報!$L:$L)</f>
        <v>0</v>
      </c>
    </row>
    <row r="643" spans="15:18" x14ac:dyDescent="0.15">
      <c r="O643" s="7" t="str">
        <f>"REQ"&amp;TEXT([2]RequestList!$A644,"0000")</f>
        <v>REQ22178</v>
      </c>
      <c r="P643" s="7" t="str">
        <f>[2]RequestList!$J644</f>
        <v>SAPで新規ユーザ獲得ロイヤリティ取り込みがエラー</v>
      </c>
      <c r="Q643" s="65">
        <f>SUMIF(日報!$R:$R,TEXT(YEAR($Q$2),"0000")&amp;TEXT(MONTH($Q$2),"00")&amp;$O643,日報!$L:$L)</f>
        <v>0</v>
      </c>
      <c r="R643" s="65">
        <f ca="1">SUMIF(日報!$J:$J,$O643,日報!$L:$L)</f>
        <v>0</v>
      </c>
    </row>
    <row r="644" spans="15:18" x14ac:dyDescent="0.15">
      <c r="O644" s="7" t="str">
        <f>"REQ"&amp;TEXT([2]RequestList!$A645,"0000")</f>
        <v>REQ22179</v>
      </c>
      <c r="P644" s="7" t="str">
        <f>[2]RequestList!$J645</f>
        <v>TritonA全国ローンチ</v>
      </c>
      <c r="Q644" s="65">
        <f>SUMIF(日報!$R:$R,TEXT(YEAR($Q$2),"0000")&amp;TEXT(MONTH($Q$2),"00")&amp;$O644,日報!$L:$L)</f>
        <v>0</v>
      </c>
      <c r="R644" s="65">
        <f ca="1">SUMIF(日報!$J:$J,$O644,日報!$L:$L)</f>
        <v>0</v>
      </c>
    </row>
    <row r="645" spans="15:18" x14ac:dyDescent="0.15">
      <c r="O645" s="7" t="str">
        <f>"REQ"&amp;TEXT([2]RequestList!$A646,"0000")</f>
        <v>REQ22180</v>
      </c>
      <c r="P645" s="7" t="str">
        <f>[2]RequestList!$J646</f>
        <v>Panorama更新さｒていない(8/29)</v>
      </c>
      <c r="Q645" s="65">
        <f>SUMIF(日報!$R:$R,TEXT(YEAR($Q$2),"0000")&amp;TEXT(MONTH($Q$2),"00")&amp;$O645,日報!$L:$L)</f>
        <v>0</v>
      </c>
      <c r="R645" s="65">
        <f ca="1">SUMIF(日報!$J:$J,$O645,日報!$L:$L)</f>
        <v>0</v>
      </c>
    </row>
    <row r="646" spans="15:18" x14ac:dyDescent="0.15">
      <c r="O646" s="7" t="str">
        <f>"REQ"&amp;TEXT([2]RequestList!$A647,"0000")</f>
        <v>REQ22181</v>
      </c>
      <c r="P646" s="7" t="str">
        <f>[2]RequestList!$J647</f>
        <v>Talendセットアップ</v>
      </c>
      <c r="Q646" s="65">
        <f>SUMIF(日報!$R:$R,TEXT(YEAR($Q$2),"0000")&amp;TEXT(MONTH($Q$2),"00")&amp;$O646,日報!$L:$L)</f>
        <v>0</v>
      </c>
      <c r="R646" s="65">
        <f ca="1">SUMIF(日報!$J:$J,$O646,日報!$L:$L)</f>
        <v>0</v>
      </c>
    </row>
    <row r="647" spans="15:18" x14ac:dyDescent="0.15">
      <c r="O647" s="7" t="str">
        <f>"REQ"&amp;TEXT([2]RequestList!$A648,"0000")</f>
        <v>REQ22182</v>
      </c>
      <c r="P647" s="7" t="str">
        <f>[2]RequestList!$J648</f>
        <v>POP Orderの連携について</v>
      </c>
      <c r="Q647" s="65">
        <f>SUMIF(日報!$R:$R,TEXT(YEAR($Q$2),"0000")&amp;TEXT(MONTH($Q$2),"00")&amp;$O647,日報!$L:$L)</f>
        <v>0</v>
      </c>
      <c r="R647" s="65">
        <f ca="1">SUMIF(日報!$J:$J,$O647,日報!$L:$L)</f>
        <v>0</v>
      </c>
    </row>
    <row r="648" spans="15:18" x14ac:dyDescent="0.15">
      <c r="O648" s="7" t="str">
        <f>"REQ"&amp;TEXT([2]RequestList!$A649,"0000")</f>
        <v>REQ22183</v>
      </c>
      <c r="P648" s="7" t="str">
        <f>[2]RequestList!$J649</f>
        <v>SFDCログイン後Lightningに切り替えができない件について</v>
      </c>
      <c r="Q648" s="65">
        <f>SUMIF(日報!$R:$R,TEXT(YEAR($Q$2),"0000")&amp;TEXT(MONTH($Q$2),"00")&amp;$O648,日報!$L:$L)</f>
        <v>0</v>
      </c>
      <c r="R648" s="65">
        <f ca="1">SUMIF(日報!$J:$J,$O648,日報!$L:$L)</f>
        <v>0</v>
      </c>
    </row>
    <row r="649" spans="15:18" x14ac:dyDescent="0.15">
      <c r="O649" s="7" t="str">
        <f>"REQ"&amp;TEXT([2]RequestList!$A650,"0000")</f>
        <v>REQ22184</v>
      </c>
      <c r="P649" s="7" t="str">
        <f>[2]RequestList!$J650</f>
        <v>新規得意先の承認フローの修正について</v>
      </c>
      <c r="Q649" s="65">
        <f>SUMIF(日報!$R:$R,TEXT(YEAR($Q$2),"0000")&amp;TEXT(MONTH($Q$2),"00")&amp;$O649,日報!$L:$L)</f>
        <v>0</v>
      </c>
      <c r="R649" s="65">
        <f ca="1">SUMIF(日報!$J:$J,$O649,日報!$L:$L)</f>
        <v>0</v>
      </c>
    </row>
    <row r="650" spans="15:18" x14ac:dyDescent="0.15">
      <c r="O650" s="7" t="str">
        <f>"REQ"&amp;TEXT([2]RequestList!$A651,"0000")</f>
        <v>REQ22185</v>
      </c>
      <c r="P650" s="7" t="str">
        <f>[2]RequestList!$J651</f>
        <v>Sold Toの新規得意先が連携されていない</v>
      </c>
      <c r="Q650" s="65">
        <f>SUMIF(日報!$R:$R,TEXT(YEAR($Q$2),"0000")&amp;TEXT(MONTH($Q$2),"00")&amp;$O650,日報!$L:$L)</f>
        <v>0</v>
      </c>
      <c r="R650" s="65">
        <f ca="1">SUMIF(日報!$J:$J,$O650,日報!$L:$L)</f>
        <v>0</v>
      </c>
    </row>
    <row r="651" spans="15:18" x14ac:dyDescent="0.15">
      <c r="O651" s="7" t="str">
        <f>"REQ"&amp;TEXT([2]RequestList!$A652,"0000")</f>
        <v>REQ22186</v>
      </c>
      <c r="P651" s="7" t="str">
        <f>[2]RequestList!$J652</f>
        <v>SFDC-ARS間のデータについて</v>
      </c>
      <c r="Q651" s="65">
        <f>SUMIF(日報!$R:$R,TEXT(YEAR($Q$2),"0000")&amp;TEXT(MONTH($Q$2),"00")&amp;$O651,日報!$L:$L)</f>
        <v>0</v>
      </c>
      <c r="R651" s="65">
        <f ca="1">SUMIF(日報!$J:$J,$O651,日報!$L:$L)</f>
        <v>0</v>
      </c>
    </row>
    <row r="652" spans="15:18" x14ac:dyDescent="0.15">
      <c r="O652" s="7" t="str">
        <f>"REQ"&amp;TEXT([2]RequestList!$A653,"0000")</f>
        <v>REQ22187</v>
      </c>
      <c r="P652" s="7" t="str">
        <f>[2]RequestList!$J653</f>
        <v>新規得意先コードの重複について</v>
      </c>
      <c r="Q652" s="65">
        <f>SUMIF(日報!$R:$R,TEXT(YEAR($Q$2),"0000")&amp;TEXT(MONTH($Q$2),"00")&amp;$O652,日報!$L:$L)</f>
        <v>0</v>
      </c>
      <c r="R652" s="65">
        <f ca="1">SUMIF(日報!$J:$J,$O652,日報!$L:$L)</f>
        <v>0</v>
      </c>
    </row>
    <row r="653" spans="15:18" x14ac:dyDescent="0.15">
      <c r="O653" s="7" t="str">
        <f>"REQ"&amp;TEXT([2]RequestList!$A654,"0000")</f>
        <v>REQ22188</v>
      </c>
      <c r="P653" s="7" t="str">
        <f>[2]RequestList!$J654</f>
        <v>新リージョン対応に関する確認</v>
      </c>
      <c r="Q653" s="65">
        <f>SUMIF(日報!$R:$R,TEXT(YEAR($Q$2),"0000")&amp;TEXT(MONTH($Q$2),"00")&amp;$O653,日報!$L:$L)</f>
        <v>0</v>
      </c>
      <c r="R653" s="65">
        <f ca="1">SUMIF(日報!$J:$J,$O653,日報!$L:$L)</f>
        <v>0</v>
      </c>
    </row>
    <row r="654" spans="15:18" x14ac:dyDescent="0.15">
      <c r="O654" s="7" t="str">
        <f>"REQ"&amp;TEXT([2]RequestList!$A655,"0000")</f>
        <v>REQ22189</v>
      </c>
      <c r="P654" s="7" t="str">
        <f>[2]RequestList!$J655</f>
        <v>ユーザのアカウント設定に関する確認</v>
      </c>
      <c r="Q654" s="65">
        <f>SUMIF(日報!$R:$R,TEXT(YEAR($Q$2),"0000")&amp;TEXT(MONTH($Q$2),"00")&amp;$O654,日報!$L:$L)</f>
        <v>0</v>
      </c>
      <c r="R654" s="65">
        <f ca="1">SUMIF(日報!$J:$J,$O654,日報!$L:$L)</f>
        <v>0</v>
      </c>
    </row>
    <row r="655" spans="15:18" x14ac:dyDescent="0.15">
      <c r="O655" s="7" t="str">
        <f>"REQ"&amp;TEXT([2]RequestList!$A656,"0000")</f>
        <v>REQ22190</v>
      </c>
      <c r="P655" s="7" t="str">
        <f>[2]RequestList!$J656</f>
        <v>初期在庫の重複に関して</v>
      </c>
      <c r="Q655" s="65">
        <f>SUMIF(日報!$R:$R,TEXT(YEAR($Q$2),"0000")&amp;TEXT(MONTH($Q$2),"00")&amp;$O655,日報!$L:$L)</f>
        <v>0</v>
      </c>
      <c r="R655" s="65">
        <f ca="1">SUMIF(日報!$J:$J,$O655,日報!$L:$L)</f>
        <v>0</v>
      </c>
    </row>
    <row r="656" spans="15:18" x14ac:dyDescent="0.15">
      <c r="O656" s="7" t="str">
        <f>"REQ"&amp;TEXT([2]RequestList!$A657,"0000")</f>
        <v>REQ22191</v>
      </c>
      <c r="P656" s="7" t="str">
        <f>[2]RequestList!$J657</f>
        <v>POP Orderの連携について</v>
      </c>
      <c r="Q656" s="65">
        <f>SUMIF(日報!$R:$R,TEXT(YEAR($Q$2),"0000")&amp;TEXT(MONTH($Q$2),"00")&amp;$O656,日報!$L:$L)</f>
        <v>0</v>
      </c>
      <c r="R656" s="65">
        <f ca="1">SUMIF(日報!$J:$J,$O656,日報!$L:$L)</f>
        <v>0</v>
      </c>
    </row>
    <row r="657" spans="15:18" x14ac:dyDescent="0.15">
      <c r="O657" s="7" t="str">
        <f>"REQ"&amp;TEXT([2]RequestList!$A658,"0000")</f>
        <v>REQ22192</v>
      </c>
      <c r="P657" s="7" t="str">
        <f>[2]RequestList!$J658</f>
        <v>アカウントのアドレスの変更について</v>
      </c>
      <c r="Q657" s="65">
        <f>SUMIF(日報!$R:$R,TEXT(YEAR($Q$2),"0000")&amp;TEXT(MONTH($Q$2),"00")&amp;$O657,日報!$L:$L)</f>
        <v>0</v>
      </c>
      <c r="R657" s="65">
        <f ca="1">SUMIF(日報!$J:$J,$O657,日報!$L:$L)</f>
        <v>0</v>
      </c>
    </row>
    <row r="658" spans="15:18" x14ac:dyDescent="0.15">
      <c r="O658" s="7" t="str">
        <f>"REQ"&amp;TEXT([2]RequestList!$A659,"0000")</f>
        <v>REQ22193</v>
      </c>
      <c r="P658" s="7" t="str">
        <f>[2]RequestList!$J659</f>
        <v>Price Informationの確認</v>
      </c>
      <c r="Q658" s="65">
        <f>SUMIF(日報!$R:$R,TEXT(YEAR($Q$2),"0000")&amp;TEXT(MONTH($Q$2),"00")&amp;$O658,日報!$L:$L)</f>
        <v>0</v>
      </c>
      <c r="R658" s="65">
        <f ca="1">SUMIF(日報!$J:$J,$O658,日報!$L:$L)</f>
        <v>0</v>
      </c>
    </row>
    <row r="659" spans="15:18" x14ac:dyDescent="0.15">
      <c r="O659" s="7" t="str">
        <f>"REQ"&amp;TEXT([2]RequestList!$A660,"0000")</f>
        <v>REQ22194</v>
      </c>
      <c r="P659" s="7" t="str">
        <f>[2]RequestList!$J660</f>
        <v>眼科契約先の確認について</v>
      </c>
      <c r="Q659" s="65">
        <f>SUMIF(日報!$R:$R,TEXT(YEAR($Q$2),"0000")&amp;TEXT(MONTH($Q$2),"00")&amp;$O659,日報!$L:$L)</f>
        <v>0</v>
      </c>
      <c r="R659" s="65">
        <f ca="1">SUMIF(日報!$J:$J,$O659,日報!$L:$L)</f>
        <v>0</v>
      </c>
    </row>
    <row r="660" spans="15:18" x14ac:dyDescent="0.15">
      <c r="O660" s="7" t="str">
        <f>"REQ"&amp;TEXT([2]RequestList!$A661,"0000")</f>
        <v>REQ22195</v>
      </c>
      <c r="P660" s="7" t="str">
        <f>[2]RequestList!$J661</f>
        <v>8/30分の新規得意先がSFDC上で更新の確認が取れていない</v>
      </c>
      <c r="Q660" s="65">
        <f>SUMIF(日報!$R:$R,TEXT(YEAR($Q$2),"0000")&amp;TEXT(MONTH($Q$2),"00")&amp;$O660,日報!$L:$L)</f>
        <v>0</v>
      </c>
      <c r="R660" s="65">
        <f ca="1">SUMIF(日報!$J:$J,$O660,日報!$L:$L)</f>
        <v>0</v>
      </c>
    </row>
    <row r="661" spans="15:18" x14ac:dyDescent="0.15">
      <c r="O661" s="7" t="str">
        <f>"REQ"&amp;TEXT([2]RequestList!$A662,"0000")</f>
        <v>REQ22196</v>
      </c>
      <c r="P661" s="7" t="str">
        <f>[2]RequestList!$J662</f>
        <v>ナショナルローンチについて</v>
      </c>
      <c r="Q661" s="65">
        <f>SUMIF(日報!$R:$R,TEXT(YEAR($Q$2),"0000")&amp;TEXT(MONTH($Q$2),"00")&amp;$O661,日報!$L:$L)</f>
        <v>0</v>
      </c>
      <c r="R661" s="65">
        <f ca="1">SUMIF(日報!$J:$J,$O661,日報!$L:$L)</f>
        <v>0</v>
      </c>
    </row>
    <row r="662" spans="15:18" x14ac:dyDescent="0.15">
      <c r="O662" s="7" t="str">
        <f>"REQ"&amp;TEXT([2]RequestList!$A663,"0000")</f>
        <v>REQ22197</v>
      </c>
      <c r="P662" s="7" t="str">
        <f>[2]RequestList!$J663</f>
        <v xml:space="preserve">QA環境 ARS Oracleバージョンアップ </v>
      </c>
      <c r="Q662" s="65">
        <f>SUMIF(日報!$R:$R,TEXT(YEAR($Q$2),"0000")&amp;TEXT(MONTH($Q$2),"00")&amp;$O662,日報!$L:$L)</f>
        <v>0</v>
      </c>
      <c r="R662" s="65">
        <f ca="1">SUMIF(日報!$J:$J,$O662,日報!$L:$L)</f>
        <v>0</v>
      </c>
    </row>
    <row r="663" spans="15:18" x14ac:dyDescent="0.15">
      <c r="O663" s="7" t="str">
        <f>"REQ"&amp;TEXT([2]RequestList!$A664,"0000")</f>
        <v>REQ22198</v>
      </c>
      <c r="P663" s="7" t="str">
        <f>[2]RequestList!$J664</f>
        <v>MyAcuvue+テストデータ削除</v>
      </c>
      <c r="Q663" s="65">
        <f>SUMIF(日報!$R:$R,TEXT(YEAR($Q$2),"0000")&amp;TEXT(MONTH($Q$2),"00")&amp;$O663,日報!$L:$L)</f>
        <v>0</v>
      </c>
      <c r="R663" s="65">
        <f ca="1">SUMIF(日報!$J:$J,$O663,日報!$L:$L)</f>
        <v>0</v>
      </c>
    </row>
    <row r="664" spans="15:18" x14ac:dyDescent="0.15">
      <c r="O664" s="7" t="str">
        <f>"REQ"&amp;TEXT([2]RequestList!$A665,"0000")</f>
        <v>REQ22199</v>
      </c>
      <c r="P664" s="7" t="str">
        <f>[2]RequestList!$J665</f>
        <v>UATサポート</v>
      </c>
      <c r="Q664" s="65">
        <f>SUMIF(日報!$R:$R,TEXT(YEAR($Q$2),"0000")&amp;TEXT(MONTH($Q$2),"00")&amp;$O664,日報!$L:$L)</f>
        <v>0</v>
      </c>
      <c r="R664" s="65">
        <f ca="1">SUMIF(日報!$J:$J,$O664,日報!$L:$L)</f>
        <v>0</v>
      </c>
    </row>
    <row r="665" spans="15:18" x14ac:dyDescent="0.15">
      <c r="O665" s="7" t="str">
        <f>"REQ"&amp;TEXT([2]RequestList!$A666,"0000")</f>
        <v>REQ22200</v>
      </c>
      <c r="P665" s="7" t="str">
        <f>[2]RequestList!$J666</f>
        <v>OS upgrade</v>
      </c>
      <c r="Q665" s="65">
        <f>SUMIF(日報!$R:$R,TEXT(YEAR($Q$2),"0000")&amp;TEXT(MONTH($Q$2),"00")&amp;$O665,日報!$L:$L)</f>
        <v>0</v>
      </c>
      <c r="R665" s="65">
        <f ca="1">SUMIF(日報!$J:$J,$O665,日報!$L:$L)</f>
        <v>0</v>
      </c>
    </row>
    <row r="666" spans="15:18" x14ac:dyDescent="0.15">
      <c r="O666" s="7" t="str">
        <f>"REQ"&amp;TEXT([2]RequestList!$A667,"0000")</f>
        <v>REQ22201</v>
      </c>
      <c r="P666" s="7" t="str">
        <f>[2]RequestList!$J667</f>
        <v>AOSロイヤリティレポート失敗</v>
      </c>
      <c r="Q666" s="65">
        <f>SUMIF(日報!$R:$R,TEXT(YEAR($Q$2),"0000")&amp;TEXT(MONTH($Q$2),"00")&amp;$O666,日報!$L:$L)</f>
        <v>0</v>
      </c>
      <c r="R666" s="65">
        <f ca="1">SUMIF(日報!$J:$J,$O666,日報!$L:$L)</f>
        <v>0</v>
      </c>
    </row>
    <row r="667" spans="15:18" x14ac:dyDescent="0.15">
      <c r="O667" s="7" t="str">
        <f>"REQ"&amp;TEXT([2]RequestList!$A668,"0000")</f>
        <v>REQ22202</v>
      </c>
      <c r="P667" s="7" t="str">
        <f>[2]RequestList!$J668</f>
        <v>DL-VISJPTO-AOSITにメールが届いていない</v>
      </c>
      <c r="Q667" s="65">
        <f>SUMIF(日報!$R:$R,TEXT(YEAR($Q$2),"0000")&amp;TEXT(MONTH($Q$2),"00")&amp;$O667,日報!$L:$L)</f>
        <v>0</v>
      </c>
      <c r="R667" s="65">
        <f ca="1">SUMIF(日報!$J:$J,$O667,日報!$L:$L)</f>
        <v>0</v>
      </c>
    </row>
    <row r="668" spans="15:18" x14ac:dyDescent="0.15">
      <c r="O668" s="7" t="str">
        <f>"REQ"&amp;TEXT([2]RequestList!$A669,"0000")</f>
        <v>REQ22203</v>
      </c>
      <c r="P668" s="7" t="str">
        <f>[2]RequestList!$J669</f>
        <v>定期便注文確認画面の表示不備</v>
      </c>
      <c r="Q668" s="65">
        <f>SUMIF(日報!$R:$R,TEXT(YEAR($Q$2),"0000")&amp;TEXT(MONTH($Q$2),"00")&amp;$O668,日報!$L:$L)</f>
        <v>0</v>
      </c>
      <c r="R668" s="65">
        <f ca="1">SUMIF(日報!$J:$J,$O668,日報!$L:$L)</f>
        <v>0</v>
      </c>
    </row>
    <row r="669" spans="15:18" x14ac:dyDescent="0.15">
      <c r="O669" s="7" t="str">
        <f>"REQ"&amp;TEXT([2]RequestList!$A670,"0000")</f>
        <v>REQ22204</v>
      </c>
      <c r="P669" s="7" t="str">
        <f>[2]RequestList!$J670</f>
        <v>代理承認設定（SA Manager）</v>
      </c>
      <c r="Q669" s="65">
        <f>SUMIF(日報!$R:$R,TEXT(YEAR($Q$2),"0000")&amp;TEXT(MONTH($Q$2),"00")&amp;$O669,日報!$L:$L)</f>
        <v>0</v>
      </c>
      <c r="R669" s="65">
        <f ca="1">SUMIF(日報!$J:$J,$O669,日報!$L:$L)</f>
        <v>0</v>
      </c>
    </row>
    <row r="670" spans="15:18" x14ac:dyDescent="0.15">
      <c r="O670" s="7" t="str">
        <f>"REQ"&amp;TEXT([2]RequestList!$A671,"0000")</f>
        <v>REQ22205</v>
      </c>
      <c r="P670" s="7" t="str">
        <f>[2]RequestList!$J671</f>
        <v>WM2ARS_CSTMSバッチのImportエラー</v>
      </c>
      <c r="Q670" s="65">
        <f>SUMIF(日報!$R:$R,TEXT(YEAR($Q$2),"0000")&amp;TEXT(MONTH($Q$2),"00")&amp;$O670,日報!$L:$L)</f>
        <v>0</v>
      </c>
      <c r="R670" s="65">
        <f ca="1">SUMIF(日報!$J:$J,$O670,日報!$L:$L)</f>
        <v>0</v>
      </c>
    </row>
    <row r="671" spans="15:18" x14ac:dyDescent="0.15">
      <c r="O671" s="7" t="str">
        <f>"REQ"&amp;TEXT([2]RequestList!$A672,"0000")</f>
        <v>REQ22206</v>
      </c>
      <c r="P671" s="7" t="str">
        <f>[2]RequestList!$J672</f>
        <v xml:space="preserve">  VCJIT004_0002338_ITリクエスト申請(IT Request)【ワークフロー新規/変更依頼】</v>
      </c>
      <c r="Q671" s="65">
        <f>SUMIF(日報!$R:$R,TEXT(YEAR($Q$2),"0000")&amp;TEXT(MONTH($Q$2),"00")&amp;$O671,日報!$L:$L)</f>
        <v>0</v>
      </c>
      <c r="R671" s="65">
        <f ca="1">SUMIF(日報!$J:$J,$O671,日報!$L:$L)</f>
        <v>0</v>
      </c>
    </row>
    <row r="672" spans="15:18" x14ac:dyDescent="0.15">
      <c r="O672" s="7" t="str">
        <f>"REQ"&amp;TEXT([2]RequestList!$A673,"0000")</f>
        <v>REQ22207</v>
      </c>
      <c r="P672" s="7" t="str">
        <f>[2]RequestList!$J673</f>
        <v xml:space="preserve">  VCJIT004_0002339_ITリクエスト申請(IT Request)【VCJワークフロー変更依頼】</v>
      </c>
      <c r="Q672" s="65">
        <f>SUMIF(日報!$R:$R,TEXT(YEAR($Q$2),"0000")&amp;TEXT(MONTH($Q$2),"00")&amp;$O672,日報!$L:$L)</f>
        <v>0</v>
      </c>
      <c r="R672" s="65">
        <f ca="1">SUMIF(日報!$J:$J,$O672,日報!$L:$L)</f>
        <v>0</v>
      </c>
    </row>
    <row r="673" spans="15:18" x14ac:dyDescent="0.15">
      <c r="O673" s="7" t="str">
        <f>"REQ"&amp;TEXT([2]RequestList!$A674,"0000")</f>
        <v>REQ22208</v>
      </c>
      <c r="P673" s="7" t="str">
        <f>[2]RequestList!$J674</f>
        <v>AOSの新規登録者数の集計/Daily</v>
      </c>
      <c r="Q673" s="65">
        <f>SUMIF(日報!$R:$R,TEXT(YEAR($Q$2),"0000")&amp;TEXT(MONTH($Q$2),"00")&amp;$O673,日報!$L:$L)</f>
        <v>0</v>
      </c>
      <c r="R673" s="65">
        <f ca="1">SUMIF(日報!$J:$J,$O673,日報!$L:$L)</f>
        <v>0</v>
      </c>
    </row>
    <row r="674" spans="15:18" x14ac:dyDescent="0.15">
      <c r="O674" s="7" t="str">
        <f>"REQ"&amp;TEXT([2]RequestList!$A675,"0000")</f>
        <v>REQ22209</v>
      </c>
      <c r="P674" s="7" t="str">
        <f>[2]RequestList!$J675</f>
        <v>ICBM/ICUのインストール依頼</v>
      </c>
      <c r="Q674" s="65">
        <f>SUMIF(日報!$R:$R,TEXT(YEAR($Q$2),"0000")&amp;TEXT(MONTH($Q$2),"00")&amp;$O674,日報!$L:$L)</f>
        <v>0</v>
      </c>
      <c r="R674" s="65">
        <f ca="1">SUMIF(日報!$J:$J,$O674,日報!$L:$L)</f>
        <v>0</v>
      </c>
    </row>
    <row r="675" spans="15:18" x14ac:dyDescent="0.15">
      <c r="O675" s="7" t="str">
        <f>"REQ"&amp;TEXT([2]RequestList!$A676,"0000")</f>
        <v>REQ22210</v>
      </c>
      <c r="P675" s="7" t="str">
        <f>[2]RequestList!$J676</f>
        <v>登録できないACUVUEコードについて</v>
      </c>
      <c r="Q675" s="65">
        <f>SUMIF(日報!$R:$R,TEXT(YEAR($Q$2),"0000")&amp;TEXT(MONTH($Q$2),"00")&amp;$O675,日報!$L:$L)</f>
        <v>0</v>
      </c>
      <c r="R675" s="65">
        <f ca="1">SUMIF(日報!$J:$J,$O675,日報!$L:$L)</f>
        <v>0</v>
      </c>
    </row>
    <row r="676" spans="15:18" x14ac:dyDescent="0.15">
      <c r="O676" s="7" t="str">
        <f>"REQ"&amp;TEXT([2]RequestList!$A677,"0000")</f>
        <v>REQ22211</v>
      </c>
      <c r="P676" s="7" t="str">
        <f>[2]RequestList!$J677</f>
        <v>取扱店検索の開発</v>
      </c>
      <c r="Q676" s="65">
        <f>SUMIF(日報!$R:$R,TEXT(YEAR($Q$2),"0000")&amp;TEXT(MONTH($Q$2),"00")&amp;$O676,日報!$L:$L)</f>
        <v>0</v>
      </c>
      <c r="R676" s="65">
        <f ca="1">SUMIF(日報!$J:$J,$O676,日報!$L:$L)</f>
        <v>0</v>
      </c>
    </row>
    <row r="677" spans="15:18" x14ac:dyDescent="0.15">
      <c r="O677" s="7" t="str">
        <f>"REQ"&amp;TEXT([2]RequestList!$A678,"0000")</f>
        <v>REQ22212</v>
      </c>
      <c r="P677" s="7">
        <f>[2]RequestList!$J678</f>
        <v>0</v>
      </c>
      <c r="Q677" s="65">
        <f>SUMIF(日報!$R:$R,TEXT(YEAR($Q$2),"0000")&amp;TEXT(MONTH($Q$2),"00")&amp;$O677,日報!$L:$L)</f>
        <v>0</v>
      </c>
      <c r="R677" s="65">
        <f ca="1">SUMIF(日報!$J:$J,$O677,日報!$L:$L)</f>
        <v>0</v>
      </c>
    </row>
    <row r="678" spans="15:18" x14ac:dyDescent="0.15">
      <c r="O678" s="7" t="str">
        <f>"REQ"&amp;TEXT([2]RequestList!$A679,"0000")</f>
        <v>REQ22213</v>
      </c>
      <c r="P678" s="7">
        <f>[2]RequestList!$J679</f>
        <v>0</v>
      </c>
      <c r="Q678" s="65">
        <f>SUMIF(日報!$R:$R,TEXT(YEAR($Q$2),"0000")&amp;TEXT(MONTH($Q$2),"00")&amp;$O678,日報!$L:$L)</f>
        <v>0</v>
      </c>
      <c r="R678" s="65">
        <f ca="1">SUMIF(日報!$J:$J,$O678,日報!$L:$L)</f>
        <v>0</v>
      </c>
    </row>
    <row r="679" spans="15:18" x14ac:dyDescent="0.15">
      <c r="O679" s="7" t="str">
        <f>"REQ"&amp;TEXT([2]RequestList!$A680,"0000")</f>
        <v>REQ22214</v>
      </c>
      <c r="P679" s="7">
        <f>[2]RequestList!$J680</f>
        <v>0</v>
      </c>
      <c r="Q679" s="65">
        <f>SUMIF(日報!$R:$R,TEXT(YEAR($Q$2),"0000")&amp;TEXT(MONTH($Q$2),"00")&amp;$O679,日報!$L:$L)</f>
        <v>0</v>
      </c>
      <c r="R679" s="65">
        <f ca="1">SUMIF(日報!$J:$J,$O679,日報!$L:$L)</f>
        <v>0</v>
      </c>
    </row>
    <row r="680" spans="15:18" x14ac:dyDescent="0.15">
      <c r="O680" s="7" t="str">
        <f>"REQ"&amp;TEXT([2]RequestList!$A681,"0000")</f>
        <v>REQ22215</v>
      </c>
      <c r="P680" s="7">
        <f>[2]RequestList!$J681</f>
        <v>0</v>
      </c>
      <c r="Q680" s="65">
        <f>SUMIF(日報!$R:$R,TEXT(YEAR($Q$2),"0000")&amp;TEXT(MONTH($Q$2),"00")&amp;$O680,日報!$L:$L)</f>
        <v>0</v>
      </c>
      <c r="R680" s="65">
        <f ca="1">SUMIF(日報!$J:$J,$O680,日報!$L:$L)</f>
        <v>0</v>
      </c>
    </row>
    <row r="681" spans="15:18" x14ac:dyDescent="0.15">
      <c r="O681" s="7" t="str">
        <f>"REQ"&amp;TEXT([2]RequestList!$A682,"0000")</f>
        <v>REQ22216</v>
      </c>
      <c r="P681" s="7">
        <f>[2]RequestList!$J682</f>
        <v>0</v>
      </c>
      <c r="Q681" s="65">
        <f>SUMIF(日報!$R:$R,TEXT(YEAR($Q$2),"0000")&amp;TEXT(MONTH($Q$2),"00")&amp;$O681,日報!$L:$L)</f>
        <v>0</v>
      </c>
      <c r="R681" s="65">
        <f ca="1">SUMIF(日報!$J:$J,$O681,日報!$L:$L)</f>
        <v>0</v>
      </c>
    </row>
    <row r="682" spans="15:18" x14ac:dyDescent="0.15">
      <c r="O682" s="7" t="str">
        <f>"REQ"&amp;TEXT([2]RequestList!$A683,"0000")</f>
        <v>REQ22217</v>
      </c>
      <c r="P682" s="7">
        <f>[2]RequestList!$J683</f>
        <v>0</v>
      </c>
      <c r="Q682" s="65">
        <f>SUMIF(日報!$R:$R,TEXT(YEAR($Q$2),"0000")&amp;TEXT(MONTH($Q$2),"00")&amp;$O682,日報!$L:$L)</f>
        <v>0</v>
      </c>
      <c r="R682" s="65">
        <f ca="1">SUMIF(日報!$J:$J,$O682,日報!$L:$L)</f>
        <v>0</v>
      </c>
    </row>
    <row r="683" spans="15:18" x14ac:dyDescent="0.15">
      <c r="O683" s="7" t="str">
        <f>"REQ"&amp;TEXT([2]RequestList!$A684,"0000")</f>
        <v>REQ22218</v>
      </c>
      <c r="P683" s="7">
        <f>[2]RequestList!$J684</f>
        <v>0</v>
      </c>
      <c r="Q683" s="65">
        <f>SUMIF(日報!$R:$R,TEXT(YEAR($Q$2),"0000")&amp;TEXT(MONTH($Q$2),"00")&amp;$O683,日報!$L:$L)</f>
        <v>0</v>
      </c>
      <c r="R683" s="65">
        <f ca="1">SUMIF(日報!$J:$J,$O683,日報!$L:$L)</f>
        <v>0</v>
      </c>
    </row>
    <row r="684" spans="15:18" x14ac:dyDescent="0.15">
      <c r="O684" s="7" t="str">
        <f>"REQ"&amp;TEXT([2]RequestList!$A685,"0000")</f>
        <v>REQ22219</v>
      </c>
      <c r="P684" s="7">
        <f>[2]RequestList!$J685</f>
        <v>0</v>
      </c>
      <c r="Q684" s="65">
        <f>SUMIF(日報!$R:$R,TEXT(YEAR($Q$2),"0000")&amp;TEXT(MONTH($Q$2),"00")&amp;$O684,日報!$L:$L)</f>
        <v>0</v>
      </c>
      <c r="R684" s="65">
        <f ca="1">SUMIF(日報!$J:$J,$O684,日報!$L:$L)</f>
        <v>0</v>
      </c>
    </row>
    <row r="685" spans="15:18" x14ac:dyDescent="0.15">
      <c r="O685" s="7" t="str">
        <f>"REQ"&amp;TEXT([2]RequestList!$A686,"0000")</f>
        <v>REQ22220</v>
      </c>
      <c r="P685" s="7">
        <f>[2]RequestList!$J686</f>
        <v>0</v>
      </c>
      <c r="Q685" s="65">
        <f>SUMIF(日報!$R:$R,TEXT(YEAR($Q$2),"0000")&amp;TEXT(MONTH($Q$2),"00")&amp;$O685,日報!$L:$L)</f>
        <v>0</v>
      </c>
      <c r="R685" s="65">
        <f ca="1">SUMIF(日報!$J:$J,$O685,日報!$L:$L)</f>
        <v>0</v>
      </c>
    </row>
    <row r="686" spans="15:18" x14ac:dyDescent="0.15">
      <c r="O686" s="7" t="str">
        <f>"REQ"&amp;TEXT([2]RequestList!$A687,"0000")</f>
        <v>REQ22221</v>
      </c>
      <c r="P686" s="7">
        <f>[2]RequestList!$J687</f>
        <v>0</v>
      </c>
      <c r="Q686" s="65">
        <f>SUMIF(日報!$R:$R,TEXT(YEAR($Q$2),"0000")&amp;TEXT(MONTH($Q$2),"00")&amp;$O686,日報!$L:$L)</f>
        <v>0</v>
      </c>
      <c r="R686" s="65">
        <f ca="1">SUMIF(日報!$J:$J,$O686,日報!$L:$L)</f>
        <v>0</v>
      </c>
    </row>
    <row r="687" spans="15:18" x14ac:dyDescent="0.15">
      <c r="O687" s="7" t="str">
        <f>"REQ"&amp;TEXT([2]RequestList!$A688,"0000")</f>
        <v>REQ22222</v>
      </c>
      <c r="P687" s="7">
        <f>[2]RequestList!$J688</f>
        <v>0</v>
      </c>
      <c r="Q687" s="65">
        <f>SUMIF(日報!$R:$R,TEXT(YEAR($Q$2),"0000")&amp;TEXT(MONTH($Q$2),"00")&amp;$O687,日報!$L:$L)</f>
        <v>0</v>
      </c>
      <c r="R687" s="65">
        <f ca="1">SUMIF(日報!$J:$J,$O687,日報!$L:$L)</f>
        <v>0</v>
      </c>
    </row>
    <row r="688" spans="15:18" x14ac:dyDescent="0.15">
      <c r="O688" s="7" t="str">
        <f>"REQ"&amp;TEXT([2]RequestList!$A689,"0000")</f>
        <v>REQ22223</v>
      </c>
      <c r="P688" s="7">
        <f>[2]RequestList!$J689</f>
        <v>0</v>
      </c>
      <c r="Q688" s="65">
        <f>SUMIF(日報!$R:$R,TEXT(YEAR($Q$2),"0000")&amp;TEXT(MONTH($Q$2),"00")&amp;$O688,日報!$L:$L)</f>
        <v>0</v>
      </c>
      <c r="R688" s="65">
        <f ca="1">SUMIF(日報!$J:$J,$O688,日報!$L:$L)</f>
        <v>0</v>
      </c>
    </row>
    <row r="689" spans="15:18" x14ac:dyDescent="0.15">
      <c r="O689" s="7" t="str">
        <f>"REQ"&amp;TEXT([2]RequestList!$A690,"0000")</f>
        <v>REQ22224</v>
      </c>
      <c r="P689" s="7">
        <f>[2]RequestList!$J690</f>
        <v>0</v>
      </c>
      <c r="Q689" s="65">
        <f>SUMIF(日報!$R:$R,TEXT(YEAR($Q$2),"0000")&amp;TEXT(MONTH($Q$2),"00")&amp;$O689,日報!$L:$L)</f>
        <v>0</v>
      </c>
      <c r="R689" s="65">
        <f ca="1">SUMIF(日報!$J:$J,$O689,日報!$L:$L)</f>
        <v>0</v>
      </c>
    </row>
    <row r="690" spans="15:18" x14ac:dyDescent="0.15">
      <c r="O690" s="7" t="str">
        <f>"REQ"&amp;TEXT([2]RequestList!$A691,"0000")</f>
        <v>REQ22225</v>
      </c>
      <c r="P690" s="7">
        <f>[2]RequestList!$J691</f>
        <v>0</v>
      </c>
      <c r="Q690" s="65">
        <f>SUMIF(日報!$R:$R,TEXT(YEAR($Q$2),"0000")&amp;TEXT(MONTH($Q$2),"00")&amp;$O690,日報!$L:$L)</f>
        <v>0</v>
      </c>
      <c r="R690" s="65">
        <f ca="1">SUMIF(日報!$J:$J,$O690,日報!$L:$L)</f>
        <v>0</v>
      </c>
    </row>
    <row r="691" spans="15:18" x14ac:dyDescent="0.15">
      <c r="O691" s="7" t="str">
        <f>"REQ"&amp;TEXT([2]RequestList!$A692,"0000")</f>
        <v>REQ22226</v>
      </c>
      <c r="P691" s="7">
        <f>[2]RequestList!$J692</f>
        <v>0</v>
      </c>
      <c r="Q691" s="65">
        <f>SUMIF(日報!$R:$R,TEXT(YEAR($Q$2),"0000")&amp;TEXT(MONTH($Q$2),"00")&amp;$O691,日報!$L:$L)</f>
        <v>0</v>
      </c>
      <c r="R691" s="65">
        <f ca="1">SUMIF(日報!$J:$J,$O691,日報!$L:$L)</f>
        <v>0</v>
      </c>
    </row>
    <row r="692" spans="15:18" x14ac:dyDescent="0.15">
      <c r="O692" s="7" t="str">
        <f>"REQ"&amp;TEXT([2]RequestList!$A693,"0000")</f>
        <v>REQ22227</v>
      </c>
      <c r="P692" s="7">
        <f>[2]RequestList!$J693</f>
        <v>0</v>
      </c>
      <c r="Q692" s="65">
        <f>SUMIF(日報!$R:$R,TEXT(YEAR($Q$2),"0000")&amp;TEXT(MONTH($Q$2),"00")&amp;$O692,日報!$L:$L)</f>
        <v>0</v>
      </c>
      <c r="R692" s="65">
        <f ca="1">SUMIF(日報!$J:$J,$O692,日報!$L:$L)</f>
        <v>0</v>
      </c>
    </row>
    <row r="693" spans="15:18" x14ac:dyDescent="0.15">
      <c r="O693" s="7" t="str">
        <f>"REQ"&amp;TEXT([2]RequestList!$A694,"0000")</f>
        <v>REQ22228</v>
      </c>
      <c r="P693" s="7">
        <f>[2]RequestList!$J694</f>
        <v>0</v>
      </c>
      <c r="Q693" s="65">
        <f>SUMIF(日報!$R:$R,TEXT(YEAR($Q$2),"0000")&amp;TEXT(MONTH($Q$2),"00")&amp;$O693,日報!$L:$L)</f>
        <v>0</v>
      </c>
      <c r="R693" s="65">
        <f ca="1">SUMIF(日報!$J:$J,$O693,日報!$L:$L)</f>
        <v>0</v>
      </c>
    </row>
    <row r="694" spans="15:18" x14ac:dyDescent="0.15">
      <c r="O694" s="7" t="str">
        <f>"REQ"&amp;TEXT([2]RequestList!$A695,"0000")</f>
        <v>REQ22229</v>
      </c>
      <c r="P694" s="7">
        <f>[2]RequestList!$J695</f>
        <v>0</v>
      </c>
      <c r="Q694" s="65">
        <f>SUMIF(日報!$R:$R,TEXT(YEAR($Q$2),"0000")&amp;TEXT(MONTH($Q$2),"00")&amp;$O694,日報!$L:$L)</f>
        <v>0</v>
      </c>
      <c r="R694" s="65">
        <f ca="1">SUMIF(日報!$J:$J,$O694,日報!$L:$L)</f>
        <v>0</v>
      </c>
    </row>
    <row r="695" spans="15:18" x14ac:dyDescent="0.15">
      <c r="O695" s="7" t="str">
        <f>"REQ"&amp;TEXT([2]RequestList!$A696,"0000")</f>
        <v>REQ22230</v>
      </c>
      <c r="P695" s="7">
        <f>[2]RequestList!$J696</f>
        <v>0</v>
      </c>
      <c r="Q695" s="65">
        <f>SUMIF(日報!$R:$R,TEXT(YEAR($Q$2),"0000")&amp;TEXT(MONTH($Q$2),"00")&amp;$O695,日報!$L:$L)</f>
        <v>0</v>
      </c>
      <c r="R695" s="65">
        <f ca="1">SUMIF(日報!$J:$J,$O695,日報!$L:$L)</f>
        <v>0</v>
      </c>
    </row>
    <row r="696" spans="15:18" x14ac:dyDescent="0.15">
      <c r="O696" s="7" t="str">
        <f>"REQ"&amp;TEXT([2]RequestList!$A697,"0000")</f>
        <v>REQ22231</v>
      </c>
      <c r="P696" s="7">
        <f>[2]RequestList!$J697</f>
        <v>0</v>
      </c>
      <c r="Q696" s="65">
        <f>SUMIF(日報!$R:$R,TEXT(YEAR($Q$2),"0000")&amp;TEXT(MONTH($Q$2),"00")&amp;$O696,日報!$L:$L)</f>
        <v>0</v>
      </c>
      <c r="R696" s="65">
        <f ca="1">SUMIF(日報!$J:$J,$O696,日報!$L:$L)</f>
        <v>0</v>
      </c>
    </row>
    <row r="697" spans="15:18" x14ac:dyDescent="0.15">
      <c r="O697" s="7" t="str">
        <f>"REQ"&amp;TEXT([2]RequestList!$A698,"0000")</f>
        <v>REQ22232</v>
      </c>
      <c r="P697" s="7">
        <f>[2]RequestList!$J698</f>
        <v>0</v>
      </c>
      <c r="Q697" s="65">
        <f>SUMIF(日報!$R:$R,TEXT(YEAR($Q$2),"0000")&amp;TEXT(MONTH($Q$2),"00")&amp;$O697,日報!$L:$L)</f>
        <v>0</v>
      </c>
      <c r="R697" s="65">
        <f ca="1">SUMIF(日報!$J:$J,$O697,日報!$L:$L)</f>
        <v>0</v>
      </c>
    </row>
    <row r="698" spans="15:18" x14ac:dyDescent="0.15">
      <c r="O698" s="7" t="str">
        <f>"REQ"&amp;TEXT([2]RequestList!$A699,"0000")</f>
        <v>REQ22233</v>
      </c>
      <c r="P698" s="7">
        <f>[2]RequestList!$J699</f>
        <v>0</v>
      </c>
      <c r="Q698" s="65">
        <f>SUMIF(日報!$R:$R,TEXT(YEAR($Q$2),"0000")&amp;TEXT(MONTH($Q$2),"00")&amp;$O698,日報!$L:$L)</f>
        <v>0</v>
      </c>
      <c r="R698" s="65">
        <f ca="1">SUMIF(日報!$J:$J,$O698,日報!$L:$L)</f>
        <v>0</v>
      </c>
    </row>
    <row r="699" spans="15:18" x14ac:dyDescent="0.15">
      <c r="O699" s="7" t="str">
        <f>"REQ"&amp;TEXT([2]RequestList!$A700,"0000")</f>
        <v>REQ22234</v>
      </c>
      <c r="P699" s="7">
        <f>[2]RequestList!$J700</f>
        <v>0</v>
      </c>
      <c r="Q699" s="65">
        <f>SUMIF(日報!$R:$R,TEXT(YEAR($Q$2),"0000")&amp;TEXT(MONTH($Q$2),"00")&amp;$O699,日報!$L:$L)</f>
        <v>0</v>
      </c>
      <c r="R699" s="65">
        <f ca="1">SUMIF(日報!$J:$J,$O699,日報!$L:$L)</f>
        <v>0</v>
      </c>
    </row>
    <row r="700" spans="15:18" x14ac:dyDescent="0.15">
      <c r="O700" s="7" t="str">
        <f>"REQ"&amp;TEXT([2]RequestList!$A701,"0000")</f>
        <v>REQ22235</v>
      </c>
      <c r="P700" s="7">
        <f>[2]RequestList!$J701</f>
        <v>0</v>
      </c>
      <c r="Q700" s="65">
        <f>SUMIF(日報!$R:$R,TEXT(YEAR($Q$2),"0000")&amp;TEXT(MONTH($Q$2),"00")&amp;$O700,日報!$L:$L)</f>
        <v>0</v>
      </c>
      <c r="R700" s="65">
        <f ca="1">SUMIF(日報!$J:$J,$O700,日報!$L:$L)</f>
        <v>0</v>
      </c>
    </row>
    <row r="701" spans="15:18" x14ac:dyDescent="0.15">
      <c r="O701" s="7" t="str">
        <f>"REQ"&amp;TEXT([2]RequestList!$A702,"0000")</f>
        <v>REQ22236</v>
      </c>
      <c r="P701" s="7">
        <f>[2]RequestList!$J702</f>
        <v>0</v>
      </c>
      <c r="Q701" s="65">
        <f>SUMIF(日報!$R:$R,TEXT(YEAR($Q$2),"0000")&amp;TEXT(MONTH($Q$2),"00")&amp;$O701,日報!$L:$L)</f>
        <v>0</v>
      </c>
      <c r="R701" s="65">
        <f ca="1">SUMIF(日報!$J:$J,$O701,日報!$L:$L)</f>
        <v>0</v>
      </c>
    </row>
    <row r="702" spans="15:18" x14ac:dyDescent="0.15">
      <c r="O702" s="7" t="str">
        <f>"REQ"&amp;TEXT([2]RequestList!$A703,"0000")</f>
        <v>REQ22237</v>
      </c>
      <c r="P702" s="7">
        <f>[2]RequestList!$J703</f>
        <v>0</v>
      </c>
      <c r="Q702" s="65">
        <f>SUMIF(日報!$R:$R,TEXT(YEAR($Q$2),"0000")&amp;TEXT(MONTH($Q$2),"00")&amp;$O702,日報!$L:$L)</f>
        <v>0</v>
      </c>
      <c r="R702" s="65">
        <f ca="1">SUMIF(日報!$J:$J,$O702,日報!$L:$L)</f>
        <v>0</v>
      </c>
    </row>
    <row r="703" spans="15:18" x14ac:dyDescent="0.15">
      <c r="O703" s="7" t="str">
        <f>"REQ"&amp;TEXT([2]RequestList!$A704,"0000")</f>
        <v>REQ22238</v>
      </c>
      <c r="P703" s="7">
        <f>[2]RequestList!$J704</f>
        <v>0</v>
      </c>
      <c r="Q703" s="65">
        <f>SUMIF(日報!$R:$R,TEXT(YEAR($Q$2),"0000")&amp;TEXT(MONTH($Q$2),"00")&amp;$O703,日報!$L:$L)</f>
        <v>0</v>
      </c>
      <c r="R703" s="65">
        <f ca="1">SUMIF(日報!$J:$J,$O703,日報!$L:$L)</f>
        <v>0</v>
      </c>
    </row>
    <row r="704" spans="15:18" x14ac:dyDescent="0.15">
      <c r="O704" s="7" t="str">
        <f>"REQ"&amp;TEXT([2]RequestList!$A705,"0000")</f>
        <v>REQ22239</v>
      </c>
      <c r="P704" s="7">
        <f>[2]RequestList!$J705</f>
        <v>0</v>
      </c>
      <c r="Q704" s="65">
        <f>SUMIF(日報!$R:$R,TEXT(YEAR($Q$2),"0000")&amp;TEXT(MONTH($Q$2),"00")&amp;$O704,日報!$L:$L)</f>
        <v>0</v>
      </c>
      <c r="R704" s="65">
        <f ca="1">SUMIF(日報!$J:$J,$O704,日報!$L:$L)</f>
        <v>0</v>
      </c>
    </row>
    <row r="705" spans="15:18" x14ac:dyDescent="0.15">
      <c r="O705" s="7" t="str">
        <f>"REQ"&amp;TEXT([2]RequestList!$A706,"0000")</f>
        <v>REQ22240</v>
      </c>
      <c r="P705" s="7">
        <f>[2]RequestList!$J706</f>
        <v>0</v>
      </c>
      <c r="Q705" s="65">
        <f>SUMIF(日報!$R:$R,TEXT(YEAR($Q$2),"0000")&amp;TEXT(MONTH($Q$2),"00")&amp;$O705,日報!$L:$L)</f>
        <v>0</v>
      </c>
      <c r="R705" s="65">
        <f ca="1">SUMIF(日報!$J:$J,$O705,日報!$L:$L)</f>
        <v>0</v>
      </c>
    </row>
    <row r="706" spans="15:18" x14ac:dyDescent="0.15">
      <c r="O706" s="7" t="str">
        <f>"REQ"&amp;TEXT([2]RequestList!$A707,"0000")</f>
        <v>REQ22241</v>
      </c>
      <c r="P706" s="7">
        <f>[2]RequestList!$J707</f>
        <v>0</v>
      </c>
      <c r="Q706" s="65">
        <f>SUMIF(日報!$R:$R,TEXT(YEAR($Q$2),"0000")&amp;TEXT(MONTH($Q$2),"00")&amp;$O706,日報!$L:$L)</f>
        <v>0</v>
      </c>
      <c r="R706" s="65">
        <f ca="1">SUMIF(日報!$J:$J,$O706,日報!$L:$L)</f>
        <v>0</v>
      </c>
    </row>
    <row r="707" spans="15:18" x14ac:dyDescent="0.15">
      <c r="O707" s="7" t="str">
        <f>"REQ"&amp;TEXT([2]RequestList!$A708,"0000")</f>
        <v>REQ22242</v>
      </c>
      <c r="P707" s="7">
        <f>[2]RequestList!$J708</f>
        <v>0</v>
      </c>
      <c r="Q707" s="65">
        <f>SUMIF(日報!$R:$R,TEXT(YEAR($Q$2),"0000")&amp;TEXT(MONTH($Q$2),"00")&amp;$O707,日報!$L:$L)</f>
        <v>0</v>
      </c>
      <c r="R707" s="65">
        <f ca="1">SUMIF(日報!$J:$J,$O707,日報!$L:$L)</f>
        <v>0</v>
      </c>
    </row>
    <row r="708" spans="15:18" x14ac:dyDescent="0.15">
      <c r="O708" s="7" t="str">
        <f>"REQ"&amp;TEXT([2]RequestList!$A709,"0000")</f>
        <v>REQ22243</v>
      </c>
      <c r="P708" s="7">
        <f>[2]RequestList!$J709</f>
        <v>0</v>
      </c>
      <c r="Q708" s="65">
        <f>SUMIF(日報!$R:$R,TEXT(YEAR($Q$2),"0000")&amp;TEXT(MONTH($Q$2),"00")&amp;$O708,日報!$L:$L)</f>
        <v>0</v>
      </c>
      <c r="R708" s="65">
        <f ca="1">SUMIF(日報!$J:$J,$O708,日報!$L:$L)</f>
        <v>0</v>
      </c>
    </row>
    <row r="709" spans="15:18" x14ac:dyDescent="0.15">
      <c r="O709" s="7" t="str">
        <f>"REQ"&amp;TEXT([2]RequestList!$A710,"0000")</f>
        <v>REQ22244</v>
      </c>
      <c r="P709" s="7">
        <f>[2]RequestList!$J710</f>
        <v>0</v>
      </c>
      <c r="Q709" s="65">
        <f>SUMIF(日報!$R:$R,TEXT(YEAR($Q$2),"0000")&amp;TEXT(MONTH($Q$2),"00")&amp;$O709,日報!$L:$L)</f>
        <v>0</v>
      </c>
      <c r="R709" s="65">
        <f ca="1">SUMIF(日報!$J:$J,$O709,日報!$L:$L)</f>
        <v>0</v>
      </c>
    </row>
    <row r="710" spans="15:18" x14ac:dyDescent="0.15">
      <c r="O710" s="7" t="str">
        <f>"REQ"&amp;TEXT([2]RequestList!$A711,"0000")</f>
        <v>REQ22245</v>
      </c>
      <c r="P710" s="7">
        <f>[2]RequestList!$J711</f>
        <v>0</v>
      </c>
      <c r="Q710" s="65">
        <f>SUMIF(日報!$R:$R,TEXT(YEAR($Q$2),"0000")&amp;TEXT(MONTH($Q$2),"00")&amp;$O710,日報!$L:$L)</f>
        <v>0</v>
      </c>
      <c r="R710" s="65">
        <f ca="1">SUMIF(日報!$J:$J,$O710,日報!$L:$L)</f>
        <v>0</v>
      </c>
    </row>
    <row r="711" spans="15:18" x14ac:dyDescent="0.15">
      <c r="O711" s="7" t="str">
        <f>"REQ"&amp;TEXT([2]RequestList!$A712,"0000")</f>
        <v>REQ22246</v>
      </c>
      <c r="P711" s="7">
        <f>[2]RequestList!$J712</f>
        <v>0</v>
      </c>
      <c r="Q711" s="65">
        <f>SUMIF(日報!$R:$R,TEXT(YEAR($Q$2),"0000")&amp;TEXT(MONTH($Q$2),"00")&amp;$O711,日報!$L:$L)</f>
        <v>0</v>
      </c>
      <c r="R711" s="65">
        <f ca="1">SUMIF(日報!$J:$J,$O711,日報!$L:$L)</f>
        <v>0</v>
      </c>
    </row>
    <row r="712" spans="15:18" x14ac:dyDescent="0.15">
      <c r="O712" s="7" t="str">
        <f>"REQ"&amp;TEXT([2]RequestList!$A713,"0000")</f>
        <v>REQ22247</v>
      </c>
      <c r="P712" s="7">
        <f>[2]RequestList!$J713</f>
        <v>0</v>
      </c>
      <c r="Q712" s="65">
        <f>SUMIF(日報!$R:$R,TEXT(YEAR($Q$2),"0000")&amp;TEXT(MONTH($Q$2),"00")&amp;$O712,日報!$L:$L)</f>
        <v>0</v>
      </c>
      <c r="R712" s="65">
        <f ca="1">SUMIF(日報!$J:$J,$O712,日報!$L:$L)</f>
        <v>0</v>
      </c>
    </row>
    <row r="713" spans="15:18" x14ac:dyDescent="0.15">
      <c r="O713" s="7" t="str">
        <f>"REQ"&amp;TEXT([2]RequestList!$A714,"0000")</f>
        <v>REQ22248</v>
      </c>
      <c r="P713" s="7">
        <f>[2]RequestList!$J714</f>
        <v>0</v>
      </c>
      <c r="Q713" s="65">
        <f>SUMIF(日報!$R:$R,TEXT(YEAR($Q$2),"0000")&amp;TEXT(MONTH($Q$2),"00")&amp;$O713,日報!$L:$L)</f>
        <v>0</v>
      </c>
      <c r="R713" s="65">
        <f ca="1">SUMIF(日報!$J:$J,$O713,日報!$L:$L)</f>
        <v>0</v>
      </c>
    </row>
    <row r="714" spans="15:18" x14ac:dyDescent="0.15">
      <c r="O714" s="7" t="str">
        <f>"REQ"&amp;TEXT([2]RequestList!$A715,"0000")</f>
        <v>REQ22249</v>
      </c>
      <c r="P714" s="7">
        <f>[2]RequestList!$J715</f>
        <v>0</v>
      </c>
      <c r="Q714" s="65">
        <f>SUMIF(日報!$R:$R,TEXT(YEAR($Q$2),"0000")&amp;TEXT(MONTH($Q$2),"00")&amp;$O714,日報!$L:$L)</f>
        <v>0</v>
      </c>
      <c r="R714" s="65">
        <f ca="1">SUMIF(日報!$J:$J,$O714,日報!$L:$L)</f>
        <v>0</v>
      </c>
    </row>
    <row r="715" spans="15:18" x14ac:dyDescent="0.15">
      <c r="O715" s="7" t="str">
        <f>"REQ"&amp;TEXT([2]RequestList!$A716,"0000")</f>
        <v>REQ22250</v>
      </c>
      <c r="P715" s="7">
        <f>[2]RequestList!$J716</f>
        <v>0</v>
      </c>
      <c r="Q715" s="65">
        <f>SUMIF(日報!$R:$R,TEXT(YEAR($Q$2),"0000")&amp;TEXT(MONTH($Q$2),"00")&amp;$O715,日報!$L:$L)</f>
        <v>0</v>
      </c>
      <c r="R715" s="65">
        <f ca="1">SUMIF(日報!$J:$J,$O715,日報!$L:$L)</f>
        <v>0</v>
      </c>
    </row>
    <row r="716" spans="15:18" x14ac:dyDescent="0.15">
      <c r="O716" s="7" t="str">
        <f>"REQ"&amp;TEXT([2]RequestList!$A717,"0000")</f>
        <v>REQ22251</v>
      </c>
      <c r="P716" s="7">
        <f>[2]RequestList!$J717</f>
        <v>0</v>
      </c>
      <c r="Q716" s="65">
        <f>SUMIF(日報!$R:$R,TEXT(YEAR($Q$2),"0000")&amp;TEXT(MONTH($Q$2),"00")&amp;$O716,日報!$L:$L)</f>
        <v>0</v>
      </c>
      <c r="R716" s="65">
        <f ca="1">SUMIF(日報!$J:$J,$O716,日報!$L:$L)</f>
        <v>0</v>
      </c>
    </row>
    <row r="717" spans="15:18" x14ac:dyDescent="0.15">
      <c r="O717" s="7" t="str">
        <f>"REQ"&amp;TEXT([2]RequestList!$A718,"0000")</f>
        <v>REQ22252</v>
      </c>
      <c r="P717" s="7">
        <f>[2]RequestList!$J718</f>
        <v>0</v>
      </c>
      <c r="Q717" s="65">
        <f>SUMIF(日報!$R:$R,TEXT(YEAR($Q$2),"0000")&amp;TEXT(MONTH($Q$2),"00")&amp;$O717,日報!$L:$L)</f>
        <v>0</v>
      </c>
      <c r="R717" s="65">
        <f ca="1">SUMIF(日報!$J:$J,$O717,日報!$L:$L)</f>
        <v>0</v>
      </c>
    </row>
    <row r="718" spans="15:18" x14ac:dyDescent="0.15">
      <c r="O718" s="7" t="str">
        <f>"REQ"&amp;TEXT([2]RequestList!$A719,"0000")</f>
        <v>REQ22253</v>
      </c>
      <c r="P718" s="7">
        <f>[2]RequestList!$J719</f>
        <v>0</v>
      </c>
      <c r="Q718" s="65">
        <f>SUMIF(日報!$R:$R,TEXT(YEAR($Q$2),"0000")&amp;TEXT(MONTH($Q$2),"00")&amp;$O718,日報!$L:$L)</f>
        <v>0</v>
      </c>
      <c r="R718" s="65">
        <f ca="1">SUMIF(日報!$J:$J,$O718,日報!$L:$L)</f>
        <v>0</v>
      </c>
    </row>
    <row r="719" spans="15:18" x14ac:dyDescent="0.15">
      <c r="O719" s="7" t="str">
        <f>"REQ"&amp;TEXT([2]RequestList!$A720,"0000")</f>
        <v>REQ22254</v>
      </c>
      <c r="P719" s="7">
        <f>[2]RequestList!$J720</f>
        <v>0</v>
      </c>
      <c r="Q719" s="65">
        <f>SUMIF(日報!$R:$R,TEXT(YEAR($Q$2),"0000")&amp;TEXT(MONTH($Q$2),"00")&amp;$O719,日報!$L:$L)</f>
        <v>0</v>
      </c>
      <c r="R719" s="65">
        <f ca="1">SUMIF(日報!$J:$J,$O719,日報!$L:$L)</f>
        <v>0</v>
      </c>
    </row>
    <row r="720" spans="15:18" x14ac:dyDescent="0.15">
      <c r="O720" s="7" t="str">
        <f>"REQ"&amp;TEXT([2]RequestList!$A721,"0000")</f>
        <v>REQ22255</v>
      </c>
      <c r="P720" s="7">
        <f>[2]RequestList!$J721</f>
        <v>0</v>
      </c>
      <c r="Q720" s="65">
        <f>SUMIF(日報!$R:$R,TEXT(YEAR($Q$2),"0000")&amp;TEXT(MONTH($Q$2),"00")&amp;$O720,日報!$L:$L)</f>
        <v>0</v>
      </c>
      <c r="R720" s="65">
        <f ca="1">SUMIF(日報!$J:$J,$O720,日報!$L:$L)</f>
        <v>0</v>
      </c>
    </row>
    <row r="721" spans="15:18" x14ac:dyDescent="0.15">
      <c r="O721" s="7" t="str">
        <f>"REQ"&amp;TEXT([2]RequestList!$A722,"0000")</f>
        <v>REQ22256</v>
      </c>
      <c r="P721" s="7">
        <f>[2]RequestList!$J722</f>
        <v>0</v>
      </c>
      <c r="Q721" s="65">
        <f>SUMIF(日報!$R:$R,TEXT(YEAR($Q$2),"0000")&amp;TEXT(MONTH($Q$2),"00")&amp;$O721,日報!$L:$L)</f>
        <v>0</v>
      </c>
      <c r="R721" s="65">
        <f ca="1">SUMIF(日報!$J:$J,$O721,日報!$L:$L)</f>
        <v>0</v>
      </c>
    </row>
    <row r="722" spans="15:18" x14ac:dyDescent="0.15">
      <c r="O722" s="7" t="str">
        <f>"REQ"&amp;TEXT([2]RequestList!$A723,"0000")</f>
        <v>REQ22257</v>
      </c>
      <c r="P722" s="7">
        <f>[2]RequestList!$J723</f>
        <v>0</v>
      </c>
      <c r="Q722" s="65">
        <f>SUMIF(日報!$R:$R,TEXT(YEAR($Q$2),"0000")&amp;TEXT(MONTH($Q$2),"00")&amp;$O722,日報!$L:$L)</f>
        <v>0</v>
      </c>
      <c r="R722" s="65">
        <f ca="1">SUMIF(日報!$J:$J,$O722,日報!$L:$L)</f>
        <v>0</v>
      </c>
    </row>
    <row r="723" spans="15:18" x14ac:dyDescent="0.15">
      <c r="O723" s="7" t="str">
        <f>"REQ"&amp;TEXT([2]RequestList!$A724,"0000")</f>
        <v>REQ22258</v>
      </c>
      <c r="P723" s="7">
        <f>[2]RequestList!$J724</f>
        <v>0</v>
      </c>
      <c r="Q723" s="65">
        <f>SUMIF(日報!$R:$R,TEXT(YEAR($Q$2),"0000")&amp;TEXT(MONTH($Q$2),"00")&amp;$O723,日報!$L:$L)</f>
        <v>0</v>
      </c>
      <c r="R723" s="65">
        <f ca="1">SUMIF(日報!$J:$J,$O723,日報!$L:$L)</f>
        <v>0</v>
      </c>
    </row>
    <row r="724" spans="15:18" x14ac:dyDescent="0.15">
      <c r="O724" s="7" t="str">
        <f>"REQ"&amp;TEXT([2]RequestList!$A725,"0000")</f>
        <v>REQ22259</v>
      </c>
      <c r="P724" s="7">
        <f>[2]RequestList!$J725</f>
        <v>0</v>
      </c>
      <c r="Q724" s="65">
        <f>SUMIF(日報!$R:$R,TEXT(YEAR($Q$2),"0000")&amp;TEXT(MONTH($Q$2),"00")&amp;$O724,日報!$L:$L)</f>
        <v>0</v>
      </c>
      <c r="R724" s="65">
        <f ca="1">SUMIF(日報!$J:$J,$O724,日報!$L:$L)</f>
        <v>0</v>
      </c>
    </row>
    <row r="725" spans="15:18" x14ac:dyDescent="0.15">
      <c r="O725" s="7" t="str">
        <f>"REQ"&amp;TEXT([2]RequestList!$A726,"0000")</f>
        <v>REQ22260</v>
      </c>
      <c r="P725" s="7">
        <f>[2]RequestList!$J726</f>
        <v>0</v>
      </c>
      <c r="Q725" s="65">
        <f>SUMIF(日報!$R:$R,TEXT(YEAR($Q$2),"0000")&amp;TEXT(MONTH($Q$2),"00")&amp;$O725,日報!$L:$L)</f>
        <v>0</v>
      </c>
      <c r="R725" s="65">
        <f ca="1">SUMIF(日報!$J:$J,$O725,日報!$L:$L)</f>
        <v>0</v>
      </c>
    </row>
    <row r="726" spans="15:18" x14ac:dyDescent="0.15">
      <c r="O726" s="7" t="str">
        <f>"REQ"&amp;TEXT([2]RequestList!$A727,"0000")</f>
        <v>REQ22261</v>
      </c>
      <c r="P726" s="7">
        <f>[2]RequestList!$J727</f>
        <v>0</v>
      </c>
      <c r="Q726" s="65">
        <f>SUMIF(日報!$R:$R,TEXT(YEAR($Q$2),"0000")&amp;TEXT(MONTH($Q$2),"00")&amp;$O726,日報!$L:$L)</f>
        <v>0</v>
      </c>
      <c r="R726" s="65">
        <f ca="1">SUMIF(日報!$J:$J,$O726,日報!$L:$L)</f>
        <v>0</v>
      </c>
    </row>
    <row r="727" spans="15:18" x14ac:dyDescent="0.15">
      <c r="O727" s="7" t="str">
        <f>"REQ"&amp;TEXT([2]RequestList!$A728,"0000")</f>
        <v>REQ0000</v>
      </c>
      <c r="P727" s="7">
        <f>[2]RequestList!$J728</f>
        <v>0</v>
      </c>
      <c r="Q727" s="65">
        <f>SUMIF(日報!$R:$R,TEXT(YEAR($Q$2),"0000")&amp;TEXT(MONTH($Q$2),"00")&amp;$O727,日報!$L:$L)</f>
        <v>0</v>
      </c>
      <c r="R727" s="65">
        <f ca="1">SUMIF(日報!$J:$J,$O727,日報!$L:$L)</f>
        <v>0</v>
      </c>
    </row>
    <row r="728" spans="15:18" x14ac:dyDescent="0.15">
      <c r="O728" s="7" t="str">
        <f>"REQ"&amp;TEXT([2]RequestList!$A729,"0000")</f>
        <v>REQ0000</v>
      </c>
      <c r="P728" s="7">
        <f>[2]RequestList!$J729</f>
        <v>0</v>
      </c>
      <c r="Q728" s="65">
        <f>SUMIF(日報!$R:$R,TEXT(YEAR($Q$2),"0000")&amp;TEXT(MONTH($Q$2),"00")&amp;$O728,日報!$L:$L)</f>
        <v>0</v>
      </c>
      <c r="R728" s="65">
        <f ca="1">SUMIF(日報!$J:$J,$O728,日報!$L:$L)</f>
        <v>0</v>
      </c>
    </row>
    <row r="729" spans="15:18" x14ac:dyDescent="0.15">
      <c r="O729" s="7" t="str">
        <f>"REQ"&amp;TEXT([2]RequestList!$A730,"0000")</f>
        <v>REQ0000</v>
      </c>
      <c r="P729" s="7">
        <f>[2]RequestList!$J730</f>
        <v>0</v>
      </c>
      <c r="Q729" s="65">
        <f>SUMIF(日報!$R:$R,TEXT(YEAR($Q$2),"0000")&amp;TEXT(MONTH($Q$2),"00")&amp;$O729,日報!$L:$L)</f>
        <v>0</v>
      </c>
      <c r="R729" s="65">
        <f ca="1">SUMIF(日報!$J:$J,$O729,日報!$L:$L)</f>
        <v>0</v>
      </c>
    </row>
    <row r="730" spans="15:18" x14ac:dyDescent="0.15">
      <c r="O730" s="7" t="str">
        <f>"REQ"&amp;TEXT([2]RequestList!$A731,"0000")</f>
        <v>REQ0000</v>
      </c>
      <c r="P730" s="7">
        <f>[2]RequestList!$J731</f>
        <v>0</v>
      </c>
      <c r="Q730" s="65">
        <f>SUMIF(日報!$R:$R,TEXT(YEAR($Q$2),"0000")&amp;TEXT(MONTH($Q$2),"00")&amp;$O730,日報!$L:$L)</f>
        <v>0</v>
      </c>
      <c r="R730" s="65">
        <f ca="1">SUMIF(日報!$J:$J,$O730,日報!$L:$L)</f>
        <v>0</v>
      </c>
    </row>
    <row r="731" spans="15:18" x14ac:dyDescent="0.15">
      <c r="O731" s="7" t="str">
        <f>"REQ"&amp;TEXT([2]RequestList!$A732,"0000")</f>
        <v>REQ0000</v>
      </c>
      <c r="P731" s="7">
        <f>[2]RequestList!$J732</f>
        <v>0</v>
      </c>
      <c r="Q731" s="65">
        <f>SUMIF(日報!$R:$R,TEXT(YEAR($Q$2),"0000")&amp;TEXT(MONTH($Q$2),"00")&amp;$O731,日報!$L:$L)</f>
        <v>0</v>
      </c>
      <c r="R731" s="65">
        <f ca="1">SUMIF(日報!$J:$J,$O731,日報!$L:$L)</f>
        <v>0</v>
      </c>
    </row>
    <row r="732" spans="15:18" x14ac:dyDescent="0.15">
      <c r="O732" s="7" t="str">
        <f>"REQ"&amp;TEXT([2]RequestList!$A733,"0000")</f>
        <v>REQ0000</v>
      </c>
      <c r="P732" s="7">
        <f>[2]RequestList!$J733</f>
        <v>0</v>
      </c>
      <c r="Q732" s="65">
        <f>SUMIF(日報!$R:$R,TEXT(YEAR($Q$2),"0000")&amp;TEXT(MONTH($Q$2),"00")&amp;$O732,日報!$L:$L)</f>
        <v>0</v>
      </c>
      <c r="R732" s="65">
        <f ca="1">SUMIF(日報!$J:$J,$O732,日報!$L:$L)</f>
        <v>0</v>
      </c>
    </row>
    <row r="733" spans="15:18" x14ac:dyDescent="0.15">
      <c r="O733" s="7" t="str">
        <f>"REQ"&amp;TEXT([2]RequestList!$A734,"0000")</f>
        <v>REQ0000</v>
      </c>
      <c r="P733" s="7">
        <f>[2]RequestList!$J734</f>
        <v>0</v>
      </c>
      <c r="Q733" s="65">
        <f>SUMIF(日報!$R:$R,TEXT(YEAR($Q$2),"0000")&amp;TEXT(MONTH($Q$2),"00")&amp;$O733,日報!$L:$L)</f>
        <v>0</v>
      </c>
      <c r="R733" s="65">
        <f ca="1">SUMIF(日報!$J:$J,$O733,日報!$L:$L)</f>
        <v>0</v>
      </c>
    </row>
    <row r="734" spans="15:18" x14ac:dyDescent="0.15">
      <c r="O734" s="7" t="str">
        <f>"REQ"&amp;TEXT([2]RequestList!$A735,"0000")</f>
        <v>REQ0000</v>
      </c>
      <c r="P734" s="7">
        <f>[2]RequestList!$J735</f>
        <v>0</v>
      </c>
      <c r="Q734" s="65">
        <f>SUMIF(日報!$R:$R,TEXT(YEAR($Q$2),"0000")&amp;TEXT(MONTH($Q$2),"00")&amp;$O734,日報!$L:$L)</f>
        <v>0</v>
      </c>
      <c r="R734" s="65">
        <f ca="1">SUMIF(日報!$J:$J,$O734,日報!$L:$L)</f>
        <v>0</v>
      </c>
    </row>
    <row r="735" spans="15:18" x14ac:dyDescent="0.15">
      <c r="O735" s="7" t="str">
        <f>"REQ"&amp;TEXT([2]RequestList!$A736,"0000")</f>
        <v>REQ0000</v>
      </c>
      <c r="P735" s="7">
        <f>[2]RequestList!$J736</f>
        <v>0</v>
      </c>
      <c r="Q735" s="65">
        <f>SUMIF(日報!$R:$R,TEXT(YEAR($Q$2),"0000")&amp;TEXT(MONTH($Q$2),"00")&amp;$O735,日報!$L:$L)</f>
        <v>0</v>
      </c>
      <c r="R735" s="65">
        <f ca="1">SUMIF(日報!$J:$J,$O735,日報!$L:$L)</f>
        <v>0</v>
      </c>
    </row>
    <row r="736" spans="15:18" x14ac:dyDescent="0.15">
      <c r="O736" s="7" t="str">
        <f>"REQ"&amp;TEXT([2]RequestList!$A737,"0000")</f>
        <v>REQ0000</v>
      </c>
      <c r="P736" s="7">
        <f>[2]RequestList!$J737</f>
        <v>0</v>
      </c>
      <c r="Q736" s="65">
        <f>SUMIF(日報!$R:$R,TEXT(YEAR($Q$2),"0000")&amp;TEXT(MONTH($Q$2),"00")&amp;$O736,日報!$L:$L)</f>
        <v>0</v>
      </c>
      <c r="R736" s="65">
        <f ca="1">SUMIF(日報!$J:$J,$O736,日報!$L:$L)</f>
        <v>0</v>
      </c>
    </row>
    <row r="737" spans="15:18" x14ac:dyDescent="0.15">
      <c r="O737" s="7" t="str">
        <f>"REQ"&amp;TEXT([2]RequestList!$A738,"0000")</f>
        <v>REQ0000</v>
      </c>
      <c r="P737" s="7">
        <f>[2]RequestList!$J738</f>
        <v>0</v>
      </c>
      <c r="Q737" s="65">
        <f>SUMIF(日報!$R:$R,TEXT(YEAR($Q$2),"0000")&amp;TEXT(MONTH($Q$2),"00")&amp;$O737,日報!$L:$L)</f>
        <v>0</v>
      </c>
      <c r="R737" s="65">
        <f ca="1">SUMIF(日報!$J:$J,$O737,日報!$L:$L)</f>
        <v>0</v>
      </c>
    </row>
    <row r="738" spans="15:18" x14ac:dyDescent="0.15">
      <c r="O738" s="7" t="str">
        <f>"REQ"&amp;TEXT([2]RequestList!$A739,"0000")</f>
        <v>REQ0000</v>
      </c>
      <c r="P738" s="7">
        <f>[2]RequestList!$J739</f>
        <v>0</v>
      </c>
      <c r="Q738" s="65">
        <f>SUMIF(日報!$R:$R,TEXT(YEAR($Q$2),"0000")&amp;TEXT(MONTH($Q$2),"00")&amp;$O738,日報!$L:$L)</f>
        <v>0</v>
      </c>
      <c r="R738" s="65">
        <f ca="1">SUMIF(日報!$J:$J,$O738,日報!$L:$L)</f>
        <v>0</v>
      </c>
    </row>
    <row r="739" spans="15:18" x14ac:dyDescent="0.15">
      <c r="O739" s="7" t="str">
        <f>"REQ"&amp;TEXT([2]RequestList!$A740,"0000")</f>
        <v>REQ0000</v>
      </c>
      <c r="P739" s="7">
        <f>[2]RequestList!$J740</f>
        <v>0</v>
      </c>
      <c r="Q739" s="65">
        <f>SUMIF(日報!$R:$R,TEXT(YEAR($Q$2),"0000")&amp;TEXT(MONTH($Q$2),"00")&amp;$O739,日報!$L:$L)</f>
        <v>0</v>
      </c>
      <c r="R739" s="65">
        <f ca="1">SUMIF(日報!$J:$J,$O739,日報!$L:$L)</f>
        <v>0</v>
      </c>
    </row>
    <row r="740" spans="15:18" x14ac:dyDescent="0.15">
      <c r="O740" s="7" t="str">
        <f>"REQ"&amp;TEXT([2]RequestList!$A741,"0000")</f>
        <v>REQ0000</v>
      </c>
      <c r="P740" s="7">
        <f>[2]RequestList!$J741</f>
        <v>0</v>
      </c>
      <c r="Q740" s="65">
        <f>SUMIF(日報!$R:$R,TEXT(YEAR($Q$2),"0000")&amp;TEXT(MONTH($Q$2),"00")&amp;$O740,日報!$L:$L)</f>
        <v>0</v>
      </c>
      <c r="R740" s="65">
        <f ca="1">SUMIF(日報!$J:$J,$O740,日報!$L:$L)</f>
        <v>0</v>
      </c>
    </row>
    <row r="741" spans="15:18" x14ac:dyDescent="0.15">
      <c r="O741" s="7" t="str">
        <f>"REQ"&amp;TEXT([2]RequestList!$A742,"0000")</f>
        <v>REQ0000</v>
      </c>
      <c r="P741" s="7">
        <f>[2]RequestList!$J742</f>
        <v>0</v>
      </c>
      <c r="Q741" s="65">
        <f>SUMIF(日報!$R:$R,TEXT(YEAR($Q$2),"0000")&amp;TEXT(MONTH($Q$2),"00")&amp;$O741,日報!$L:$L)</f>
        <v>0</v>
      </c>
      <c r="R741" s="65">
        <f ca="1">SUMIF(日報!$J:$J,$O741,日報!$L:$L)</f>
        <v>0</v>
      </c>
    </row>
    <row r="742" spans="15:18" x14ac:dyDescent="0.15">
      <c r="O742" s="7" t="str">
        <f>"REQ"&amp;TEXT([2]RequestList!$A743,"0000")</f>
        <v>REQ0000</v>
      </c>
      <c r="P742" s="7">
        <f>[2]RequestList!$J743</f>
        <v>0</v>
      </c>
      <c r="Q742" s="65">
        <f>SUMIF(日報!$R:$R,TEXT(YEAR($Q$2),"0000")&amp;TEXT(MONTH($Q$2),"00")&amp;$O742,日報!$L:$L)</f>
        <v>0</v>
      </c>
      <c r="R742" s="65">
        <f ca="1">SUMIF(日報!$J:$J,$O742,日報!$L:$L)</f>
        <v>0</v>
      </c>
    </row>
    <row r="743" spans="15:18" x14ac:dyDescent="0.15">
      <c r="O743" s="7" t="str">
        <f>"REQ"&amp;TEXT([2]RequestList!$A744,"0000")</f>
        <v>REQ0000</v>
      </c>
      <c r="P743" s="7">
        <f>[2]RequestList!$J744</f>
        <v>0</v>
      </c>
      <c r="Q743" s="65">
        <f>SUMIF(日報!$R:$R,TEXT(YEAR($Q$2),"0000")&amp;TEXT(MONTH($Q$2),"00")&amp;$O743,日報!$L:$L)</f>
        <v>0</v>
      </c>
      <c r="R743" s="65">
        <f ca="1">SUMIF(日報!$J:$J,$O743,日報!$L:$L)</f>
        <v>0</v>
      </c>
    </row>
    <row r="744" spans="15:18" x14ac:dyDescent="0.15">
      <c r="O744" s="7" t="str">
        <f>"REQ"&amp;TEXT([2]RequestList!$A745,"0000")</f>
        <v>REQ0000</v>
      </c>
      <c r="P744" s="7">
        <f>[2]RequestList!$J745</f>
        <v>0</v>
      </c>
      <c r="Q744" s="65">
        <f>SUMIF(日報!$R:$R,TEXT(YEAR($Q$2),"0000")&amp;TEXT(MONTH($Q$2),"00")&amp;$O744,日報!$L:$L)</f>
        <v>0</v>
      </c>
      <c r="R744" s="65">
        <f ca="1">SUMIF(日報!$J:$J,$O744,日報!$L:$L)</f>
        <v>0</v>
      </c>
    </row>
    <row r="745" spans="15:18" x14ac:dyDescent="0.15">
      <c r="O745" s="7" t="str">
        <f>"REQ"&amp;TEXT([2]RequestList!$A746,"0000")</f>
        <v>REQ0000</v>
      </c>
      <c r="P745" s="7">
        <f>[2]RequestList!$J746</f>
        <v>0</v>
      </c>
      <c r="Q745" s="65">
        <f>SUMIF(日報!$R:$R,TEXT(YEAR($Q$2),"0000")&amp;TEXT(MONTH($Q$2),"00")&amp;$O745,日報!$L:$L)</f>
        <v>0</v>
      </c>
      <c r="R745" s="65">
        <f ca="1">SUMIF(日報!$J:$J,$O745,日報!$L:$L)</f>
        <v>0</v>
      </c>
    </row>
    <row r="746" spans="15:18" x14ac:dyDescent="0.15">
      <c r="O746" s="7" t="str">
        <f>"REQ"&amp;TEXT([2]RequestList!$A747,"0000")</f>
        <v>REQ0000</v>
      </c>
      <c r="P746" s="7">
        <f>[2]RequestList!$J747</f>
        <v>0</v>
      </c>
      <c r="Q746" s="65">
        <f>SUMIF(日報!$R:$R,TEXT(YEAR($Q$2),"0000")&amp;TEXT(MONTH($Q$2),"00")&amp;$O746,日報!$L:$L)</f>
        <v>0</v>
      </c>
      <c r="R746" s="65">
        <f ca="1">SUMIF(日報!$J:$J,$O746,日報!$L:$L)</f>
        <v>0</v>
      </c>
    </row>
    <row r="747" spans="15:18" x14ac:dyDescent="0.15">
      <c r="O747" s="7" t="str">
        <f>"REQ"&amp;TEXT([2]RequestList!$A748,"0000")</f>
        <v>REQ0000</v>
      </c>
      <c r="P747" s="7">
        <f>[2]RequestList!$J748</f>
        <v>0</v>
      </c>
      <c r="Q747" s="65">
        <f>SUMIF(日報!$R:$R,TEXT(YEAR($Q$2),"0000")&amp;TEXT(MONTH($Q$2),"00")&amp;$O747,日報!$L:$L)</f>
        <v>0</v>
      </c>
      <c r="R747" s="65">
        <f ca="1">SUMIF(日報!$J:$J,$O747,日報!$L:$L)</f>
        <v>0</v>
      </c>
    </row>
    <row r="748" spans="15:18" x14ac:dyDescent="0.15">
      <c r="O748" s="7" t="str">
        <f>"REQ"&amp;TEXT([2]RequestList!$A749,"0000")</f>
        <v>REQ0000</v>
      </c>
      <c r="P748" s="7">
        <f>[2]RequestList!$J749</f>
        <v>0</v>
      </c>
      <c r="Q748" s="65">
        <f>SUMIF(日報!$R:$R,TEXT(YEAR($Q$2),"0000")&amp;TEXT(MONTH($Q$2),"00")&amp;$O748,日報!$L:$L)</f>
        <v>0</v>
      </c>
      <c r="R748" s="65">
        <f ca="1">SUMIF(日報!$J:$J,$O748,日報!$L:$L)</f>
        <v>0</v>
      </c>
    </row>
    <row r="749" spans="15:18" x14ac:dyDescent="0.15">
      <c r="O749" s="7" t="str">
        <f>"REQ"&amp;TEXT([2]RequestList!$A750,"0000")</f>
        <v>REQ0000</v>
      </c>
      <c r="P749" s="7">
        <f>[2]RequestList!$J750</f>
        <v>0</v>
      </c>
      <c r="Q749" s="65">
        <f>SUMIF(日報!$R:$R,TEXT(YEAR($Q$2),"0000")&amp;TEXT(MONTH($Q$2),"00")&amp;$O749,日報!$L:$L)</f>
        <v>0</v>
      </c>
      <c r="R749" s="65">
        <f ca="1">SUMIF(日報!$J:$J,$O749,日報!$L:$L)</f>
        <v>0</v>
      </c>
    </row>
    <row r="750" spans="15:18" x14ac:dyDescent="0.15">
      <c r="O750" s="7" t="str">
        <f>"REQ"&amp;TEXT([2]RequestList!$A751,"0000")</f>
        <v>REQ0000</v>
      </c>
      <c r="P750" s="7">
        <f>[2]RequestList!$J751</f>
        <v>0</v>
      </c>
      <c r="Q750" s="65">
        <f>SUMIF(日報!$R:$R,TEXT(YEAR($Q$2),"0000")&amp;TEXT(MONTH($Q$2),"00")&amp;$O750,日報!$L:$L)</f>
        <v>0</v>
      </c>
      <c r="R750" s="65">
        <f ca="1">SUMIF(日報!$J:$J,$O750,日報!$L:$L)</f>
        <v>0</v>
      </c>
    </row>
    <row r="751" spans="15:18" x14ac:dyDescent="0.15">
      <c r="O751" s="7" t="str">
        <f>"REQ"&amp;TEXT([2]RequestList!$A752,"0000")</f>
        <v>REQ0000</v>
      </c>
      <c r="P751" s="7">
        <f>[2]RequestList!$J752</f>
        <v>0</v>
      </c>
      <c r="Q751" s="65">
        <f>SUMIF(日報!$R:$R,TEXT(YEAR($Q$2),"0000")&amp;TEXT(MONTH($Q$2),"00")&amp;$O751,日報!$L:$L)</f>
        <v>0</v>
      </c>
      <c r="R751" s="65">
        <f ca="1">SUMIF(日報!$J:$J,$O751,日報!$L:$L)</f>
        <v>0</v>
      </c>
    </row>
    <row r="752" spans="15:18" x14ac:dyDescent="0.15">
      <c r="O752" s="7" t="str">
        <f>"REQ"&amp;TEXT([2]RequestList!$A753,"0000")</f>
        <v>REQ0000</v>
      </c>
      <c r="P752" s="7">
        <f>[2]RequestList!$J753</f>
        <v>0</v>
      </c>
      <c r="Q752" s="65">
        <f>SUMIF(日報!$R:$R,TEXT(YEAR($Q$2),"0000")&amp;TEXT(MONTH($Q$2),"00")&amp;$O752,日報!$L:$L)</f>
        <v>0</v>
      </c>
      <c r="R752" s="65">
        <f ca="1">SUMIF(日報!$J:$J,$O752,日報!$L:$L)</f>
        <v>0</v>
      </c>
    </row>
    <row r="753" spans="15:18" x14ac:dyDescent="0.15">
      <c r="O753" s="7" t="str">
        <f>"REQ"&amp;TEXT([2]RequestList!$A754,"0000")</f>
        <v>REQ0000</v>
      </c>
      <c r="P753" s="7">
        <f>[2]RequestList!$J754</f>
        <v>0</v>
      </c>
      <c r="Q753" s="65">
        <f>SUMIF(日報!$R:$R,TEXT(YEAR($Q$2),"0000")&amp;TEXT(MONTH($Q$2),"00")&amp;$O753,日報!$L:$L)</f>
        <v>0</v>
      </c>
      <c r="R753" s="65">
        <f ca="1">SUMIF(日報!$J:$J,$O753,日報!$L:$L)</f>
        <v>0</v>
      </c>
    </row>
    <row r="754" spans="15:18" x14ac:dyDescent="0.15">
      <c r="O754" s="7" t="str">
        <f>"REQ"&amp;TEXT([2]RequestList!$A755,"0000")</f>
        <v>REQ0000</v>
      </c>
      <c r="P754" s="7">
        <f>[2]RequestList!$J755</f>
        <v>0</v>
      </c>
      <c r="Q754" s="65">
        <f>SUMIF(日報!$R:$R,TEXT(YEAR($Q$2),"0000")&amp;TEXT(MONTH($Q$2),"00")&amp;$O754,日報!$L:$L)</f>
        <v>0</v>
      </c>
      <c r="R754" s="65">
        <f ca="1">SUMIF(日報!$J:$J,$O754,日報!$L:$L)</f>
        <v>0</v>
      </c>
    </row>
    <row r="755" spans="15:18" x14ac:dyDescent="0.15">
      <c r="O755" s="7" t="str">
        <f>"REQ"&amp;TEXT([2]RequestList!$A756,"0000")</f>
        <v>REQ0000</v>
      </c>
      <c r="P755" s="7">
        <f>[2]RequestList!$J756</f>
        <v>0</v>
      </c>
      <c r="Q755" s="65">
        <f>SUMIF(日報!$R:$R,TEXT(YEAR($Q$2),"0000")&amp;TEXT(MONTH($Q$2),"00")&amp;$O755,日報!$L:$L)</f>
        <v>0</v>
      </c>
      <c r="R755" s="65">
        <f ca="1">SUMIF(日報!$J:$J,$O755,日報!$L:$L)</f>
        <v>0</v>
      </c>
    </row>
    <row r="756" spans="15:18" x14ac:dyDescent="0.15">
      <c r="O756" s="7" t="str">
        <f>"REQ"&amp;TEXT([2]RequestList!$A757,"0000")</f>
        <v>REQ0000</v>
      </c>
      <c r="P756" s="7">
        <f>[2]RequestList!$J757</f>
        <v>0</v>
      </c>
      <c r="Q756" s="65">
        <f>SUMIF(日報!$R:$R,TEXT(YEAR($Q$2),"0000")&amp;TEXT(MONTH($Q$2),"00")&amp;$O756,日報!$L:$L)</f>
        <v>0</v>
      </c>
      <c r="R756" s="65">
        <f ca="1">SUMIF(日報!$J:$J,$O756,日報!$L:$L)</f>
        <v>0</v>
      </c>
    </row>
    <row r="757" spans="15:18" x14ac:dyDescent="0.15">
      <c r="O757" s="7" t="str">
        <f>"REQ"&amp;TEXT([2]RequestList!$A758,"0000")</f>
        <v>REQ0000</v>
      </c>
      <c r="P757" s="7">
        <f>[2]RequestList!$J758</f>
        <v>0</v>
      </c>
      <c r="Q757" s="65">
        <f>SUMIF(日報!$R:$R,TEXT(YEAR($Q$2),"0000")&amp;TEXT(MONTH($Q$2),"00")&amp;$O757,日報!$L:$L)</f>
        <v>0</v>
      </c>
      <c r="R757" s="65">
        <f ca="1">SUMIF(日報!$J:$J,$O757,日報!$L:$L)</f>
        <v>0</v>
      </c>
    </row>
    <row r="758" spans="15:18" x14ac:dyDescent="0.15">
      <c r="O758" s="7" t="str">
        <f>"REQ"&amp;TEXT([2]RequestList!$A759,"0000")</f>
        <v>REQ0000</v>
      </c>
      <c r="P758" s="7">
        <f>[2]RequestList!$J759</f>
        <v>0</v>
      </c>
      <c r="Q758" s="65">
        <f>SUMIF(日報!$R:$R,TEXT(YEAR($Q$2),"0000")&amp;TEXT(MONTH($Q$2),"00")&amp;$O758,日報!$L:$L)</f>
        <v>0</v>
      </c>
      <c r="R758" s="65">
        <f ca="1">SUMIF(日報!$J:$J,$O758,日報!$L:$L)</f>
        <v>0</v>
      </c>
    </row>
    <row r="759" spans="15:18" x14ac:dyDescent="0.15">
      <c r="O759" s="7" t="str">
        <f>"REQ"&amp;TEXT([2]RequestList!$A760,"0000")</f>
        <v>REQ0000</v>
      </c>
      <c r="P759" s="7">
        <f>[2]RequestList!$J760</f>
        <v>0</v>
      </c>
      <c r="Q759" s="65">
        <f>SUMIF(日報!$R:$R,TEXT(YEAR($Q$2),"0000")&amp;TEXT(MONTH($Q$2),"00")&amp;$O759,日報!$L:$L)</f>
        <v>0</v>
      </c>
      <c r="R759" s="65">
        <f ca="1">SUMIF(日報!$J:$J,$O759,日報!$L:$L)</f>
        <v>0</v>
      </c>
    </row>
    <row r="760" spans="15:18" x14ac:dyDescent="0.15">
      <c r="O760" s="7" t="str">
        <f>"REQ"&amp;TEXT([2]RequestList!$A761,"0000")</f>
        <v>REQ0000</v>
      </c>
      <c r="P760" s="7">
        <f>[2]RequestList!$J761</f>
        <v>0</v>
      </c>
      <c r="Q760" s="65">
        <f>SUMIF(日報!$R:$R,TEXT(YEAR($Q$2),"0000")&amp;TEXT(MONTH($Q$2),"00")&amp;$O760,日報!$L:$L)</f>
        <v>0</v>
      </c>
      <c r="R760" s="65">
        <f ca="1">SUMIF(日報!$J:$J,$O760,日報!$L:$L)</f>
        <v>0</v>
      </c>
    </row>
    <row r="761" spans="15:18" x14ac:dyDescent="0.15">
      <c r="O761" s="7" t="str">
        <f>"REQ"&amp;TEXT([2]RequestList!$A762,"0000")</f>
        <v>REQ0000</v>
      </c>
      <c r="P761" s="7">
        <f>[2]RequestList!$J762</f>
        <v>0</v>
      </c>
      <c r="Q761" s="65">
        <f>SUMIF(日報!$R:$R,TEXT(YEAR($Q$2),"0000")&amp;TEXT(MONTH($Q$2),"00")&amp;$O761,日報!$L:$L)</f>
        <v>0</v>
      </c>
      <c r="R761" s="65">
        <f ca="1">SUMIF(日報!$J:$J,$O761,日報!$L:$L)</f>
        <v>0</v>
      </c>
    </row>
    <row r="762" spans="15:18" x14ac:dyDescent="0.15">
      <c r="O762" s="7" t="str">
        <f>"REQ"&amp;TEXT([2]RequestList!$A763,"0000")</f>
        <v>REQ0000</v>
      </c>
      <c r="P762" s="7">
        <f>[2]RequestList!$J763</f>
        <v>0</v>
      </c>
      <c r="Q762" s="65">
        <f>SUMIF(日報!$R:$R,TEXT(YEAR($Q$2),"0000")&amp;TEXT(MONTH($Q$2),"00")&amp;$O762,日報!$L:$L)</f>
        <v>0</v>
      </c>
      <c r="R762" s="65">
        <f ca="1">SUMIF(日報!$J:$J,$O762,日報!$L:$L)</f>
        <v>0</v>
      </c>
    </row>
    <row r="763" spans="15:18" x14ac:dyDescent="0.15">
      <c r="O763" s="7" t="str">
        <f>"REQ"&amp;TEXT([2]RequestList!$A764,"0000")</f>
        <v>REQ0000</v>
      </c>
      <c r="P763" s="7">
        <f>[2]RequestList!$J764</f>
        <v>0</v>
      </c>
      <c r="Q763" s="65">
        <f>SUMIF(日報!$R:$R,TEXT(YEAR($Q$2),"0000")&amp;TEXT(MONTH($Q$2),"00")&amp;$O763,日報!$L:$L)</f>
        <v>0</v>
      </c>
      <c r="R763" s="65">
        <f ca="1">SUMIF(日報!$J:$J,$O763,日報!$L:$L)</f>
        <v>0</v>
      </c>
    </row>
    <row r="764" spans="15:18" x14ac:dyDescent="0.15">
      <c r="O764" s="7" t="str">
        <f>"REQ"&amp;TEXT([2]RequestList!$A765,"0000")</f>
        <v>REQ0000</v>
      </c>
      <c r="P764" s="7">
        <f>[2]RequestList!$J765</f>
        <v>0</v>
      </c>
      <c r="Q764" s="65">
        <f>SUMIF(日報!$R:$R,TEXT(YEAR($Q$2),"0000")&amp;TEXT(MONTH($Q$2),"00")&amp;$O764,日報!$L:$L)</f>
        <v>0</v>
      </c>
      <c r="R764" s="65">
        <f ca="1">SUMIF(日報!$J:$J,$O764,日報!$L:$L)</f>
        <v>0</v>
      </c>
    </row>
    <row r="765" spans="15:18" x14ac:dyDescent="0.15">
      <c r="O765" s="7" t="str">
        <f>"REQ"&amp;TEXT([2]RequestList!$A766,"0000")</f>
        <v>REQ0000</v>
      </c>
      <c r="P765" s="7">
        <f>[2]RequestList!$J766</f>
        <v>0</v>
      </c>
      <c r="Q765" s="65">
        <f>SUMIF(日報!$R:$R,TEXT(YEAR($Q$2),"0000")&amp;TEXT(MONTH($Q$2),"00")&amp;$O765,日報!$L:$L)</f>
        <v>0</v>
      </c>
      <c r="R765" s="65">
        <f ca="1">SUMIF(日報!$J:$J,$O765,日報!$L:$L)</f>
        <v>0</v>
      </c>
    </row>
    <row r="766" spans="15:18" x14ac:dyDescent="0.15">
      <c r="O766" s="7" t="str">
        <f>"REQ"&amp;TEXT([2]RequestList!$A767,"0000")</f>
        <v>REQ0000</v>
      </c>
      <c r="P766" s="7">
        <f>[2]RequestList!$J767</f>
        <v>0</v>
      </c>
      <c r="Q766" s="65">
        <f>SUMIF(日報!$R:$R,TEXT(YEAR($Q$2),"0000")&amp;TEXT(MONTH($Q$2),"00")&amp;$O766,日報!$L:$L)</f>
        <v>0</v>
      </c>
      <c r="R766" s="65">
        <f ca="1">SUMIF(日報!$J:$J,$O766,日報!$L:$L)</f>
        <v>0</v>
      </c>
    </row>
    <row r="767" spans="15:18" x14ac:dyDescent="0.15">
      <c r="O767" s="7" t="str">
        <f>"REQ"&amp;TEXT([2]RequestList!$A768,"0000")</f>
        <v>REQ0000</v>
      </c>
      <c r="P767" s="7">
        <f>[2]RequestList!$J768</f>
        <v>0</v>
      </c>
      <c r="Q767" s="65">
        <f>SUMIF(日報!$R:$R,TEXT(YEAR($Q$2),"0000")&amp;TEXT(MONTH($Q$2),"00")&amp;$O767,日報!$L:$L)</f>
        <v>0</v>
      </c>
      <c r="R767" s="65">
        <f ca="1">SUMIF(日報!$J:$J,$O767,日報!$L:$L)</f>
        <v>0</v>
      </c>
    </row>
    <row r="768" spans="15:18" x14ac:dyDescent="0.15">
      <c r="O768" s="7" t="str">
        <f>"REQ"&amp;TEXT([2]RequestList!$A769,"0000")</f>
        <v>REQ0000</v>
      </c>
      <c r="P768" s="7">
        <f>[2]RequestList!$J769</f>
        <v>0</v>
      </c>
      <c r="Q768" s="65">
        <f>SUMIF(日報!$R:$R,TEXT(YEAR($Q$2),"0000")&amp;TEXT(MONTH($Q$2),"00")&amp;$O768,日報!$L:$L)</f>
        <v>0</v>
      </c>
      <c r="R768" s="65">
        <f ca="1">SUMIF(日報!$J:$J,$O768,日報!$L:$L)</f>
        <v>0</v>
      </c>
    </row>
    <row r="769" spans="15:18" x14ac:dyDescent="0.15">
      <c r="O769" s="7" t="str">
        <f>"REQ"&amp;TEXT([2]RequestList!$A770,"0000")</f>
        <v>REQ0000</v>
      </c>
      <c r="P769" s="7">
        <f>[2]RequestList!$J770</f>
        <v>0</v>
      </c>
      <c r="Q769" s="65">
        <f>SUMIF(日報!$R:$R,TEXT(YEAR($Q$2),"0000")&amp;TEXT(MONTH($Q$2),"00")&amp;$O769,日報!$L:$L)</f>
        <v>0</v>
      </c>
      <c r="R769" s="65">
        <f ca="1">SUMIF(日報!$J:$J,$O769,日報!$L:$L)</f>
        <v>0</v>
      </c>
    </row>
    <row r="770" spans="15:18" x14ac:dyDescent="0.15">
      <c r="O770" s="7" t="str">
        <f>"REQ"&amp;TEXT([2]RequestList!$A771,"0000")</f>
        <v>REQ0000</v>
      </c>
      <c r="P770" s="7">
        <f>[2]RequestList!$J771</f>
        <v>0</v>
      </c>
      <c r="Q770" s="65">
        <f>SUMIF(日報!$R:$R,TEXT(YEAR($Q$2),"0000")&amp;TEXT(MONTH($Q$2),"00")&amp;$O770,日報!$L:$L)</f>
        <v>0</v>
      </c>
      <c r="R770" s="65">
        <f ca="1">SUMIF(日報!$J:$J,$O770,日報!$L:$L)</f>
        <v>0</v>
      </c>
    </row>
    <row r="771" spans="15:18" x14ac:dyDescent="0.15">
      <c r="O771" s="7" t="str">
        <f>"REQ"&amp;TEXT([2]RequestList!$A772,"0000")</f>
        <v>REQ0000</v>
      </c>
      <c r="P771" s="7">
        <f>[2]RequestList!$J772</f>
        <v>0</v>
      </c>
      <c r="Q771" s="65">
        <f>SUMIF(日報!$R:$R,TEXT(YEAR($Q$2),"0000")&amp;TEXT(MONTH($Q$2),"00")&amp;$O771,日報!$L:$L)</f>
        <v>0</v>
      </c>
      <c r="R771" s="65">
        <f ca="1">SUMIF(日報!$J:$J,$O771,日報!$L:$L)</f>
        <v>0</v>
      </c>
    </row>
    <row r="772" spans="15:18" x14ac:dyDescent="0.15">
      <c r="O772" s="7" t="str">
        <f>"REQ"&amp;TEXT([2]RequestList!$A773,"0000")</f>
        <v>REQ0000</v>
      </c>
      <c r="P772" s="7">
        <f>[2]RequestList!$J773</f>
        <v>0</v>
      </c>
      <c r="Q772" s="65">
        <f>SUMIF(日報!$R:$R,TEXT(YEAR($Q$2),"0000")&amp;TEXT(MONTH($Q$2),"00")&amp;$O772,日報!$L:$L)</f>
        <v>0</v>
      </c>
      <c r="R772" s="65">
        <f ca="1">SUMIF(日報!$J:$J,$O772,日報!$L:$L)</f>
        <v>0</v>
      </c>
    </row>
    <row r="773" spans="15:18" x14ac:dyDescent="0.15">
      <c r="O773" s="7" t="str">
        <f>"REQ"&amp;TEXT([2]RequestList!$A774,"0000")</f>
        <v>REQ0000</v>
      </c>
      <c r="P773" s="7">
        <f>[2]RequestList!$J774</f>
        <v>0</v>
      </c>
      <c r="Q773" s="65">
        <f>SUMIF(日報!$R:$R,TEXT(YEAR($Q$2),"0000")&amp;TEXT(MONTH($Q$2),"00")&amp;$O773,日報!$L:$L)</f>
        <v>0</v>
      </c>
      <c r="R773" s="65">
        <f ca="1">SUMIF(日報!$J:$J,$O773,日報!$L:$L)</f>
        <v>0</v>
      </c>
    </row>
    <row r="774" spans="15:18" x14ac:dyDescent="0.15">
      <c r="O774" s="7" t="str">
        <f>"REQ"&amp;TEXT([2]RequestList!$A775,"0000")</f>
        <v>REQ0000</v>
      </c>
      <c r="P774" s="7">
        <f>[2]RequestList!$J775</f>
        <v>0</v>
      </c>
      <c r="Q774" s="65">
        <f>SUMIF(日報!$R:$R,TEXT(YEAR($Q$2),"0000")&amp;TEXT(MONTH($Q$2),"00")&amp;$O774,日報!$L:$L)</f>
        <v>0</v>
      </c>
      <c r="R774" s="65">
        <f ca="1">SUMIF(日報!$J:$J,$O774,日報!$L:$L)</f>
        <v>0</v>
      </c>
    </row>
    <row r="775" spans="15:18" x14ac:dyDescent="0.15">
      <c r="O775" s="7" t="str">
        <f>"REQ"&amp;TEXT([2]RequestList!$A776,"0000")</f>
        <v>REQ0000</v>
      </c>
      <c r="P775" s="7">
        <f>[2]RequestList!$J776</f>
        <v>0</v>
      </c>
      <c r="Q775" s="65">
        <f>SUMIF(日報!$R:$R,TEXT(YEAR($Q$2),"0000")&amp;TEXT(MONTH($Q$2),"00")&amp;$O775,日報!$L:$L)</f>
        <v>0</v>
      </c>
      <c r="R775" s="65">
        <f ca="1">SUMIF(日報!$J:$J,$O775,日報!$L:$L)</f>
        <v>0</v>
      </c>
    </row>
    <row r="776" spans="15:18" x14ac:dyDescent="0.15">
      <c r="O776" s="7" t="str">
        <f>"REQ"&amp;TEXT([2]RequestList!$A777,"0000")</f>
        <v>REQ0000</v>
      </c>
      <c r="P776" s="7">
        <f>[2]RequestList!$J777</f>
        <v>0</v>
      </c>
      <c r="Q776" s="65">
        <f>SUMIF(日報!$R:$R,TEXT(YEAR($Q$2),"0000")&amp;TEXT(MONTH($Q$2),"00")&amp;$O776,日報!$L:$L)</f>
        <v>0</v>
      </c>
      <c r="R776" s="65">
        <f ca="1">SUMIF(日報!$J:$J,$O776,日報!$L:$L)</f>
        <v>0</v>
      </c>
    </row>
    <row r="777" spans="15:18" x14ac:dyDescent="0.15">
      <c r="O777" s="7" t="str">
        <f>"REQ"&amp;TEXT([2]RequestList!$A778,"0000")</f>
        <v>REQ0000</v>
      </c>
      <c r="P777" s="7">
        <f>[2]RequestList!$J778</f>
        <v>0</v>
      </c>
      <c r="Q777" s="65">
        <f>SUMIF(日報!$R:$R,TEXT(YEAR($Q$2),"0000")&amp;TEXT(MONTH($Q$2),"00")&amp;$O777,日報!$L:$L)</f>
        <v>0</v>
      </c>
      <c r="R777" s="65">
        <f ca="1">SUMIF(日報!$J:$J,$O777,日報!$L:$L)</f>
        <v>0</v>
      </c>
    </row>
    <row r="778" spans="15:18" x14ac:dyDescent="0.15">
      <c r="O778" s="7" t="str">
        <f>"REQ"&amp;TEXT([2]RequestList!$A779,"0000")</f>
        <v>REQ0000</v>
      </c>
      <c r="P778" s="7">
        <f>[2]RequestList!$J779</f>
        <v>0</v>
      </c>
      <c r="Q778" s="65">
        <f>SUMIF(日報!$R:$R,TEXT(YEAR($Q$2),"0000")&amp;TEXT(MONTH($Q$2),"00")&amp;$O778,日報!$L:$L)</f>
        <v>0</v>
      </c>
      <c r="R778" s="65">
        <f ca="1">SUMIF(日報!$J:$J,$O778,日報!$L:$L)</f>
        <v>0</v>
      </c>
    </row>
    <row r="779" spans="15:18" x14ac:dyDescent="0.15">
      <c r="O779" s="7" t="str">
        <f>"REQ"&amp;TEXT([2]RequestList!$A780,"0000")</f>
        <v>REQ0000</v>
      </c>
      <c r="P779" s="7">
        <f>[2]RequestList!$J780</f>
        <v>0</v>
      </c>
      <c r="Q779" s="65">
        <f>SUMIF(日報!$R:$R,TEXT(YEAR($Q$2),"0000")&amp;TEXT(MONTH($Q$2),"00")&amp;$O779,日報!$L:$L)</f>
        <v>0</v>
      </c>
      <c r="R779" s="65">
        <f ca="1">SUMIF(日報!$J:$J,$O779,日報!$L:$L)</f>
        <v>0</v>
      </c>
    </row>
    <row r="780" spans="15:18" x14ac:dyDescent="0.15">
      <c r="O780" s="7" t="str">
        <f>"REQ"&amp;TEXT([2]RequestList!$A781,"0000")</f>
        <v>REQ0000</v>
      </c>
      <c r="P780" s="7">
        <f>[2]RequestList!$J781</f>
        <v>0</v>
      </c>
      <c r="Q780" s="65">
        <f>SUMIF(日報!$R:$R,TEXT(YEAR($Q$2),"0000")&amp;TEXT(MONTH($Q$2),"00")&amp;$O780,日報!$L:$L)</f>
        <v>0</v>
      </c>
      <c r="R780" s="65">
        <f ca="1">SUMIF(日報!$J:$J,$O780,日報!$L:$L)</f>
        <v>0</v>
      </c>
    </row>
    <row r="781" spans="15:18" x14ac:dyDescent="0.15">
      <c r="O781" s="7" t="str">
        <f>"REQ"&amp;TEXT([2]RequestList!$A782,"0000")</f>
        <v>REQ0000</v>
      </c>
      <c r="P781" s="7">
        <f>[2]RequestList!$J782</f>
        <v>0</v>
      </c>
      <c r="Q781" s="65">
        <f>SUMIF(日報!$R:$R,TEXT(YEAR($Q$2),"0000")&amp;TEXT(MONTH($Q$2),"00")&amp;$O781,日報!$L:$L)</f>
        <v>0</v>
      </c>
      <c r="R781" s="65">
        <f ca="1">SUMIF(日報!$J:$J,$O781,日報!$L:$L)</f>
        <v>0</v>
      </c>
    </row>
    <row r="782" spans="15:18" x14ac:dyDescent="0.15">
      <c r="O782" s="7" t="str">
        <f>"REQ"&amp;TEXT([2]RequestList!$A783,"0000")</f>
        <v>REQ0000</v>
      </c>
      <c r="P782" s="7">
        <f>[2]RequestList!$J783</f>
        <v>0</v>
      </c>
      <c r="Q782" s="65">
        <f>SUMIF(日報!$R:$R,TEXT(YEAR($Q$2),"0000")&amp;TEXT(MONTH($Q$2),"00")&amp;$O782,日報!$L:$L)</f>
        <v>0</v>
      </c>
      <c r="R782" s="65">
        <f ca="1">SUMIF(日報!$J:$J,$O782,日報!$L:$L)</f>
        <v>0</v>
      </c>
    </row>
    <row r="783" spans="15:18" x14ac:dyDescent="0.15">
      <c r="O783" s="7" t="str">
        <f>"REQ"&amp;TEXT([2]RequestList!$A784,"0000")</f>
        <v>REQ0000</v>
      </c>
      <c r="P783" s="7">
        <f>[2]RequestList!$J784</f>
        <v>0</v>
      </c>
      <c r="Q783" s="65">
        <f>SUMIF(日報!$R:$R,TEXT(YEAR($Q$2),"0000")&amp;TEXT(MONTH($Q$2),"00")&amp;$O783,日報!$L:$L)</f>
        <v>0</v>
      </c>
      <c r="R783" s="65">
        <f ca="1">SUMIF(日報!$J:$J,$O783,日報!$L:$L)</f>
        <v>0</v>
      </c>
    </row>
    <row r="784" spans="15:18" x14ac:dyDescent="0.15">
      <c r="O784" s="7" t="str">
        <f>"REQ"&amp;TEXT([2]RequestList!$A785,"0000")</f>
        <v>REQ0000</v>
      </c>
      <c r="P784" s="7">
        <f>[2]RequestList!$J785</f>
        <v>0</v>
      </c>
      <c r="Q784" s="65">
        <f>SUMIF(日報!$R:$R,TEXT(YEAR($Q$2),"0000")&amp;TEXT(MONTH($Q$2),"00")&amp;$O784,日報!$L:$L)</f>
        <v>0</v>
      </c>
      <c r="R784" s="65">
        <f ca="1">SUMIF(日報!$J:$J,$O784,日報!$L:$L)</f>
        <v>0</v>
      </c>
    </row>
    <row r="785" spans="15:18" x14ac:dyDescent="0.15">
      <c r="O785" s="7" t="str">
        <f>"REQ"&amp;TEXT([2]RequestList!$A786,"0000")</f>
        <v>REQ0000</v>
      </c>
      <c r="P785" s="7">
        <f>[2]RequestList!$J786</f>
        <v>0</v>
      </c>
      <c r="Q785" s="65">
        <f>SUMIF(日報!$R:$R,TEXT(YEAR($Q$2),"0000")&amp;TEXT(MONTH($Q$2),"00")&amp;$O785,日報!$L:$L)</f>
        <v>0</v>
      </c>
      <c r="R785" s="65">
        <f ca="1">SUMIF(日報!$J:$J,$O785,日報!$L:$L)</f>
        <v>0</v>
      </c>
    </row>
    <row r="786" spans="15:18" x14ac:dyDescent="0.15">
      <c r="O786" s="7" t="str">
        <f>"REQ"&amp;TEXT([2]RequestList!$A787,"0000")</f>
        <v>REQ0000</v>
      </c>
      <c r="P786" s="7">
        <f>[2]RequestList!$J787</f>
        <v>0</v>
      </c>
      <c r="Q786" s="65">
        <f>SUMIF(日報!$R:$R,TEXT(YEAR($Q$2),"0000")&amp;TEXT(MONTH($Q$2),"00")&amp;$O786,日報!$L:$L)</f>
        <v>0</v>
      </c>
      <c r="R786" s="65">
        <f ca="1">SUMIF(日報!$J:$J,$O786,日報!$L:$L)</f>
        <v>0</v>
      </c>
    </row>
    <row r="787" spans="15:18" x14ac:dyDescent="0.15">
      <c r="O787" s="7" t="str">
        <f>"REQ"&amp;TEXT([2]RequestList!$A788,"0000")</f>
        <v>REQ0000</v>
      </c>
      <c r="P787" s="7">
        <f>[2]RequestList!$J788</f>
        <v>0</v>
      </c>
      <c r="Q787" s="65">
        <f>SUMIF(日報!$R:$R,TEXT(YEAR($Q$2),"0000")&amp;TEXT(MONTH($Q$2),"00")&amp;$O787,日報!$L:$L)</f>
        <v>0</v>
      </c>
      <c r="R787" s="65">
        <f ca="1">SUMIF(日報!$J:$J,$O787,日報!$L:$L)</f>
        <v>0</v>
      </c>
    </row>
    <row r="788" spans="15:18" x14ac:dyDescent="0.15">
      <c r="O788" s="7" t="str">
        <f>"REQ"&amp;TEXT([2]RequestList!$A789,"0000")</f>
        <v>REQ0000</v>
      </c>
      <c r="P788" s="7">
        <f>[2]RequestList!$J789</f>
        <v>0</v>
      </c>
      <c r="Q788" s="65">
        <f>SUMIF(日報!$R:$R,TEXT(YEAR($Q$2),"0000")&amp;TEXT(MONTH($Q$2),"00")&amp;$O788,日報!$L:$L)</f>
        <v>0</v>
      </c>
      <c r="R788" s="65">
        <f ca="1">SUMIF(日報!$J:$J,$O788,日報!$L:$L)</f>
        <v>0</v>
      </c>
    </row>
    <row r="789" spans="15:18" x14ac:dyDescent="0.15">
      <c r="O789" s="7" t="str">
        <f>"REQ"&amp;TEXT([2]RequestList!$A790,"0000")</f>
        <v>REQ0000</v>
      </c>
      <c r="P789" s="7">
        <f>[2]RequestList!$J790</f>
        <v>0</v>
      </c>
      <c r="Q789" s="65">
        <f>SUMIF(日報!$R:$R,TEXT(YEAR($Q$2),"0000")&amp;TEXT(MONTH($Q$2),"00")&amp;$O789,日報!$L:$L)</f>
        <v>0</v>
      </c>
      <c r="R789" s="65">
        <f ca="1">SUMIF(日報!$J:$J,$O789,日報!$L:$L)</f>
        <v>0</v>
      </c>
    </row>
    <row r="790" spans="15:18" x14ac:dyDescent="0.15">
      <c r="O790" s="7" t="str">
        <f>"REQ"&amp;TEXT([2]RequestList!$A791,"0000")</f>
        <v>REQ0000</v>
      </c>
      <c r="P790" s="7">
        <f>[2]RequestList!$J791</f>
        <v>0</v>
      </c>
      <c r="Q790" s="65">
        <f>SUMIF(日報!$R:$R,TEXT(YEAR($Q$2),"0000")&amp;TEXT(MONTH($Q$2),"00")&amp;$O790,日報!$L:$L)</f>
        <v>0</v>
      </c>
      <c r="R790" s="65">
        <f ca="1">SUMIF(日報!$J:$J,$O790,日報!$L:$L)</f>
        <v>0</v>
      </c>
    </row>
    <row r="791" spans="15:18" x14ac:dyDescent="0.15">
      <c r="O791" s="7" t="str">
        <f>"REQ"&amp;TEXT([2]RequestList!$A792,"0000")</f>
        <v>REQ0000</v>
      </c>
      <c r="P791" s="7">
        <f>[2]RequestList!$J792</f>
        <v>0</v>
      </c>
      <c r="Q791" s="65">
        <f>SUMIF(日報!$R:$R,TEXT(YEAR($Q$2),"0000")&amp;TEXT(MONTH($Q$2),"00")&amp;$O791,日報!$L:$L)</f>
        <v>0</v>
      </c>
      <c r="R791" s="65">
        <f ca="1">SUMIF(日報!$J:$J,$O791,日報!$L:$L)</f>
        <v>0</v>
      </c>
    </row>
    <row r="792" spans="15:18" x14ac:dyDescent="0.15">
      <c r="O792" s="7" t="str">
        <f>"REQ"&amp;TEXT([2]RequestList!$A793,"0000")</f>
        <v>REQ0000</v>
      </c>
      <c r="P792" s="7">
        <f>[2]RequestList!$J793</f>
        <v>0</v>
      </c>
      <c r="Q792" s="65">
        <f>SUMIF(日報!$R:$R,TEXT(YEAR($Q$2),"0000")&amp;TEXT(MONTH($Q$2),"00")&amp;$O792,日報!$L:$L)</f>
        <v>0</v>
      </c>
      <c r="R792" s="65">
        <f ca="1">SUMIF(日報!$J:$J,$O792,日報!$L:$L)</f>
        <v>0</v>
      </c>
    </row>
    <row r="793" spans="15:18" x14ac:dyDescent="0.15">
      <c r="O793" s="7" t="str">
        <f>"REQ"&amp;TEXT([2]RequestList!$A794,"0000")</f>
        <v>REQ0000</v>
      </c>
      <c r="P793" s="7">
        <f>[2]RequestList!$J794</f>
        <v>0</v>
      </c>
      <c r="Q793" s="65">
        <f>SUMIF(日報!$R:$R,TEXT(YEAR($Q$2),"0000")&amp;TEXT(MONTH($Q$2),"00")&amp;$O793,日報!$L:$L)</f>
        <v>0</v>
      </c>
      <c r="R793" s="65">
        <f ca="1">SUMIF(日報!$J:$J,$O793,日報!$L:$L)</f>
        <v>0</v>
      </c>
    </row>
    <row r="794" spans="15:18" x14ac:dyDescent="0.15">
      <c r="O794" s="7" t="str">
        <f>"REQ"&amp;TEXT([2]RequestList!$A795,"0000")</f>
        <v>REQ0000</v>
      </c>
      <c r="P794" s="7">
        <f>[2]RequestList!$J795</f>
        <v>0</v>
      </c>
      <c r="Q794" s="65">
        <f>SUMIF(日報!$R:$R,TEXT(YEAR($Q$2),"0000")&amp;TEXT(MONTH($Q$2),"00")&amp;$O794,日報!$L:$L)</f>
        <v>0</v>
      </c>
      <c r="R794" s="65">
        <f ca="1">SUMIF(日報!$J:$J,$O794,日報!$L:$L)</f>
        <v>0</v>
      </c>
    </row>
    <row r="795" spans="15:18" x14ac:dyDescent="0.15">
      <c r="O795" s="7" t="str">
        <f>"REQ"&amp;TEXT([2]RequestList!$A796,"0000")</f>
        <v>REQ0000</v>
      </c>
      <c r="P795" s="7">
        <f>[2]RequestList!$J796</f>
        <v>0</v>
      </c>
      <c r="Q795" s="65">
        <f>SUMIF(日報!$R:$R,TEXT(YEAR($Q$2),"0000")&amp;TEXT(MONTH($Q$2),"00")&amp;$O795,日報!$L:$L)</f>
        <v>0</v>
      </c>
      <c r="R795" s="65">
        <f ca="1">SUMIF(日報!$J:$J,$O795,日報!$L:$L)</f>
        <v>0</v>
      </c>
    </row>
    <row r="796" spans="15:18" x14ac:dyDescent="0.15">
      <c r="O796" s="7" t="str">
        <f>"REQ"&amp;TEXT([2]RequestList!$A797,"0000")</f>
        <v>REQ0000</v>
      </c>
      <c r="P796" s="7">
        <f>[2]RequestList!$J797</f>
        <v>0</v>
      </c>
      <c r="Q796" s="65">
        <f>SUMIF(日報!$R:$R,TEXT(YEAR($Q$2),"0000")&amp;TEXT(MONTH($Q$2),"00")&amp;$O796,日報!$L:$L)</f>
        <v>0</v>
      </c>
      <c r="R796" s="65">
        <f ca="1">SUMIF(日報!$J:$J,$O796,日報!$L:$L)</f>
        <v>0</v>
      </c>
    </row>
    <row r="797" spans="15:18" x14ac:dyDescent="0.15">
      <c r="O797" s="7" t="str">
        <f>"REQ"&amp;TEXT([2]RequestList!$A798,"0000")</f>
        <v>REQ0000</v>
      </c>
      <c r="P797" s="7">
        <f>[2]RequestList!$J798</f>
        <v>0</v>
      </c>
      <c r="Q797" s="65">
        <f>SUMIF(日報!$R:$R,TEXT(YEAR($Q$2),"0000")&amp;TEXT(MONTH($Q$2),"00")&amp;$O797,日報!$L:$L)</f>
        <v>0</v>
      </c>
      <c r="R797" s="65">
        <f ca="1">SUMIF(日報!$J:$J,$O797,日報!$L:$L)</f>
        <v>0</v>
      </c>
    </row>
    <row r="798" spans="15:18" x14ac:dyDescent="0.15">
      <c r="O798" s="7" t="str">
        <f>"REQ"&amp;TEXT([2]RequestList!$A799,"0000")</f>
        <v>REQ0000</v>
      </c>
      <c r="P798" s="7">
        <f>[2]RequestList!$J799</f>
        <v>0</v>
      </c>
      <c r="Q798" s="65">
        <f>SUMIF(日報!$R:$R,TEXT(YEAR($Q$2),"0000")&amp;TEXT(MONTH($Q$2),"00")&amp;$O798,日報!$L:$L)</f>
        <v>0</v>
      </c>
      <c r="R798" s="65">
        <f ca="1">SUMIF(日報!$J:$J,$O798,日報!$L:$L)</f>
        <v>0</v>
      </c>
    </row>
    <row r="799" spans="15:18" x14ac:dyDescent="0.15">
      <c r="O799" s="7" t="str">
        <f>"REQ"&amp;TEXT([2]RequestList!$A800,"0000")</f>
        <v>REQ0000</v>
      </c>
      <c r="P799" s="7">
        <f>[2]RequestList!$J800</f>
        <v>0</v>
      </c>
      <c r="Q799" s="65">
        <f>SUMIF(日報!$R:$R,TEXT(YEAR($Q$2),"0000")&amp;TEXT(MONTH($Q$2),"00")&amp;$O799,日報!$L:$L)</f>
        <v>0</v>
      </c>
      <c r="R799" s="65">
        <f ca="1">SUMIF(日報!$J:$J,$O799,日報!$L:$L)</f>
        <v>0</v>
      </c>
    </row>
    <row r="800" spans="15:18" x14ac:dyDescent="0.15">
      <c r="O800" s="7" t="str">
        <f>"REQ"&amp;TEXT([2]RequestList!$A801,"0000")</f>
        <v>REQ0000</v>
      </c>
      <c r="P800" s="7">
        <f>[2]RequestList!$J801</f>
        <v>0</v>
      </c>
      <c r="Q800" s="65">
        <f>SUMIF(日報!$R:$R,TEXT(YEAR($Q$2),"0000")&amp;TEXT(MONTH($Q$2),"00")&amp;$O800,日報!$L:$L)</f>
        <v>0</v>
      </c>
      <c r="R800" s="65">
        <f ca="1">SUMIF(日報!$J:$J,$O800,日報!$L:$L)</f>
        <v>0</v>
      </c>
    </row>
    <row r="801" spans="15:18" x14ac:dyDescent="0.15">
      <c r="O801" s="7" t="str">
        <f>"REQ"&amp;TEXT([2]RequestList!$A802,"0000")</f>
        <v>REQ0000</v>
      </c>
      <c r="P801" s="7">
        <f>[2]RequestList!$J802</f>
        <v>0</v>
      </c>
      <c r="Q801" s="65">
        <f>SUMIF(日報!$R:$R,TEXT(YEAR($Q$2),"0000")&amp;TEXT(MONTH($Q$2),"00")&amp;$O801,日報!$L:$L)</f>
        <v>0</v>
      </c>
      <c r="R801" s="65">
        <f ca="1">SUMIF(日報!$J:$J,$O801,日報!$L:$L)</f>
        <v>0</v>
      </c>
    </row>
    <row r="802" spans="15:18" x14ac:dyDescent="0.15">
      <c r="O802" s="7" t="str">
        <f>"REQ"&amp;TEXT([2]RequestList!$A803,"0000")</f>
        <v>REQ0000</v>
      </c>
      <c r="P802" s="7">
        <f>[2]RequestList!$J803</f>
        <v>0</v>
      </c>
      <c r="Q802" s="65">
        <f>SUMIF(日報!$R:$R,TEXT(YEAR($Q$2),"0000")&amp;TEXT(MONTH($Q$2),"00")&amp;$O802,日報!$L:$L)</f>
        <v>0</v>
      </c>
      <c r="R802" s="65">
        <f ca="1">SUMIF(日報!$J:$J,$O802,日報!$L:$L)</f>
        <v>0</v>
      </c>
    </row>
    <row r="803" spans="15:18" x14ac:dyDescent="0.15">
      <c r="O803" s="7" t="str">
        <f>"REQ"&amp;TEXT([2]RequestList!$A804,"0000")</f>
        <v>REQ0000</v>
      </c>
      <c r="P803" s="7">
        <f>[2]RequestList!$J804</f>
        <v>0</v>
      </c>
      <c r="Q803" s="65">
        <f>SUMIF(日報!$R:$R,TEXT(YEAR($Q$2),"0000")&amp;TEXT(MONTH($Q$2),"00")&amp;$O803,日報!$L:$L)</f>
        <v>0</v>
      </c>
      <c r="R803" s="65">
        <f ca="1">SUMIF(日報!$J:$J,$O803,日報!$L:$L)</f>
        <v>0</v>
      </c>
    </row>
    <row r="804" spans="15:18" x14ac:dyDescent="0.15">
      <c r="O804" s="7" t="str">
        <f>"REQ"&amp;TEXT([2]RequestList!$A805,"0000")</f>
        <v>REQ0000</v>
      </c>
      <c r="P804" s="7">
        <f>[2]RequestList!$J805</f>
        <v>0</v>
      </c>
      <c r="Q804" s="65">
        <f>SUMIF(日報!$R:$R,TEXT(YEAR($Q$2),"0000")&amp;TEXT(MONTH($Q$2),"00")&amp;$O804,日報!$L:$L)</f>
        <v>0</v>
      </c>
      <c r="R804" s="65">
        <f ca="1">SUMIF(日報!$J:$J,$O804,日報!$L:$L)</f>
        <v>0</v>
      </c>
    </row>
    <row r="805" spans="15:18" x14ac:dyDescent="0.15">
      <c r="O805" s="7" t="str">
        <f>"REQ"&amp;TEXT([2]RequestList!$A806,"0000")</f>
        <v>REQ0000</v>
      </c>
      <c r="P805" s="7">
        <f>[2]RequestList!$J806</f>
        <v>0</v>
      </c>
      <c r="Q805" s="65">
        <f>SUMIF(日報!$R:$R,TEXT(YEAR($Q$2),"0000")&amp;TEXT(MONTH($Q$2),"00")&amp;$O805,日報!$L:$L)</f>
        <v>0</v>
      </c>
      <c r="R805" s="65">
        <f ca="1">SUMIF(日報!$J:$J,$O805,日報!$L:$L)</f>
        <v>0</v>
      </c>
    </row>
    <row r="806" spans="15:18" x14ac:dyDescent="0.15">
      <c r="O806" s="7" t="str">
        <f>"REQ"&amp;TEXT([2]RequestList!$A807,"0000")</f>
        <v>REQ0000</v>
      </c>
      <c r="P806" s="7">
        <f>[2]RequestList!$J807</f>
        <v>0</v>
      </c>
      <c r="Q806" s="65">
        <f>SUMIF(日報!$R:$R,TEXT(YEAR($Q$2),"0000")&amp;TEXT(MONTH($Q$2),"00")&amp;$O806,日報!$L:$L)</f>
        <v>0</v>
      </c>
      <c r="R806" s="65">
        <f ca="1">SUMIF(日報!$J:$J,$O806,日報!$L:$L)</f>
        <v>0</v>
      </c>
    </row>
    <row r="807" spans="15:18" x14ac:dyDescent="0.15">
      <c r="O807" s="7" t="str">
        <f>"REQ"&amp;TEXT([2]RequestList!$A808,"0000")</f>
        <v>REQ0000</v>
      </c>
      <c r="P807" s="7">
        <f>[2]RequestList!$J808</f>
        <v>0</v>
      </c>
      <c r="Q807" s="65">
        <f>SUMIF(日報!$R:$R,TEXT(YEAR($Q$2),"0000")&amp;TEXT(MONTH($Q$2),"00")&amp;$O807,日報!$L:$L)</f>
        <v>0</v>
      </c>
      <c r="R807" s="65">
        <f ca="1">SUMIF(日報!$J:$J,$O807,日報!$L:$L)</f>
        <v>0</v>
      </c>
    </row>
    <row r="808" spans="15:18" x14ac:dyDescent="0.15">
      <c r="O808" s="7" t="str">
        <f>"REQ"&amp;TEXT([2]RequestList!$A809,"0000")</f>
        <v>REQ0000</v>
      </c>
      <c r="P808" s="7">
        <f>[2]RequestList!$J809</f>
        <v>0</v>
      </c>
      <c r="Q808" s="65">
        <f>SUMIF(日報!$R:$R,TEXT(YEAR($Q$2),"0000")&amp;TEXT(MONTH($Q$2),"00")&amp;$O808,日報!$L:$L)</f>
        <v>0</v>
      </c>
      <c r="R808" s="65">
        <f ca="1">SUMIF(日報!$J:$J,$O808,日報!$L:$L)</f>
        <v>0</v>
      </c>
    </row>
    <row r="809" spans="15:18" x14ac:dyDescent="0.15">
      <c r="O809" s="7" t="str">
        <f>"REQ"&amp;TEXT([2]RequestList!$A810,"0000")</f>
        <v>REQ0000</v>
      </c>
      <c r="P809" s="7">
        <f>[2]RequestList!$J810</f>
        <v>0</v>
      </c>
      <c r="Q809" s="65">
        <f>SUMIF(日報!$R:$R,TEXT(YEAR($Q$2),"0000")&amp;TEXT(MONTH($Q$2),"00")&amp;$O809,日報!$L:$L)</f>
        <v>0</v>
      </c>
      <c r="R809" s="65">
        <f ca="1">SUMIF(日報!$J:$J,$O809,日報!$L:$L)</f>
        <v>0</v>
      </c>
    </row>
    <row r="810" spans="15:18" x14ac:dyDescent="0.15">
      <c r="O810" s="7" t="str">
        <f>"REQ"&amp;TEXT([2]RequestList!$A811,"0000")</f>
        <v>REQ0000</v>
      </c>
      <c r="P810" s="7">
        <f>[2]RequestList!$J811</f>
        <v>0</v>
      </c>
      <c r="Q810" s="65">
        <f>SUMIF(日報!$R:$R,TEXT(YEAR($Q$2),"0000")&amp;TEXT(MONTH($Q$2),"00")&amp;$O810,日報!$L:$L)</f>
        <v>0</v>
      </c>
      <c r="R810" s="65">
        <f ca="1">SUMIF(日報!$J:$J,$O810,日報!$L:$L)</f>
        <v>0</v>
      </c>
    </row>
    <row r="811" spans="15:18" x14ac:dyDescent="0.15">
      <c r="O811" s="7" t="str">
        <f>"REQ"&amp;TEXT([2]RequestList!$A812,"0000")</f>
        <v>REQ0000</v>
      </c>
      <c r="P811" s="7">
        <f>[2]RequestList!$J812</f>
        <v>0</v>
      </c>
      <c r="Q811" s="65">
        <f>SUMIF(日報!$R:$R,TEXT(YEAR($Q$2),"0000")&amp;TEXT(MONTH($Q$2),"00")&amp;$O811,日報!$L:$L)</f>
        <v>0</v>
      </c>
      <c r="R811" s="65">
        <f ca="1">SUMIF(日報!$J:$J,$O811,日報!$L:$L)</f>
        <v>0</v>
      </c>
    </row>
    <row r="812" spans="15:18" x14ac:dyDescent="0.15">
      <c r="O812" s="7" t="str">
        <f>"REQ"&amp;TEXT([2]RequestList!$A813,"0000")</f>
        <v>REQ0000</v>
      </c>
      <c r="P812" s="7">
        <f>[2]RequestList!$J813</f>
        <v>0</v>
      </c>
      <c r="Q812" s="65">
        <f>SUMIF(日報!$R:$R,TEXT(YEAR($Q$2),"0000")&amp;TEXT(MONTH($Q$2),"00")&amp;$O812,日報!$L:$L)</f>
        <v>0</v>
      </c>
      <c r="R812" s="65">
        <f ca="1">SUMIF(日報!$J:$J,$O812,日報!$L:$L)</f>
        <v>0</v>
      </c>
    </row>
    <row r="813" spans="15:18" x14ac:dyDescent="0.15">
      <c r="O813" s="7" t="str">
        <f>"REQ"&amp;TEXT([2]RequestList!$A814,"0000")</f>
        <v>REQ0000</v>
      </c>
      <c r="P813" s="7">
        <f>[2]RequestList!$J814</f>
        <v>0</v>
      </c>
      <c r="Q813" s="65">
        <f>SUMIF(日報!$R:$R,TEXT(YEAR($Q$2),"0000")&amp;TEXT(MONTH($Q$2),"00")&amp;$O813,日報!$L:$L)</f>
        <v>0</v>
      </c>
      <c r="R813" s="65">
        <f ca="1">SUMIF(日報!$J:$J,$O813,日報!$L:$L)</f>
        <v>0</v>
      </c>
    </row>
    <row r="814" spans="15:18" x14ac:dyDescent="0.15">
      <c r="O814" s="7" t="str">
        <f>"REQ"&amp;TEXT([2]RequestList!$A815,"0000")</f>
        <v>REQ0000</v>
      </c>
      <c r="P814" s="7">
        <f>[2]RequestList!$J815</f>
        <v>0</v>
      </c>
      <c r="Q814" s="65">
        <f>SUMIF(日報!$R:$R,TEXT(YEAR($Q$2),"0000")&amp;TEXT(MONTH($Q$2),"00")&amp;$O814,日報!$L:$L)</f>
        <v>0</v>
      </c>
      <c r="R814" s="65">
        <f ca="1">SUMIF(日報!$J:$J,$O814,日報!$L:$L)</f>
        <v>0</v>
      </c>
    </row>
    <row r="815" spans="15:18" x14ac:dyDescent="0.15">
      <c r="O815" s="7" t="str">
        <f>"REQ"&amp;TEXT([2]RequestList!$A816,"0000")</f>
        <v>REQ0000</v>
      </c>
      <c r="P815" s="7">
        <f>[2]RequestList!$J816</f>
        <v>0</v>
      </c>
      <c r="Q815" s="65">
        <f>SUMIF(日報!$R:$R,TEXT(YEAR($Q$2),"0000")&amp;TEXT(MONTH($Q$2),"00")&amp;$O815,日報!$L:$L)</f>
        <v>0</v>
      </c>
      <c r="R815" s="65">
        <f ca="1">SUMIF(日報!$J:$J,$O815,日報!$L:$L)</f>
        <v>0</v>
      </c>
    </row>
    <row r="816" spans="15:18" x14ac:dyDescent="0.15">
      <c r="O816" s="7" t="str">
        <f>"REQ"&amp;TEXT([2]RequestList!$A817,"0000")</f>
        <v>REQ0000</v>
      </c>
      <c r="P816" s="7">
        <f>[2]RequestList!$J817</f>
        <v>0</v>
      </c>
      <c r="Q816" s="65">
        <f>SUMIF(日報!$R:$R,TEXT(YEAR($Q$2),"0000")&amp;TEXT(MONTH($Q$2),"00")&amp;$O816,日報!$L:$L)</f>
        <v>0</v>
      </c>
      <c r="R816" s="65">
        <f ca="1">SUMIF(日報!$J:$J,$O816,日報!$L:$L)</f>
        <v>0</v>
      </c>
    </row>
    <row r="817" spans="15:18" x14ac:dyDescent="0.15">
      <c r="O817" s="7" t="str">
        <f>"REQ"&amp;TEXT([2]RequestList!$A818,"0000")</f>
        <v>REQ0000</v>
      </c>
      <c r="P817" s="7">
        <f>[2]RequestList!$J818</f>
        <v>0</v>
      </c>
      <c r="Q817" s="65">
        <f>SUMIF(日報!$R:$R,TEXT(YEAR($Q$2),"0000")&amp;TEXT(MONTH($Q$2),"00")&amp;$O817,日報!$L:$L)</f>
        <v>0</v>
      </c>
      <c r="R817" s="65">
        <f ca="1">SUMIF(日報!$J:$J,$O817,日報!$L:$L)</f>
        <v>0</v>
      </c>
    </row>
    <row r="818" spans="15:18" x14ac:dyDescent="0.15">
      <c r="O818" s="7" t="str">
        <f>"REQ"&amp;TEXT([2]RequestList!$A819,"0000")</f>
        <v>REQ0000</v>
      </c>
      <c r="P818" s="7">
        <f>[2]RequestList!$J819</f>
        <v>0</v>
      </c>
      <c r="Q818" s="65">
        <f>SUMIF(日報!$R:$R,TEXT(YEAR($Q$2),"0000")&amp;TEXT(MONTH($Q$2),"00")&amp;$O818,日報!$L:$L)</f>
        <v>0</v>
      </c>
      <c r="R818" s="65">
        <f ca="1">SUMIF(日報!$J:$J,$O818,日報!$L:$L)</f>
        <v>0</v>
      </c>
    </row>
    <row r="819" spans="15:18" x14ac:dyDescent="0.15">
      <c r="O819" s="7" t="str">
        <f>"REQ"&amp;TEXT([2]RequestList!$A820,"0000")</f>
        <v>REQ0000</v>
      </c>
      <c r="P819" s="7">
        <f>[2]RequestList!$J820</f>
        <v>0</v>
      </c>
      <c r="Q819" s="65">
        <f>SUMIF(日報!$R:$R,TEXT(YEAR($Q$2),"0000")&amp;TEXT(MONTH($Q$2),"00")&amp;$O819,日報!$L:$L)</f>
        <v>0</v>
      </c>
      <c r="R819" s="65">
        <f ca="1">SUMIF(日報!$J:$J,$O819,日報!$L:$L)</f>
        <v>0</v>
      </c>
    </row>
    <row r="820" spans="15:18" x14ac:dyDescent="0.15">
      <c r="O820" s="7" t="str">
        <f>"REQ"&amp;TEXT([2]RequestList!$A821,"0000")</f>
        <v>REQ0000</v>
      </c>
      <c r="P820" s="7">
        <f>[2]RequestList!$J821</f>
        <v>0</v>
      </c>
      <c r="Q820" s="65">
        <f>SUMIF(日報!$R:$R,TEXT(YEAR($Q$2),"0000")&amp;TEXT(MONTH($Q$2),"00")&amp;$O820,日報!$L:$L)</f>
        <v>0</v>
      </c>
      <c r="R820" s="65">
        <f ca="1">SUMIF(日報!$J:$J,$O820,日報!$L:$L)</f>
        <v>0</v>
      </c>
    </row>
    <row r="821" spans="15:18" x14ac:dyDescent="0.15">
      <c r="O821" s="7" t="str">
        <f>"REQ"&amp;TEXT([2]RequestList!$A822,"0000")</f>
        <v>REQ0000</v>
      </c>
      <c r="P821" s="7">
        <f>[2]RequestList!$J822</f>
        <v>0</v>
      </c>
      <c r="Q821" s="65">
        <f>SUMIF(日報!$R:$R,TEXT(YEAR($Q$2),"0000")&amp;TEXT(MONTH($Q$2),"00")&amp;$O821,日報!$L:$L)</f>
        <v>0</v>
      </c>
      <c r="R821" s="65">
        <f ca="1">SUMIF(日報!$J:$J,$O821,日報!$L:$L)</f>
        <v>0</v>
      </c>
    </row>
    <row r="822" spans="15:18" x14ac:dyDescent="0.15">
      <c r="O822" s="7" t="str">
        <f>"REQ"&amp;TEXT([2]RequestList!$A823,"0000")</f>
        <v>REQ0000</v>
      </c>
      <c r="P822" s="7">
        <f>[2]RequestList!$J823</f>
        <v>0</v>
      </c>
      <c r="Q822" s="65">
        <f>SUMIF(日報!$R:$R,TEXT(YEAR($Q$2),"0000")&amp;TEXT(MONTH($Q$2),"00")&amp;$O822,日報!$L:$L)</f>
        <v>0</v>
      </c>
      <c r="R822" s="65">
        <f ca="1">SUMIF(日報!$J:$J,$O822,日報!$L:$L)</f>
        <v>0</v>
      </c>
    </row>
    <row r="823" spans="15:18" x14ac:dyDescent="0.15">
      <c r="O823" s="7" t="str">
        <f>"REQ"&amp;TEXT([2]RequestList!$A824,"0000")</f>
        <v>REQ0000</v>
      </c>
      <c r="P823" s="7">
        <f>[2]RequestList!$J824</f>
        <v>0</v>
      </c>
      <c r="Q823" s="65">
        <f>SUMIF(日報!$R:$R,TEXT(YEAR($Q$2),"0000")&amp;TEXT(MONTH($Q$2),"00")&amp;$O823,日報!$L:$L)</f>
        <v>0</v>
      </c>
      <c r="R823" s="65">
        <f ca="1">SUMIF(日報!$J:$J,$O823,日報!$L:$L)</f>
        <v>0</v>
      </c>
    </row>
    <row r="824" spans="15:18" x14ac:dyDescent="0.15">
      <c r="O824" s="7" t="str">
        <f>"REQ"&amp;TEXT([2]RequestList!$A825,"0000")</f>
        <v>REQ0000</v>
      </c>
      <c r="P824" s="7">
        <f>[2]RequestList!$J825</f>
        <v>0</v>
      </c>
      <c r="Q824" s="65">
        <f>SUMIF(日報!$R:$R,TEXT(YEAR($Q$2),"0000")&amp;TEXT(MONTH($Q$2),"00")&amp;$O824,日報!$L:$L)</f>
        <v>0</v>
      </c>
      <c r="R824" s="65">
        <f ca="1">SUMIF(日報!$J:$J,$O824,日報!$L:$L)</f>
        <v>0</v>
      </c>
    </row>
    <row r="825" spans="15:18" x14ac:dyDescent="0.15">
      <c r="O825" s="7" t="str">
        <f>"REQ"&amp;TEXT([2]RequestList!$A826,"0000")</f>
        <v>REQ0000</v>
      </c>
      <c r="P825" s="7">
        <f>[2]RequestList!$J826</f>
        <v>0</v>
      </c>
      <c r="Q825" s="65">
        <f>SUMIF(日報!$R:$R,TEXT(YEAR($Q$2),"0000")&amp;TEXT(MONTH($Q$2),"00")&amp;$O825,日報!$L:$L)</f>
        <v>0</v>
      </c>
      <c r="R825" s="65">
        <f ca="1">SUMIF(日報!$J:$J,$O825,日報!$L:$L)</f>
        <v>0</v>
      </c>
    </row>
    <row r="826" spans="15:18" x14ac:dyDescent="0.15">
      <c r="O826" s="7" t="str">
        <f>"REQ"&amp;TEXT([2]RequestList!$A827,"0000")</f>
        <v>REQ0000</v>
      </c>
      <c r="P826" s="7">
        <f>[2]RequestList!$J827</f>
        <v>0</v>
      </c>
      <c r="Q826" s="65">
        <f>SUMIF(日報!$R:$R,TEXT(YEAR($Q$2),"0000")&amp;TEXT(MONTH($Q$2),"00")&amp;$O826,日報!$L:$L)</f>
        <v>0</v>
      </c>
      <c r="R826" s="65">
        <f ca="1">SUMIF(日報!$J:$J,$O826,日報!$L:$L)</f>
        <v>0</v>
      </c>
    </row>
    <row r="827" spans="15:18" x14ac:dyDescent="0.15">
      <c r="O827" s="7" t="str">
        <f>"REQ"&amp;TEXT([2]RequestList!$A828,"0000")</f>
        <v>REQ0000</v>
      </c>
      <c r="P827" s="7">
        <f>[2]RequestList!$J828</f>
        <v>0</v>
      </c>
      <c r="Q827" s="65">
        <f>SUMIF(日報!$R:$R,TEXT(YEAR($Q$2),"0000")&amp;TEXT(MONTH($Q$2),"00")&amp;$O827,日報!$L:$L)</f>
        <v>0</v>
      </c>
      <c r="R827" s="65">
        <f ca="1">SUMIF(日報!$J:$J,$O827,日報!$L:$L)</f>
        <v>0</v>
      </c>
    </row>
    <row r="828" spans="15:18" x14ac:dyDescent="0.15">
      <c r="O828" s="7" t="str">
        <f>"REQ"&amp;TEXT([2]RequestList!$A829,"0000")</f>
        <v>REQ0000</v>
      </c>
      <c r="P828" s="7">
        <f>[2]RequestList!$J829</f>
        <v>0</v>
      </c>
      <c r="Q828" s="65">
        <f>SUMIF(日報!$R:$R,TEXT(YEAR($Q$2),"0000")&amp;TEXT(MONTH($Q$2),"00")&amp;$O828,日報!$L:$L)</f>
        <v>0</v>
      </c>
      <c r="R828" s="65">
        <f ca="1">SUMIF(日報!$J:$J,$O828,日報!$L:$L)</f>
        <v>0</v>
      </c>
    </row>
    <row r="829" spans="15:18" x14ac:dyDescent="0.15">
      <c r="O829" s="7" t="str">
        <f>"REQ"&amp;TEXT([2]RequestList!$A830,"0000")</f>
        <v>REQ0000</v>
      </c>
      <c r="P829" s="7">
        <f>[2]RequestList!$J830</f>
        <v>0</v>
      </c>
      <c r="Q829" s="65">
        <f>SUMIF(日報!$R:$R,TEXT(YEAR($Q$2),"0000")&amp;TEXT(MONTH($Q$2),"00")&amp;$O829,日報!$L:$L)</f>
        <v>0</v>
      </c>
      <c r="R829" s="65">
        <f ca="1">SUMIF(日報!$J:$J,$O829,日報!$L:$L)</f>
        <v>0</v>
      </c>
    </row>
    <row r="830" spans="15:18" x14ac:dyDescent="0.15">
      <c r="O830" s="7" t="str">
        <f>"REQ"&amp;TEXT([2]RequestList!$A831,"0000")</f>
        <v>REQ0000</v>
      </c>
      <c r="P830" s="7">
        <f>[2]RequestList!$J831</f>
        <v>0</v>
      </c>
      <c r="Q830" s="65">
        <f>SUMIF(日報!$R:$R,TEXT(YEAR($Q$2),"0000")&amp;TEXT(MONTH($Q$2),"00")&amp;$O830,日報!$L:$L)</f>
        <v>0</v>
      </c>
      <c r="R830" s="65">
        <f ca="1">SUMIF(日報!$J:$J,$O830,日報!$L:$L)</f>
        <v>0</v>
      </c>
    </row>
    <row r="831" spans="15:18" x14ac:dyDescent="0.15">
      <c r="O831" s="7" t="str">
        <f>"REQ"&amp;TEXT([2]RequestList!$A832,"0000")</f>
        <v>REQ0000</v>
      </c>
      <c r="P831" s="7">
        <f>[2]RequestList!$J832</f>
        <v>0</v>
      </c>
      <c r="Q831" s="65">
        <f>SUMIF(日報!$R:$R,TEXT(YEAR($Q$2),"0000")&amp;TEXT(MONTH($Q$2),"00")&amp;$O831,日報!$L:$L)</f>
        <v>0</v>
      </c>
      <c r="R831" s="65">
        <f ca="1">SUMIF(日報!$J:$J,$O831,日報!$L:$L)</f>
        <v>0</v>
      </c>
    </row>
    <row r="832" spans="15:18" x14ac:dyDescent="0.15">
      <c r="O832" s="7" t="str">
        <f>"REQ"&amp;TEXT([2]RequestList!$A833,"0000")</f>
        <v>REQ0000</v>
      </c>
      <c r="P832" s="7">
        <f>[2]RequestList!$J833</f>
        <v>0</v>
      </c>
      <c r="Q832" s="65">
        <f>SUMIF(日報!$R:$R,TEXT(YEAR($Q$2),"0000")&amp;TEXT(MONTH($Q$2),"00")&amp;$O832,日報!$L:$L)</f>
        <v>0</v>
      </c>
      <c r="R832" s="65">
        <f ca="1">SUMIF(日報!$J:$J,$O832,日報!$L:$L)</f>
        <v>0</v>
      </c>
    </row>
    <row r="833" spans="15:18" x14ac:dyDescent="0.15">
      <c r="O833" s="7" t="str">
        <f>"REQ"&amp;TEXT([2]RequestList!$A834,"0000")</f>
        <v>REQ0000</v>
      </c>
      <c r="P833" s="7">
        <f>[2]RequestList!$J834</f>
        <v>0</v>
      </c>
      <c r="Q833" s="65">
        <f>SUMIF(日報!$R:$R,TEXT(YEAR($Q$2),"0000")&amp;TEXT(MONTH($Q$2),"00")&amp;$O833,日報!$L:$L)</f>
        <v>0</v>
      </c>
      <c r="R833" s="65">
        <f ca="1">SUMIF(日報!$J:$J,$O833,日報!$L:$L)</f>
        <v>0</v>
      </c>
    </row>
    <row r="834" spans="15:18" x14ac:dyDescent="0.15">
      <c r="O834" s="7" t="str">
        <f>"REQ"&amp;TEXT([2]RequestList!$A835,"0000")</f>
        <v>REQ0000</v>
      </c>
      <c r="P834" s="7">
        <f>[2]RequestList!$J835</f>
        <v>0</v>
      </c>
      <c r="Q834" s="65">
        <f>SUMIF(日報!$R:$R,TEXT(YEAR($Q$2),"0000")&amp;TEXT(MONTH($Q$2),"00")&amp;$O834,日報!$L:$L)</f>
        <v>0</v>
      </c>
      <c r="R834" s="65">
        <f ca="1">SUMIF(日報!$J:$J,$O834,日報!$L:$L)</f>
        <v>0</v>
      </c>
    </row>
    <row r="835" spans="15:18" x14ac:dyDescent="0.15">
      <c r="O835" s="7" t="str">
        <f>"REQ"&amp;TEXT([2]RequestList!$A836,"0000")</f>
        <v>REQ0000</v>
      </c>
      <c r="P835" s="7">
        <f>[2]RequestList!$J836</f>
        <v>0</v>
      </c>
      <c r="Q835" s="65">
        <f>SUMIF(日報!$R:$R,TEXT(YEAR($Q$2),"0000")&amp;TEXT(MONTH($Q$2),"00")&amp;$O835,日報!$L:$L)</f>
        <v>0</v>
      </c>
      <c r="R835" s="65">
        <f ca="1">SUMIF(日報!$J:$J,$O835,日報!$L:$L)</f>
        <v>0</v>
      </c>
    </row>
    <row r="836" spans="15:18" x14ac:dyDescent="0.15">
      <c r="O836" s="7" t="str">
        <f>"REQ"&amp;TEXT([2]RequestList!$A837,"0000")</f>
        <v>REQ0000</v>
      </c>
      <c r="P836" s="7">
        <f>[2]RequestList!$J837</f>
        <v>0</v>
      </c>
      <c r="Q836" s="65">
        <f>SUMIF(日報!$R:$R,TEXT(YEAR($Q$2),"0000")&amp;TEXT(MONTH($Q$2),"00")&amp;$O836,日報!$L:$L)</f>
        <v>0</v>
      </c>
      <c r="R836" s="65">
        <f ca="1">SUMIF(日報!$J:$J,$O836,日報!$L:$L)</f>
        <v>0</v>
      </c>
    </row>
    <row r="837" spans="15:18" x14ac:dyDescent="0.15">
      <c r="O837" s="7" t="str">
        <f>"REQ"&amp;TEXT([2]RequestList!$A838,"0000")</f>
        <v>REQ0000</v>
      </c>
      <c r="P837" s="7">
        <f>[2]RequestList!$J838</f>
        <v>0</v>
      </c>
      <c r="Q837" s="65">
        <f>SUMIF(日報!$R:$R,TEXT(YEAR($Q$2),"0000")&amp;TEXT(MONTH($Q$2),"00")&amp;$O837,日報!$L:$L)</f>
        <v>0</v>
      </c>
      <c r="R837" s="65">
        <f ca="1">SUMIF(日報!$J:$J,$O837,日報!$L:$L)</f>
        <v>0</v>
      </c>
    </row>
    <row r="838" spans="15:18" x14ac:dyDescent="0.15">
      <c r="O838" s="7" t="str">
        <f>"REQ"&amp;TEXT([2]RequestList!$A839,"0000")</f>
        <v>REQ0000</v>
      </c>
      <c r="P838" s="7">
        <f>[2]RequestList!$J839</f>
        <v>0</v>
      </c>
      <c r="Q838" s="65">
        <f>SUMIF(日報!$R:$R,TEXT(YEAR($Q$2),"0000")&amp;TEXT(MONTH($Q$2),"00")&amp;$O838,日報!$L:$L)</f>
        <v>0</v>
      </c>
      <c r="R838" s="65">
        <f ca="1">SUMIF(日報!$J:$J,$O838,日報!$L:$L)</f>
        <v>0</v>
      </c>
    </row>
    <row r="839" spans="15:18" x14ac:dyDescent="0.15">
      <c r="O839" s="7" t="str">
        <f>"REQ"&amp;TEXT([2]RequestList!$A840,"0000")</f>
        <v>REQ0000</v>
      </c>
      <c r="P839" s="7">
        <f>[2]RequestList!$J840</f>
        <v>0</v>
      </c>
      <c r="Q839" s="65">
        <f>SUMIF(日報!$R:$R,TEXT(YEAR($Q$2),"0000")&amp;TEXT(MONTH($Q$2),"00")&amp;$O839,日報!$L:$L)</f>
        <v>0</v>
      </c>
      <c r="R839" s="65">
        <f ca="1">SUMIF(日報!$J:$J,$O839,日報!$L:$L)</f>
        <v>0</v>
      </c>
    </row>
    <row r="840" spans="15:18" x14ac:dyDescent="0.15">
      <c r="O840" s="7" t="str">
        <f>"REQ"&amp;TEXT([2]RequestList!$A841,"0000")</f>
        <v>REQ0000</v>
      </c>
      <c r="P840" s="7">
        <f>[2]RequestList!$J841</f>
        <v>0</v>
      </c>
      <c r="Q840" s="65">
        <f>SUMIF(日報!$R:$R,TEXT(YEAR($Q$2),"0000")&amp;TEXT(MONTH($Q$2),"00")&amp;$O840,日報!$L:$L)</f>
        <v>0</v>
      </c>
      <c r="R840" s="65">
        <f ca="1">SUMIF(日報!$J:$J,$O840,日報!$L:$L)</f>
        <v>0</v>
      </c>
    </row>
    <row r="841" spans="15:18" x14ac:dyDescent="0.15">
      <c r="O841" s="7" t="str">
        <f>"REQ"&amp;TEXT([2]RequestList!$A842,"0000")</f>
        <v>REQ0000</v>
      </c>
      <c r="P841" s="7">
        <f>[2]RequestList!$J842</f>
        <v>0</v>
      </c>
      <c r="Q841" s="65">
        <f>SUMIF(日報!$R:$R,TEXT(YEAR($Q$2),"0000")&amp;TEXT(MONTH($Q$2),"00")&amp;$O841,日報!$L:$L)</f>
        <v>0</v>
      </c>
      <c r="R841" s="65">
        <f ca="1">SUMIF(日報!$J:$J,$O841,日報!$L:$L)</f>
        <v>0</v>
      </c>
    </row>
    <row r="842" spans="15:18" x14ac:dyDescent="0.15">
      <c r="O842" s="7" t="str">
        <f>"REQ"&amp;TEXT([2]RequestList!$A843,"0000")</f>
        <v>REQ0000</v>
      </c>
      <c r="P842" s="7">
        <f>[2]RequestList!$J843</f>
        <v>0</v>
      </c>
      <c r="Q842" s="65">
        <f>SUMIF(日報!$R:$R,TEXT(YEAR($Q$2),"0000")&amp;TEXT(MONTH($Q$2),"00")&amp;$O842,日報!$L:$L)</f>
        <v>0</v>
      </c>
      <c r="R842" s="65">
        <f ca="1">SUMIF(日報!$J:$J,$O842,日報!$L:$L)</f>
        <v>0</v>
      </c>
    </row>
    <row r="843" spans="15:18" x14ac:dyDescent="0.15">
      <c r="O843" s="7" t="str">
        <f>"REQ"&amp;TEXT([2]RequestList!$A844,"0000")</f>
        <v>REQ0000</v>
      </c>
      <c r="P843" s="7">
        <f>[2]RequestList!$J844</f>
        <v>0</v>
      </c>
      <c r="Q843" s="65">
        <f>SUMIF(日報!$R:$R,TEXT(YEAR($Q$2),"0000")&amp;TEXT(MONTH($Q$2),"00")&amp;$O843,日報!$L:$L)</f>
        <v>0</v>
      </c>
      <c r="R843" s="65">
        <f ca="1">SUMIF(日報!$J:$J,$O843,日報!$L:$L)</f>
        <v>0</v>
      </c>
    </row>
    <row r="844" spans="15:18" x14ac:dyDescent="0.15">
      <c r="O844" s="7" t="str">
        <f>"REQ"&amp;TEXT([2]RequestList!$A845,"0000")</f>
        <v>REQ0000</v>
      </c>
      <c r="P844" s="7">
        <f>[2]RequestList!$J845</f>
        <v>0</v>
      </c>
      <c r="Q844" s="65">
        <f>SUMIF(日報!$R:$R,TEXT(YEAR($Q$2),"0000")&amp;TEXT(MONTH($Q$2),"00")&amp;$O844,日報!$L:$L)</f>
        <v>0</v>
      </c>
      <c r="R844" s="65">
        <f ca="1">SUMIF(日報!$J:$J,$O844,日報!$L:$L)</f>
        <v>0</v>
      </c>
    </row>
    <row r="845" spans="15:18" x14ac:dyDescent="0.15">
      <c r="O845" s="7" t="str">
        <f>"REQ"&amp;TEXT([2]RequestList!$A846,"0000")</f>
        <v>REQ0000</v>
      </c>
      <c r="P845" s="7">
        <f>[2]RequestList!$J846</f>
        <v>0</v>
      </c>
      <c r="Q845" s="65">
        <f>SUMIF(日報!$R:$R,TEXT(YEAR($Q$2),"0000")&amp;TEXT(MONTH($Q$2),"00")&amp;$O845,日報!$L:$L)</f>
        <v>0</v>
      </c>
      <c r="R845" s="65">
        <f ca="1">SUMIF(日報!$J:$J,$O845,日報!$L:$L)</f>
        <v>0</v>
      </c>
    </row>
    <row r="846" spans="15:18" x14ac:dyDescent="0.15">
      <c r="O846" s="7" t="str">
        <f>"REQ"&amp;TEXT([2]RequestList!$A847,"0000")</f>
        <v>REQ0000</v>
      </c>
      <c r="P846" s="7">
        <f>[2]RequestList!$J847</f>
        <v>0</v>
      </c>
      <c r="Q846" s="65">
        <f>SUMIF(日報!$R:$R,TEXT(YEAR($Q$2),"0000")&amp;TEXT(MONTH($Q$2),"00")&amp;$O846,日報!$L:$L)</f>
        <v>0</v>
      </c>
      <c r="R846" s="65">
        <f ca="1">SUMIF(日報!$J:$J,$O846,日報!$L:$L)</f>
        <v>0</v>
      </c>
    </row>
    <row r="847" spans="15:18" x14ac:dyDescent="0.15">
      <c r="O847" s="7" t="str">
        <f>"REQ"&amp;TEXT([2]RequestList!$A848,"0000")</f>
        <v>REQ0000</v>
      </c>
      <c r="P847" s="7">
        <f>[2]RequestList!$J848</f>
        <v>0</v>
      </c>
      <c r="Q847" s="65">
        <f>SUMIF(日報!$R:$R,TEXT(YEAR($Q$2),"0000")&amp;TEXT(MONTH($Q$2),"00")&amp;$O847,日報!$L:$L)</f>
        <v>0</v>
      </c>
      <c r="R847" s="65">
        <f ca="1">SUMIF(日報!$J:$J,$O847,日報!$L:$L)</f>
        <v>0</v>
      </c>
    </row>
    <row r="848" spans="15:18" x14ac:dyDescent="0.15">
      <c r="O848" s="7" t="str">
        <f>"REQ"&amp;TEXT([2]RequestList!$A849,"0000")</f>
        <v>REQ0000</v>
      </c>
      <c r="P848" s="7">
        <f>[2]RequestList!$J849</f>
        <v>0</v>
      </c>
      <c r="Q848" s="65">
        <f>SUMIF(日報!$R:$R,TEXT(YEAR($Q$2),"0000")&amp;TEXT(MONTH($Q$2),"00")&amp;$O848,日報!$L:$L)</f>
        <v>0</v>
      </c>
      <c r="R848" s="65">
        <f ca="1">SUMIF(日報!$J:$J,$O848,日報!$L:$L)</f>
        <v>0</v>
      </c>
    </row>
    <row r="849" spans="15:18" x14ac:dyDescent="0.15">
      <c r="O849" s="7" t="str">
        <f>"REQ"&amp;TEXT([2]RequestList!$A850,"0000")</f>
        <v>REQ0000</v>
      </c>
      <c r="P849" s="7">
        <f>[2]RequestList!$J850</f>
        <v>0</v>
      </c>
      <c r="Q849" s="65">
        <f>SUMIF(日報!$R:$R,TEXT(YEAR($Q$2),"0000")&amp;TEXT(MONTH($Q$2),"00")&amp;$O849,日報!$L:$L)</f>
        <v>0</v>
      </c>
      <c r="R849" s="65">
        <f ca="1">SUMIF(日報!$J:$J,$O849,日報!$L:$L)</f>
        <v>0</v>
      </c>
    </row>
    <row r="850" spans="15:18" x14ac:dyDescent="0.15">
      <c r="O850" s="7" t="str">
        <f>"REQ"&amp;TEXT([2]RequestList!$A851,"0000")</f>
        <v>REQ0000</v>
      </c>
      <c r="P850" s="7">
        <f>[2]RequestList!$J851</f>
        <v>0</v>
      </c>
      <c r="Q850" s="65">
        <f>SUMIF(日報!$R:$R,TEXT(YEAR($Q$2),"0000")&amp;TEXT(MONTH($Q$2),"00")&amp;$O850,日報!$L:$L)</f>
        <v>0</v>
      </c>
      <c r="R850" s="65">
        <f ca="1">SUMIF(日報!$J:$J,$O850,日報!$L:$L)</f>
        <v>0</v>
      </c>
    </row>
    <row r="851" spans="15:18" x14ac:dyDescent="0.15">
      <c r="O851" s="7" t="str">
        <f>"REQ"&amp;TEXT([2]RequestList!$A852,"0000")</f>
        <v>REQ0000</v>
      </c>
      <c r="P851" s="7">
        <f>[2]RequestList!$J852</f>
        <v>0</v>
      </c>
      <c r="Q851" s="65">
        <f>SUMIF(日報!$R:$R,TEXT(YEAR($Q$2),"0000")&amp;TEXT(MONTH($Q$2),"00")&amp;$O851,日報!$L:$L)</f>
        <v>0</v>
      </c>
      <c r="R851" s="65">
        <f ca="1">SUMIF(日報!$J:$J,$O851,日報!$L:$L)</f>
        <v>0</v>
      </c>
    </row>
    <row r="852" spans="15:18" x14ac:dyDescent="0.15">
      <c r="O852" s="7" t="str">
        <f>"REQ"&amp;TEXT([2]RequestList!$A853,"0000")</f>
        <v>REQ0000</v>
      </c>
      <c r="P852" s="7">
        <f>[2]RequestList!$J853</f>
        <v>0</v>
      </c>
      <c r="Q852" s="65">
        <f>SUMIF(日報!$R:$R,TEXT(YEAR($Q$2),"0000")&amp;TEXT(MONTH($Q$2),"00")&amp;$O852,日報!$L:$L)</f>
        <v>0</v>
      </c>
      <c r="R852" s="65">
        <f ca="1">SUMIF(日報!$J:$J,$O852,日報!$L:$L)</f>
        <v>0</v>
      </c>
    </row>
    <row r="853" spans="15:18" x14ac:dyDescent="0.15">
      <c r="O853" s="7" t="str">
        <f>"REQ"&amp;TEXT([2]RequestList!$A854,"0000")</f>
        <v>REQ0000</v>
      </c>
      <c r="P853" s="7">
        <f>[2]RequestList!$J854</f>
        <v>0</v>
      </c>
      <c r="Q853" s="65">
        <f>SUMIF(日報!$R:$R,TEXT(YEAR($Q$2),"0000")&amp;TEXT(MONTH($Q$2),"00")&amp;$O853,日報!$L:$L)</f>
        <v>0</v>
      </c>
      <c r="R853" s="65">
        <f ca="1">SUMIF(日報!$J:$J,$O853,日報!$L:$L)</f>
        <v>0</v>
      </c>
    </row>
    <row r="854" spans="15:18" x14ac:dyDescent="0.15">
      <c r="O854" s="7" t="str">
        <f>"REQ"&amp;TEXT([2]RequestList!$A855,"0000")</f>
        <v>REQ0000</v>
      </c>
      <c r="P854" s="7">
        <f>[2]RequestList!$J855</f>
        <v>0</v>
      </c>
      <c r="Q854" s="65">
        <f>SUMIF(日報!$R:$R,TEXT(YEAR($Q$2),"0000")&amp;TEXT(MONTH($Q$2),"00")&amp;$O854,日報!$L:$L)</f>
        <v>0</v>
      </c>
      <c r="R854" s="65">
        <f ca="1">SUMIF(日報!$J:$J,$O854,日報!$L:$L)</f>
        <v>0</v>
      </c>
    </row>
    <row r="855" spans="15:18" x14ac:dyDescent="0.15">
      <c r="O855" s="7" t="str">
        <f>"REQ"&amp;TEXT([2]RequestList!$A856,"0000")</f>
        <v>REQ0000</v>
      </c>
      <c r="P855" s="7">
        <f>[2]RequestList!$J856</f>
        <v>0</v>
      </c>
      <c r="Q855" s="65">
        <f>SUMIF(日報!$R:$R,TEXT(YEAR($Q$2),"0000")&amp;TEXT(MONTH($Q$2),"00")&amp;$O855,日報!$L:$L)</f>
        <v>0</v>
      </c>
      <c r="R855" s="65">
        <f ca="1">SUMIF(日報!$J:$J,$O855,日報!$L:$L)</f>
        <v>0</v>
      </c>
    </row>
    <row r="856" spans="15:18" x14ac:dyDescent="0.15">
      <c r="O856" s="7" t="str">
        <f>"REQ"&amp;TEXT([2]RequestList!$A857,"0000")</f>
        <v>REQ0000</v>
      </c>
      <c r="P856" s="7">
        <f>[2]RequestList!$J857</f>
        <v>0</v>
      </c>
      <c r="Q856" s="65">
        <f>SUMIF(日報!$R:$R,TEXT(YEAR($Q$2),"0000")&amp;TEXT(MONTH($Q$2),"00")&amp;$O856,日報!$L:$L)</f>
        <v>0</v>
      </c>
      <c r="R856" s="65">
        <f ca="1">SUMIF(日報!$J:$J,$O856,日報!$L:$L)</f>
        <v>0</v>
      </c>
    </row>
    <row r="857" spans="15:18" x14ac:dyDescent="0.15">
      <c r="O857" s="7" t="str">
        <f>"REQ"&amp;TEXT([2]RequestList!$A858,"0000")</f>
        <v>REQ0000</v>
      </c>
      <c r="P857" s="7">
        <f>[2]RequestList!$J858</f>
        <v>0</v>
      </c>
      <c r="Q857" s="65">
        <f>SUMIF(日報!$R:$R,TEXT(YEAR($Q$2),"0000")&amp;TEXT(MONTH($Q$2),"00")&amp;$O857,日報!$L:$L)</f>
        <v>0</v>
      </c>
      <c r="R857" s="65">
        <f ca="1">SUMIF(日報!$J:$J,$O857,日報!$L:$L)</f>
        <v>0</v>
      </c>
    </row>
    <row r="858" spans="15:18" x14ac:dyDescent="0.15">
      <c r="O858" s="7" t="str">
        <f>"REQ"&amp;TEXT([2]RequestList!$A859,"0000")</f>
        <v>REQ0000</v>
      </c>
      <c r="P858" s="7">
        <f>[2]RequestList!$J859</f>
        <v>0</v>
      </c>
      <c r="Q858" s="65">
        <f>SUMIF(日報!$R:$R,TEXT(YEAR($Q$2),"0000")&amp;TEXT(MONTH($Q$2),"00")&amp;$O858,日報!$L:$L)</f>
        <v>0</v>
      </c>
      <c r="R858" s="65">
        <f ca="1">SUMIF(日報!$J:$J,$O858,日報!$L:$L)</f>
        <v>0</v>
      </c>
    </row>
    <row r="859" spans="15:18" x14ac:dyDescent="0.15">
      <c r="O859" s="7" t="str">
        <f>"REQ"&amp;TEXT([2]RequestList!$A860,"0000")</f>
        <v>REQ0000</v>
      </c>
      <c r="P859" s="7">
        <f>[2]RequestList!$J860</f>
        <v>0</v>
      </c>
      <c r="Q859" s="65">
        <f>SUMIF(日報!$R:$R,TEXT(YEAR($Q$2),"0000")&amp;TEXT(MONTH($Q$2),"00")&amp;$O859,日報!$L:$L)</f>
        <v>0</v>
      </c>
      <c r="R859" s="65">
        <f ca="1">SUMIF(日報!$J:$J,$O859,日報!$L:$L)</f>
        <v>0</v>
      </c>
    </row>
    <row r="860" spans="15:18" x14ac:dyDescent="0.15">
      <c r="O860" s="7" t="str">
        <f>"REQ"&amp;TEXT([2]RequestList!$A861,"0000")</f>
        <v>REQ0000</v>
      </c>
      <c r="P860" s="7">
        <f>[2]RequestList!$J861</f>
        <v>0</v>
      </c>
      <c r="Q860" s="65">
        <f>SUMIF(日報!$R:$R,TEXT(YEAR($Q$2),"0000")&amp;TEXT(MONTH($Q$2),"00")&amp;$O860,日報!$L:$L)</f>
        <v>0</v>
      </c>
      <c r="R860" s="65">
        <f ca="1">SUMIF(日報!$J:$J,$O860,日報!$L:$L)</f>
        <v>0</v>
      </c>
    </row>
    <row r="861" spans="15:18" x14ac:dyDescent="0.15">
      <c r="O861" s="7" t="str">
        <f>"REQ"&amp;TEXT([2]RequestList!$A862,"0000")</f>
        <v>REQ0000</v>
      </c>
      <c r="P861" s="7">
        <f>[2]RequestList!$J862</f>
        <v>0</v>
      </c>
      <c r="Q861" s="65">
        <f>SUMIF(日報!$R:$R,TEXT(YEAR($Q$2),"0000")&amp;TEXT(MONTH($Q$2),"00")&amp;$O861,日報!$L:$L)</f>
        <v>0</v>
      </c>
      <c r="R861" s="65">
        <f ca="1">SUMIF(日報!$J:$J,$O861,日報!$L:$L)</f>
        <v>0</v>
      </c>
    </row>
    <row r="862" spans="15:18" x14ac:dyDescent="0.15">
      <c r="O862" s="7" t="str">
        <f>"REQ"&amp;TEXT([2]RequestList!$A863,"0000")</f>
        <v>REQ0000</v>
      </c>
      <c r="P862" s="7">
        <f>[2]RequestList!$J863</f>
        <v>0</v>
      </c>
      <c r="Q862" s="65">
        <f>SUMIF(日報!$R:$R,TEXT(YEAR($Q$2),"0000")&amp;TEXT(MONTH($Q$2),"00")&amp;$O862,日報!$L:$L)</f>
        <v>0</v>
      </c>
      <c r="R862" s="65">
        <f ca="1">SUMIF(日報!$J:$J,$O862,日報!$L:$L)</f>
        <v>0</v>
      </c>
    </row>
    <row r="863" spans="15:18" x14ac:dyDescent="0.15">
      <c r="O863" s="7" t="str">
        <f>"REQ"&amp;TEXT([2]RequestList!$A864,"0000")</f>
        <v>REQ0000</v>
      </c>
      <c r="P863" s="7">
        <f>[2]RequestList!$J864</f>
        <v>0</v>
      </c>
      <c r="Q863" s="65">
        <f>SUMIF(日報!$R:$R,TEXT(YEAR($Q$2),"0000")&amp;TEXT(MONTH($Q$2),"00")&amp;$O863,日報!$L:$L)</f>
        <v>0</v>
      </c>
      <c r="R863" s="65">
        <f ca="1">SUMIF(日報!$J:$J,$O863,日報!$L:$L)</f>
        <v>0</v>
      </c>
    </row>
    <row r="864" spans="15:18" x14ac:dyDescent="0.15">
      <c r="O864" s="7" t="str">
        <f>"REQ"&amp;TEXT([2]RequestList!$A865,"0000")</f>
        <v>REQ0000</v>
      </c>
      <c r="P864" s="7">
        <f>[2]RequestList!$J865</f>
        <v>0</v>
      </c>
      <c r="Q864" s="65">
        <f>SUMIF(日報!$R:$R,TEXT(YEAR($Q$2),"0000")&amp;TEXT(MONTH($Q$2),"00")&amp;$O864,日報!$L:$L)</f>
        <v>0</v>
      </c>
      <c r="R864" s="65">
        <f ca="1">SUMIF(日報!$J:$J,$O864,日報!$L:$L)</f>
        <v>0</v>
      </c>
    </row>
    <row r="865" spans="15:18" x14ac:dyDescent="0.15">
      <c r="O865" s="7" t="str">
        <f>"REQ"&amp;TEXT([2]RequestList!$A866,"0000")</f>
        <v>REQ0000</v>
      </c>
      <c r="P865" s="7">
        <f>[2]RequestList!$J866</f>
        <v>0</v>
      </c>
      <c r="Q865" s="65">
        <f>SUMIF(日報!$R:$R,TEXT(YEAR($Q$2),"0000")&amp;TEXT(MONTH($Q$2),"00")&amp;$O865,日報!$L:$L)</f>
        <v>0</v>
      </c>
      <c r="R865" s="65">
        <f ca="1">SUMIF(日報!$J:$J,$O865,日報!$L:$L)</f>
        <v>0</v>
      </c>
    </row>
    <row r="866" spans="15:18" x14ac:dyDescent="0.15">
      <c r="O866" s="7" t="str">
        <f>"REQ"&amp;TEXT([2]RequestList!$A867,"0000")</f>
        <v>REQ0000</v>
      </c>
      <c r="P866" s="7">
        <f>[2]RequestList!$J867</f>
        <v>0</v>
      </c>
      <c r="Q866" s="65">
        <f>SUMIF(日報!$R:$R,TEXT(YEAR($Q$2),"0000")&amp;TEXT(MONTH($Q$2),"00")&amp;$O866,日報!$L:$L)</f>
        <v>0</v>
      </c>
      <c r="R866" s="65">
        <f ca="1">SUMIF(日報!$J:$J,$O866,日報!$L:$L)</f>
        <v>0</v>
      </c>
    </row>
    <row r="867" spans="15:18" x14ac:dyDescent="0.15">
      <c r="O867" s="7" t="str">
        <f>"REQ"&amp;TEXT([2]RequestList!$A868,"0000")</f>
        <v>REQ0000</v>
      </c>
      <c r="P867" s="7">
        <f>[2]RequestList!$J868</f>
        <v>0</v>
      </c>
      <c r="Q867" s="65">
        <f>SUMIF(日報!$R:$R,TEXT(YEAR($Q$2),"0000")&amp;TEXT(MONTH($Q$2),"00")&amp;$O867,日報!$L:$L)</f>
        <v>0</v>
      </c>
      <c r="R867" s="65">
        <f ca="1">SUMIF(日報!$J:$J,$O867,日報!$L:$L)</f>
        <v>0</v>
      </c>
    </row>
    <row r="868" spans="15:18" x14ac:dyDescent="0.15">
      <c r="O868" s="7" t="str">
        <f>"REQ"&amp;TEXT([2]RequestList!$A869,"0000")</f>
        <v>REQ0000</v>
      </c>
      <c r="P868" s="7">
        <f>[2]RequestList!$J869</f>
        <v>0</v>
      </c>
      <c r="Q868" s="65">
        <f>SUMIF(日報!$R:$R,TEXT(YEAR($Q$2),"0000")&amp;TEXT(MONTH($Q$2),"00")&amp;$O868,日報!$L:$L)</f>
        <v>0</v>
      </c>
      <c r="R868" s="65">
        <f ca="1">SUMIF(日報!$J:$J,$O868,日報!$L:$L)</f>
        <v>0</v>
      </c>
    </row>
    <row r="869" spans="15:18" x14ac:dyDescent="0.15">
      <c r="O869" s="7" t="str">
        <f>"REQ"&amp;TEXT([2]RequestList!$A870,"0000")</f>
        <v>REQ0000</v>
      </c>
      <c r="P869" s="7">
        <f>[2]RequestList!$J870</f>
        <v>0</v>
      </c>
      <c r="Q869" s="65">
        <f>SUMIF(日報!$R:$R,TEXT(YEAR($Q$2),"0000")&amp;TEXT(MONTH($Q$2),"00")&amp;$O869,日報!$L:$L)</f>
        <v>0</v>
      </c>
      <c r="R869" s="65">
        <f ca="1">SUMIF(日報!$J:$J,$O869,日報!$L:$L)</f>
        <v>0</v>
      </c>
    </row>
    <row r="870" spans="15:18" x14ac:dyDescent="0.15">
      <c r="O870" s="7" t="str">
        <f>"REQ"&amp;TEXT([2]RequestList!$A871,"0000")</f>
        <v>REQ0000</v>
      </c>
      <c r="P870" s="7">
        <f>[2]RequestList!$J871</f>
        <v>0</v>
      </c>
      <c r="Q870" s="65">
        <f>SUMIF(日報!$R:$R,TEXT(YEAR($Q$2),"0000")&amp;TEXT(MONTH($Q$2),"00")&amp;$O870,日報!$L:$L)</f>
        <v>0</v>
      </c>
      <c r="R870" s="65">
        <f ca="1">SUMIF(日報!$J:$J,$O870,日報!$L:$L)</f>
        <v>0</v>
      </c>
    </row>
    <row r="871" spans="15:18" x14ac:dyDescent="0.15">
      <c r="O871" s="7" t="str">
        <f>"REQ"&amp;TEXT([2]RequestList!$A872,"0000")</f>
        <v>REQ0000</v>
      </c>
      <c r="P871" s="7">
        <f>[2]RequestList!$J872</f>
        <v>0</v>
      </c>
      <c r="Q871" s="65">
        <f>SUMIF(日報!$R:$R,TEXT(YEAR($Q$2),"0000")&amp;TEXT(MONTH($Q$2),"00")&amp;$O871,日報!$L:$L)</f>
        <v>0</v>
      </c>
      <c r="R871" s="65">
        <f ca="1">SUMIF(日報!$J:$J,$O871,日報!$L:$L)</f>
        <v>0</v>
      </c>
    </row>
    <row r="872" spans="15:18" x14ac:dyDescent="0.15">
      <c r="O872" s="7" t="str">
        <f>"REQ"&amp;TEXT([2]RequestList!$A873,"0000")</f>
        <v>REQ0000</v>
      </c>
      <c r="P872" s="7">
        <f>[2]RequestList!$J873</f>
        <v>0</v>
      </c>
      <c r="Q872" s="65">
        <f>SUMIF(日報!$R:$R,TEXT(YEAR($Q$2),"0000")&amp;TEXT(MONTH($Q$2),"00")&amp;$O872,日報!$L:$L)</f>
        <v>0</v>
      </c>
      <c r="R872" s="65">
        <f ca="1">SUMIF(日報!$J:$J,$O872,日報!$L:$L)</f>
        <v>0</v>
      </c>
    </row>
    <row r="873" spans="15:18" x14ac:dyDescent="0.15">
      <c r="O873" s="7" t="str">
        <f>"REQ"&amp;TEXT([2]RequestList!$A874,"0000")</f>
        <v>REQ0000</v>
      </c>
      <c r="P873" s="7">
        <f>[2]RequestList!$J874</f>
        <v>0</v>
      </c>
      <c r="Q873" s="65">
        <f>SUMIF(日報!$R:$R,TEXT(YEAR($Q$2),"0000")&amp;TEXT(MONTH($Q$2),"00")&amp;$O873,日報!$L:$L)</f>
        <v>0</v>
      </c>
      <c r="R873" s="65">
        <f ca="1">SUMIF(日報!$J:$J,$O873,日報!$L:$L)</f>
        <v>0</v>
      </c>
    </row>
    <row r="874" spans="15:18" x14ac:dyDescent="0.15">
      <c r="O874" s="7" t="str">
        <f>"REQ"&amp;TEXT([2]RequestList!$A875,"0000")</f>
        <v>REQ0000</v>
      </c>
      <c r="P874" s="7">
        <f>[2]RequestList!$J875</f>
        <v>0</v>
      </c>
      <c r="Q874" s="65">
        <f>SUMIF(日報!$R:$R,TEXT(YEAR($Q$2),"0000")&amp;TEXT(MONTH($Q$2),"00")&amp;$O874,日報!$L:$L)</f>
        <v>0</v>
      </c>
      <c r="R874" s="65">
        <f ca="1">SUMIF(日報!$J:$J,$O874,日報!$L:$L)</f>
        <v>0</v>
      </c>
    </row>
    <row r="875" spans="15:18" x14ac:dyDescent="0.15">
      <c r="O875" s="7" t="str">
        <f>"REQ"&amp;TEXT([2]RequestList!$A876,"0000")</f>
        <v>REQ0000</v>
      </c>
      <c r="P875" s="7">
        <f>[2]RequestList!$J876</f>
        <v>0</v>
      </c>
      <c r="Q875" s="65">
        <f>SUMIF(日報!$R:$R,TEXT(YEAR($Q$2),"0000")&amp;TEXT(MONTH($Q$2),"00")&amp;$O875,日報!$L:$L)</f>
        <v>0</v>
      </c>
      <c r="R875" s="65">
        <f ca="1">SUMIF(日報!$J:$J,$O875,日報!$L:$L)</f>
        <v>0</v>
      </c>
    </row>
    <row r="876" spans="15:18" x14ac:dyDescent="0.15">
      <c r="O876" s="7" t="str">
        <f>"REQ"&amp;TEXT([2]RequestList!$A877,"0000")</f>
        <v>REQ0000</v>
      </c>
      <c r="P876" s="7">
        <f>[2]RequestList!$J877</f>
        <v>0</v>
      </c>
      <c r="Q876" s="65">
        <f>SUMIF(日報!$R:$R,TEXT(YEAR($Q$2),"0000")&amp;TEXT(MONTH($Q$2),"00")&amp;$O876,日報!$L:$L)</f>
        <v>0</v>
      </c>
      <c r="R876" s="65">
        <f ca="1">SUMIF(日報!$J:$J,$O876,日報!$L:$L)</f>
        <v>0</v>
      </c>
    </row>
    <row r="877" spans="15:18" x14ac:dyDescent="0.15">
      <c r="O877" s="7" t="str">
        <f>"REQ"&amp;TEXT([2]RequestList!$A878,"0000")</f>
        <v>REQ0000</v>
      </c>
      <c r="P877" s="7">
        <f>[2]RequestList!$J878</f>
        <v>0</v>
      </c>
      <c r="Q877" s="65">
        <f>SUMIF(日報!$R:$R,TEXT(YEAR($Q$2),"0000")&amp;TEXT(MONTH($Q$2),"00")&amp;$O877,日報!$L:$L)</f>
        <v>0</v>
      </c>
      <c r="R877" s="65">
        <f ca="1">SUMIF(日報!$J:$J,$O877,日報!$L:$L)</f>
        <v>0</v>
      </c>
    </row>
    <row r="878" spans="15:18" x14ac:dyDescent="0.15">
      <c r="O878" s="7" t="str">
        <f>"REQ"&amp;TEXT([2]RequestList!$A879,"0000")</f>
        <v>REQ0000</v>
      </c>
      <c r="P878" s="7">
        <f>[2]RequestList!$J879</f>
        <v>0</v>
      </c>
      <c r="Q878" s="65">
        <f>SUMIF(日報!$R:$R,TEXT(YEAR($Q$2),"0000")&amp;TEXT(MONTH($Q$2),"00")&amp;$O878,日報!$L:$L)</f>
        <v>0</v>
      </c>
      <c r="R878" s="65">
        <f ca="1">SUMIF(日報!$J:$J,$O878,日報!$L:$L)</f>
        <v>0</v>
      </c>
    </row>
    <row r="879" spans="15:18" x14ac:dyDescent="0.15">
      <c r="O879" s="7" t="str">
        <f>"REQ"&amp;TEXT([2]RequestList!$A880,"0000")</f>
        <v>REQ0000</v>
      </c>
      <c r="P879" s="7">
        <f>[2]RequestList!$J880</f>
        <v>0</v>
      </c>
      <c r="Q879" s="65">
        <f>SUMIF(日報!$R:$R,TEXT(YEAR($Q$2),"0000")&amp;TEXT(MONTH($Q$2),"00")&amp;$O879,日報!$L:$L)</f>
        <v>0</v>
      </c>
      <c r="R879" s="65">
        <f ca="1">SUMIF(日報!$J:$J,$O879,日報!$L:$L)</f>
        <v>0</v>
      </c>
    </row>
    <row r="880" spans="15:18" x14ac:dyDescent="0.15">
      <c r="O880" s="7" t="str">
        <f>"REQ"&amp;TEXT([2]RequestList!$A881,"0000")</f>
        <v>REQ0000</v>
      </c>
      <c r="P880" s="7">
        <f>[2]RequestList!$J881</f>
        <v>0</v>
      </c>
      <c r="Q880" s="65">
        <f>SUMIF(日報!$R:$R,TEXT(YEAR($Q$2),"0000")&amp;TEXT(MONTH($Q$2),"00")&amp;$O880,日報!$L:$L)</f>
        <v>0</v>
      </c>
      <c r="R880" s="65">
        <f ca="1">SUMIF(日報!$J:$J,$O880,日報!$L:$L)</f>
        <v>0</v>
      </c>
    </row>
    <row r="881" spans="15:18" x14ac:dyDescent="0.15">
      <c r="O881" s="7" t="str">
        <f>"REQ"&amp;TEXT([2]RequestList!$A882,"0000")</f>
        <v>REQ0000</v>
      </c>
      <c r="P881" s="7">
        <f>[2]RequestList!$J882</f>
        <v>0</v>
      </c>
      <c r="Q881" s="65">
        <f>SUMIF(日報!$R:$R,TEXT(YEAR($Q$2),"0000")&amp;TEXT(MONTH($Q$2),"00")&amp;$O881,日報!$L:$L)</f>
        <v>0</v>
      </c>
      <c r="R881" s="65">
        <f ca="1">SUMIF(日報!$J:$J,$O881,日報!$L:$L)</f>
        <v>0</v>
      </c>
    </row>
    <row r="882" spans="15:18" x14ac:dyDescent="0.15">
      <c r="O882" s="7" t="str">
        <f>"REQ"&amp;TEXT([2]RequestList!$A883,"0000")</f>
        <v>REQ0000</v>
      </c>
      <c r="P882" s="7">
        <f>[2]RequestList!$J883</f>
        <v>0</v>
      </c>
      <c r="Q882" s="65">
        <f>SUMIF(日報!$R:$R,TEXT(YEAR($Q$2),"0000")&amp;TEXT(MONTH($Q$2),"00")&amp;$O882,日報!$L:$L)</f>
        <v>0</v>
      </c>
      <c r="R882" s="65">
        <f ca="1">SUMIF(日報!$J:$J,$O882,日報!$L:$L)</f>
        <v>0</v>
      </c>
    </row>
    <row r="883" spans="15:18" x14ac:dyDescent="0.15">
      <c r="O883" s="7" t="str">
        <f>"REQ"&amp;TEXT([2]RequestList!$A884,"0000")</f>
        <v>REQ0000</v>
      </c>
      <c r="P883" s="7">
        <f>[2]RequestList!$J884</f>
        <v>0</v>
      </c>
      <c r="Q883" s="65">
        <f>SUMIF(日報!$R:$R,TEXT(YEAR($Q$2),"0000")&amp;TEXT(MONTH($Q$2),"00")&amp;$O883,日報!$L:$L)</f>
        <v>0</v>
      </c>
      <c r="R883" s="65">
        <f ca="1">SUMIF(日報!$J:$J,$O883,日報!$L:$L)</f>
        <v>0</v>
      </c>
    </row>
    <row r="884" spans="15:18" x14ac:dyDescent="0.15">
      <c r="O884" s="7" t="str">
        <f>"REQ"&amp;TEXT([2]RequestList!$A885,"0000")</f>
        <v>REQ0000</v>
      </c>
      <c r="P884" s="7">
        <f>[2]RequestList!$J885</f>
        <v>0</v>
      </c>
      <c r="Q884" s="65">
        <f>SUMIF(日報!$R:$R,TEXT(YEAR($Q$2),"0000")&amp;TEXT(MONTH($Q$2),"00")&amp;$O884,日報!$L:$L)</f>
        <v>0</v>
      </c>
      <c r="R884" s="65">
        <f ca="1">SUMIF(日報!$J:$J,$O884,日報!$L:$L)</f>
        <v>0</v>
      </c>
    </row>
    <row r="885" spans="15:18" x14ac:dyDescent="0.15">
      <c r="O885" s="7" t="str">
        <f>"REQ"&amp;TEXT([2]RequestList!$A886,"0000")</f>
        <v>REQ0000</v>
      </c>
      <c r="P885" s="7">
        <f>[2]RequestList!$J886</f>
        <v>0</v>
      </c>
      <c r="Q885" s="65">
        <f>SUMIF(日報!$R:$R,TEXT(YEAR($Q$2),"0000")&amp;TEXT(MONTH($Q$2),"00")&amp;$O885,日報!$L:$L)</f>
        <v>0</v>
      </c>
      <c r="R885" s="65">
        <f ca="1">SUMIF(日報!$J:$J,$O885,日報!$L:$L)</f>
        <v>0</v>
      </c>
    </row>
    <row r="886" spans="15:18" x14ac:dyDescent="0.15">
      <c r="O886" s="7" t="str">
        <f>"REQ"&amp;TEXT([2]RequestList!$A887,"0000")</f>
        <v>REQ0000</v>
      </c>
      <c r="P886" s="7">
        <f>[2]RequestList!$J887</f>
        <v>0</v>
      </c>
      <c r="Q886" s="65">
        <f>SUMIF(日報!$R:$R,TEXT(YEAR($Q$2),"0000")&amp;TEXT(MONTH($Q$2),"00")&amp;$O886,日報!$L:$L)</f>
        <v>0</v>
      </c>
      <c r="R886" s="65">
        <f ca="1">SUMIF(日報!$J:$J,$O886,日報!$L:$L)</f>
        <v>0</v>
      </c>
    </row>
    <row r="887" spans="15:18" x14ac:dyDescent="0.15">
      <c r="O887" s="7" t="str">
        <f>"REQ"&amp;TEXT([2]RequestList!$A888,"0000")</f>
        <v>REQ0000</v>
      </c>
      <c r="P887" s="7">
        <f>[2]RequestList!$J888</f>
        <v>0</v>
      </c>
      <c r="Q887" s="65">
        <f>SUMIF(日報!$R:$R,TEXT(YEAR($Q$2),"0000")&amp;TEXT(MONTH($Q$2),"00")&amp;$O887,日報!$L:$L)</f>
        <v>0</v>
      </c>
      <c r="R887" s="65">
        <f ca="1">SUMIF(日報!$J:$J,$O887,日報!$L:$L)</f>
        <v>0</v>
      </c>
    </row>
    <row r="888" spans="15:18" x14ac:dyDescent="0.15">
      <c r="O888" s="7" t="str">
        <f>"REQ"&amp;TEXT([2]RequestList!$A889,"0000")</f>
        <v>REQ0000</v>
      </c>
      <c r="P888" s="7">
        <f>[2]RequestList!$J889</f>
        <v>0</v>
      </c>
      <c r="Q888" s="65">
        <f>SUMIF(日報!$R:$R,TEXT(YEAR($Q$2),"0000")&amp;TEXT(MONTH($Q$2),"00")&amp;$O888,日報!$L:$L)</f>
        <v>0</v>
      </c>
      <c r="R888" s="65">
        <f ca="1">SUMIF(日報!$J:$J,$O888,日報!$L:$L)</f>
        <v>0</v>
      </c>
    </row>
    <row r="889" spans="15:18" x14ac:dyDescent="0.15">
      <c r="O889" s="7" t="str">
        <f>"REQ"&amp;TEXT([2]RequestList!$A890,"0000")</f>
        <v>REQ0000</v>
      </c>
      <c r="P889" s="7">
        <f>[2]RequestList!$J890</f>
        <v>0</v>
      </c>
      <c r="Q889" s="65">
        <f>SUMIF(日報!$R:$R,TEXT(YEAR($Q$2),"0000")&amp;TEXT(MONTH($Q$2),"00")&amp;$O889,日報!$L:$L)</f>
        <v>0</v>
      </c>
      <c r="R889" s="65">
        <f ca="1">SUMIF(日報!$J:$J,$O889,日報!$L:$L)</f>
        <v>0</v>
      </c>
    </row>
    <row r="890" spans="15:18" x14ac:dyDescent="0.15">
      <c r="O890" s="7" t="str">
        <f>"REQ"&amp;TEXT([2]RequestList!$A891,"0000")</f>
        <v>REQ0000</v>
      </c>
      <c r="P890" s="7">
        <f>[2]RequestList!$J891</f>
        <v>0</v>
      </c>
      <c r="Q890" s="65">
        <f>SUMIF(日報!$R:$R,TEXT(YEAR($Q$2),"0000")&amp;TEXT(MONTH($Q$2),"00")&amp;$O890,日報!$L:$L)</f>
        <v>0</v>
      </c>
      <c r="R890" s="65">
        <f ca="1">SUMIF(日報!$J:$J,$O890,日報!$L:$L)</f>
        <v>0</v>
      </c>
    </row>
    <row r="891" spans="15:18" x14ac:dyDescent="0.15">
      <c r="O891" s="7" t="str">
        <f>"REQ"&amp;TEXT([2]RequestList!$A892,"0000")</f>
        <v>REQ0000</v>
      </c>
      <c r="P891" s="7">
        <f>[2]RequestList!$J892</f>
        <v>0</v>
      </c>
      <c r="Q891" s="65">
        <f>SUMIF(日報!$R:$R,TEXT(YEAR($Q$2),"0000")&amp;TEXT(MONTH($Q$2),"00")&amp;$O891,日報!$L:$L)</f>
        <v>0</v>
      </c>
      <c r="R891" s="65">
        <f ca="1">SUMIF(日報!$J:$J,$O891,日報!$L:$L)</f>
        <v>0</v>
      </c>
    </row>
    <row r="892" spans="15:18" x14ac:dyDescent="0.15">
      <c r="O892" s="7" t="str">
        <f>"REQ"&amp;TEXT([2]RequestList!$A893,"0000")</f>
        <v>REQ0000</v>
      </c>
      <c r="P892" s="7">
        <f>[2]RequestList!$J893</f>
        <v>0</v>
      </c>
      <c r="Q892" s="65">
        <f>SUMIF(日報!$R:$R,TEXT(YEAR($Q$2),"0000")&amp;TEXT(MONTH($Q$2),"00")&amp;$O892,日報!$L:$L)</f>
        <v>0</v>
      </c>
      <c r="R892" s="65">
        <f ca="1">SUMIF(日報!$J:$J,$O892,日報!$L:$L)</f>
        <v>0</v>
      </c>
    </row>
    <row r="893" spans="15:18" x14ac:dyDescent="0.15">
      <c r="O893" s="7" t="str">
        <f>"REQ"&amp;TEXT([2]RequestList!$A894,"0000")</f>
        <v>REQ0000</v>
      </c>
      <c r="P893" s="7">
        <f>[2]RequestList!$J894</f>
        <v>0</v>
      </c>
      <c r="Q893" s="65">
        <f>SUMIF(日報!$R:$R,TEXT(YEAR($Q$2),"0000")&amp;TEXT(MONTH($Q$2),"00")&amp;$O893,日報!$L:$L)</f>
        <v>0</v>
      </c>
      <c r="R893" s="65">
        <f ca="1">SUMIF(日報!$J:$J,$O893,日報!$L:$L)</f>
        <v>0</v>
      </c>
    </row>
    <row r="894" spans="15:18" x14ac:dyDescent="0.15">
      <c r="O894" s="7" t="str">
        <f>"REQ"&amp;TEXT([2]RequestList!$A895,"0000")</f>
        <v>REQ0000</v>
      </c>
      <c r="P894" s="7">
        <f>[2]RequestList!$J895</f>
        <v>0</v>
      </c>
      <c r="Q894" s="65">
        <f>SUMIF(日報!$R:$R,TEXT(YEAR($Q$2),"0000")&amp;TEXT(MONTH($Q$2),"00")&amp;$O894,日報!$L:$L)</f>
        <v>0</v>
      </c>
      <c r="R894" s="65">
        <f ca="1">SUMIF(日報!$J:$J,$O894,日報!$L:$L)</f>
        <v>0</v>
      </c>
    </row>
    <row r="895" spans="15:18" x14ac:dyDescent="0.15">
      <c r="O895" s="7" t="str">
        <f>"REQ"&amp;TEXT([2]RequestList!$A896,"0000")</f>
        <v>REQ0000</v>
      </c>
      <c r="P895" s="7">
        <f>[2]RequestList!$J896</f>
        <v>0</v>
      </c>
      <c r="Q895" s="65">
        <f>SUMIF(日報!$R:$R,TEXT(YEAR($Q$2),"0000")&amp;TEXT(MONTH($Q$2),"00")&amp;$O895,日報!$L:$L)</f>
        <v>0</v>
      </c>
      <c r="R895" s="65">
        <f ca="1">SUMIF(日報!$J:$J,$O895,日報!$L:$L)</f>
        <v>0</v>
      </c>
    </row>
    <row r="896" spans="15:18" x14ac:dyDescent="0.15">
      <c r="O896" s="7" t="str">
        <f>"REQ"&amp;TEXT([2]RequestList!$A897,"0000")</f>
        <v>REQ0000</v>
      </c>
      <c r="P896" s="7">
        <f>[2]RequestList!$J897</f>
        <v>0</v>
      </c>
      <c r="Q896" s="65">
        <f>SUMIF(日報!$R:$R,TEXT(YEAR($Q$2),"0000")&amp;TEXT(MONTH($Q$2),"00")&amp;$O896,日報!$L:$L)</f>
        <v>0</v>
      </c>
      <c r="R896" s="65">
        <f ca="1">SUMIF(日報!$J:$J,$O896,日報!$L:$L)</f>
        <v>0</v>
      </c>
    </row>
    <row r="897" spans="15:18" x14ac:dyDescent="0.15">
      <c r="O897" s="7" t="str">
        <f>"REQ"&amp;TEXT([2]RequestList!$A898,"0000")</f>
        <v>REQ0000</v>
      </c>
      <c r="P897" s="7">
        <f>[2]RequestList!$J898</f>
        <v>0</v>
      </c>
      <c r="Q897" s="65">
        <f>SUMIF(日報!$R:$R,TEXT(YEAR($Q$2),"0000")&amp;TEXT(MONTH($Q$2),"00")&amp;$O897,日報!$L:$L)</f>
        <v>0</v>
      </c>
      <c r="R897" s="65">
        <f ca="1">SUMIF(日報!$J:$J,$O897,日報!$L:$L)</f>
        <v>0</v>
      </c>
    </row>
    <row r="898" spans="15:18" x14ac:dyDescent="0.15">
      <c r="O898" s="7" t="str">
        <f>"REQ"&amp;TEXT([2]RequestList!$A899,"0000")</f>
        <v>REQ0000</v>
      </c>
      <c r="P898" s="7">
        <f>[2]RequestList!$J899</f>
        <v>0</v>
      </c>
      <c r="Q898" s="65">
        <f>SUMIF(日報!$R:$R,TEXT(YEAR($Q$2),"0000")&amp;TEXT(MONTH($Q$2),"00")&amp;$O898,日報!$L:$L)</f>
        <v>0</v>
      </c>
      <c r="R898" s="65">
        <f ca="1">SUMIF(日報!$J:$J,$O898,日報!$L:$L)</f>
        <v>0</v>
      </c>
    </row>
    <row r="899" spans="15:18" x14ac:dyDescent="0.15">
      <c r="O899" s="7" t="str">
        <f>"REQ"&amp;TEXT([2]RequestList!$A900,"0000")</f>
        <v>REQ0000</v>
      </c>
      <c r="P899" s="7">
        <f>[2]RequestList!$J900</f>
        <v>0</v>
      </c>
      <c r="Q899" s="65">
        <f>SUMIF(日報!$R:$R,TEXT(YEAR($Q$2),"0000")&amp;TEXT(MONTH($Q$2),"00")&amp;$O899,日報!$L:$L)</f>
        <v>0</v>
      </c>
      <c r="R899" s="65">
        <f ca="1">SUMIF(日報!$J:$J,$O899,日報!$L:$L)</f>
        <v>0</v>
      </c>
    </row>
    <row r="900" spans="15:18" x14ac:dyDescent="0.15">
      <c r="O900" s="7" t="str">
        <f>"REQ"&amp;TEXT([2]RequestList!$A901,"0000")</f>
        <v>REQ0000</v>
      </c>
      <c r="P900" s="7">
        <f>[2]RequestList!$J901</f>
        <v>0</v>
      </c>
      <c r="Q900" s="65">
        <f>SUMIF(日報!$R:$R,TEXT(YEAR($Q$2),"0000")&amp;TEXT(MONTH($Q$2),"00")&amp;$O900,日報!$L:$L)</f>
        <v>0</v>
      </c>
      <c r="R900" s="65">
        <f ca="1">SUMIF(日報!$J:$J,$O900,日報!$L:$L)</f>
        <v>0</v>
      </c>
    </row>
    <row r="901" spans="15:18" x14ac:dyDescent="0.15">
      <c r="O901" s="7" t="str">
        <f>"REQ"&amp;TEXT([2]RequestList!$A902,"0000")</f>
        <v>REQ0000</v>
      </c>
      <c r="P901" s="7">
        <f>[2]RequestList!$J902</f>
        <v>0</v>
      </c>
      <c r="Q901" s="65">
        <f>SUMIF(日報!$R:$R,TEXT(YEAR($Q$2),"0000")&amp;TEXT(MONTH($Q$2),"00")&amp;$O901,日報!$L:$L)</f>
        <v>0</v>
      </c>
      <c r="R901" s="65">
        <f ca="1">SUMIF(日報!$J:$J,$O901,日報!$L:$L)</f>
        <v>0</v>
      </c>
    </row>
    <row r="902" spans="15:18" x14ac:dyDescent="0.15">
      <c r="O902" s="7" t="str">
        <f>"REQ"&amp;TEXT([2]RequestList!$A903,"0000")</f>
        <v>REQ0000</v>
      </c>
      <c r="P902" s="7">
        <f>[2]RequestList!$J903</f>
        <v>0</v>
      </c>
      <c r="Q902" s="65">
        <f>SUMIF(日報!$R:$R,TEXT(YEAR($Q$2),"0000")&amp;TEXT(MONTH($Q$2),"00")&amp;$O902,日報!$L:$L)</f>
        <v>0</v>
      </c>
      <c r="R902" s="65">
        <f ca="1">SUMIF(日報!$J:$J,$O902,日報!$L:$L)</f>
        <v>0</v>
      </c>
    </row>
    <row r="903" spans="15:18" x14ac:dyDescent="0.15">
      <c r="O903" s="7" t="str">
        <f>"REQ"&amp;TEXT([2]RequestList!$A904,"0000")</f>
        <v>REQ0000</v>
      </c>
      <c r="P903" s="7">
        <f>[2]RequestList!$J904</f>
        <v>0</v>
      </c>
      <c r="Q903" s="65">
        <f>SUMIF(日報!$R:$R,TEXT(YEAR($Q$2),"0000")&amp;TEXT(MONTH($Q$2),"00")&amp;$O903,日報!$L:$L)</f>
        <v>0</v>
      </c>
      <c r="R903" s="65">
        <f ca="1">SUMIF(日報!$J:$J,$O903,日報!$L:$L)</f>
        <v>0</v>
      </c>
    </row>
    <row r="904" spans="15:18" x14ac:dyDescent="0.15">
      <c r="O904" s="7" t="str">
        <f>"REQ"&amp;TEXT([2]RequestList!$A905,"0000")</f>
        <v>REQ0000</v>
      </c>
      <c r="P904" s="7">
        <f>[2]RequestList!$J905</f>
        <v>0</v>
      </c>
      <c r="Q904" s="65">
        <f>SUMIF(日報!$R:$R,TEXT(YEAR($Q$2),"0000")&amp;TEXT(MONTH($Q$2),"00")&amp;$O904,日報!$L:$L)</f>
        <v>0</v>
      </c>
      <c r="R904" s="65">
        <f ca="1">SUMIF(日報!$J:$J,$O904,日報!$L:$L)</f>
        <v>0</v>
      </c>
    </row>
    <row r="905" spans="15:18" x14ac:dyDescent="0.15">
      <c r="O905" s="7" t="str">
        <f>"REQ"&amp;TEXT([2]RequestList!$A906,"0000")</f>
        <v>REQ0000</v>
      </c>
      <c r="P905" s="7">
        <f>[2]RequestList!$J906</f>
        <v>0</v>
      </c>
      <c r="Q905" s="65">
        <f>SUMIF(日報!$R:$R,TEXT(YEAR($Q$2),"0000")&amp;TEXT(MONTH($Q$2),"00")&amp;$O905,日報!$L:$L)</f>
        <v>0</v>
      </c>
      <c r="R905" s="65">
        <f ca="1">SUMIF(日報!$J:$J,$O905,日報!$L:$L)</f>
        <v>0</v>
      </c>
    </row>
    <row r="906" spans="15:18" x14ac:dyDescent="0.15">
      <c r="O906" s="7" t="str">
        <f>"REQ"&amp;TEXT([2]RequestList!$A907,"0000")</f>
        <v>REQ0000</v>
      </c>
      <c r="P906" s="7">
        <f>[2]RequestList!$J907</f>
        <v>0</v>
      </c>
      <c r="Q906" s="65">
        <f>SUMIF(日報!$R:$R,TEXT(YEAR($Q$2),"0000")&amp;TEXT(MONTH($Q$2),"00")&amp;$O906,日報!$L:$L)</f>
        <v>0</v>
      </c>
      <c r="R906" s="65">
        <f ca="1">SUMIF(日報!$J:$J,$O906,日報!$L:$L)</f>
        <v>0</v>
      </c>
    </row>
    <row r="907" spans="15:18" x14ac:dyDescent="0.15">
      <c r="O907" s="7" t="str">
        <f>"REQ"&amp;TEXT([2]RequestList!$A908,"0000")</f>
        <v>REQ0000</v>
      </c>
      <c r="P907" s="7">
        <f>[2]RequestList!$J908</f>
        <v>0</v>
      </c>
      <c r="Q907" s="65">
        <f>SUMIF(日報!$R:$R,TEXT(YEAR($Q$2),"0000")&amp;TEXT(MONTH($Q$2),"00")&amp;$O907,日報!$L:$L)</f>
        <v>0</v>
      </c>
      <c r="R907" s="65">
        <f ca="1">SUMIF(日報!$J:$J,$O907,日報!$L:$L)</f>
        <v>0</v>
      </c>
    </row>
    <row r="908" spans="15:18" x14ac:dyDescent="0.15">
      <c r="O908" s="7" t="str">
        <f>"REQ"&amp;TEXT([2]RequestList!$A909,"0000")</f>
        <v>REQ0000</v>
      </c>
      <c r="P908" s="7">
        <f>[2]RequestList!$J909</f>
        <v>0</v>
      </c>
      <c r="Q908" s="65">
        <f>SUMIF(日報!$R:$R,TEXT(YEAR($Q$2),"0000")&amp;TEXT(MONTH($Q$2),"00")&amp;$O908,日報!$L:$L)</f>
        <v>0</v>
      </c>
      <c r="R908" s="65">
        <f ca="1">SUMIF(日報!$J:$J,$O908,日報!$L:$L)</f>
        <v>0</v>
      </c>
    </row>
    <row r="909" spans="15:18" x14ac:dyDescent="0.15">
      <c r="O909" s="7" t="str">
        <f>"REQ"&amp;TEXT([2]RequestList!$A910,"0000")</f>
        <v>REQ0000</v>
      </c>
      <c r="P909" s="7">
        <f>[2]RequestList!$J910</f>
        <v>0</v>
      </c>
      <c r="Q909" s="65">
        <f>SUMIF(日報!$R:$R,TEXT(YEAR($Q$2),"0000")&amp;TEXT(MONTH($Q$2),"00")&amp;$O909,日報!$L:$L)</f>
        <v>0</v>
      </c>
      <c r="R909" s="65">
        <f ca="1">SUMIF(日報!$J:$J,$O909,日報!$L:$L)</f>
        <v>0</v>
      </c>
    </row>
    <row r="910" spans="15:18" x14ac:dyDescent="0.15">
      <c r="O910" s="7" t="str">
        <f>"REQ"&amp;TEXT([2]RequestList!$A911,"0000")</f>
        <v>REQ0000</v>
      </c>
      <c r="P910" s="7">
        <f>[2]RequestList!$J911</f>
        <v>0</v>
      </c>
      <c r="Q910" s="65">
        <f>SUMIF(日報!$R:$R,TEXT(YEAR($Q$2),"0000")&amp;TEXT(MONTH($Q$2),"00")&amp;$O910,日報!$L:$L)</f>
        <v>0</v>
      </c>
      <c r="R910" s="65">
        <f ca="1">SUMIF(日報!$J:$J,$O910,日報!$L:$L)</f>
        <v>0</v>
      </c>
    </row>
    <row r="911" spans="15:18" x14ac:dyDescent="0.15">
      <c r="O911" s="7" t="str">
        <f>"REQ"&amp;TEXT([2]RequestList!$A912,"0000")</f>
        <v>REQ0000</v>
      </c>
      <c r="P911" s="7">
        <f>[2]RequestList!$J912</f>
        <v>0</v>
      </c>
      <c r="Q911" s="65">
        <f>SUMIF(日報!$R:$R,TEXT(YEAR($Q$2),"0000")&amp;TEXT(MONTH($Q$2),"00")&amp;$O911,日報!$L:$L)</f>
        <v>0</v>
      </c>
      <c r="R911" s="65">
        <f ca="1">SUMIF(日報!$J:$J,$O911,日報!$L:$L)</f>
        <v>0</v>
      </c>
    </row>
    <row r="912" spans="15:18" x14ac:dyDescent="0.15">
      <c r="O912" s="7" t="str">
        <f>"REQ"&amp;TEXT([2]RequestList!$A913,"0000")</f>
        <v>REQ0000</v>
      </c>
      <c r="P912" s="7">
        <f>[2]RequestList!$J913</f>
        <v>0</v>
      </c>
      <c r="Q912" s="65">
        <f>SUMIF(日報!$R:$R,TEXT(YEAR($Q$2),"0000")&amp;TEXT(MONTH($Q$2),"00")&amp;$O912,日報!$L:$L)</f>
        <v>0</v>
      </c>
      <c r="R912" s="65">
        <f ca="1">SUMIF(日報!$J:$J,$O912,日報!$L:$L)</f>
        <v>0</v>
      </c>
    </row>
    <row r="913" spans="15:18" x14ac:dyDescent="0.15">
      <c r="O913" s="7" t="str">
        <f>"REQ"&amp;TEXT([2]RequestList!$A914,"0000")</f>
        <v>REQ0000</v>
      </c>
      <c r="P913" s="7">
        <f>[2]RequestList!$J914</f>
        <v>0</v>
      </c>
      <c r="Q913" s="65">
        <f>SUMIF(日報!$R:$R,TEXT(YEAR($Q$2),"0000")&amp;TEXT(MONTH($Q$2),"00")&amp;$O913,日報!$L:$L)</f>
        <v>0</v>
      </c>
      <c r="R913" s="65">
        <f ca="1">SUMIF(日報!$J:$J,$O913,日報!$L:$L)</f>
        <v>0</v>
      </c>
    </row>
    <row r="914" spans="15:18" x14ac:dyDescent="0.15">
      <c r="O914" s="7" t="str">
        <f>"REQ"&amp;TEXT([2]RequestList!$A915,"0000")</f>
        <v>REQ0000</v>
      </c>
      <c r="P914" s="7">
        <f>[2]RequestList!$J915</f>
        <v>0</v>
      </c>
      <c r="Q914" s="65">
        <f>SUMIF(日報!$R:$R,TEXT(YEAR($Q$2),"0000")&amp;TEXT(MONTH($Q$2),"00")&amp;$O914,日報!$L:$L)</f>
        <v>0</v>
      </c>
      <c r="R914" s="65">
        <f ca="1">SUMIF(日報!$J:$J,$O914,日報!$L:$L)</f>
        <v>0</v>
      </c>
    </row>
    <row r="915" spans="15:18" x14ac:dyDescent="0.15">
      <c r="O915" s="7" t="str">
        <f>"REQ"&amp;TEXT([2]RequestList!$A916,"0000")</f>
        <v>REQ0000</v>
      </c>
      <c r="P915" s="7">
        <f>[2]RequestList!$J916</f>
        <v>0</v>
      </c>
      <c r="Q915" s="65">
        <f>SUMIF(日報!$R:$R,TEXT(YEAR($Q$2),"0000")&amp;TEXT(MONTH($Q$2),"00")&amp;$O915,日報!$L:$L)</f>
        <v>0</v>
      </c>
      <c r="R915" s="65">
        <f ca="1">SUMIF(日報!$J:$J,$O915,日報!$L:$L)</f>
        <v>0</v>
      </c>
    </row>
    <row r="916" spans="15:18" x14ac:dyDescent="0.15">
      <c r="O916" s="7" t="str">
        <f>"REQ"&amp;TEXT([2]RequestList!$A917,"0000")</f>
        <v>REQ0000</v>
      </c>
      <c r="P916" s="7">
        <f>[2]RequestList!$J917</f>
        <v>0</v>
      </c>
      <c r="Q916" s="65">
        <f>SUMIF(日報!$R:$R,TEXT(YEAR($Q$2),"0000")&amp;TEXT(MONTH($Q$2),"00")&amp;$O916,日報!$L:$L)</f>
        <v>0</v>
      </c>
      <c r="R916" s="65">
        <f ca="1">SUMIF(日報!$J:$J,$O916,日報!$L:$L)</f>
        <v>0</v>
      </c>
    </row>
    <row r="917" spans="15:18" x14ac:dyDescent="0.15">
      <c r="O917" s="7" t="str">
        <f>"REQ"&amp;TEXT([2]RequestList!$A918,"0000")</f>
        <v>REQ0000</v>
      </c>
      <c r="P917" s="7">
        <f>[2]RequestList!$J918</f>
        <v>0</v>
      </c>
      <c r="Q917" s="65">
        <f>SUMIF(日報!$R:$R,TEXT(YEAR($Q$2),"0000")&amp;TEXT(MONTH($Q$2),"00")&amp;$O917,日報!$L:$L)</f>
        <v>0</v>
      </c>
      <c r="R917" s="65">
        <f ca="1">SUMIF(日報!$J:$J,$O917,日報!$L:$L)</f>
        <v>0</v>
      </c>
    </row>
    <row r="918" spans="15:18" x14ac:dyDescent="0.15">
      <c r="O918" s="7" t="str">
        <f>"REQ"&amp;TEXT([2]RequestList!$A919,"0000")</f>
        <v>REQ0000</v>
      </c>
      <c r="P918" s="7">
        <f>[2]RequestList!$J919</f>
        <v>0</v>
      </c>
      <c r="Q918" s="65">
        <f>SUMIF(日報!$R:$R,TEXT(YEAR($Q$2),"0000")&amp;TEXT(MONTH($Q$2),"00")&amp;$O918,日報!$L:$L)</f>
        <v>0</v>
      </c>
      <c r="R918" s="65">
        <f ca="1">SUMIF(日報!$J:$J,$O918,日報!$L:$L)</f>
        <v>0</v>
      </c>
    </row>
    <row r="919" spans="15:18" x14ac:dyDescent="0.15">
      <c r="O919" s="7" t="str">
        <f>"REQ"&amp;TEXT([2]RequestList!$A920,"0000")</f>
        <v>REQ0000</v>
      </c>
      <c r="P919" s="7">
        <f>[2]RequestList!$J920</f>
        <v>0</v>
      </c>
      <c r="Q919" s="65">
        <f>SUMIF(日報!$R:$R,TEXT(YEAR($Q$2),"0000")&amp;TEXT(MONTH($Q$2),"00")&amp;$O919,日報!$L:$L)</f>
        <v>0</v>
      </c>
      <c r="R919" s="65">
        <f ca="1">SUMIF(日報!$J:$J,$O919,日報!$L:$L)</f>
        <v>0</v>
      </c>
    </row>
    <row r="920" spans="15:18" x14ac:dyDescent="0.15">
      <c r="O920" s="7" t="str">
        <f>"REQ"&amp;TEXT([2]RequestList!$A921,"0000")</f>
        <v>REQ0000</v>
      </c>
      <c r="P920" s="7">
        <f>[2]RequestList!$J921</f>
        <v>0</v>
      </c>
      <c r="Q920" s="65">
        <f>SUMIF(日報!$R:$R,TEXT(YEAR($Q$2),"0000")&amp;TEXT(MONTH($Q$2),"00")&amp;$O920,日報!$L:$L)</f>
        <v>0</v>
      </c>
      <c r="R920" s="65">
        <f ca="1">SUMIF(日報!$J:$J,$O920,日報!$L:$L)</f>
        <v>0</v>
      </c>
    </row>
    <row r="921" spans="15:18" x14ac:dyDescent="0.15">
      <c r="O921" s="7" t="str">
        <f>"REQ"&amp;TEXT([2]RequestList!$A922,"0000")</f>
        <v>REQ0000</v>
      </c>
      <c r="P921" s="7">
        <f>[2]RequestList!$J922</f>
        <v>0</v>
      </c>
      <c r="Q921" s="65">
        <f>SUMIF(日報!$R:$R,TEXT(YEAR($Q$2),"0000")&amp;TEXT(MONTH($Q$2),"00")&amp;$O921,日報!$L:$L)</f>
        <v>0</v>
      </c>
      <c r="R921" s="65">
        <f ca="1">SUMIF(日報!$J:$J,$O921,日報!$L:$L)</f>
        <v>0</v>
      </c>
    </row>
    <row r="922" spans="15:18" x14ac:dyDescent="0.15">
      <c r="O922" s="7" t="str">
        <f>"REQ"&amp;TEXT([2]RequestList!$A923,"0000")</f>
        <v>REQ0000</v>
      </c>
      <c r="P922" s="7">
        <f>[2]RequestList!$J923</f>
        <v>0</v>
      </c>
      <c r="Q922" s="65">
        <f>SUMIF(日報!$R:$R,TEXT(YEAR($Q$2),"0000")&amp;TEXT(MONTH($Q$2),"00")&amp;$O922,日報!$L:$L)</f>
        <v>0</v>
      </c>
      <c r="R922" s="65">
        <f ca="1">SUMIF(日報!$J:$J,$O922,日報!$L:$L)</f>
        <v>0</v>
      </c>
    </row>
    <row r="923" spans="15:18" x14ac:dyDescent="0.15">
      <c r="O923" s="7" t="str">
        <f>"REQ"&amp;TEXT([2]RequestList!$A924,"0000")</f>
        <v>REQ0000</v>
      </c>
      <c r="P923" s="7">
        <f>[2]RequestList!$J924</f>
        <v>0</v>
      </c>
      <c r="Q923" s="65">
        <f>SUMIF(日報!$R:$R,TEXT(YEAR($Q$2),"0000")&amp;TEXT(MONTH($Q$2),"00")&amp;$O923,日報!$L:$L)</f>
        <v>0</v>
      </c>
      <c r="R923" s="65">
        <f ca="1">SUMIF(日報!$J:$J,$O923,日報!$L:$L)</f>
        <v>0</v>
      </c>
    </row>
    <row r="924" spans="15:18" x14ac:dyDescent="0.15">
      <c r="O924" s="7" t="str">
        <f>"REQ"&amp;TEXT([2]RequestList!$A925,"0000")</f>
        <v>REQ0000</v>
      </c>
      <c r="P924" s="7">
        <f>[2]RequestList!$J925</f>
        <v>0</v>
      </c>
      <c r="Q924" s="65">
        <f>SUMIF(日報!$R:$R,TEXT(YEAR($Q$2),"0000")&amp;TEXT(MONTH($Q$2),"00")&amp;$O924,日報!$L:$L)</f>
        <v>0</v>
      </c>
      <c r="R924" s="65">
        <f ca="1">SUMIF(日報!$J:$J,$O924,日報!$L:$L)</f>
        <v>0</v>
      </c>
    </row>
    <row r="925" spans="15:18" x14ac:dyDescent="0.15">
      <c r="O925" s="7" t="str">
        <f>"REQ"&amp;TEXT([2]RequestList!$A926,"0000")</f>
        <v>REQ0000</v>
      </c>
      <c r="P925" s="7">
        <f>[2]RequestList!$J926</f>
        <v>0</v>
      </c>
      <c r="Q925" s="65">
        <f>SUMIF(日報!$R:$R,TEXT(YEAR($Q$2),"0000")&amp;TEXT(MONTH($Q$2),"00")&amp;$O925,日報!$L:$L)</f>
        <v>0</v>
      </c>
      <c r="R925" s="65">
        <f ca="1">SUMIF(日報!$J:$J,$O925,日報!$L:$L)</f>
        <v>0</v>
      </c>
    </row>
    <row r="926" spans="15:18" x14ac:dyDescent="0.15">
      <c r="O926" s="7" t="str">
        <f>"REQ"&amp;TEXT([2]RequestList!$A927,"0000")</f>
        <v>REQ0000</v>
      </c>
      <c r="P926" s="7">
        <f>[2]RequestList!$J927</f>
        <v>0</v>
      </c>
      <c r="Q926" s="65">
        <f>SUMIF(日報!$R:$R,TEXT(YEAR($Q$2),"0000")&amp;TEXT(MONTH($Q$2),"00")&amp;$O926,日報!$L:$L)</f>
        <v>0</v>
      </c>
      <c r="R926" s="65">
        <f ca="1">SUMIF(日報!$J:$J,$O926,日報!$L:$L)</f>
        <v>0</v>
      </c>
    </row>
    <row r="927" spans="15:18" x14ac:dyDescent="0.15">
      <c r="O927" s="7" t="str">
        <f>"REQ"&amp;TEXT([2]RequestList!$A928,"0000")</f>
        <v>REQ0000</v>
      </c>
      <c r="P927" s="7">
        <f>[2]RequestList!$J928</f>
        <v>0</v>
      </c>
      <c r="Q927" s="65">
        <f>SUMIF(日報!$R:$R,TEXT(YEAR($Q$2),"0000")&amp;TEXT(MONTH($Q$2),"00")&amp;$O927,日報!$L:$L)</f>
        <v>0</v>
      </c>
      <c r="R927" s="65">
        <f ca="1">SUMIF(日報!$J:$J,$O927,日報!$L:$L)</f>
        <v>0</v>
      </c>
    </row>
    <row r="928" spans="15:18" x14ac:dyDescent="0.15">
      <c r="O928" s="7" t="str">
        <f>"REQ"&amp;TEXT([2]RequestList!$A929,"0000")</f>
        <v>REQ0000</v>
      </c>
      <c r="P928" s="7">
        <f>[2]RequestList!$J929</f>
        <v>0</v>
      </c>
      <c r="Q928" s="65">
        <f>SUMIF(日報!$R:$R,TEXT(YEAR($Q$2),"0000")&amp;TEXT(MONTH($Q$2),"00")&amp;$O928,日報!$L:$L)</f>
        <v>0</v>
      </c>
      <c r="R928" s="65">
        <f ca="1">SUMIF(日報!$J:$J,$O928,日報!$L:$L)</f>
        <v>0</v>
      </c>
    </row>
    <row r="929" spans="15:18" x14ac:dyDescent="0.15">
      <c r="O929" s="7" t="str">
        <f>"REQ"&amp;TEXT([2]RequestList!$A930,"0000")</f>
        <v>REQ0000</v>
      </c>
      <c r="P929" s="7">
        <f>[2]RequestList!$J930</f>
        <v>0</v>
      </c>
      <c r="Q929" s="65">
        <f>SUMIF(日報!$R:$R,TEXT(YEAR($Q$2),"0000")&amp;TEXT(MONTH($Q$2),"00")&amp;$O929,日報!$L:$L)</f>
        <v>0</v>
      </c>
      <c r="R929" s="65">
        <f ca="1">SUMIF(日報!$J:$J,$O929,日報!$L:$L)</f>
        <v>0</v>
      </c>
    </row>
    <row r="930" spans="15:18" x14ac:dyDescent="0.15">
      <c r="O930" s="7" t="str">
        <f>"REQ"&amp;TEXT([2]RequestList!$A931,"0000")</f>
        <v>REQ0000</v>
      </c>
      <c r="P930" s="7">
        <f>[2]RequestList!$J931</f>
        <v>0</v>
      </c>
      <c r="Q930" s="65">
        <f>SUMIF(日報!$R:$R,TEXT(YEAR($Q$2),"0000")&amp;TEXT(MONTH($Q$2),"00")&amp;$O930,日報!$L:$L)</f>
        <v>0</v>
      </c>
      <c r="R930" s="65">
        <f ca="1">SUMIF(日報!$J:$J,$O930,日報!$L:$L)</f>
        <v>0</v>
      </c>
    </row>
    <row r="931" spans="15:18" x14ac:dyDescent="0.15">
      <c r="O931" s="7" t="str">
        <f>"REQ"&amp;TEXT([2]RequestList!$A932,"0000")</f>
        <v>REQ0000</v>
      </c>
      <c r="P931" s="7">
        <f>[2]RequestList!$J932</f>
        <v>0</v>
      </c>
      <c r="Q931" s="65">
        <f>SUMIF(日報!$R:$R,TEXT(YEAR($Q$2),"0000")&amp;TEXT(MONTH($Q$2),"00")&amp;$O931,日報!$L:$L)</f>
        <v>0</v>
      </c>
      <c r="R931" s="65">
        <f ca="1">SUMIF(日報!$J:$J,$O931,日報!$L:$L)</f>
        <v>0</v>
      </c>
    </row>
    <row r="932" spans="15:18" x14ac:dyDescent="0.15">
      <c r="O932" s="7" t="str">
        <f>"REQ"&amp;TEXT([2]RequestList!$A933,"0000")</f>
        <v>REQ0000</v>
      </c>
      <c r="P932" s="7">
        <f>[2]RequestList!$J933</f>
        <v>0</v>
      </c>
      <c r="Q932" s="65">
        <f>SUMIF(日報!$R:$R,TEXT(YEAR($Q$2),"0000")&amp;TEXT(MONTH($Q$2),"00")&amp;$O932,日報!$L:$L)</f>
        <v>0</v>
      </c>
      <c r="R932" s="65">
        <f ca="1">SUMIF(日報!$J:$J,$O932,日報!$L:$L)</f>
        <v>0</v>
      </c>
    </row>
    <row r="933" spans="15:18" x14ac:dyDescent="0.15">
      <c r="O933" s="7" t="str">
        <f>"REQ"&amp;TEXT([2]RequestList!$A934,"0000")</f>
        <v>REQ0000</v>
      </c>
      <c r="P933" s="7">
        <f>[2]RequestList!$J934</f>
        <v>0</v>
      </c>
      <c r="Q933" s="65">
        <f>SUMIF(日報!$R:$R,TEXT(YEAR($Q$2),"0000")&amp;TEXT(MONTH($Q$2),"00")&amp;$O933,日報!$L:$L)</f>
        <v>0</v>
      </c>
      <c r="R933" s="65">
        <f ca="1">SUMIF(日報!$J:$J,$O933,日報!$L:$L)</f>
        <v>0</v>
      </c>
    </row>
    <row r="934" spans="15:18" x14ac:dyDescent="0.15">
      <c r="O934" s="7" t="str">
        <f>"REQ"&amp;TEXT([2]RequestList!$A935,"0000")</f>
        <v>REQ0000</v>
      </c>
      <c r="P934" s="7">
        <f>[2]RequestList!$J935</f>
        <v>0</v>
      </c>
      <c r="Q934" s="65">
        <f>SUMIF(日報!$R:$R,TEXT(YEAR($Q$2),"0000")&amp;TEXT(MONTH($Q$2),"00")&amp;$O934,日報!$L:$L)</f>
        <v>0</v>
      </c>
      <c r="R934" s="65">
        <f ca="1">SUMIF(日報!$J:$J,$O934,日報!$L:$L)</f>
        <v>0</v>
      </c>
    </row>
    <row r="935" spans="15:18" x14ac:dyDescent="0.15">
      <c r="O935" s="7" t="str">
        <f>"REQ"&amp;TEXT([2]RequestList!$A936,"0000")</f>
        <v>REQ0000</v>
      </c>
      <c r="P935" s="7">
        <f>[2]RequestList!$J936</f>
        <v>0</v>
      </c>
      <c r="Q935" s="65">
        <f>SUMIF(日報!$R:$R,TEXT(YEAR($Q$2),"0000")&amp;TEXT(MONTH($Q$2),"00")&amp;$O935,日報!$L:$L)</f>
        <v>0</v>
      </c>
      <c r="R935" s="65">
        <f ca="1">SUMIF(日報!$J:$J,$O935,日報!$L:$L)</f>
        <v>0</v>
      </c>
    </row>
    <row r="936" spans="15:18" x14ac:dyDescent="0.15">
      <c r="O936" s="7" t="str">
        <f>"REQ"&amp;TEXT([2]RequestList!$A937,"0000")</f>
        <v>REQ0000</v>
      </c>
      <c r="P936" s="7">
        <f>[2]RequestList!$J937</f>
        <v>0</v>
      </c>
      <c r="Q936" s="65">
        <f>SUMIF(日報!$R:$R,TEXT(YEAR($Q$2),"0000")&amp;TEXT(MONTH($Q$2),"00")&amp;$O936,日報!$L:$L)</f>
        <v>0</v>
      </c>
      <c r="R936" s="65">
        <f ca="1">SUMIF(日報!$J:$J,$O936,日報!$L:$L)</f>
        <v>0</v>
      </c>
    </row>
    <row r="937" spans="15:18" x14ac:dyDescent="0.15">
      <c r="O937" s="7" t="str">
        <f>"REQ"&amp;TEXT([2]RequestList!$A938,"0000")</f>
        <v>REQ0000</v>
      </c>
      <c r="P937" s="7">
        <f>[2]RequestList!$J938</f>
        <v>0</v>
      </c>
      <c r="Q937" s="65">
        <f>SUMIF(日報!$R:$R,TEXT(YEAR($Q$2),"0000")&amp;TEXT(MONTH($Q$2),"00")&amp;$O937,日報!$L:$L)</f>
        <v>0</v>
      </c>
      <c r="R937" s="65">
        <f ca="1">SUMIF(日報!$J:$J,$O937,日報!$L:$L)</f>
        <v>0</v>
      </c>
    </row>
    <row r="938" spans="15:18" x14ac:dyDescent="0.15">
      <c r="O938" s="7" t="str">
        <f>"REQ"&amp;TEXT([2]RequestList!$A939,"0000")</f>
        <v>REQ0000</v>
      </c>
      <c r="P938" s="7">
        <f>[2]RequestList!$J939</f>
        <v>0</v>
      </c>
      <c r="Q938" s="65">
        <f>SUMIF(日報!$R:$R,TEXT(YEAR($Q$2),"0000")&amp;TEXT(MONTH($Q$2),"00")&amp;$O938,日報!$L:$L)</f>
        <v>0</v>
      </c>
      <c r="R938" s="65">
        <f ca="1">SUMIF(日報!$J:$J,$O938,日報!$L:$L)</f>
        <v>0</v>
      </c>
    </row>
    <row r="939" spans="15:18" x14ac:dyDescent="0.15">
      <c r="O939" s="7" t="str">
        <f>"REQ"&amp;TEXT([2]RequestList!$A940,"0000")</f>
        <v>REQ0000</v>
      </c>
      <c r="P939" s="7">
        <f>[2]RequestList!$J940</f>
        <v>0</v>
      </c>
      <c r="Q939" s="65">
        <f>SUMIF(日報!$R:$R,TEXT(YEAR($Q$2),"0000")&amp;TEXT(MONTH($Q$2),"00")&amp;$O939,日報!$L:$L)</f>
        <v>0</v>
      </c>
      <c r="R939" s="65">
        <f ca="1">SUMIF(日報!$J:$J,$O939,日報!$L:$L)</f>
        <v>0</v>
      </c>
    </row>
    <row r="940" spans="15:18" x14ac:dyDescent="0.15">
      <c r="O940" s="7" t="str">
        <f>"REQ"&amp;TEXT([2]RequestList!$A941,"0000")</f>
        <v>REQ0000</v>
      </c>
      <c r="P940" s="7">
        <f>[2]RequestList!$J941</f>
        <v>0</v>
      </c>
      <c r="Q940" s="65">
        <f>SUMIF(日報!$R:$R,TEXT(YEAR($Q$2),"0000")&amp;TEXT(MONTH($Q$2),"00")&amp;$O940,日報!$L:$L)</f>
        <v>0</v>
      </c>
      <c r="R940" s="65">
        <f ca="1">SUMIF(日報!$J:$J,$O940,日報!$L:$L)</f>
        <v>0</v>
      </c>
    </row>
    <row r="941" spans="15:18" x14ac:dyDescent="0.15">
      <c r="O941" s="7" t="str">
        <f>"REQ"&amp;TEXT([2]RequestList!$A942,"0000")</f>
        <v>REQ0000</v>
      </c>
      <c r="P941" s="7">
        <f>[2]RequestList!$J942</f>
        <v>0</v>
      </c>
      <c r="Q941" s="65">
        <f>SUMIF(日報!$R:$R,TEXT(YEAR($Q$2),"0000")&amp;TEXT(MONTH($Q$2),"00")&amp;$O941,日報!$L:$L)</f>
        <v>0</v>
      </c>
      <c r="R941" s="65">
        <f ca="1">SUMIF(日報!$J:$J,$O941,日報!$L:$L)</f>
        <v>0</v>
      </c>
    </row>
    <row r="942" spans="15:18" x14ac:dyDescent="0.15">
      <c r="O942" s="7" t="str">
        <f>"REQ"&amp;TEXT([2]RequestList!$A943,"0000")</f>
        <v>REQ0000</v>
      </c>
      <c r="P942" s="7">
        <f>[2]RequestList!$J943</f>
        <v>0</v>
      </c>
      <c r="Q942" s="65">
        <f>SUMIF(日報!$R:$R,TEXT(YEAR($Q$2),"0000")&amp;TEXT(MONTH($Q$2),"00")&amp;$O942,日報!$L:$L)</f>
        <v>0</v>
      </c>
      <c r="R942" s="65">
        <f ca="1">SUMIF(日報!$J:$J,$O942,日報!$L:$L)</f>
        <v>0</v>
      </c>
    </row>
    <row r="943" spans="15:18" x14ac:dyDescent="0.15">
      <c r="O943" s="7" t="str">
        <f>"REQ"&amp;TEXT([2]RequestList!$A944,"0000")</f>
        <v>REQ0000</v>
      </c>
      <c r="P943" s="7">
        <f>[2]RequestList!$J944</f>
        <v>0</v>
      </c>
      <c r="Q943" s="65">
        <f>SUMIF(日報!$R:$R,TEXT(YEAR($Q$2),"0000")&amp;TEXT(MONTH($Q$2),"00")&amp;$O943,日報!$L:$L)</f>
        <v>0</v>
      </c>
      <c r="R943" s="65">
        <f ca="1">SUMIF(日報!$J:$J,$O943,日報!$L:$L)</f>
        <v>0</v>
      </c>
    </row>
    <row r="944" spans="15:18" x14ac:dyDescent="0.15">
      <c r="O944" s="7" t="str">
        <f>"REQ"&amp;TEXT([2]RequestList!$A945,"0000")</f>
        <v>REQ0000</v>
      </c>
      <c r="P944" s="7">
        <f>[2]RequestList!$J945</f>
        <v>0</v>
      </c>
      <c r="Q944" s="65">
        <f>SUMIF(日報!$R:$R,TEXT(YEAR($Q$2),"0000")&amp;TEXT(MONTH($Q$2),"00")&amp;$O944,日報!$L:$L)</f>
        <v>0</v>
      </c>
      <c r="R944" s="65">
        <f ca="1">SUMIF(日報!$J:$J,$O944,日報!$L:$L)</f>
        <v>0</v>
      </c>
    </row>
    <row r="945" spans="15:18" x14ac:dyDescent="0.15">
      <c r="O945" s="7" t="str">
        <f>"REQ"&amp;TEXT([2]RequestList!$A946,"0000")</f>
        <v>REQ0000</v>
      </c>
      <c r="P945" s="7">
        <f>[2]RequestList!$J946</f>
        <v>0</v>
      </c>
      <c r="Q945" s="65">
        <f>SUMIF(日報!$R:$R,TEXT(YEAR($Q$2),"0000")&amp;TEXT(MONTH($Q$2),"00")&amp;$O945,日報!$L:$L)</f>
        <v>0</v>
      </c>
      <c r="R945" s="65">
        <f ca="1">SUMIF(日報!$J:$J,$O945,日報!$L:$L)</f>
        <v>0</v>
      </c>
    </row>
    <row r="946" spans="15:18" x14ac:dyDescent="0.15">
      <c r="O946" s="7" t="str">
        <f>"REQ"&amp;TEXT([2]RequestList!$A947,"0000")</f>
        <v>REQ0000</v>
      </c>
      <c r="P946" s="7">
        <f>[2]RequestList!$J947</f>
        <v>0</v>
      </c>
      <c r="Q946" s="65">
        <f>SUMIF(日報!$R:$R,TEXT(YEAR($Q$2),"0000")&amp;TEXT(MONTH($Q$2),"00")&amp;$O946,日報!$L:$L)</f>
        <v>0</v>
      </c>
      <c r="R946" s="65">
        <f ca="1">SUMIF(日報!$J:$J,$O946,日報!$L:$L)</f>
        <v>0</v>
      </c>
    </row>
    <row r="947" spans="15:18" x14ac:dyDescent="0.15">
      <c r="O947" s="7" t="str">
        <f>"REQ"&amp;TEXT([2]RequestList!$A948,"0000")</f>
        <v>REQ0000</v>
      </c>
      <c r="P947" s="7">
        <f>[2]RequestList!$J948</f>
        <v>0</v>
      </c>
      <c r="Q947" s="65">
        <f>SUMIF(日報!$R:$R,TEXT(YEAR($Q$2),"0000")&amp;TEXT(MONTH($Q$2),"00")&amp;$O947,日報!$L:$L)</f>
        <v>0</v>
      </c>
      <c r="R947" s="65">
        <f ca="1">SUMIF(日報!$J:$J,$O947,日報!$L:$L)</f>
        <v>0</v>
      </c>
    </row>
    <row r="948" spans="15:18" x14ac:dyDescent="0.15">
      <c r="O948" s="7" t="str">
        <f>"REQ"&amp;TEXT([2]RequestList!$A949,"0000")</f>
        <v>REQ0000</v>
      </c>
      <c r="P948" s="7">
        <f>[2]RequestList!$J949</f>
        <v>0</v>
      </c>
      <c r="Q948" s="65">
        <f>SUMIF(日報!$R:$R,TEXT(YEAR($Q$2),"0000")&amp;TEXT(MONTH($Q$2),"00")&amp;$O948,日報!$L:$L)</f>
        <v>0</v>
      </c>
      <c r="R948" s="65">
        <f ca="1">SUMIF(日報!$J:$J,$O948,日報!$L:$L)</f>
        <v>0</v>
      </c>
    </row>
    <row r="949" spans="15:18" x14ac:dyDescent="0.15">
      <c r="O949" s="7" t="str">
        <f>"REQ"&amp;TEXT([2]RequestList!$A950,"0000")</f>
        <v>REQ0000</v>
      </c>
      <c r="P949" s="7">
        <f>[2]RequestList!$J950</f>
        <v>0</v>
      </c>
      <c r="Q949" s="65">
        <f>SUMIF(日報!$R:$R,TEXT(YEAR($Q$2),"0000")&amp;TEXT(MONTH($Q$2),"00")&amp;$O949,日報!$L:$L)</f>
        <v>0</v>
      </c>
      <c r="R949" s="65">
        <f ca="1">SUMIF(日報!$J:$J,$O949,日報!$L:$L)</f>
        <v>0</v>
      </c>
    </row>
    <row r="950" spans="15:18" x14ac:dyDescent="0.15">
      <c r="O950" s="7" t="str">
        <f>"REQ"&amp;TEXT([2]RequestList!$A951,"0000")</f>
        <v>REQ0000</v>
      </c>
      <c r="P950" s="7">
        <f>[2]RequestList!$J951</f>
        <v>0</v>
      </c>
      <c r="Q950" s="65">
        <f>SUMIF(日報!$R:$R,TEXT(YEAR($Q$2),"0000")&amp;TEXT(MONTH($Q$2),"00")&amp;$O950,日報!$L:$L)</f>
        <v>0</v>
      </c>
      <c r="R950" s="65">
        <f ca="1">SUMIF(日報!$J:$J,$O950,日報!$L:$L)</f>
        <v>0</v>
      </c>
    </row>
    <row r="951" spans="15:18" x14ac:dyDescent="0.15">
      <c r="O951" s="7" t="str">
        <f>"REQ"&amp;TEXT([2]RequestList!$A952,"0000")</f>
        <v>REQ0000</v>
      </c>
      <c r="P951" s="7">
        <f>[2]RequestList!$J952</f>
        <v>0</v>
      </c>
      <c r="Q951" s="65">
        <f>SUMIF(日報!$R:$R,TEXT(YEAR($Q$2),"0000")&amp;TEXT(MONTH($Q$2),"00")&amp;$O951,日報!$L:$L)</f>
        <v>0</v>
      </c>
      <c r="R951" s="65">
        <f ca="1">SUMIF(日報!$J:$J,$O951,日報!$L:$L)</f>
        <v>0</v>
      </c>
    </row>
    <row r="952" spans="15:18" x14ac:dyDescent="0.15">
      <c r="O952" s="7" t="str">
        <f>"REQ"&amp;TEXT([2]RequestList!$A953,"0000")</f>
        <v>REQ0000</v>
      </c>
      <c r="P952" s="7">
        <f>[2]RequestList!$J953</f>
        <v>0</v>
      </c>
      <c r="Q952" s="65">
        <f>SUMIF(日報!$R:$R,TEXT(YEAR($Q$2),"0000")&amp;TEXT(MONTH($Q$2),"00")&amp;$O952,日報!$L:$L)</f>
        <v>0</v>
      </c>
      <c r="R952" s="65">
        <f ca="1">SUMIF(日報!$J:$J,$O952,日報!$L:$L)</f>
        <v>0</v>
      </c>
    </row>
    <row r="953" spans="15:18" x14ac:dyDescent="0.15">
      <c r="O953" s="7" t="str">
        <f>"REQ"&amp;TEXT([2]RequestList!$A954,"0000")</f>
        <v>REQ0000</v>
      </c>
      <c r="P953" s="7">
        <f>[2]RequestList!$J954</f>
        <v>0</v>
      </c>
      <c r="Q953" s="65">
        <f>SUMIF(日報!$R:$R,TEXT(YEAR($Q$2),"0000")&amp;TEXT(MONTH($Q$2),"00")&amp;$O953,日報!$L:$L)</f>
        <v>0</v>
      </c>
      <c r="R953" s="65">
        <f ca="1">SUMIF(日報!$J:$J,$O953,日報!$L:$L)</f>
        <v>0</v>
      </c>
    </row>
    <row r="954" spans="15:18" x14ac:dyDescent="0.15">
      <c r="O954" s="7" t="str">
        <f>"REQ"&amp;TEXT([2]RequestList!$A955,"0000")</f>
        <v>REQ0000</v>
      </c>
      <c r="P954" s="7">
        <f>[2]RequestList!$J955</f>
        <v>0</v>
      </c>
      <c r="Q954" s="65">
        <f>SUMIF(日報!$R:$R,TEXT(YEAR($Q$2),"0000")&amp;TEXT(MONTH($Q$2),"00")&amp;$O954,日報!$L:$L)</f>
        <v>0</v>
      </c>
      <c r="R954" s="65">
        <f ca="1">SUMIF(日報!$J:$J,$O954,日報!$L:$L)</f>
        <v>0</v>
      </c>
    </row>
    <row r="955" spans="15:18" x14ac:dyDescent="0.15">
      <c r="O955" s="7" t="str">
        <f>"REQ"&amp;TEXT([2]RequestList!$A956,"0000")</f>
        <v>REQ0000</v>
      </c>
      <c r="P955" s="7">
        <f>[2]RequestList!$J956</f>
        <v>0</v>
      </c>
      <c r="Q955" s="65">
        <f>SUMIF(日報!$R:$R,TEXT(YEAR($Q$2),"0000")&amp;TEXT(MONTH($Q$2),"00")&amp;$O955,日報!$L:$L)</f>
        <v>0</v>
      </c>
      <c r="R955" s="65">
        <f ca="1">SUMIF(日報!$J:$J,$O955,日報!$L:$L)</f>
        <v>0</v>
      </c>
    </row>
    <row r="956" spans="15:18" x14ac:dyDescent="0.15">
      <c r="O956" s="7" t="str">
        <f>"REQ"&amp;TEXT([2]RequestList!$A957,"0000")</f>
        <v>REQ0000</v>
      </c>
      <c r="P956" s="7">
        <f>[2]RequestList!$J957</f>
        <v>0</v>
      </c>
      <c r="Q956" s="65">
        <f>SUMIF(日報!$R:$R,TEXT(YEAR($Q$2),"0000")&amp;TEXT(MONTH($Q$2),"00")&amp;$O956,日報!$L:$L)</f>
        <v>0</v>
      </c>
      <c r="R956" s="65">
        <f ca="1">SUMIF(日報!$J:$J,$O956,日報!$L:$L)</f>
        <v>0</v>
      </c>
    </row>
    <row r="957" spans="15:18" x14ac:dyDescent="0.15">
      <c r="O957" s="7" t="str">
        <f>"REQ"&amp;TEXT([2]RequestList!$A958,"0000")</f>
        <v>REQ0000</v>
      </c>
      <c r="P957" s="7">
        <f>[2]RequestList!$J958</f>
        <v>0</v>
      </c>
      <c r="Q957" s="65">
        <f>SUMIF(日報!$R:$R,TEXT(YEAR($Q$2),"0000")&amp;TEXT(MONTH($Q$2),"00")&amp;$O957,日報!$L:$L)</f>
        <v>0</v>
      </c>
      <c r="R957" s="65">
        <f ca="1">SUMIF(日報!$J:$J,$O957,日報!$L:$L)</f>
        <v>0</v>
      </c>
    </row>
    <row r="958" spans="15:18" x14ac:dyDescent="0.15">
      <c r="O958" s="7" t="str">
        <f>"REQ"&amp;TEXT([2]RequestList!$A959,"0000")</f>
        <v>REQ0000</v>
      </c>
      <c r="P958" s="7">
        <f>[2]RequestList!$J959</f>
        <v>0</v>
      </c>
      <c r="Q958" s="65">
        <f>SUMIF(日報!$R:$R,TEXT(YEAR($Q$2),"0000")&amp;TEXT(MONTH($Q$2),"00")&amp;$O958,日報!$L:$L)</f>
        <v>0</v>
      </c>
      <c r="R958" s="65">
        <f ca="1">SUMIF(日報!$J:$J,$O958,日報!$L:$L)</f>
        <v>0</v>
      </c>
    </row>
    <row r="959" spans="15:18" x14ac:dyDescent="0.15">
      <c r="O959" s="7" t="str">
        <f>"REQ"&amp;TEXT([2]RequestList!$A960,"0000")</f>
        <v>REQ0000</v>
      </c>
      <c r="P959" s="7">
        <f>[2]RequestList!$J960</f>
        <v>0</v>
      </c>
      <c r="Q959" s="65">
        <f>SUMIF(日報!$R:$R,TEXT(YEAR($Q$2),"0000")&amp;TEXT(MONTH($Q$2),"00")&amp;$O959,日報!$L:$L)</f>
        <v>0</v>
      </c>
      <c r="R959" s="65">
        <f ca="1">SUMIF(日報!$J:$J,$O959,日報!$L:$L)</f>
        <v>0</v>
      </c>
    </row>
    <row r="960" spans="15:18" x14ac:dyDescent="0.15">
      <c r="O960" s="7" t="str">
        <f>"REQ"&amp;TEXT([2]RequestList!$A961,"0000")</f>
        <v>REQ0000</v>
      </c>
      <c r="P960" s="7">
        <f>[2]RequestList!$J961</f>
        <v>0</v>
      </c>
      <c r="Q960" s="65">
        <f>SUMIF(日報!$R:$R,TEXT(YEAR($Q$2),"0000")&amp;TEXT(MONTH($Q$2),"00")&amp;$O960,日報!$L:$L)</f>
        <v>0</v>
      </c>
      <c r="R960" s="65">
        <f ca="1">SUMIF(日報!$J:$J,$O960,日報!$L:$L)</f>
        <v>0</v>
      </c>
    </row>
    <row r="961" spans="15:18" x14ac:dyDescent="0.15">
      <c r="O961" s="7" t="str">
        <f>"REQ"&amp;TEXT([2]RequestList!$A962,"0000")</f>
        <v>REQ0000</v>
      </c>
      <c r="P961" s="7">
        <f>[2]RequestList!$J962</f>
        <v>0</v>
      </c>
      <c r="Q961" s="65">
        <f>SUMIF(日報!$R:$R,TEXT(YEAR($Q$2),"0000")&amp;TEXT(MONTH($Q$2),"00")&amp;$O961,日報!$L:$L)</f>
        <v>0</v>
      </c>
      <c r="R961" s="65">
        <f ca="1">SUMIF(日報!$J:$J,$O961,日報!$L:$L)</f>
        <v>0</v>
      </c>
    </row>
    <row r="962" spans="15:18" x14ac:dyDescent="0.15">
      <c r="O962" s="7" t="str">
        <f>"REQ"&amp;TEXT([2]RequestList!$A963,"0000")</f>
        <v>REQ0000</v>
      </c>
      <c r="P962" s="7">
        <f>[2]RequestList!$J963</f>
        <v>0</v>
      </c>
      <c r="Q962" s="65">
        <f>SUMIF(日報!$R:$R,TEXT(YEAR($Q$2),"0000")&amp;TEXT(MONTH($Q$2),"00")&amp;$O962,日報!$L:$L)</f>
        <v>0</v>
      </c>
      <c r="R962" s="65">
        <f ca="1">SUMIF(日報!$J:$J,$O962,日報!$L:$L)</f>
        <v>0</v>
      </c>
    </row>
    <row r="963" spans="15:18" x14ac:dyDescent="0.15">
      <c r="O963" s="7" t="str">
        <f>"REQ"&amp;TEXT([2]RequestList!$A964,"0000")</f>
        <v>REQ0000</v>
      </c>
      <c r="P963" s="7">
        <f>[2]RequestList!$J964</f>
        <v>0</v>
      </c>
      <c r="Q963" s="65">
        <f>SUMIF(日報!$R:$R,TEXT(YEAR($Q$2),"0000")&amp;TEXT(MONTH($Q$2),"00")&amp;$O963,日報!$L:$L)</f>
        <v>0</v>
      </c>
      <c r="R963" s="65">
        <f ca="1">SUMIF(日報!$J:$J,$O963,日報!$L:$L)</f>
        <v>0</v>
      </c>
    </row>
    <row r="964" spans="15:18" x14ac:dyDescent="0.15">
      <c r="O964" s="7" t="str">
        <f>"REQ"&amp;TEXT([2]RequestList!$A965,"0000")</f>
        <v>REQ0000</v>
      </c>
      <c r="P964" s="7">
        <f>[2]RequestList!$J965</f>
        <v>0</v>
      </c>
      <c r="Q964" s="65">
        <f>SUMIF(日報!$R:$R,TEXT(YEAR($Q$2),"0000")&amp;TEXT(MONTH($Q$2),"00")&amp;$O964,日報!$L:$L)</f>
        <v>0</v>
      </c>
      <c r="R964" s="65">
        <f ca="1">SUMIF(日報!$J:$J,$O964,日報!$L:$L)</f>
        <v>0</v>
      </c>
    </row>
    <row r="965" spans="15:18" x14ac:dyDescent="0.15">
      <c r="O965" s="7" t="str">
        <f>"REQ"&amp;TEXT([2]RequestList!$A966,"0000")</f>
        <v>REQ0000</v>
      </c>
      <c r="P965" s="7">
        <f>[2]RequestList!$J966</f>
        <v>0</v>
      </c>
      <c r="Q965" s="65">
        <f>SUMIF(日報!$R:$R,TEXT(YEAR($Q$2),"0000")&amp;TEXT(MONTH($Q$2),"00")&amp;$O965,日報!$L:$L)</f>
        <v>0</v>
      </c>
      <c r="R965" s="65">
        <f ca="1">SUMIF(日報!$J:$J,$O965,日報!$L:$L)</f>
        <v>0</v>
      </c>
    </row>
    <row r="966" spans="15:18" x14ac:dyDescent="0.15">
      <c r="O966" s="7" t="str">
        <f>"REQ"&amp;TEXT([2]RequestList!$A967,"0000")</f>
        <v>REQ0000</v>
      </c>
      <c r="P966" s="7">
        <f>[2]RequestList!$J967</f>
        <v>0</v>
      </c>
      <c r="Q966" s="65">
        <f>SUMIF(日報!$R:$R,TEXT(YEAR($Q$2),"0000")&amp;TEXT(MONTH($Q$2),"00")&amp;$O966,日報!$L:$L)</f>
        <v>0</v>
      </c>
      <c r="R966" s="65">
        <f ca="1">SUMIF(日報!$J:$J,$O966,日報!$L:$L)</f>
        <v>0</v>
      </c>
    </row>
    <row r="967" spans="15:18" x14ac:dyDescent="0.15">
      <c r="O967" s="7" t="str">
        <f>"REQ"&amp;TEXT([2]RequestList!$A968,"0000")</f>
        <v>REQ0000</v>
      </c>
      <c r="P967" s="7">
        <f>[2]RequestList!$J968</f>
        <v>0</v>
      </c>
      <c r="Q967" s="65">
        <f>SUMIF(日報!$R:$R,TEXT(YEAR($Q$2),"0000")&amp;TEXT(MONTH($Q$2),"00")&amp;$O967,日報!$L:$L)</f>
        <v>0</v>
      </c>
      <c r="R967" s="65">
        <f ca="1">SUMIF(日報!$J:$J,$O967,日報!$L:$L)</f>
        <v>0</v>
      </c>
    </row>
    <row r="968" spans="15:18" x14ac:dyDescent="0.15">
      <c r="O968" s="7" t="str">
        <f>"REQ"&amp;TEXT([2]RequestList!$A969,"0000")</f>
        <v>REQ0000</v>
      </c>
      <c r="P968" s="7">
        <f>[2]RequestList!$J969</f>
        <v>0</v>
      </c>
      <c r="Q968" s="65">
        <f>SUMIF(日報!$R:$R,TEXT(YEAR($Q$2),"0000")&amp;TEXT(MONTH($Q$2),"00")&amp;$O968,日報!$L:$L)</f>
        <v>0</v>
      </c>
      <c r="R968" s="65">
        <f ca="1">SUMIF(日報!$J:$J,$O968,日報!$L:$L)</f>
        <v>0</v>
      </c>
    </row>
    <row r="969" spans="15:18" x14ac:dyDescent="0.15">
      <c r="O969" s="7" t="str">
        <f>"REQ"&amp;TEXT([2]RequestList!$A970,"0000")</f>
        <v>REQ0000</v>
      </c>
      <c r="P969" s="7">
        <f>[2]RequestList!$J970</f>
        <v>0</v>
      </c>
      <c r="Q969" s="65">
        <f>SUMIF(日報!$R:$R,TEXT(YEAR($Q$2),"0000")&amp;TEXT(MONTH($Q$2),"00")&amp;$O969,日報!$L:$L)</f>
        <v>0</v>
      </c>
      <c r="R969" s="65">
        <f ca="1">SUMIF(日報!$J:$J,$O969,日報!$L:$L)</f>
        <v>0</v>
      </c>
    </row>
    <row r="970" spans="15:18" x14ac:dyDescent="0.15">
      <c r="O970" s="7" t="str">
        <f>"REQ"&amp;TEXT([2]RequestList!$A971,"0000")</f>
        <v>REQ0000</v>
      </c>
      <c r="P970" s="7">
        <f>[2]RequestList!$J971</f>
        <v>0</v>
      </c>
      <c r="Q970" s="65">
        <f>SUMIF(日報!$R:$R,TEXT(YEAR($Q$2),"0000")&amp;TEXT(MONTH($Q$2),"00")&amp;$O970,日報!$L:$L)</f>
        <v>0</v>
      </c>
      <c r="R970" s="65">
        <f ca="1">SUMIF(日報!$J:$J,$O970,日報!$L:$L)</f>
        <v>0</v>
      </c>
    </row>
    <row r="971" spans="15:18" x14ac:dyDescent="0.15">
      <c r="O971" s="7" t="str">
        <f>"REQ"&amp;TEXT([2]RequestList!$A972,"0000")</f>
        <v>REQ0000</v>
      </c>
      <c r="P971" s="7">
        <f>[2]RequestList!$J972</f>
        <v>0</v>
      </c>
      <c r="Q971" s="65">
        <f>SUMIF(日報!$R:$R,TEXT(YEAR($Q$2),"0000")&amp;TEXT(MONTH($Q$2),"00")&amp;$O971,日報!$L:$L)</f>
        <v>0</v>
      </c>
      <c r="R971" s="65">
        <f ca="1">SUMIF(日報!$J:$J,$O971,日報!$L:$L)</f>
        <v>0</v>
      </c>
    </row>
    <row r="972" spans="15:18" x14ac:dyDescent="0.15">
      <c r="O972" s="7" t="str">
        <f>"REQ"&amp;TEXT([2]RequestList!$A973,"0000")</f>
        <v>REQ0000</v>
      </c>
      <c r="P972" s="7">
        <f>[2]RequestList!$J973</f>
        <v>0</v>
      </c>
      <c r="Q972" s="65">
        <f>SUMIF(日報!$R:$R,TEXT(YEAR($Q$2),"0000")&amp;TEXT(MONTH($Q$2),"00")&amp;$O972,日報!$L:$L)</f>
        <v>0</v>
      </c>
      <c r="R972" s="65">
        <f ca="1">SUMIF(日報!$J:$J,$O972,日報!$L:$L)</f>
        <v>0</v>
      </c>
    </row>
    <row r="973" spans="15:18" x14ac:dyDescent="0.15">
      <c r="O973" s="7" t="str">
        <f>"REQ"&amp;TEXT([2]RequestList!$A974,"0000")</f>
        <v>REQ0000</v>
      </c>
      <c r="P973" s="7">
        <f>[2]RequestList!$J974</f>
        <v>0</v>
      </c>
      <c r="Q973" s="65">
        <f>SUMIF(日報!$R:$R,TEXT(YEAR($Q$2),"0000")&amp;TEXT(MONTH($Q$2),"00")&amp;$O973,日報!$L:$L)</f>
        <v>0</v>
      </c>
      <c r="R973" s="65">
        <f ca="1">SUMIF(日報!$J:$J,$O973,日報!$L:$L)</f>
        <v>0</v>
      </c>
    </row>
    <row r="974" spans="15:18" x14ac:dyDescent="0.15">
      <c r="O974" s="7" t="str">
        <f>"REQ"&amp;TEXT([2]RequestList!$A975,"0000")</f>
        <v>REQ0000</v>
      </c>
      <c r="P974" s="7">
        <f>[2]RequestList!$J975</f>
        <v>0</v>
      </c>
      <c r="Q974" s="65">
        <f>SUMIF(日報!$R:$R,TEXT(YEAR($Q$2),"0000")&amp;TEXT(MONTH($Q$2),"00")&amp;$O974,日報!$L:$L)</f>
        <v>0</v>
      </c>
      <c r="R974" s="65">
        <f ca="1">SUMIF(日報!$J:$J,$O974,日報!$L:$L)</f>
        <v>0</v>
      </c>
    </row>
    <row r="975" spans="15:18" x14ac:dyDescent="0.15">
      <c r="O975" s="7" t="str">
        <f>"REQ"&amp;TEXT([2]RequestList!$A976,"0000")</f>
        <v>REQ0000</v>
      </c>
      <c r="P975" s="7">
        <f>[2]RequestList!$J976</f>
        <v>0</v>
      </c>
      <c r="Q975" s="65">
        <f>SUMIF(日報!$R:$R,TEXT(YEAR($Q$2),"0000")&amp;TEXT(MONTH($Q$2),"00")&amp;$O975,日報!$L:$L)</f>
        <v>0</v>
      </c>
      <c r="R975" s="65">
        <f ca="1">SUMIF(日報!$J:$J,$O975,日報!$L:$L)</f>
        <v>0</v>
      </c>
    </row>
    <row r="976" spans="15:18" x14ac:dyDescent="0.15">
      <c r="O976" s="7" t="str">
        <f>"REQ"&amp;TEXT([2]RequestList!$A977,"0000")</f>
        <v>REQ0000</v>
      </c>
      <c r="P976" s="7">
        <f>[2]RequestList!$J977</f>
        <v>0</v>
      </c>
      <c r="Q976" s="65">
        <f>SUMIF(日報!$R:$R,TEXT(YEAR($Q$2),"0000")&amp;TEXT(MONTH($Q$2),"00")&amp;$O976,日報!$L:$L)</f>
        <v>0</v>
      </c>
      <c r="R976" s="65">
        <f ca="1">SUMIF(日報!$J:$J,$O976,日報!$L:$L)</f>
        <v>0</v>
      </c>
    </row>
    <row r="977" spans="15:18" x14ac:dyDescent="0.15">
      <c r="O977" s="7" t="str">
        <f>"REQ"&amp;TEXT([2]RequestList!$A978,"0000")</f>
        <v>REQ0000</v>
      </c>
      <c r="P977" s="7">
        <f>[2]RequestList!$J978</f>
        <v>0</v>
      </c>
      <c r="Q977" s="65">
        <f>SUMIF(日報!$R:$R,TEXT(YEAR($Q$2),"0000")&amp;TEXT(MONTH($Q$2),"00")&amp;$O977,日報!$L:$L)</f>
        <v>0</v>
      </c>
      <c r="R977" s="65">
        <f ca="1">SUMIF(日報!$J:$J,$O977,日報!$L:$L)</f>
        <v>0</v>
      </c>
    </row>
    <row r="978" spans="15:18" x14ac:dyDescent="0.15">
      <c r="O978" s="7" t="str">
        <f>"REQ"&amp;TEXT([2]RequestList!$A979,"0000")</f>
        <v>REQ0000</v>
      </c>
      <c r="P978" s="7">
        <f>[2]RequestList!$J979</f>
        <v>0</v>
      </c>
      <c r="Q978" s="65">
        <f>SUMIF(日報!$R:$R,TEXT(YEAR($Q$2),"0000")&amp;TEXT(MONTH($Q$2),"00")&amp;$O978,日報!$L:$L)</f>
        <v>0</v>
      </c>
      <c r="R978" s="65">
        <f ca="1">SUMIF(日報!$J:$J,$O978,日報!$L:$L)</f>
        <v>0</v>
      </c>
    </row>
    <row r="979" spans="15:18" x14ac:dyDescent="0.15">
      <c r="O979" s="7" t="str">
        <f>"REQ"&amp;TEXT([2]RequestList!$A980,"0000")</f>
        <v>REQ0000</v>
      </c>
      <c r="P979" s="7">
        <f>[2]RequestList!$J980</f>
        <v>0</v>
      </c>
      <c r="Q979" s="65">
        <f>SUMIF(日報!$R:$R,TEXT(YEAR($Q$2),"0000")&amp;TEXT(MONTH($Q$2),"00")&amp;$O979,日報!$L:$L)</f>
        <v>0</v>
      </c>
      <c r="R979" s="65">
        <f ca="1">SUMIF(日報!$J:$J,$O979,日報!$L:$L)</f>
        <v>0</v>
      </c>
    </row>
    <row r="980" spans="15:18" x14ac:dyDescent="0.15">
      <c r="O980" s="7" t="str">
        <f>"REQ"&amp;TEXT([2]RequestList!$A981,"0000")</f>
        <v>REQ0000</v>
      </c>
      <c r="P980" s="7">
        <f>[2]RequestList!$J981</f>
        <v>0</v>
      </c>
      <c r="Q980" s="65">
        <f>SUMIF(日報!$R:$R,TEXT(YEAR($Q$2),"0000")&amp;TEXT(MONTH($Q$2),"00")&amp;$O980,日報!$L:$L)</f>
        <v>0</v>
      </c>
      <c r="R980" s="65">
        <f ca="1">SUMIF(日報!$J:$J,$O980,日報!$L:$L)</f>
        <v>0</v>
      </c>
    </row>
    <row r="981" spans="15:18" x14ac:dyDescent="0.15">
      <c r="O981" s="7" t="str">
        <f>"REQ"&amp;TEXT([2]RequestList!$A982,"0000")</f>
        <v>REQ0000</v>
      </c>
      <c r="P981" s="7">
        <f>[2]RequestList!$J982</f>
        <v>0</v>
      </c>
      <c r="Q981" s="65">
        <f>SUMIF(日報!$R:$R,TEXT(YEAR($Q$2),"0000")&amp;TEXT(MONTH($Q$2),"00")&amp;$O981,日報!$L:$L)</f>
        <v>0</v>
      </c>
      <c r="R981" s="65">
        <f ca="1">SUMIF(日報!$J:$J,$O981,日報!$L:$L)</f>
        <v>0</v>
      </c>
    </row>
    <row r="982" spans="15:18" x14ac:dyDescent="0.15">
      <c r="O982" s="7" t="str">
        <f>"REQ"&amp;TEXT([2]RequestList!$A983,"0000")</f>
        <v>REQ0000</v>
      </c>
      <c r="P982" s="7">
        <f>[2]RequestList!$J983</f>
        <v>0</v>
      </c>
      <c r="Q982" s="65">
        <f>SUMIF(日報!$R:$R,TEXT(YEAR($Q$2),"0000")&amp;TEXT(MONTH($Q$2),"00")&amp;$O982,日報!$L:$L)</f>
        <v>0</v>
      </c>
      <c r="R982" s="65">
        <f ca="1">SUMIF(日報!$J:$J,$O982,日報!$L:$L)</f>
        <v>0</v>
      </c>
    </row>
    <row r="983" spans="15:18" x14ac:dyDescent="0.15">
      <c r="O983" s="7" t="str">
        <f>"REQ"&amp;TEXT([2]RequestList!$A984,"0000")</f>
        <v>REQ0000</v>
      </c>
      <c r="P983" s="7">
        <f>[2]RequestList!$J984</f>
        <v>0</v>
      </c>
      <c r="Q983" s="65">
        <f>SUMIF(日報!$R:$R,TEXT(YEAR($Q$2),"0000")&amp;TEXT(MONTH($Q$2),"00")&amp;$O983,日報!$L:$L)</f>
        <v>0</v>
      </c>
      <c r="R983" s="65">
        <f ca="1">SUMIF(日報!$J:$J,$O983,日報!$L:$L)</f>
        <v>0</v>
      </c>
    </row>
    <row r="984" spans="15:18" x14ac:dyDescent="0.15">
      <c r="O984" s="7" t="str">
        <f>"REQ"&amp;TEXT([2]RequestList!$A985,"0000")</f>
        <v>REQ0000</v>
      </c>
      <c r="P984" s="7">
        <f>[2]RequestList!$J985</f>
        <v>0</v>
      </c>
      <c r="Q984" s="65">
        <f>SUMIF(日報!$R:$R,TEXT(YEAR($Q$2),"0000")&amp;TEXT(MONTH($Q$2),"00")&amp;$O984,日報!$L:$L)</f>
        <v>0</v>
      </c>
      <c r="R984" s="65">
        <f ca="1">SUMIF(日報!$J:$J,$O984,日報!$L:$L)</f>
        <v>0</v>
      </c>
    </row>
    <row r="985" spans="15:18" x14ac:dyDescent="0.15">
      <c r="O985" s="7" t="str">
        <f>"REQ"&amp;TEXT([2]RequestList!$A986,"0000")</f>
        <v>REQ0000</v>
      </c>
      <c r="P985" s="7">
        <f>[2]RequestList!$J986</f>
        <v>0</v>
      </c>
      <c r="Q985" s="65">
        <f>SUMIF(日報!$R:$R,TEXT(YEAR($Q$2),"0000")&amp;TEXT(MONTH($Q$2),"00")&amp;$O985,日報!$L:$L)</f>
        <v>0</v>
      </c>
      <c r="R985" s="65">
        <f ca="1">SUMIF(日報!$J:$J,$O985,日報!$L:$L)</f>
        <v>0</v>
      </c>
    </row>
    <row r="986" spans="15:18" x14ac:dyDescent="0.15">
      <c r="O986" s="7" t="str">
        <f>"REQ"&amp;TEXT([2]RequestList!$A987,"0000")</f>
        <v>REQ0000</v>
      </c>
      <c r="P986" s="7">
        <f>[2]RequestList!$J987</f>
        <v>0</v>
      </c>
      <c r="Q986" s="65">
        <f>SUMIF(日報!$R:$R,TEXT(YEAR($Q$2),"0000")&amp;TEXT(MONTH($Q$2),"00")&amp;$O986,日報!$L:$L)</f>
        <v>0</v>
      </c>
      <c r="R986" s="65">
        <f ca="1">SUMIF(日報!$J:$J,$O986,日報!$L:$L)</f>
        <v>0</v>
      </c>
    </row>
    <row r="987" spans="15:18" x14ac:dyDescent="0.15">
      <c r="O987" s="7" t="str">
        <f>"REQ"&amp;TEXT([2]RequestList!$A988,"0000")</f>
        <v>REQ0000</v>
      </c>
      <c r="P987" s="7">
        <f>[2]RequestList!$J988</f>
        <v>0</v>
      </c>
      <c r="Q987" s="65">
        <f>SUMIF(日報!$R:$R,TEXT(YEAR($Q$2),"0000")&amp;TEXT(MONTH($Q$2),"00")&amp;$O987,日報!$L:$L)</f>
        <v>0</v>
      </c>
      <c r="R987" s="65">
        <f ca="1">SUMIF(日報!$J:$J,$O987,日報!$L:$L)</f>
        <v>0</v>
      </c>
    </row>
    <row r="988" spans="15:18" x14ac:dyDescent="0.15">
      <c r="O988" s="7" t="str">
        <f>"REQ"&amp;TEXT([2]RequestList!$A989,"0000")</f>
        <v>REQ0000</v>
      </c>
      <c r="P988" s="7">
        <f>[2]RequestList!$J989</f>
        <v>0</v>
      </c>
      <c r="Q988" s="65">
        <f>SUMIF(日報!$R:$R,TEXT(YEAR($Q$2),"0000")&amp;TEXT(MONTH($Q$2),"00")&amp;$O988,日報!$L:$L)</f>
        <v>0</v>
      </c>
      <c r="R988" s="65">
        <f ca="1">SUMIF(日報!$J:$J,$O988,日報!$L:$L)</f>
        <v>0</v>
      </c>
    </row>
    <row r="989" spans="15:18" x14ac:dyDescent="0.15">
      <c r="O989" s="7" t="str">
        <f>"REQ"&amp;TEXT([2]RequestList!$A990,"0000")</f>
        <v>REQ0000</v>
      </c>
      <c r="P989" s="7">
        <f>[2]RequestList!$J990</f>
        <v>0</v>
      </c>
      <c r="Q989" s="65">
        <f>SUMIF(日報!$R:$R,TEXT(YEAR($Q$2),"0000")&amp;TEXT(MONTH($Q$2),"00")&amp;$O989,日報!$L:$L)</f>
        <v>0</v>
      </c>
      <c r="R989" s="65">
        <f ca="1">SUMIF(日報!$J:$J,$O989,日報!$L:$L)</f>
        <v>0</v>
      </c>
    </row>
    <row r="990" spans="15:18" x14ac:dyDescent="0.15">
      <c r="O990" s="7" t="str">
        <f>"REQ"&amp;TEXT([2]RequestList!$A991,"0000")</f>
        <v>REQ0000</v>
      </c>
      <c r="P990" s="7">
        <f>[2]RequestList!$J991</f>
        <v>0</v>
      </c>
      <c r="Q990" s="65">
        <f>SUMIF(日報!$R:$R,TEXT(YEAR($Q$2),"0000")&amp;TEXT(MONTH($Q$2),"00")&amp;$O990,日報!$L:$L)</f>
        <v>0</v>
      </c>
      <c r="R990" s="65">
        <f ca="1">SUMIF(日報!$J:$J,$O990,日報!$L:$L)</f>
        <v>0</v>
      </c>
    </row>
    <row r="991" spans="15:18" x14ac:dyDescent="0.15">
      <c r="O991" s="7" t="str">
        <f>"REQ"&amp;TEXT([2]RequestList!$A992,"0000")</f>
        <v>REQ0000</v>
      </c>
      <c r="P991" s="7">
        <f>[2]RequestList!$J992</f>
        <v>0</v>
      </c>
      <c r="Q991" s="65">
        <f>SUMIF(日報!$R:$R,TEXT(YEAR($Q$2),"0000")&amp;TEXT(MONTH($Q$2),"00")&amp;$O991,日報!$L:$L)</f>
        <v>0</v>
      </c>
      <c r="R991" s="65">
        <f ca="1">SUMIF(日報!$J:$J,$O991,日報!$L:$L)</f>
        <v>0</v>
      </c>
    </row>
    <row r="992" spans="15:18" x14ac:dyDescent="0.15">
      <c r="O992" s="7" t="str">
        <f>"REQ"&amp;TEXT([2]RequestList!$A993,"0000")</f>
        <v>REQ0000</v>
      </c>
      <c r="P992" s="7">
        <f>[2]RequestList!$J993</f>
        <v>0</v>
      </c>
      <c r="Q992" s="65">
        <f>SUMIF(日報!$R:$R,TEXT(YEAR($Q$2),"0000")&amp;TEXT(MONTH($Q$2),"00")&amp;$O992,日報!$L:$L)</f>
        <v>0</v>
      </c>
      <c r="R992" s="65">
        <f ca="1">SUMIF(日報!$J:$J,$O992,日報!$L:$L)</f>
        <v>0</v>
      </c>
    </row>
    <row r="993" spans="15:18" x14ac:dyDescent="0.15">
      <c r="O993" s="7" t="str">
        <f>"REQ"&amp;TEXT([2]RequestList!$A994,"0000")</f>
        <v>REQ0000</v>
      </c>
      <c r="P993" s="7">
        <f>[2]RequestList!$J994</f>
        <v>0</v>
      </c>
      <c r="Q993" s="65">
        <f>SUMIF(日報!$R:$R,TEXT(YEAR($Q$2),"0000")&amp;TEXT(MONTH($Q$2),"00")&amp;$O993,日報!$L:$L)</f>
        <v>0</v>
      </c>
      <c r="R993" s="65">
        <f ca="1">SUMIF(日報!$J:$J,$O993,日報!$L:$L)</f>
        <v>0</v>
      </c>
    </row>
    <row r="994" spans="15:18" x14ac:dyDescent="0.15">
      <c r="O994" s="7" t="str">
        <f>"REQ"&amp;TEXT([2]RequestList!$A995,"0000")</f>
        <v>REQ0000</v>
      </c>
      <c r="P994" s="7">
        <f>[2]RequestList!$J995</f>
        <v>0</v>
      </c>
      <c r="Q994" s="65">
        <f>SUMIF(日報!$R:$R,TEXT(YEAR($Q$2),"0000")&amp;TEXT(MONTH($Q$2),"00")&amp;$O994,日報!$L:$L)</f>
        <v>0</v>
      </c>
      <c r="R994" s="65">
        <f ca="1">SUMIF(日報!$J:$J,$O994,日報!$L:$L)</f>
        <v>0</v>
      </c>
    </row>
    <row r="995" spans="15:18" x14ac:dyDescent="0.15">
      <c r="O995" s="7" t="str">
        <f>"REQ"&amp;TEXT([2]RequestList!$A996,"0000")</f>
        <v>REQ0000</v>
      </c>
      <c r="P995" s="7">
        <f>[2]RequestList!$J996</f>
        <v>0</v>
      </c>
      <c r="Q995" s="65">
        <f>SUMIF(日報!$R:$R,TEXT(YEAR($Q$2),"0000")&amp;TEXT(MONTH($Q$2),"00")&amp;$O995,日報!$L:$L)</f>
        <v>0</v>
      </c>
      <c r="R995" s="65">
        <f ca="1">SUMIF(日報!$J:$J,$O995,日報!$L:$L)</f>
        <v>0</v>
      </c>
    </row>
    <row r="996" spans="15:18" x14ac:dyDescent="0.15">
      <c r="O996" s="7" t="str">
        <f>"REQ"&amp;TEXT([2]RequestList!$A997,"0000")</f>
        <v>REQ0000</v>
      </c>
      <c r="P996" s="7">
        <f>[2]RequestList!$J997</f>
        <v>0</v>
      </c>
      <c r="Q996" s="65">
        <f>SUMIF(日報!$R:$R,TEXT(YEAR($Q$2),"0000")&amp;TEXT(MONTH($Q$2),"00")&amp;$O996,日報!$L:$L)</f>
        <v>0</v>
      </c>
      <c r="R996" s="65">
        <f ca="1">SUMIF(日報!$J:$J,$O996,日報!$L:$L)</f>
        <v>0</v>
      </c>
    </row>
    <row r="997" spans="15:18" x14ac:dyDescent="0.15">
      <c r="O997" s="7" t="str">
        <f>"REQ"&amp;TEXT([2]RequestList!$A998,"0000")</f>
        <v>REQ0000</v>
      </c>
      <c r="P997" s="7">
        <f>[2]RequestList!$J998</f>
        <v>0</v>
      </c>
      <c r="Q997" s="65">
        <f>SUMIF(日報!$R:$R,TEXT(YEAR($Q$2),"0000")&amp;TEXT(MONTH($Q$2),"00")&amp;$O997,日報!$L:$L)</f>
        <v>0</v>
      </c>
      <c r="R997" s="65">
        <f ca="1">SUMIF(日報!$J:$J,$O997,日報!$L:$L)</f>
        <v>0</v>
      </c>
    </row>
    <row r="998" spans="15:18" x14ac:dyDescent="0.15">
      <c r="O998" s="7" t="str">
        <f>"REQ"&amp;TEXT([2]RequestList!$A999,"0000")</f>
        <v>REQ0000</v>
      </c>
      <c r="P998" s="7">
        <f>[2]RequestList!$J999</f>
        <v>0</v>
      </c>
      <c r="Q998" s="65">
        <f>SUMIF(日報!$R:$R,TEXT(YEAR($Q$2),"0000")&amp;TEXT(MONTH($Q$2),"00")&amp;$O998,日報!$L:$L)</f>
        <v>0</v>
      </c>
      <c r="R998" s="65">
        <f ca="1">SUMIF(日報!$J:$J,$O998,日報!$L:$L)</f>
        <v>0</v>
      </c>
    </row>
    <row r="999" spans="15:18" x14ac:dyDescent="0.15">
      <c r="O999" s="7" t="str">
        <f>"REQ"&amp;TEXT([2]RequestList!$A1000,"0000")</f>
        <v>REQ0000</v>
      </c>
      <c r="P999" s="7">
        <f>[2]RequestList!$J1000</f>
        <v>0</v>
      </c>
      <c r="Q999" s="65">
        <f>SUMIF(日報!$R:$R,TEXT(YEAR($Q$2),"0000")&amp;TEXT(MONTH($Q$2),"00")&amp;$O999,日報!$L:$L)</f>
        <v>0</v>
      </c>
      <c r="R999" s="65">
        <f ca="1">SUMIF(日報!$J:$J,$O999,日報!$L:$L)</f>
        <v>0</v>
      </c>
    </row>
    <row r="1000" spans="15:18" x14ac:dyDescent="0.15">
      <c r="O1000" s="7" t="str">
        <f>"REQ"&amp;TEXT([2]RequestList!$A1001,"0000")</f>
        <v>REQ0000</v>
      </c>
      <c r="P1000" s="7">
        <f>[2]RequestList!$J1001</f>
        <v>0</v>
      </c>
      <c r="Q1000" s="65">
        <f>SUMIF(日報!$R:$R,TEXT(YEAR($Q$2),"0000")&amp;TEXT(MONTH($Q$2),"00")&amp;$O1000,日報!$L:$L)</f>
        <v>0</v>
      </c>
      <c r="R1000" s="65">
        <f ca="1">SUMIF(日報!$J:$J,$O1000,日報!$L:$L)</f>
        <v>0</v>
      </c>
    </row>
    <row r="1001" spans="15:18" x14ac:dyDescent="0.15">
      <c r="O1001" s="7" t="str">
        <f>"REQ"&amp;TEXT([2]RequestList!$A1002,"0000")</f>
        <v>REQ0000</v>
      </c>
      <c r="P1001" s="7">
        <f>[2]RequestList!$J1002</f>
        <v>0</v>
      </c>
      <c r="Q1001" s="65">
        <f>SUMIF(日報!$R:$R,TEXT(YEAR($Q$2),"0000")&amp;TEXT(MONTH($Q$2),"00")&amp;$O1001,日報!$L:$L)</f>
        <v>0</v>
      </c>
      <c r="R1001" s="65">
        <f ca="1">SUMIF(日報!$J:$J,$O1001,日報!$L:$L)</f>
        <v>0</v>
      </c>
    </row>
    <row r="1002" spans="15:18" x14ac:dyDescent="0.15">
      <c r="O1002" s="7" t="str">
        <f>"REQ"&amp;TEXT([2]RequestList!$A1003,"0000")</f>
        <v>REQ0000</v>
      </c>
      <c r="P1002" s="7">
        <f>[2]RequestList!$J1003</f>
        <v>0</v>
      </c>
      <c r="Q1002" s="65">
        <f>SUMIF(日報!$R:$R,TEXT(YEAR($Q$2),"0000")&amp;TEXT(MONTH($Q$2),"00")&amp;$O1002,日報!$L:$L)</f>
        <v>0</v>
      </c>
      <c r="R1002" s="65">
        <f ca="1">SUMIF(日報!$J:$J,$O1002,日報!$L:$L)</f>
        <v>0</v>
      </c>
    </row>
    <row r="1003" spans="15:18" x14ac:dyDescent="0.15">
      <c r="O1003" s="7" t="str">
        <f>"REQ"&amp;TEXT([2]RequestList!$A1004,"0000")</f>
        <v>REQ0000</v>
      </c>
      <c r="P1003" s="7">
        <f>[2]RequestList!$J1004</f>
        <v>0</v>
      </c>
      <c r="Q1003" s="65">
        <f>SUMIF(日報!$R:$R,TEXT(YEAR($Q$2),"0000")&amp;TEXT(MONTH($Q$2),"00")&amp;$O1003,日報!$L:$L)</f>
        <v>0</v>
      </c>
      <c r="R1003" s="65">
        <f ca="1">SUMIF(日報!$J:$J,$O1003,日報!$L:$L)</f>
        <v>0</v>
      </c>
    </row>
    <row r="1004" spans="15:18" x14ac:dyDescent="0.15">
      <c r="O1004" s="7" t="str">
        <f>"REQ"&amp;TEXT([2]RequestList!$A1005,"0000")</f>
        <v>REQ0000</v>
      </c>
      <c r="P1004" s="7">
        <f>[2]RequestList!$J1005</f>
        <v>0</v>
      </c>
      <c r="Q1004" s="65">
        <f>SUMIF(日報!$R:$R,TEXT(YEAR($Q$2),"0000")&amp;TEXT(MONTH($Q$2),"00")&amp;$O1004,日報!$L:$L)</f>
        <v>0</v>
      </c>
      <c r="R1004" s="65">
        <f ca="1">SUMIF(日報!$J:$J,$O1004,日報!$L:$L)</f>
        <v>0</v>
      </c>
    </row>
    <row r="1005" spans="15:18" x14ac:dyDescent="0.15">
      <c r="O1005" s="7" t="str">
        <f>"REQ"&amp;TEXT([2]RequestList!$A1006,"0000")</f>
        <v>REQ0000</v>
      </c>
      <c r="P1005" s="7">
        <f>[2]RequestList!$J1006</f>
        <v>0</v>
      </c>
      <c r="Q1005" s="65">
        <f>SUMIF(日報!$R:$R,TEXT(YEAR($Q$2),"0000")&amp;TEXT(MONTH($Q$2),"00")&amp;$O1005,日報!$L:$L)</f>
        <v>0</v>
      </c>
      <c r="R1005" s="65">
        <f ca="1">SUMIF(日報!$J:$J,$O1005,日報!$L:$L)</f>
        <v>0</v>
      </c>
    </row>
    <row r="1006" spans="15:18" x14ac:dyDescent="0.15">
      <c r="O1006" s="7" t="str">
        <f>"REQ"&amp;TEXT([2]RequestList!$A1007,"0000")</f>
        <v>REQ0000</v>
      </c>
      <c r="P1006" s="7">
        <f>[2]RequestList!$J1007</f>
        <v>0</v>
      </c>
      <c r="Q1006" s="65">
        <f>SUMIF(日報!$R:$R,TEXT(YEAR($Q$2),"0000")&amp;TEXT(MONTH($Q$2),"00")&amp;$O1006,日報!$L:$L)</f>
        <v>0</v>
      </c>
      <c r="R1006" s="65">
        <f ca="1">SUMIF(日報!$J:$J,$O1006,日報!$L:$L)</f>
        <v>0</v>
      </c>
    </row>
    <row r="1007" spans="15:18" x14ac:dyDescent="0.15">
      <c r="O1007" s="7" t="str">
        <f>"REQ"&amp;TEXT([2]RequestList!$A1008,"0000")</f>
        <v>REQ0000</v>
      </c>
      <c r="P1007" s="7">
        <f>[2]RequestList!$J1008</f>
        <v>0</v>
      </c>
      <c r="Q1007" s="65">
        <f>SUMIF(日報!$R:$R,TEXT(YEAR($Q$2),"0000")&amp;TEXT(MONTH($Q$2),"00")&amp;$O1007,日報!$L:$L)</f>
        <v>0</v>
      </c>
      <c r="R1007" s="65">
        <f ca="1">SUMIF(日報!$J:$J,$O1007,日報!$L:$L)</f>
        <v>0</v>
      </c>
    </row>
    <row r="1008" spans="15:18" x14ac:dyDescent="0.15">
      <c r="O1008" s="7" t="str">
        <f>"REQ"&amp;TEXT([2]RequestList!$A1009,"0000")</f>
        <v>REQ0000</v>
      </c>
      <c r="P1008" s="7">
        <f>[2]RequestList!$J1009</f>
        <v>0</v>
      </c>
      <c r="Q1008" s="65">
        <f>SUMIF(日報!$R:$R,TEXT(YEAR($Q$2),"0000")&amp;TEXT(MONTH($Q$2),"00")&amp;$O1008,日報!$L:$L)</f>
        <v>0</v>
      </c>
      <c r="R1008" s="65">
        <f ca="1">SUMIF(日報!$J:$J,$O1008,日報!$L:$L)</f>
        <v>0</v>
      </c>
    </row>
    <row r="1009" spans="15:18" x14ac:dyDescent="0.15">
      <c r="O1009" s="7" t="str">
        <f>"REQ"&amp;TEXT([2]RequestList!$A1010,"0000")</f>
        <v>REQ0000</v>
      </c>
      <c r="P1009" s="7">
        <f>[2]RequestList!$J1010</f>
        <v>0</v>
      </c>
      <c r="Q1009" s="65">
        <f>SUMIF(日報!$R:$R,TEXT(YEAR($Q$2),"0000")&amp;TEXT(MONTH($Q$2),"00")&amp;$O1009,日報!$L:$L)</f>
        <v>0</v>
      </c>
      <c r="R1009" s="65">
        <f ca="1">SUMIF(日報!$J:$J,$O1009,日報!$L:$L)</f>
        <v>0</v>
      </c>
    </row>
    <row r="1010" spans="15:18" x14ac:dyDescent="0.15">
      <c r="O1010" s="7" t="str">
        <f>"REQ"&amp;TEXT([2]RequestList!$A1011,"0000")</f>
        <v>REQ0000</v>
      </c>
      <c r="P1010" s="7">
        <f>[2]RequestList!$J1011</f>
        <v>0</v>
      </c>
      <c r="Q1010" s="65">
        <f>SUMIF(日報!$R:$R,TEXT(YEAR($Q$2),"0000")&amp;TEXT(MONTH($Q$2),"00")&amp;$O1010,日報!$L:$L)</f>
        <v>0</v>
      </c>
      <c r="R1010" s="65">
        <f ca="1">SUMIF(日報!$J:$J,$O1010,日報!$L:$L)</f>
        <v>0</v>
      </c>
    </row>
    <row r="1011" spans="15:18" x14ac:dyDescent="0.15">
      <c r="O1011" s="7" t="str">
        <f>"REQ"&amp;TEXT([2]RequestList!$A1012,"0000")</f>
        <v>REQ0000</v>
      </c>
      <c r="P1011" s="7">
        <f>[2]RequestList!$J1012</f>
        <v>0</v>
      </c>
      <c r="Q1011" s="65">
        <f>SUMIF(日報!$R:$R,TEXT(YEAR($Q$2),"0000")&amp;TEXT(MONTH($Q$2),"00")&amp;$O1011,日報!$L:$L)</f>
        <v>0</v>
      </c>
      <c r="R1011" s="65">
        <f ca="1">SUMIF(日報!$J:$J,$O1011,日報!$L:$L)</f>
        <v>0</v>
      </c>
    </row>
    <row r="1012" spans="15:18" x14ac:dyDescent="0.15">
      <c r="O1012" s="7" t="str">
        <f>"REQ"&amp;TEXT([2]RequestList!$A1013,"0000")</f>
        <v>REQ0000</v>
      </c>
      <c r="P1012" s="7">
        <f>[2]RequestList!$J1013</f>
        <v>0</v>
      </c>
      <c r="Q1012" s="65">
        <f>SUMIF(日報!$R:$R,TEXT(YEAR($Q$2),"0000")&amp;TEXT(MONTH($Q$2),"00")&amp;$O1012,日報!$L:$L)</f>
        <v>0</v>
      </c>
      <c r="R1012" s="65">
        <f ca="1">SUMIF(日報!$J:$J,$O1012,日報!$L:$L)</f>
        <v>0</v>
      </c>
    </row>
    <row r="1013" spans="15:18" x14ac:dyDescent="0.15">
      <c r="O1013" s="7" t="str">
        <f>"REQ"&amp;TEXT([2]RequestList!$A1014,"0000")</f>
        <v>REQ0000</v>
      </c>
      <c r="P1013" s="7">
        <f>[2]RequestList!$J1014</f>
        <v>0</v>
      </c>
      <c r="Q1013" s="65">
        <f>SUMIF(日報!$R:$R,TEXT(YEAR($Q$2),"0000")&amp;TEXT(MONTH($Q$2),"00")&amp;$O1013,日報!$L:$L)</f>
        <v>0</v>
      </c>
      <c r="R1013" s="65">
        <f ca="1">SUMIF(日報!$J:$J,$O1013,日報!$L:$L)</f>
        <v>0</v>
      </c>
    </row>
    <row r="1014" spans="15:18" x14ac:dyDescent="0.15">
      <c r="O1014" s="7" t="str">
        <f>"REQ"&amp;TEXT([2]RequestList!$A1015,"0000")</f>
        <v>REQ0000</v>
      </c>
      <c r="P1014" s="7">
        <f>[2]RequestList!$J1015</f>
        <v>0</v>
      </c>
      <c r="Q1014" s="65">
        <f>SUMIF(日報!$R:$R,TEXT(YEAR($Q$2),"0000")&amp;TEXT(MONTH($Q$2),"00")&amp;$O1014,日報!$L:$L)</f>
        <v>0</v>
      </c>
      <c r="R1014" s="65">
        <f ca="1">SUMIF(日報!$J:$J,$O1014,日報!$L:$L)</f>
        <v>0</v>
      </c>
    </row>
    <row r="1015" spans="15:18" x14ac:dyDescent="0.15">
      <c r="O1015" s="7" t="str">
        <f>"REQ"&amp;TEXT([2]RequestList!$A1016,"0000")</f>
        <v>REQ0000</v>
      </c>
      <c r="P1015" s="7">
        <f>[2]RequestList!$J1016</f>
        <v>0</v>
      </c>
      <c r="Q1015" s="65">
        <f>SUMIF(日報!$R:$R,TEXT(YEAR($Q$2),"0000")&amp;TEXT(MONTH($Q$2),"00")&amp;$O1015,日報!$L:$L)</f>
        <v>0</v>
      </c>
      <c r="R1015" s="65">
        <f ca="1">SUMIF(日報!$J:$J,$O1015,日報!$L:$L)</f>
        <v>0</v>
      </c>
    </row>
    <row r="1016" spans="15:18" x14ac:dyDescent="0.15">
      <c r="O1016" s="7" t="str">
        <f>"REQ"&amp;TEXT([2]RequestList!$A1017,"0000")</f>
        <v>REQ0000</v>
      </c>
      <c r="P1016" s="7">
        <f>[2]RequestList!$J1017</f>
        <v>0</v>
      </c>
      <c r="Q1016" s="65">
        <f>SUMIF(日報!$R:$R,TEXT(YEAR($Q$2),"0000")&amp;TEXT(MONTH($Q$2),"00")&amp;$O1016,日報!$L:$L)</f>
        <v>0</v>
      </c>
      <c r="R1016" s="65">
        <f ca="1">SUMIF(日報!$J:$J,$O1016,日報!$L:$L)</f>
        <v>0</v>
      </c>
    </row>
    <row r="1017" spans="15:18" x14ac:dyDescent="0.15">
      <c r="O1017" s="7" t="str">
        <f>"REQ"&amp;TEXT([2]RequestList!$A1018,"0000")</f>
        <v>REQ0000</v>
      </c>
      <c r="P1017" s="7">
        <f>[2]RequestList!$J1018</f>
        <v>0</v>
      </c>
      <c r="Q1017" s="65">
        <f>SUMIF(日報!$R:$R,TEXT(YEAR($Q$2),"0000")&amp;TEXT(MONTH($Q$2),"00")&amp;$O1017,日報!$L:$L)</f>
        <v>0</v>
      </c>
      <c r="R1017" s="65">
        <f ca="1">SUMIF(日報!$J:$J,$O1017,日報!$L:$L)</f>
        <v>0</v>
      </c>
    </row>
    <row r="1018" spans="15:18" x14ac:dyDescent="0.15">
      <c r="O1018" s="7" t="str">
        <f>"REQ"&amp;TEXT([2]RequestList!$A1019,"0000")</f>
        <v>REQ0000</v>
      </c>
      <c r="P1018" s="7">
        <f>[2]RequestList!$J1019</f>
        <v>0</v>
      </c>
      <c r="Q1018" s="65">
        <f>SUMIF(日報!$R:$R,TEXT(YEAR($Q$2),"0000")&amp;TEXT(MONTH($Q$2),"00")&amp;$O1018,日報!$L:$L)</f>
        <v>0</v>
      </c>
      <c r="R1018" s="65">
        <f ca="1">SUMIF(日報!$J:$J,$O1018,日報!$L:$L)</f>
        <v>0</v>
      </c>
    </row>
    <row r="1019" spans="15:18" x14ac:dyDescent="0.15">
      <c r="O1019" s="7" t="str">
        <f>"REQ"&amp;TEXT([2]RequestList!$A1020,"0000")</f>
        <v>REQ0000</v>
      </c>
      <c r="P1019" s="7">
        <f>[2]RequestList!$J1020</f>
        <v>0</v>
      </c>
      <c r="Q1019" s="65">
        <f>SUMIF(日報!$R:$R,TEXT(YEAR($Q$2),"0000")&amp;TEXT(MONTH($Q$2),"00")&amp;$O1019,日報!$L:$L)</f>
        <v>0</v>
      </c>
      <c r="R1019" s="65">
        <f ca="1">SUMIF(日報!$J:$J,$O1019,日報!$L:$L)</f>
        <v>0</v>
      </c>
    </row>
    <row r="1020" spans="15:18" x14ac:dyDescent="0.15">
      <c r="O1020" s="7" t="str">
        <f>"REQ"&amp;TEXT([2]RequestList!$A1021,"0000")</f>
        <v>REQ0000</v>
      </c>
      <c r="P1020" s="7">
        <f>[2]RequestList!$J1021</f>
        <v>0</v>
      </c>
      <c r="Q1020" s="65">
        <f>SUMIF(日報!$R:$R,TEXT(YEAR($Q$2),"0000")&amp;TEXT(MONTH($Q$2),"00")&amp;$O1020,日報!$L:$L)</f>
        <v>0</v>
      </c>
      <c r="R1020" s="65">
        <f ca="1">SUMIF(日報!$J:$J,$O1020,日報!$L:$L)</f>
        <v>0</v>
      </c>
    </row>
    <row r="1021" spans="15:18" x14ac:dyDescent="0.15">
      <c r="O1021" s="7" t="str">
        <f>"REQ"&amp;TEXT([2]RequestList!$A1022,"0000")</f>
        <v>REQ0000</v>
      </c>
      <c r="P1021" s="7">
        <f>[2]RequestList!$J1022</f>
        <v>0</v>
      </c>
      <c r="Q1021" s="65">
        <f>SUMIF(日報!$R:$R,TEXT(YEAR($Q$2),"0000")&amp;TEXT(MONTH($Q$2),"00")&amp;$O1021,日報!$L:$L)</f>
        <v>0</v>
      </c>
      <c r="R1021" s="65">
        <f ca="1">SUMIF(日報!$J:$J,$O1021,日報!$L:$L)</f>
        <v>0</v>
      </c>
    </row>
    <row r="1022" spans="15:18" x14ac:dyDescent="0.15">
      <c r="O1022" s="7" t="str">
        <f>"REQ"&amp;TEXT([2]RequestList!$A1023,"0000")</f>
        <v>REQ0000</v>
      </c>
      <c r="P1022" s="7">
        <f>[2]RequestList!$J1023</f>
        <v>0</v>
      </c>
      <c r="Q1022" s="65">
        <f>SUMIF(日報!$R:$R,TEXT(YEAR($Q$2),"0000")&amp;TEXT(MONTH($Q$2),"00")&amp;$O1022,日報!$L:$L)</f>
        <v>0</v>
      </c>
      <c r="R1022" s="65">
        <f ca="1">SUMIF(日報!$J:$J,$O1022,日報!$L:$L)</f>
        <v>0</v>
      </c>
    </row>
    <row r="1023" spans="15:18" x14ac:dyDescent="0.15">
      <c r="O1023" s="7" t="str">
        <f>"REQ"&amp;TEXT([2]RequestList!$A1024,"0000")</f>
        <v>REQ0000</v>
      </c>
      <c r="P1023" s="7">
        <f>[2]RequestList!$J1024</f>
        <v>0</v>
      </c>
      <c r="Q1023" s="65">
        <f>SUMIF(日報!$R:$R,TEXT(YEAR($Q$2),"0000")&amp;TEXT(MONTH($Q$2),"00")&amp;$O1023,日報!$L:$L)</f>
        <v>0</v>
      </c>
      <c r="R1023" s="65">
        <f ca="1">SUMIF(日報!$J:$J,$O1023,日報!$L:$L)</f>
        <v>0</v>
      </c>
    </row>
    <row r="1024" spans="15:18" x14ac:dyDescent="0.15">
      <c r="O1024" s="7" t="str">
        <f>"REQ"&amp;TEXT([2]RequestList!$A1025,"0000")</f>
        <v>REQ0000</v>
      </c>
      <c r="P1024" s="7">
        <f>[2]RequestList!$J1025</f>
        <v>0</v>
      </c>
      <c r="Q1024" s="65">
        <f>SUMIF(日報!$R:$R,TEXT(YEAR($Q$2),"0000")&amp;TEXT(MONTH($Q$2),"00")&amp;$O1024,日報!$L:$L)</f>
        <v>0</v>
      </c>
      <c r="R1024" s="65">
        <f ca="1">SUMIF(日報!$J:$J,$O1024,日報!$L:$L)</f>
        <v>0</v>
      </c>
    </row>
    <row r="1025" spans="15:18" x14ac:dyDescent="0.15">
      <c r="O1025" s="7" t="str">
        <f>"REQ"&amp;TEXT([2]RequestList!$A1026,"0000")</f>
        <v>REQ0000</v>
      </c>
      <c r="P1025" s="7">
        <f>[2]RequestList!$J1026</f>
        <v>0</v>
      </c>
      <c r="Q1025" s="65">
        <f>SUMIF(日報!$R:$R,TEXT(YEAR($Q$2),"0000")&amp;TEXT(MONTH($Q$2),"00")&amp;$O1025,日報!$L:$L)</f>
        <v>0</v>
      </c>
      <c r="R1025" s="65">
        <f ca="1">SUMIF(日報!$J:$J,$O1025,日報!$L:$L)</f>
        <v>0</v>
      </c>
    </row>
    <row r="1026" spans="15:18" x14ac:dyDescent="0.15">
      <c r="O1026" s="7" t="str">
        <f>"REQ"&amp;TEXT([2]RequestList!$A1027,"0000")</f>
        <v>REQ0000</v>
      </c>
      <c r="P1026" s="7">
        <f>[2]RequestList!$J1027</f>
        <v>0</v>
      </c>
      <c r="Q1026" s="65">
        <f>SUMIF(日報!$R:$R,TEXT(YEAR($Q$2),"0000")&amp;TEXT(MONTH($Q$2),"00")&amp;$O1026,日報!$L:$L)</f>
        <v>0</v>
      </c>
      <c r="R1026" s="65">
        <f ca="1">SUMIF(日報!$J:$J,$O1026,日報!$L:$L)</f>
        <v>0</v>
      </c>
    </row>
    <row r="1027" spans="15:18" x14ac:dyDescent="0.15">
      <c r="O1027" s="7" t="str">
        <f>"REQ"&amp;TEXT([2]RequestList!$A1028,"0000")</f>
        <v>REQ0000</v>
      </c>
      <c r="P1027" s="7">
        <f>[2]RequestList!$J1028</f>
        <v>0</v>
      </c>
      <c r="Q1027" s="65">
        <f>SUMIF(日報!$R:$R,TEXT(YEAR($Q$2),"0000")&amp;TEXT(MONTH($Q$2),"00")&amp;$O1027,日報!$L:$L)</f>
        <v>0</v>
      </c>
      <c r="R1027" s="65">
        <f ca="1">SUMIF(日報!$J:$J,$O1027,日報!$L:$L)</f>
        <v>0</v>
      </c>
    </row>
    <row r="1028" spans="15:18" x14ac:dyDescent="0.15">
      <c r="O1028" s="7" t="str">
        <f>"REQ"&amp;TEXT([2]RequestList!$A1029,"0000")</f>
        <v>REQ0000</v>
      </c>
      <c r="P1028" s="7">
        <f>[2]RequestList!$J1029</f>
        <v>0</v>
      </c>
      <c r="Q1028" s="65">
        <f>SUMIF(日報!$R:$R,TEXT(YEAR($Q$2),"0000")&amp;TEXT(MONTH($Q$2),"00")&amp;$O1028,日報!$L:$L)</f>
        <v>0</v>
      </c>
      <c r="R1028" s="65">
        <f ca="1">SUMIF(日報!$J:$J,$O1028,日報!$L:$L)</f>
        <v>0</v>
      </c>
    </row>
    <row r="1029" spans="15:18" x14ac:dyDescent="0.15">
      <c r="O1029" s="7" t="str">
        <f>"REQ"&amp;TEXT([2]RequestList!$A1030,"0000")</f>
        <v>REQ0000</v>
      </c>
      <c r="P1029" s="7">
        <f>[2]RequestList!$J1030</f>
        <v>0</v>
      </c>
      <c r="Q1029" s="65">
        <f>SUMIF(日報!$R:$R,TEXT(YEAR($Q$2),"0000")&amp;TEXT(MONTH($Q$2),"00")&amp;$O1029,日報!$L:$L)</f>
        <v>0</v>
      </c>
      <c r="R1029" s="65">
        <f ca="1">SUMIF(日報!$J:$J,$O1029,日報!$L:$L)</f>
        <v>0</v>
      </c>
    </row>
    <row r="1030" spans="15:18" x14ac:dyDescent="0.15">
      <c r="O1030" s="7" t="str">
        <f>"REQ"&amp;TEXT([2]RequestList!$A1031,"0000")</f>
        <v>REQ0000</v>
      </c>
      <c r="P1030" s="7">
        <f>[2]RequestList!$J1031</f>
        <v>0</v>
      </c>
      <c r="Q1030" s="65">
        <f>SUMIF(日報!$R:$R,TEXT(YEAR($Q$2),"0000")&amp;TEXT(MONTH($Q$2),"00")&amp;$O1030,日報!$L:$L)</f>
        <v>0</v>
      </c>
      <c r="R1030" s="65">
        <f ca="1">SUMIF(日報!$J:$J,$O1030,日報!$L:$L)</f>
        <v>0</v>
      </c>
    </row>
    <row r="1031" spans="15:18" x14ac:dyDescent="0.15">
      <c r="O1031" s="7" t="str">
        <f>"REQ"&amp;TEXT([2]RequestList!$A1032,"0000")</f>
        <v>REQ0000</v>
      </c>
      <c r="P1031" s="7">
        <f>[2]RequestList!$J1032</f>
        <v>0</v>
      </c>
      <c r="Q1031" s="65">
        <f>SUMIF(日報!$R:$R,TEXT(YEAR($Q$2),"0000")&amp;TEXT(MONTH($Q$2),"00")&amp;$O1031,日報!$L:$L)</f>
        <v>0</v>
      </c>
      <c r="R1031" s="65">
        <f ca="1">SUMIF(日報!$J:$J,$O1031,日報!$L:$L)</f>
        <v>0</v>
      </c>
    </row>
    <row r="1032" spans="15:18" x14ac:dyDescent="0.15">
      <c r="O1032" s="7" t="str">
        <f>"REQ"&amp;TEXT([2]RequestList!$A1033,"0000")</f>
        <v>REQ0000</v>
      </c>
      <c r="P1032" s="7">
        <f>[2]RequestList!$J1033</f>
        <v>0</v>
      </c>
      <c r="Q1032" s="65">
        <f>SUMIF(日報!$R:$R,TEXT(YEAR($Q$2),"0000")&amp;TEXT(MONTH($Q$2),"00")&amp;$O1032,日報!$L:$L)</f>
        <v>0</v>
      </c>
      <c r="R1032" s="65">
        <f ca="1">SUMIF(日報!$J:$J,$O1032,日報!$L:$L)</f>
        <v>0</v>
      </c>
    </row>
    <row r="1033" spans="15:18" x14ac:dyDescent="0.15">
      <c r="O1033" s="7" t="str">
        <f>"REQ"&amp;TEXT([2]RequestList!$A1034,"0000")</f>
        <v>REQ0000</v>
      </c>
      <c r="P1033" s="7">
        <f>[2]RequestList!$J1034</f>
        <v>0</v>
      </c>
      <c r="Q1033" s="65">
        <f>SUMIF(日報!$R:$R,TEXT(YEAR($Q$2),"0000")&amp;TEXT(MONTH($Q$2),"00")&amp;$O1033,日報!$L:$L)</f>
        <v>0</v>
      </c>
      <c r="R1033" s="65">
        <f ca="1">SUMIF(日報!$J:$J,$O1033,日報!$L:$L)</f>
        <v>0</v>
      </c>
    </row>
    <row r="1034" spans="15:18" x14ac:dyDescent="0.15">
      <c r="O1034" s="7" t="str">
        <f>"REQ"&amp;TEXT([2]RequestList!$A1035,"0000")</f>
        <v>REQ0000</v>
      </c>
      <c r="P1034" s="7">
        <f>[2]RequestList!$J1035</f>
        <v>0</v>
      </c>
      <c r="Q1034" s="65">
        <f>SUMIF(日報!$R:$R,TEXT(YEAR($Q$2),"0000")&amp;TEXT(MONTH($Q$2),"00")&amp;$O1034,日報!$L:$L)</f>
        <v>0</v>
      </c>
      <c r="R1034" s="65">
        <f ca="1">SUMIF(日報!$J:$J,$O1034,日報!$L:$L)</f>
        <v>0</v>
      </c>
    </row>
    <row r="1035" spans="15:18" x14ac:dyDescent="0.15">
      <c r="O1035" s="7" t="str">
        <f>"REQ"&amp;TEXT([2]RequestList!$A1036,"0000")</f>
        <v>REQ0000</v>
      </c>
      <c r="P1035" s="7">
        <f>[2]RequestList!$J1036</f>
        <v>0</v>
      </c>
      <c r="Q1035" s="65">
        <f>SUMIF(日報!$R:$R,TEXT(YEAR($Q$2),"0000")&amp;TEXT(MONTH($Q$2),"00")&amp;$O1035,日報!$L:$L)</f>
        <v>0</v>
      </c>
      <c r="R1035" s="65">
        <f ca="1">SUMIF(日報!$J:$J,$O1035,日報!$L:$L)</f>
        <v>0</v>
      </c>
    </row>
    <row r="1036" spans="15:18" x14ac:dyDescent="0.15">
      <c r="O1036" s="7" t="str">
        <f>"REQ"&amp;TEXT([2]RequestList!$A1037,"0000")</f>
        <v>REQ0000</v>
      </c>
      <c r="P1036" s="7">
        <f>[2]RequestList!$J1037</f>
        <v>0</v>
      </c>
      <c r="Q1036" s="65">
        <f>SUMIF(日報!$R:$R,TEXT(YEAR($Q$2),"0000")&amp;TEXT(MONTH($Q$2),"00")&amp;$O1036,日報!$L:$L)</f>
        <v>0</v>
      </c>
      <c r="R1036" s="65">
        <f ca="1">SUMIF(日報!$J:$J,$O1036,日報!$L:$L)</f>
        <v>0</v>
      </c>
    </row>
    <row r="1037" spans="15:18" x14ac:dyDescent="0.15">
      <c r="O1037" s="7" t="str">
        <f>"REQ"&amp;TEXT([2]RequestList!$A1038,"0000")</f>
        <v>REQ0000</v>
      </c>
      <c r="P1037" s="7">
        <f>[2]RequestList!$J1038</f>
        <v>0</v>
      </c>
      <c r="Q1037" s="65">
        <f>SUMIF(日報!$R:$R,TEXT(YEAR($Q$2),"0000")&amp;TEXT(MONTH($Q$2),"00")&amp;$O1037,日報!$L:$L)</f>
        <v>0</v>
      </c>
      <c r="R1037" s="65">
        <f ca="1">SUMIF(日報!$J:$J,$O1037,日報!$L:$L)</f>
        <v>0</v>
      </c>
    </row>
    <row r="1038" spans="15:18" x14ac:dyDescent="0.15">
      <c r="O1038" s="7" t="str">
        <f>"REQ"&amp;TEXT([2]RequestList!$A1039,"0000")</f>
        <v>REQ0000</v>
      </c>
      <c r="P1038" s="7">
        <f>[2]RequestList!$J1039</f>
        <v>0</v>
      </c>
      <c r="Q1038" s="65">
        <f>SUMIF(日報!$R:$R,TEXT(YEAR($Q$2),"0000")&amp;TEXT(MONTH($Q$2),"00")&amp;$O1038,日報!$L:$L)</f>
        <v>0</v>
      </c>
      <c r="R1038" s="65">
        <f ca="1">SUMIF(日報!$J:$J,$O1038,日報!$L:$L)</f>
        <v>0</v>
      </c>
    </row>
    <row r="1039" spans="15:18" x14ac:dyDescent="0.15">
      <c r="O1039" s="7" t="str">
        <f>"REQ"&amp;TEXT([2]RequestList!$A1040,"0000")</f>
        <v>REQ0000</v>
      </c>
      <c r="P1039" s="7">
        <f>[2]RequestList!$J1040</f>
        <v>0</v>
      </c>
      <c r="Q1039" s="65">
        <f>SUMIF(日報!$R:$R,TEXT(YEAR($Q$2),"0000")&amp;TEXT(MONTH($Q$2),"00")&amp;$O1039,日報!$L:$L)</f>
        <v>0</v>
      </c>
      <c r="R1039" s="65">
        <f ca="1">SUMIF(日報!$J:$J,$O1039,日報!$L:$L)</f>
        <v>0</v>
      </c>
    </row>
    <row r="1040" spans="15:18" x14ac:dyDescent="0.15">
      <c r="O1040" s="7" t="str">
        <f>"REQ"&amp;TEXT([2]RequestList!$A1041,"0000")</f>
        <v>REQ0000</v>
      </c>
      <c r="P1040" s="7">
        <f>[2]RequestList!$J1041</f>
        <v>0</v>
      </c>
      <c r="Q1040" s="65">
        <f>SUMIF(日報!$R:$R,TEXT(YEAR($Q$2),"0000")&amp;TEXT(MONTH($Q$2),"00")&amp;$O1040,日報!$L:$L)</f>
        <v>0</v>
      </c>
      <c r="R1040" s="65">
        <f ca="1">SUMIF(日報!$J:$J,$O1040,日報!$L:$L)</f>
        <v>0</v>
      </c>
    </row>
    <row r="1041" spans="15:18" x14ac:dyDescent="0.15">
      <c r="O1041" s="7" t="str">
        <f>"REQ"&amp;TEXT([2]RequestList!$A1042,"0000")</f>
        <v>REQ0000</v>
      </c>
      <c r="P1041" s="7">
        <f>[2]RequestList!$J1042</f>
        <v>0</v>
      </c>
      <c r="Q1041" s="65">
        <f>SUMIF(日報!$R:$R,TEXT(YEAR($Q$2),"0000")&amp;TEXT(MONTH($Q$2),"00")&amp;$O1041,日報!$L:$L)</f>
        <v>0</v>
      </c>
      <c r="R1041" s="65">
        <f ca="1">SUMIF(日報!$J:$J,$O1041,日報!$L:$L)</f>
        <v>0</v>
      </c>
    </row>
    <row r="1042" spans="15:18" x14ac:dyDescent="0.15">
      <c r="O1042" s="7" t="str">
        <f>"REQ"&amp;TEXT([2]RequestList!$A1043,"0000")</f>
        <v>REQ0000</v>
      </c>
      <c r="P1042" s="7">
        <f>[2]RequestList!$J1043</f>
        <v>0</v>
      </c>
      <c r="Q1042" s="65">
        <f>SUMIF(日報!$R:$R,TEXT(YEAR($Q$2),"0000")&amp;TEXT(MONTH($Q$2),"00")&amp;$O1042,日報!$L:$L)</f>
        <v>0</v>
      </c>
      <c r="R1042" s="65">
        <f ca="1">SUMIF(日報!$J:$J,$O1042,日報!$L:$L)</f>
        <v>0</v>
      </c>
    </row>
    <row r="1043" spans="15:18" x14ac:dyDescent="0.15">
      <c r="O1043" s="7" t="str">
        <f>"REQ"&amp;TEXT([2]RequestList!$A1044,"0000")</f>
        <v>REQ0000</v>
      </c>
      <c r="P1043" s="7">
        <f>[2]RequestList!$J1044</f>
        <v>0</v>
      </c>
      <c r="Q1043" s="65">
        <f>SUMIF(日報!$R:$R,TEXT(YEAR($Q$2),"0000")&amp;TEXT(MONTH($Q$2),"00")&amp;$O1043,日報!$L:$L)</f>
        <v>0</v>
      </c>
      <c r="R1043" s="65">
        <f ca="1">SUMIF(日報!$J:$J,$O1043,日報!$L:$L)</f>
        <v>0</v>
      </c>
    </row>
    <row r="1044" spans="15:18" x14ac:dyDescent="0.15">
      <c r="O1044" s="7" t="str">
        <f>"REQ"&amp;TEXT([2]RequestList!$A1045,"0000")</f>
        <v>REQ0000</v>
      </c>
      <c r="P1044" s="7">
        <f>[2]RequestList!$J1045</f>
        <v>0</v>
      </c>
      <c r="Q1044" s="65">
        <f>SUMIF(日報!$R:$R,TEXT(YEAR($Q$2),"0000")&amp;TEXT(MONTH($Q$2),"00")&amp;$O1044,日報!$L:$L)</f>
        <v>0</v>
      </c>
      <c r="R1044" s="65">
        <f ca="1">SUMIF(日報!$J:$J,$O1044,日報!$L:$L)</f>
        <v>0</v>
      </c>
    </row>
    <row r="1045" spans="15:18" x14ac:dyDescent="0.15">
      <c r="O1045" s="7" t="str">
        <f>"REQ"&amp;TEXT([2]RequestList!$A1046,"0000")</f>
        <v>REQ0000</v>
      </c>
      <c r="P1045" s="7">
        <f>[2]RequestList!$J1046</f>
        <v>0</v>
      </c>
      <c r="Q1045" s="65">
        <f>SUMIF(日報!$R:$R,TEXT(YEAR($Q$2),"0000")&amp;TEXT(MONTH($Q$2),"00")&amp;$O1045,日報!$L:$L)</f>
        <v>0</v>
      </c>
      <c r="R1045" s="65">
        <f ca="1">SUMIF(日報!$J:$J,$O1045,日報!$L:$L)</f>
        <v>0</v>
      </c>
    </row>
    <row r="1046" spans="15:18" x14ac:dyDescent="0.15">
      <c r="O1046" s="7" t="str">
        <f>"REQ"&amp;TEXT([2]RequestList!$A1047,"0000")</f>
        <v>REQ0000</v>
      </c>
      <c r="P1046" s="7">
        <f>[2]RequestList!$J1047</f>
        <v>0</v>
      </c>
      <c r="Q1046" s="65">
        <f>SUMIF(日報!$R:$R,TEXT(YEAR($Q$2),"0000")&amp;TEXT(MONTH($Q$2),"00")&amp;$O1046,日報!$L:$L)</f>
        <v>0</v>
      </c>
      <c r="R1046" s="65">
        <f ca="1">SUMIF(日報!$J:$J,$O1046,日報!$L:$L)</f>
        <v>0</v>
      </c>
    </row>
    <row r="1047" spans="15:18" x14ac:dyDescent="0.15">
      <c r="O1047" s="7" t="str">
        <f>"REQ"&amp;TEXT([2]RequestList!$A1048,"0000")</f>
        <v>REQ0000</v>
      </c>
      <c r="P1047" s="7">
        <f>[2]RequestList!$J1048</f>
        <v>0</v>
      </c>
      <c r="Q1047" s="65">
        <f>SUMIF(日報!$R:$R,TEXT(YEAR($Q$2),"0000")&amp;TEXT(MONTH($Q$2),"00")&amp;$O1047,日報!$L:$L)</f>
        <v>0</v>
      </c>
      <c r="R1047" s="65">
        <f ca="1">SUMIF(日報!$J:$J,$O1047,日報!$L:$L)</f>
        <v>0</v>
      </c>
    </row>
    <row r="1048" spans="15:18" x14ac:dyDescent="0.15">
      <c r="O1048" s="7" t="str">
        <f>"REQ"&amp;TEXT([2]RequestList!$A1049,"0000")</f>
        <v>REQ0000</v>
      </c>
      <c r="P1048" s="7">
        <f>[2]RequestList!$J1049</f>
        <v>0</v>
      </c>
      <c r="Q1048" s="65">
        <f>SUMIF(日報!$R:$R,TEXT(YEAR($Q$2),"0000")&amp;TEXT(MONTH($Q$2),"00")&amp;$O1048,日報!$L:$L)</f>
        <v>0</v>
      </c>
      <c r="R1048" s="65">
        <f ca="1">SUMIF(日報!$J:$J,$O1048,日報!$L:$L)</f>
        <v>0</v>
      </c>
    </row>
    <row r="1049" spans="15:18" x14ac:dyDescent="0.15">
      <c r="O1049" s="7" t="str">
        <f>"REQ"&amp;TEXT([2]RequestList!$A1050,"0000")</f>
        <v>REQ0000</v>
      </c>
      <c r="P1049" s="7">
        <f>[2]RequestList!$J1050</f>
        <v>0</v>
      </c>
      <c r="Q1049" s="65">
        <f>SUMIF(日報!$R:$R,TEXT(YEAR($Q$2),"0000")&amp;TEXT(MONTH($Q$2),"00")&amp;$O1049,日報!$L:$L)</f>
        <v>0</v>
      </c>
      <c r="R1049" s="65">
        <f ca="1">SUMIF(日報!$J:$J,$O1049,日報!$L:$L)</f>
        <v>0</v>
      </c>
    </row>
    <row r="1050" spans="15:18" x14ac:dyDescent="0.15">
      <c r="O1050" s="7" t="str">
        <f>"REQ"&amp;TEXT([2]RequestList!$A1051,"0000")</f>
        <v>REQ0000</v>
      </c>
      <c r="P1050" s="7">
        <f>[2]RequestList!$J1051</f>
        <v>0</v>
      </c>
      <c r="Q1050" s="65">
        <f>SUMIF(日報!$R:$R,TEXT(YEAR($Q$2),"0000")&amp;TEXT(MONTH($Q$2),"00")&amp;$O1050,日報!$L:$L)</f>
        <v>0</v>
      </c>
      <c r="R1050" s="65">
        <f ca="1">SUMIF(日報!$J:$J,$O1050,日報!$L:$L)</f>
        <v>0</v>
      </c>
    </row>
    <row r="1051" spans="15:18" x14ac:dyDescent="0.15">
      <c r="O1051" s="7" t="str">
        <f>"REQ"&amp;TEXT([2]RequestList!$A1052,"0000")</f>
        <v>REQ0000</v>
      </c>
      <c r="P1051" s="7">
        <f>[2]RequestList!$J1052</f>
        <v>0</v>
      </c>
      <c r="Q1051" s="65">
        <f>SUMIF(日報!$R:$R,TEXT(YEAR($Q$2),"0000")&amp;TEXT(MONTH($Q$2),"00")&amp;$O1051,日報!$L:$L)</f>
        <v>0</v>
      </c>
      <c r="R1051" s="65">
        <f ca="1">SUMIF(日報!$J:$J,$O1051,日報!$L:$L)</f>
        <v>0</v>
      </c>
    </row>
    <row r="1052" spans="15:18" x14ac:dyDescent="0.15">
      <c r="O1052" s="7" t="str">
        <f>"REQ"&amp;TEXT([2]RequestList!$A1053,"0000")</f>
        <v>REQ0000</v>
      </c>
      <c r="P1052" s="7">
        <f>[2]RequestList!$J1053</f>
        <v>0</v>
      </c>
      <c r="Q1052" s="65">
        <f>SUMIF(日報!$R:$R,TEXT(YEAR($Q$2),"0000")&amp;TEXT(MONTH($Q$2),"00")&amp;$O1052,日報!$L:$L)</f>
        <v>0</v>
      </c>
      <c r="R1052" s="65">
        <f ca="1">SUMIF(日報!$J:$J,$O1052,日報!$L:$L)</f>
        <v>0</v>
      </c>
    </row>
    <row r="1053" spans="15:18" x14ac:dyDescent="0.15">
      <c r="O1053" s="7" t="str">
        <f>"REQ"&amp;TEXT([2]RequestList!$A1054,"0000")</f>
        <v>REQ0000</v>
      </c>
      <c r="P1053" s="7">
        <f>[2]RequestList!$J1054</f>
        <v>0</v>
      </c>
      <c r="Q1053" s="65">
        <f>SUMIF(日報!$R:$R,TEXT(YEAR($Q$2),"0000")&amp;TEXT(MONTH($Q$2),"00")&amp;$O1053,日報!$L:$L)</f>
        <v>0</v>
      </c>
      <c r="R1053" s="65">
        <f ca="1">SUMIF(日報!$J:$J,$O1053,日報!$L:$L)</f>
        <v>0</v>
      </c>
    </row>
    <row r="1054" spans="15:18" x14ac:dyDescent="0.15">
      <c r="O1054" s="7" t="str">
        <f>"REQ"&amp;TEXT([2]RequestList!$A1055,"0000")</f>
        <v>REQ0000</v>
      </c>
      <c r="P1054" s="7">
        <f>[2]RequestList!$J1055</f>
        <v>0</v>
      </c>
      <c r="Q1054" s="65">
        <f>SUMIF(日報!$R:$R,TEXT(YEAR($Q$2),"0000")&amp;TEXT(MONTH($Q$2),"00")&amp;$O1054,日報!$L:$L)</f>
        <v>0</v>
      </c>
      <c r="R1054" s="65">
        <f ca="1">SUMIF(日報!$J:$J,$O1054,日報!$L:$L)</f>
        <v>0</v>
      </c>
    </row>
    <row r="1055" spans="15:18" x14ac:dyDescent="0.15">
      <c r="O1055" s="7" t="str">
        <f>"REQ"&amp;TEXT([2]RequestList!$A1056,"0000")</f>
        <v>REQ0000</v>
      </c>
      <c r="P1055" s="7">
        <f>[2]RequestList!$J1056</f>
        <v>0</v>
      </c>
      <c r="Q1055" s="65">
        <f>SUMIF(日報!$R:$R,TEXT(YEAR($Q$2),"0000")&amp;TEXT(MONTH($Q$2),"00")&amp;$O1055,日報!$L:$L)</f>
        <v>0</v>
      </c>
      <c r="R1055" s="65">
        <f ca="1">SUMIF(日報!$J:$J,$O1055,日報!$L:$L)</f>
        <v>0</v>
      </c>
    </row>
    <row r="1056" spans="15:18" x14ac:dyDescent="0.15">
      <c r="O1056" s="7" t="str">
        <f>"REQ"&amp;TEXT([2]RequestList!$A1057,"0000")</f>
        <v>REQ0000</v>
      </c>
      <c r="P1056" s="7">
        <f>[2]RequestList!$J1057</f>
        <v>0</v>
      </c>
      <c r="Q1056" s="65">
        <f>SUMIF(日報!$R:$R,TEXT(YEAR($Q$2),"0000")&amp;TEXT(MONTH($Q$2),"00")&amp;$O1056,日報!$L:$L)</f>
        <v>0</v>
      </c>
      <c r="R1056" s="65">
        <f ca="1">SUMIF(日報!$J:$J,$O1056,日報!$L:$L)</f>
        <v>0</v>
      </c>
    </row>
    <row r="1057" spans="15:18" x14ac:dyDescent="0.15">
      <c r="O1057" s="7" t="str">
        <f>"REQ"&amp;TEXT([2]RequestList!$A1058,"0000")</f>
        <v>REQ0000</v>
      </c>
      <c r="P1057" s="7">
        <f>[2]RequestList!$J1058</f>
        <v>0</v>
      </c>
      <c r="Q1057" s="65">
        <f>SUMIF(日報!$R:$R,TEXT(YEAR($Q$2),"0000")&amp;TEXT(MONTH($Q$2),"00")&amp;$O1057,日報!$L:$L)</f>
        <v>0</v>
      </c>
      <c r="R1057" s="65">
        <f ca="1">SUMIF(日報!$J:$J,$O1057,日報!$L:$L)</f>
        <v>0</v>
      </c>
    </row>
    <row r="1058" spans="15:18" x14ac:dyDescent="0.15">
      <c r="O1058" s="7" t="str">
        <f>"REQ"&amp;TEXT([2]RequestList!$A1059,"0000")</f>
        <v>REQ0000</v>
      </c>
      <c r="P1058" s="7">
        <f>[2]RequestList!$J1059</f>
        <v>0</v>
      </c>
      <c r="Q1058" s="65">
        <f>SUMIF(日報!$R:$R,TEXT(YEAR($Q$2),"0000")&amp;TEXT(MONTH($Q$2),"00")&amp;$O1058,日報!$L:$L)</f>
        <v>0</v>
      </c>
      <c r="R1058" s="65">
        <f ca="1">SUMIF(日報!$J:$J,$O1058,日報!$L:$L)</f>
        <v>0</v>
      </c>
    </row>
    <row r="1059" spans="15:18" x14ac:dyDescent="0.15">
      <c r="O1059" s="7" t="str">
        <f>"REQ"&amp;TEXT([2]RequestList!$A1060,"0000")</f>
        <v>REQ0000</v>
      </c>
      <c r="P1059" s="7">
        <f>[2]RequestList!$J1060</f>
        <v>0</v>
      </c>
      <c r="Q1059" s="65">
        <f>SUMIF(日報!$R:$R,TEXT(YEAR($Q$2),"0000")&amp;TEXT(MONTH($Q$2),"00")&amp;$O1059,日報!$L:$L)</f>
        <v>0</v>
      </c>
      <c r="R1059" s="65">
        <f ca="1">SUMIF(日報!$J:$J,$O1059,日報!$L:$L)</f>
        <v>0</v>
      </c>
    </row>
    <row r="1060" spans="15:18" x14ac:dyDescent="0.15">
      <c r="O1060" s="7" t="str">
        <f>"REQ"&amp;TEXT([2]RequestList!$A1061,"0000")</f>
        <v>REQ0000</v>
      </c>
      <c r="P1060" s="7">
        <f>[2]RequestList!$J1061</f>
        <v>0</v>
      </c>
      <c r="Q1060" s="65">
        <f>SUMIF(日報!$R:$R,TEXT(YEAR($Q$2),"0000")&amp;TEXT(MONTH($Q$2),"00")&amp;$O1060,日報!$L:$L)</f>
        <v>0</v>
      </c>
      <c r="R1060" s="65">
        <f ca="1">SUMIF(日報!$J:$J,$O1060,日報!$L:$L)</f>
        <v>0</v>
      </c>
    </row>
    <row r="1061" spans="15:18" x14ac:dyDescent="0.15">
      <c r="O1061" s="7" t="str">
        <f>"REQ"&amp;TEXT([2]RequestList!$A1062,"0000")</f>
        <v>REQ0000</v>
      </c>
      <c r="P1061" s="7">
        <f>[2]RequestList!$J1062</f>
        <v>0</v>
      </c>
      <c r="Q1061" s="65">
        <f>SUMIF(日報!$R:$R,TEXT(YEAR($Q$2),"0000")&amp;TEXT(MONTH($Q$2),"00")&amp;$O1061,日報!$L:$L)</f>
        <v>0</v>
      </c>
      <c r="R1061" s="65">
        <f ca="1">SUMIF(日報!$J:$J,$O1061,日報!$L:$L)</f>
        <v>0</v>
      </c>
    </row>
    <row r="1062" spans="15:18" x14ac:dyDescent="0.15">
      <c r="O1062" s="7" t="str">
        <f>"REQ"&amp;TEXT([2]RequestList!$A1063,"0000")</f>
        <v>REQ0000</v>
      </c>
      <c r="P1062" s="7">
        <f>[2]RequestList!$J1063</f>
        <v>0</v>
      </c>
      <c r="Q1062" s="65">
        <f>SUMIF(日報!$R:$R,TEXT(YEAR($Q$2),"0000")&amp;TEXT(MONTH($Q$2),"00")&amp;$O1062,日報!$L:$L)</f>
        <v>0</v>
      </c>
      <c r="R1062" s="65">
        <f ca="1">SUMIF(日報!$J:$J,$O1062,日報!$L:$L)</f>
        <v>0</v>
      </c>
    </row>
    <row r="1063" spans="15:18" x14ac:dyDescent="0.15">
      <c r="O1063" s="7" t="str">
        <f>"REQ"&amp;TEXT([2]RequestList!$A1064,"0000")</f>
        <v>REQ0000</v>
      </c>
      <c r="P1063" s="7">
        <f>[2]RequestList!$J1064</f>
        <v>0</v>
      </c>
      <c r="Q1063" s="65">
        <f>SUMIF(日報!$R:$R,TEXT(YEAR($Q$2),"0000")&amp;TEXT(MONTH($Q$2),"00")&amp;$O1063,日報!$L:$L)</f>
        <v>0</v>
      </c>
      <c r="R1063" s="65">
        <f ca="1">SUMIF(日報!$J:$J,$O1063,日報!$L:$L)</f>
        <v>0</v>
      </c>
    </row>
    <row r="1064" spans="15:18" x14ac:dyDescent="0.15">
      <c r="O1064" s="7" t="str">
        <f>"REQ"&amp;TEXT([2]RequestList!$A1065,"0000")</f>
        <v>REQ0000</v>
      </c>
      <c r="P1064" s="7">
        <f>[2]RequestList!$J1065</f>
        <v>0</v>
      </c>
      <c r="Q1064" s="65">
        <f>SUMIF(日報!$R:$R,TEXT(YEAR($Q$2),"0000")&amp;TEXT(MONTH($Q$2),"00")&amp;$O1064,日報!$L:$L)</f>
        <v>0</v>
      </c>
      <c r="R1064" s="65">
        <f ca="1">SUMIF(日報!$J:$J,$O1064,日報!$L:$L)</f>
        <v>0</v>
      </c>
    </row>
    <row r="1065" spans="15:18" x14ac:dyDescent="0.15">
      <c r="O1065" s="7" t="str">
        <f>"REQ"&amp;TEXT([2]RequestList!$A1066,"0000")</f>
        <v>REQ0000</v>
      </c>
      <c r="P1065" s="7">
        <f>[2]RequestList!$J1066</f>
        <v>0</v>
      </c>
      <c r="Q1065" s="65">
        <f>SUMIF(日報!$R:$R,TEXT(YEAR($Q$2),"0000")&amp;TEXT(MONTH($Q$2),"00")&amp;$O1065,日報!$L:$L)</f>
        <v>0</v>
      </c>
      <c r="R1065" s="65">
        <f ca="1">SUMIF(日報!$J:$J,$O1065,日報!$L:$L)</f>
        <v>0</v>
      </c>
    </row>
    <row r="1066" spans="15:18" x14ac:dyDescent="0.15">
      <c r="O1066" s="7" t="str">
        <f>"REQ"&amp;TEXT([2]RequestList!$A1067,"0000")</f>
        <v>REQ0000</v>
      </c>
      <c r="P1066" s="7">
        <f>[2]RequestList!$J1067</f>
        <v>0</v>
      </c>
      <c r="Q1066" s="65">
        <f>SUMIF(日報!$R:$R,TEXT(YEAR($Q$2),"0000")&amp;TEXT(MONTH($Q$2),"00")&amp;$O1066,日報!$L:$L)</f>
        <v>0</v>
      </c>
      <c r="R1066" s="65">
        <f ca="1">SUMIF(日報!$J:$J,$O1066,日報!$L:$L)</f>
        <v>0</v>
      </c>
    </row>
    <row r="1067" spans="15:18" x14ac:dyDescent="0.15">
      <c r="O1067" s="7" t="str">
        <f>"REQ"&amp;TEXT([2]RequestList!$A1068,"0000")</f>
        <v>REQ0000</v>
      </c>
      <c r="P1067" s="7">
        <f>[2]RequestList!$J1068</f>
        <v>0</v>
      </c>
      <c r="Q1067" s="65">
        <f>SUMIF(日報!$R:$R,TEXT(YEAR($Q$2),"0000")&amp;TEXT(MONTH($Q$2),"00")&amp;$O1067,日報!$L:$L)</f>
        <v>0</v>
      </c>
      <c r="R1067" s="65">
        <f ca="1">SUMIF(日報!$J:$J,$O1067,日報!$L:$L)</f>
        <v>0</v>
      </c>
    </row>
    <row r="1068" spans="15:18" x14ac:dyDescent="0.15">
      <c r="O1068" s="7" t="str">
        <f>"REQ"&amp;TEXT([2]RequestList!$A1069,"0000")</f>
        <v>REQ0000</v>
      </c>
      <c r="P1068" s="7">
        <f>[2]RequestList!$J1069</f>
        <v>0</v>
      </c>
      <c r="Q1068" s="65">
        <f>SUMIF(日報!$R:$R,TEXT(YEAR($Q$2),"0000")&amp;TEXT(MONTH($Q$2),"00")&amp;$O1068,日報!$L:$L)</f>
        <v>0</v>
      </c>
      <c r="R1068" s="65">
        <f ca="1">SUMIF(日報!$J:$J,$O1068,日報!$L:$L)</f>
        <v>0</v>
      </c>
    </row>
    <row r="1069" spans="15:18" x14ac:dyDescent="0.15">
      <c r="O1069" s="7" t="str">
        <f>"REQ"&amp;TEXT([2]RequestList!$A1070,"0000")</f>
        <v>REQ0000</v>
      </c>
      <c r="P1069" s="7">
        <f>[2]RequestList!$J1070</f>
        <v>0</v>
      </c>
      <c r="Q1069" s="65">
        <f>SUMIF(日報!$R:$R,TEXT(YEAR($Q$2),"0000")&amp;TEXT(MONTH($Q$2),"00")&amp;$O1069,日報!$L:$L)</f>
        <v>0</v>
      </c>
      <c r="R1069" s="65">
        <f ca="1">SUMIF(日報!$J:$J,$O1069,日報!$L:$L)</f>
        <v>0</v>
      </c>
    </row>
    <row r="1070" spans="15:18" x14ac:dyDescent="0.15">
      <c r="O1070" s="7" t="str">
        <f>"REQ"&amp;TEXT([2]RequestList!$A1071,"0000")</f>
        <v>REQ0000</v>
      </c>
      <c r="P1070" s="7">
        <f>[2]RequestList!$J1071</f>
        <v>0</v>
      </c>
      <c r="Q1070" s="65">
        <f>SUMIF(日報!$R:$R,TEXT(YEAR($Q$2),"0000")&amp;TEXT(MONTH($Q$2),"00")&amp;$O1070,日報!$L:$L)</f>
        <v>0</v>
      </c>
      <c r="R1070" s="65">
        <f ca="1">SUMIF(日報!$J:$J,$O1070,日報!$L:$L)</f>
        <v>0</v>
      </c>
    </row>
    <row r="1071" spans="15:18" x14ac:dyDescent="0.15">
      <c r="O1071" s="7" t="str">
        <f>"REQ"&amp;TEXT([2]RequestList!$A1072,"0000")</f>
        <v>REQ0000</v>
      </c>
      <c r="P1071" s="7">
        <f>[2]RequestList!$J1072</f>
        <v>0</v>
      </c>
      <c r="Q1071" s="65">
        <f>SUMIF(日報!$R:$R,TEXT(YEAR($Q$2),"0000")&amp;TEXT(MONTH($Q$2),"00")&amp;$O1071,日報!$L:$L)</f>
        <v>0</v>
      </c>
      <c r="R1071" s="65">
        <f ca="1">SUMIF(日報!$J:$J,$O1071,日報!$L:$L)</f>
        <v>0</v>
      </c>
    </row>
    <row r="1072" spans="15:18" x14ac:dyDescent="0.15">
      <c r="O1072" s="7" t="str">
        <f>"REQ"&amp;TEXT([2]RequestList!$A1073,"0000")</f>
        <v>REQ0000</v>
      </c>
      <c r="P1072" s="7">
        <f>[2]RequestList!$J1073</f>
        <v>0</v>
      </c>
      <c r="Q1072" s="65">
        <f>SUMIF(日報!$R:$R,TEXT(YEAR($Q$2),"0000")&amp;TEXT(MONTH($Q$2),"00")&amp;$O1072,日報!$L:$L)</f>
        <v>0</v>
      </c>
      <c r="R1072" s="65">
        <f ca="1">SUMIF(日報!$J:$J,$O1072,日報!$L:$L)</f>
        <v>0</v>
      </c>
    </row>
    <row r="1073" spans="15:18" x14ac:dyDescent="0.15">
      <c r="O1073" s="7" t="str">
        <f>"REQ"&amp;TEXT([2]RequestList!$A1074,"0000")</f>
        <v>REQ0000</v>
      </c>
      <c r="P1073" s="7">
        <f>[2]RequestList!$J1074</f>
        <v>0</v>
      </c>
      <c r="Q1073" s="65">
        <f>SUMIF(日報!$R:$R,TEXT(YEAR($Q$2),"0000")&amp;TEXT(MONTH($Q$2),"00")&amp;$O1073,日報!$L:$L)</f>
        <v>0</v>
      </c>
      <c r="R1073" s="65">
        <f ca="1">SUMIF(日報!$J:$J,$O1073,日報!$L:$L)</f>
        <v>0</v>
      </c>
    </row>
    <row r="1074" spans="15:18" x14ac:dyDescent="0.15">
      <c r="O1074" s="7" t="str">
        <f>"REQ"&amp;TEXT([2]RequestList!$A1075,"0000")</f>
        <v>REQ0000</v>
      </c>
      <c r="P1074" s="7">
        <f>[2]RequestList!$J1075</f>
        <v>0</v>
      </c>
      <c r="Q1074" s="65">
        <f>SUMIF(日報!$R:$R,TEXT(YEAR($Q$2),"0000")&amp;TEXT(MONTH($Q$2),"00")&amp;$O1074,日報!$L:$L)</f>
        <v>0</v>
      </c>
      <c r="R1074" s="65">
        <f ca="1">SUMIF(日報!$J:$J,$O1074,日報!$L:$L)</f>
        <v>0</v>
      </c>
    </row>
    <row r="1075" spans="15:18" x14ac:dyDescent="0.15">
      <c r="O1075" s="7" t="str">
        <f>"REQ"&amp;TEXT([2]RequestList!$A1076,"0000")</f>
        <v>REQ0000</v>
      </c>
      <c r="P1075" s="7">
        <f>[2]RequestList!$J1076</f>
        <v>0</v>
      </c>
      <c r="Q1075" s="65">
        <f>SUMIF(日報!$R:$R,TEXT(YEAR($Q$2),"0000")&amp;TEXT(MONTH($Q$2),"00")&amp;$O1075,日報!$L:$L)</f>
        <v>0</v>
      </c>
      <c r="R1075" s="65">
        <f ca="1">SUMIF(日報!$J:$J,$O1075,日報!$L:$L)</f>
        <v>0</v>
      </c>
    </row>
    <row r="1076" spans="15:18" x14ac:dyDescent="0.15">
      <c r="O1076" s="7" t="str">
        <f>"REQ"&amp;TEXT([2]RequestList!$A1077,"0000")</f>
        <v>REQ0000</v>
      </c>
      <c r="P1076" s="7">
        <f>[2]RequestList!$J1077</f>
        <v>0</v>
      </c>
      <c r="Q1076" s="65">
        <f>SUMIF(日報!$R:$R,TEXT(YEAR($Q$2),"0000")&amp;TEXT(MONTH($Q$2),"00")&amp;$O1076,日報!$L:$L)</f>
        <v>0</v>
      </c>
      <c r="R1076" s="65">
        <f ca="1">SUMIF(日報!$J:$J,$O1076,日報!$L:$L)</f>
        <v>0</v>
      </c>
    </row>
    <row r="1077" spans="15:18" x14ac:dyDescent="0.15">
      <c r="O1077" s="7" t="str">
        <f>"REQ"&amp;TEXT([2]RequestList!$A1078,"0000")</f>
        <v>REQ0000</v>
      </c>
      <c r="P1077" s="7">
        <f>[2]RequestList!$J1078</f>
        <v>0</v>
      </c>
      <c r="Q1077" s="65">
        <f>SUMIF(日報!$R:$R,TEXT(YEAR($Q$2),"0000")&amp;TEXT(MONTH($Q$2),"00")&amp;$O1077,日報!$L:$L)</f>
        <v>0</v>
      </c>
      <c r="R1077" s="65">
        <f ca="1">SUMIF(日報!$J:$J,$O1077,日報!$L:$L)</f>
        <v>0</v>
      </c>
    </row>
    <row r="1078" spans="15:18" x14ac:dyDescent="0.15">
      <c r="O1078" s="7" t="str">
        <f>"REQ"&amp;TEXT([2]RequestList!$A1079,"0000")</f>
        <v>REQ0000</v>
      </c>
      <c r="P1078" s="7">
        <f>[2]RequestList!$J1079</f>
        <v>0</v>
      </c>
      <c r="Q1078" s="65">
        <f>SUMIF(日報!$R:$R,TEXT(YEAR($Q$2),"0000")&amp;TEXT(MONTH($Q$2),"00")&amp;$O1078,日報!$L:$L)</f>
        <v>0</v>
      </c>
      <c r="R1078" s="65">
        <f ca="1">SUMIF(日報!$J:$J,$O1078,日報!$L:$L)</f>
        <v>0</v>
      </c>
    </row>
    <row r="1079" spans="15:18" x14ac:dyDescent="0.15">
      <c r="O1079" s="7" t="str">
        <f>"REQ"&amp;TEXT([2]RequestList!$A1080,"0000")</f>
        <v>REQ0000</v>
      </c>
      <c r="P1079" s="7">
        <f>[2]RequestList!$J1080</f>
        <v>0</v>
      </c>
      <c r="Q1079" s="65">
        <f>SUMIF(日報!$R:$R,TEXT(YEAR($Q$2),"0000")&amp;TEXT(MONTH($Q$2),"00")&amp;$O1079,日報!$L:$L)</f>
        <v>0</v>
      </c>
      <c r="R1079" s="65">
        <f ca="1">SUMIF(日報!$J:$J,$O1079,日報!$L:$L)</f>
        <v>0</v>
      </c>
    </row>
    <row r="1080" spans="15:18" x14ac:dyDescent="0.15">
      <c r="O1080" s="7" t="str">
        <f>"REQ"&amp;TEXT([2]RequestList!$A1081,"0000")</f>
        <v>REQ0000</v>
      </c>
      <c r="P1080" s="7">
        <f>[2]RequestList!$J1081</f>
        <v>0</v>
      </c>
      <c r="Q1080" s="65">
        <f>SUMIF(日報!$R:$R,TEXT(YEAR($Q$2),"0000")&amp;TEXT(MONTH($Q$2),"00")&amp;$O1080,日報!$L:$L)</f>
        <v>0</v>
      </c>
      <c r="R1080" s="65">
        <f ca="1">SUMIF(日報!$J:$J,$O1080,日報!$L:$L)</f>
        <v>0</v>
      </c>
    </row>
    <row r="1081" spans="15:18" x14ac:dyDescent="0.15">
      <c r="O1081" s="7" t="str">
        <f>"REQ"&amp;TEXT([2]RequestList!$A1082,"0000")</f>
        <v>REQ0000</v>
      </c>
      <c r="P1081" s="7">
        <f>[2]RequestList!$J1082</f>
        <v>0</v>
      </c>
      <c r="Q1081" s="65">
        <f>SUMIF(日報!$R:$R,TEXT(YEAR($Q$2),"0000")&amp;TEXT(MONTH($Q$2),"00")&amp;$O1081,日報!$L:$L)</f>
        <v>0</v>
      </c>
      <c r="R1081" s="65">
        <f ca="1">SUMIF(日報!$J:$J,$O1081,日報!$L:$L)</f>
        <v>0</v>
      </c>
    </row>
    <row r="1082" spans="15:18" x14ac:dyDescent="0.15">
      <c r="O1082" s="7" t="str">
        <f>"REQ"&amp;TEXT([2]RequestList!$A1083,"0000")</f>
        <v>REQ0000</v>
      </c>
      <c r="P1082" s="7">
        <f>[2]RequestList!$J1083</f>
        <v>0</v>
      </c>
      <c r="Q1082" s="65">
        <f>SUMIF(日報!$R:$R,TEXT(YEAR($Q$2),"0000")&amp;TEXT(MONTH($Q$2),"00")&amp;$O1082,日報!$L:$L)</f>
        <v>0</v>
      </c>
      <c r="R1082" s="65">
        <f ca="1">SUMIF(日報!$J:$J,$O1082,日報!$L:$L)</f>
        <v>0</v>
      </c>
    </row>
    <row r="1083" spans="15:18" x14ac:dyDescent="0.15">
      <c r="O1083" s="7" t="str">
        <f>"REQ"&amp;TEXT([2]RequestList!$A1084,"0000")</f>
        <v>REQ0000</v>
      </c>
      <c r="P1083" s="7">
        <f>[2]RequestList!$J1084</f>
        <v>0</v>
      </c>
      <c r="Q1083" s="65">
        <f>SUMIF(日報!$R:$R,TEXT(YEAR($Q$2),"0000")&amp;TEXT(MONTH($Q$2),"00")&amp;$O1083,日報!$L:$L)</f>
        <v>0</v>
      </c>
      <c r="R1083" s="65">
        <f ca="1">SUMIF(日報!$J:$J,$O1083,日報!$L:$L)</f>
        <v>0</v>
      </c>
    </row>
    <row r="1084" spans="15:18" x14ac:dyDescent="0.15">
      <c r="O1084" s="7" t="str">
        <f>"REQ"&amp;TEXT([2]RequestList!$A1085,"0000")</f>
        <v>REQ0000</v>
      </c>
      <c r="P1084" s="7">
        <f>[2]RequestList!$J1085</f>
        <v>0</v>
      </c>
      <c r="Q1084" s="65">
        <f>SUMIF(日報!$R:$R,TEXT(YEAR($Q$2),"0000")&amp;TEXT(MONTH($Q$2),"00")&amp;$O1084,日報!$L:$L)</f>
        <v>0</v>
      </c>
      <c r="R1084" s="65">
        <f ca="1">SUMIF(日報!$J:$J,$O1084,日報!$L:$L)</f>
        <v>0</v>
      </c>
    </row>
    <row r="1085" spans="15:18" x14ac:dyDescent="0.15">
      <c r="O1085" s="7" t="str">
        <f>"REQ"&amp;TEXT([2]RequestList!$A1086,"0000")</f>
        <v>REQ0000</v>
      </c>
      <c r="P1085" s="7">
        <f>[2]RequestList!$J1086</f>
        <v>0</v>
      </c>
      <c r="Q1085" s="65">
        <f>SUMIF(日報!$R:$R,TEXT(YEAR($Q$2),"0000")&amp;TEXT(MONTH($Q$2),"00")&amp;$O1085,日報!$L:$L)</f>
        <v>0</v>
      </c>
      <c r="R1085" s="65">
        <f ca="1">SUMIF(日報!$J:$J,$O1085,日報!$L:$L)</f>
        <v>0</v>
      </c>
    </row>
    <row r="1086" spans="15:18" x14ac:dyDescent="0.15">
      <c r="O1086" s="7" t="str">
        <f>"REQ"&amp;TEXT([2]RequestList!$A1087,"0000")</f>
        <v>REQ0000</v>
      </c>
      <c r="P1086" s="7">
        <f>[2]RequestList!$J1087</f>
        <v>0</v>
      </c>
      <c r="Q1086" s="65">
        <f>SUMIF(日報!$R:$R,TEXT(YEAR($Q$2),"0000")&amp;TEXT(MONTH($Q$2),"00")&amp;$O1086,日報!$L:$L)</f>
        <v>0</v>
      </c>
      <c r="R1086" s="65">
        <f ca="1">SUMIF(日報!$J:$J,$O1086,日報!$L:$L)</f>
        <v>0</v>
      </c>
    </row>
    <row r="1087" spans="15:18" x14ac:dyDescent="0.15">
      <c r="O1087" s="7" t="str">
        <f>"REQ"&amp;TEXT([2]RequestList!$A1088,"0000")</f>
        <v>REQ0000</v>
      </c>
      <c r="P1087" s="7">
        <f>[2]RequestList!$J1088</f>
        <v>0</v>
      </c>
      <c r="Q1087" s="65">
        <f>SUMIF(日報!$R:$R,TEXT(YEAR($Q$2),"0000")&amp;TEXT(MONTH($Q$2),"00")&amp;$O1087,日報!$L:$L)</f>
        <v>0</v>
      </c>
      <c r="R1087" s="65">
        <f ca="1">SUMIF(日報!$J:$J,$O1087,日報!$L:$L)</f>
        <v>0</v>
      </c>
    </row>
    <row r="1088" spans="15:18" x14ac:dyDescent="0.15">
      <c r="O1088" s="7" t="str">
        <f>"REQ"&amp;TEXT([2]RequestList!$A1089,"0000")</f>
        <v>REQ0000</v>
      </c>
      <c r="P1088" s="7">
        <f>[2]RequestList!$J1089</f>
        <v>0</v>
      </c>
      <c r="Q1088" s="65">
        <f>SUMIF(日報!$R:$R,TEXT(YEAR($Q$2),"0000")&amp;TEXT(MONTH($Q$2),"00")&amp;$O1088,日報!$L:$L)</f>
        <v>0</v>
      </c>
      <c r="R1088" s="65">
        <f ca="1">SUMIF(日報!$J:$J,$O1088,日報!$L:$L)</f>
        <v>0</v>
      </c>
    </row>
    <row r="1089" spans="15:18" x14ac:dyDescent="0.15">
      <c r="O1089" s="7" t="str">
        <f>"REQ"&amp;TEXT([2]RequestList!$A1090,"0000")</f>
        <v>REQ0000</v>
      </c>
      <c r="P1089" s="7">
        <f>[2]RequestList!$J1090</f>
        <v>0</v>
      </c>
      <c r="Q1089" s="65">
        <f>SUMIF(日報!$R:$R,TEXT(YEAR($Q$2),"0000")&amp;TEXT(MONTH($Q$2),"00")&amp;$O1089,日報!$L:$L)</f>
        <v>0</v>
      </c>
      <c r="R1089" s="65">
        <f ca="1">SUMIF(日報!$J:$J,$O1089,日報!$L:$L)</f>
        <v>0</v>
      </c>
    </row>
    <row r="1090" spans="15:18" x14ac:dyDescent="0.15">
      <c r="O1090" s="7" t="str">
        <f>"REQ"&amp;TEXT([2]RequestList!$A1091,"0000")</f>
        <v>REQ0000</v>
      </c>
      <c r="P1090" s="7">
        <f>[2]RequestList!$J1091</f>
        <v>0</v>
      </c>
      <c r="Q1090" s="65">
        <f>SUMIF(日報!$R:$R,TEXT(YEAR($Q$2),"0000")&amp;TEXT(MONTH($Q$2),"00")&amp;$O1090,日報!$L:$L)</f>
        <v>0</v>
      </c>
      <c r="R1090" s="65">
        <f ca="1">SUMIF(日報!$J:$J,$O1090,日報!$L:$L)</f>
        <v>0</v>
      </c>
    </row>
    <row r="1091" spans="15:18" x14ac:dyDescent="0.15">
      <c r="O1091" s="7" t="str">
        <f>"REQ"&amp;TEXT([2]RequestList!$A1092,"0000")</f>
        <v>REQ0000</v>
      </c>
      <c r="P1091" s="7">
        <f>[2]RequestList!$J1092</f>
        <v>0</v>
      </c>
      <c r="Q1091" s="65">
        <f>SUMIF(日報!$R:$R,TEXT(YEAR($Q$2),"0000")&amp;TEXT(MONTH($Q$2),"00")&amp;$O1091,日報!$L:$L)</f>
        <v>0</v>
      </c>
      <c r="R1091" s="65">
        <f ca="1">SUMIF(日報!$J:$J,$O1091,日報!$L:$L)</f>
        <v>0</v>
      </c>
    </row>
    <row r="1092" spans="15:18" x14ac:dyDescent="0.15">
      <c r="O1092" s="7" t="str">
        <f>"REQ"&amp;TEXT([2]RequestList!$A1093,"0000")</f>
        <v>REQ0000</v>
      </c>
      <c r="P1092" s="7">
        <f>[2]RequestList!$J1093</f>
        <v>0</v>
      </c>
      <c r="Q1092" s="65">
        <f>SUMIF(日報!$R:$R,TEXT(YEAR($Q$2),"0000")&amp;TEXT(MONTH($Q$2),"00")&amp;$O1092,日報!$L:$L)</f>
        <v>0</v>
      </c>
      <c r="R1092" s="65">
        <f ca="1">SUMIF(日報!$J:$J,$O1092,日報!$L:$L)</f>
        <v>0</v>
      </c>
    </row>
    <row r="1093" spans="15:18" x14ac:dyDescent="0.15">
      <c r="O1093" s="7" t="str">
        <f>"REQ"&amp;TEXT([2]RequestList!$A1094,"0000")</f>
        <v>REQ0000</v>
      </c>
      <c r="P1093" s="7">
        <f>[2]RequestList!$J1094</f>
        <v>0</v>
      </c>
      <c r="Q1093" s="65">
        <f>SUMIF(日報!$R:$R,TEXT(YEAR($Q$2),"0000")&amp;TEXT(MONTH($Q$2),"00")&amp;$O1093,日報!$L:$L)</f>
        <v>0</v>
      </c>
      <c r="R1093" s="65">
        <f ca="1">SUMIF(日報!$J:$J,$O1093,日報!$L:$L)</f>
        <v>0</v>
      </c>
    </row>
    <row r="1094" spans="15:18" x14ac:dyDescent="0.15">
      <c r="O1094" s="7" t="str">
        <f>"REQ"&amp;TEXT([2]RequestList!$A1095,"0000")</f>
        <v>REQ0000</v>
      </c>
      <c r="P1094" s="7">
        <f>[2]RequestList!$J1095</f>
        <v>0</v>
      </c>
      <c r="Q1094" s="65">
        <f>SUMIF(日報!$R:$R,TEXT(YEAR($Q$2),"0000")&amp;TEXT(MONTH($Q$2),"00")&amp;$O1094,日報!$L:$L)</f>
        <v>0</v>
      </c>
      <c r="R1094" s="65">
        <f ca="1">SUMIF(日報!$J:$J,$O1094,日報!$L:$L)</f>
        <v>0</v>
      </c>
    </row>
    <row r="1095" spans="15:18" x14ac:dyDescent="0.15">
      <c r="O1095" s="7" t="str">
        <f>"REQ"&amp;TEXT([2]RequestList!$A1096,"0000")</f>
        <v>REQ0000</v>
      </c>
      <c r="P1095" s="7">
        <f>[2]RequestList!$J1096</f>
        <v>0</v>
      </c>
      <c r="Q1095" s="65">
        <f>SUMIF(日報!$R:$R,TEXT(YEAR($Q$2),"0000")&amp;TEXT(MONTH($Q$2),"00")&amp;$O1095,日報!$L:$L)</f>
        <v>0</v>
      </c>
      <c r="R1095" s="65">
        <f ca="1">SUMIF(日報!$J:$J,$O1095,日報!$L:$L)</f>
        <v>0</v>
      </c>
    </row>
    <row r="1096" spans="15:18" x14ac:dyDescent="0.15">
      <c r="O1096" s="7" t="str">
        <f>"REQ"&amp;TEXT([2]RequestList!$A1097,"0000")</f>
        <v>REQ0000</v>
      </c>
      <c r="P1096" s="7">
        <f>[2]RequestList!$J1097</f>
        <v>0</v>
      </c>
      <c r="Q1096" s="65">
        <f>SUMIF(日報!$R:$R,TEXT(YEAR($Q$2),"0000")&amp;TEXT(MONTH($Q$2),"00")&amp;$O1096,日報!$L:$L)</f>
        <v>0</v>
      </c>
      <c r="R1096" s="65">
        <f ca="1">SUMIF(日報!$J:$J,$O1096,日報!$L:$L)</f>
        <v>0</v>
      </c>
    </row>
    <row r="1097" spans="15:18" x14ac:dyDescent="0.15">
      <c r="O1097" s="7" t="str">
        <f>"REQ"&amp;TEXT([2]RequestList!$A1098,"0000")</f>
        <v>REQ0000</v>
      </c>
      <c r="P1097" s="7">
        <f>[2]RequestList!$J1098</f>
        <v>0</v>
      </c>
      <c r="Q1097" s="65">
        <f>SUMIF(日報!$R:$R,TEXT(YEAR($Q$2),"0000")&amp;TEXT(MONTH($Q$2),"00")&amp;$O1097,日報!$L:$L)</f>
        <v>0</v>
      </c>
      <c r="R1097" s="65">
        <f ca="1">SUMIF(日報!$J:$J,$O1097,日報!$L:$L)</f>
        <v>0</v>
      </c>
    </row>
    <row r="1098" spans="15:18" x14ac:dyDescent="0.15">
      <c r="O1098" s="7" t="str">
        <f>"REQ"&amp;TEXT([2]RequestList!$A1099,"0000")</f>
        <v>REQ0000</v>
      </c>
      <c r="P1098" s="7">
        <f>[2]RequestList!$J1099</f>
        <v>0</v>
      </c>
      <c r="Q1098" s="65">
        <f>SUMIF(日報!$R:$R,TEXT(YEAR($Q$2),"0000")&amp;TEXT(MONTH($Q$2),"00")&amp;$O1098,日報!$L:$L)</f>
        <v>0</v>
      </c>
      <c r="R1098" s="65">
        <f ca="1">SUMIF(日報!$J:$J,$O1098,日報!$L:$L)</f>
        <v>0</v>
      </c>
    </row>
    <row r="1099" spans="15:18" x14ac:dyDescent="0.15">
      <c r="O1099" s="7" t="str">
        <f>"REQ"&amp;TEXT([2]RequestList!$A1100,"0000")</f>
        <v>REQ0000</v>
      </c>
      <c r="P1099" s="7">
        <f>[2]RequestList!$J1100</f>
        <v>0</v>
      </c>
      <c r="Q1099" s="65">
        <f>SUMIF(日報!$R:$R,TEXT(YEAR($Q$2),"0000")&amp;TEXT(MONTH($Q$2),"00")&amp;$O1099,日報!$L:$L)</f>
        <v>0</v>
      </c>
      <c r="R1099" s="65">
        <f ca="1">SUMIF(日報!$J:$J,$O1099,日報!$L:$L)</f>
        <v>0</v>
      </c>
    </row>
    <row r="1100" spans="15:18" x14ac:dyDescent="0.15">
      <c r="O1100" s="7" t="str">
        <f>"REQ"&amp;TEXT([2]RequestList!$A1101,"0000")</f>
        <v>REQ0000</v>
      </c>
      <c r="P1100" s="7">
        <f>[2]RequestList!$J1101</f>
        <v>0</v>
      </c>
      <c r="Q1100" s="65">
        <f>SUMIF(日報!$R:$R,TEXT(YEAR($Q$2),"0000")&amp;TEXT(MONTH($Q$2),"00")&amp;$O1100,日報!$L:$L)</f>
        <v>0</v>
      </c>
      <c r="R1100" s="65">
        <f ca="1">SUMIF(日報!$J:$J,$O1100,日報!$L:$L)</f>
        <v>0</v>
      </c>
    </row>
    <row r="1101" spans="15:18" x14ac:dyDescent="0.15">
      <c r="O1101" s="7" t="str">
        <f>"REQ"&amp;TEXT([2]RequestList!$A1102,"0000")</f>
        <v>REQ0000</v>
      </c>
      <c r="P1101" s="7">
        <f>[2]RequestList!$J1102</f>
        <v>0</v>
      </c>
      <c r="Q1101" s="65">
        <f>SUMIF(日報!$R:$R,TEXT(YEAR($Q$2),"0000")&amp;TEXT(MONTH($Q$2),"00")&amp;$O1101,日報!$L:$L)</f>
        <v>0</v>
      </c>
      <c r="R1101" s="65">
        <f ca="1">SUMIF(日報!$J:$J,$O1101,日報!$L:$L)</f>
        <v>0</v>
      </c>
    </row>
    <row r="1102" spans="15:18" x14ac:dyDescent="0.15">
      <c r="O1102" s="7" t="str">
        <f>"REQ"&amp;TEXT([2]RequestList!$A1103,"0000")</f>
        <v>REQ0000</v>
      </c>
      <c r="P1102" s="7">
        <f>[2]RequestList!$J1103</f>
        <v>0</v>
      </c>
      <c r="Q1102" s="65">
        <f>SUMIF(日報!$R:$R,TEXT(YEAR($Q$2),"0000")&amp;TEXT(MONTH($Q$2),"00")&amp;$O1102,日報!$L:$L)</f>
        <v>0</v>
      </c>
      <c r="R1102" s="65">
        <f ca="1">SUMIF(日報!$J:$J,$O1102,日報!$L:$L)</f>
        <v>0</v>
      </c>
    </row>
    <row r="1103" spans="15:18" x14ac:dyDescent="0.15">
      <c r="O1103" s="7" t="str">
        <f>"REQ"&amp;TEXT([2]RequestList!$A1104,"0000")</f>
        <v>REQ0000</v>
      </c>
      <c r="P1103" s="7">
        <f>[2]RequestList!$J1104</f>
        <v>0</v>
      </c>
      <c r="Q1103" s="65">
        <f>SUMIF(日報!$R:$R,TEXT(YEAR($Q$2),"0000")&amp;TEXT(MONTH($Q$2),"00")&amp;$O1103,日報!$L:$L)</f>
        <v>0</v>
      </c>
      <c r="R1103" s="65">
        <f ca="1">SUMIF(日報!$J:$J,$O1103,日報!$L:$L)</f>
        <v>0</v>
      </c>
    </row>
    <row r="1104" spans="15:18" x14ac:dyDescent="0.15">
      <c r="O1104" s="7" t="str">
        <f>"REQ"&amp;TEXT([2]RequestList!$A1105,"0000")</f>
        <v>REQ0000</v>
      </c>
      <c r="P1104" s="7">
        <f>[2]RequestList!$J1105</f>
        <v>0</v>
      </c>
      <c r="Q1104" s="65">
        <f>SUMIF(日報!$R:$R,TEXT(YEAR($Q$2),"0000")&amp;TEXT(MONTH($Q$2),"00")&amp;$O1104,日報!$L:$L)</f>
        <v>0</v>
      </c>
      <c r="R1104" s="65">
        <f ca="1">SUMIF(日報!$J:$J,$O1104,日報!$L:$L)</f>
        <v>0</v>
      </c>
    </row>
    <row r="1105" spans="15:18" x14ac:dyDescent="0.15">
      <c r="O1105" s="7" t="str">
        <f>"REQ"&amp;TEXT([2]RequestList!$A1106,"0000")</f>
        <v>REQ0000</v>
      </c>
      <c r="P1105" s="7">
        <f>[2]RequestList!$J1106</f>
        <v>0</v>
      </c>
      <c r="Q1105" s="65">
        <f>SUMIF(日報!$R:$R,TEXT(YEAR($Q$2),"0000")&amp;TEXT(MONTH($Q$2),"00")&amp;$O1105,日報!$L:$L)</f>
        <v>0</v>
      </c>
      <c r="R1105" s="65">
        <f ca="1">SUMIF(日報!$J:$J,$O1105,日報!$L:$L)</f>
        <v>0</v>
      </c>
    </row>
    <row r="1106" spans="15:18" x14ac:dyDescent="0.15">
      <c r="O1106" s="7" t="str">
        <f>"REQ"&amp;TEXT([2]RequestList!$A1107,"0000")</f>
        <v>REQ0000</v>
      </c>
      <c r="P1106" s="7">
        <f>[2]RequestList!$J1107</f>
        <v>0</v>
      </c>
      <c r="Q1106" s="65">
        <f>SUMIF(日報!$R:$R,TEXT(YEAR($Q$2),"0000")&amp;TEXT(MONTH($Q$2),"00")&amp;$O1106,日報!$L:$L)</f>
        <v>0</v>
      </c>
      <c r="R1106" s="65">
        <f ca="1">SUMIF(日報!$J:$J,$O1106,日報!$L:$L)</f>
        <v>0</v>
      </c>
    </row>
    <row r="1107" spans="15:18" x14ac:dyDescent="0.15">
      <c r="O1107" s="7" t="str">
        <f>"REQ"&amp;TEXT([2]RequestList!$A1108,"0000")</f>
        <v>REQ0000</v>
      </c>
      <c r="P1107" s="7">
        <f>[2]RequestList!$J1108</f>
        <v>0</v>
      </c>
      <c r="Q1107" s="65">
        <f>SUMIF(日報!$R:$R,TEXT(YEAR($Q$2),"0000")&amp;TEXT(MONTH($Q$2),"00")&amp;$O1107,日報!$L:$L)</f>
        <v>0</v>
      </c>
      <c r="R1107" s="65">
        <f ca="1">SUMIF(日報!$J:$J,$O1107,日報!$L:$L)</f>
        <v>0</v>
      </c>
    </row>
    <row r="1108" spans="15:18" x14ac:dyDescent="0.15">
      <c r="O1108" s="7" t="str">
        <f>"REQ"&amp;TEXT([2]RequestList!$A1109,"0000")</f>
        <v>REQ0000</v>
      </c>
      <c r="P1108" s="7">
        <f>[2]RequestList!$J1109</f>
        <v>0</v>
      </c>
      <c r="Q1108" s="65">
        <f>SUMIF(日報!$R:$R,TEXT(YEAR($Q$2),"0000")&amp;TEXT(MONTH($Q$2),"00")&amp;$O1108,日報!$L:$L)</f>
        <v>0</v>
      </c>
      <c r="R1108" s="65">
        <f ca="1">SUMIF(日報!$J:$J,$O1108,日報!$L:$L)</f>
        <v>0</v>
      </c>
    </row>
    <row r="1109" spans="15:18" x14ac:dyDescent="0.15">
      <c r="O1109" s="7" t="str">
        <f>"REQ"&amp;TEXT([2]RequestList!$A1110,"0000")</f>
        <v>REQ0000</v>
      </c>
      <c r="P1109" s="7">
        <f>[2]RequestList!$J1110</f>
        <v>0</v>
      </c>
      <c r="Q1109" s="65">
        <f>SUMIF(日報!$R:$R,TEXT(YEAR($Q$2),"0000")&amp;TEXT(MONTH($Q$2),"00")&amp;$O1109,日報!$L:$L)</f>
        <v>0</v>
      </c>
      <c r="R1109" s="65">
        <f ca="1">SUMIF(日報!$J:$J,$O1109,日報!$L:$L)</f>
        <v>0</v>
      </c>
    </row>
    <row r="1110" spans="15:18" x14ac:dyDescent="0.15">
      <c r="O1110" s="7" t="str">
        <f>"REQ"&amp;TEXT([2]RequestList!$A1111,"0000")</f>
        <v>REQ0000</v>
      </c>
      <c r="P1110" s="7">
        <f>[2]RequestList!$J1111</f>
        <v>0</v>
      </c>
      <c r="Q1110" s="65">
        <f>SUMIF(日報!$R:$R,TEXT(YEAR($Q$2),"0000")&amp;TEXT(MONTH($Q$2),"00")&amp;$O1110,日報!$L:$L)</f>
        <v>0</v>
      </c>
      <c r="R1110" s="65">
        <f ca="1">SUMIF(日報!$J:$J,$O1110,日報!$L:$L)</f>
        <v>0</v>
      </c>
    </row>
    <row r="1111" spans="15:18" x14ac:dyDescent="0.15">
      <c r="O1111" s="7" t="str">
        <f>"REQ"&amp;TEXT([2]RequestList!$A1112,"0000")</f>
        <v>REQ0000</v>
      </c>
      <c r="P1111" s="7">
        <f>[2]RequestList!$J1112</f>
        <v>0</v>
      </c>
      <c r="Q1111" s="65">
        <f>SUMIF(日報!$R:$R,TEXT(YEAR($Q$2),"0000")&amp;TEXT(MONTH($Q$2),"00")&amp;$O1111,日報!$L:$L)</f>
        <v>0</v>
      </c>
      <c r="R1111" s="65">
        <f ca="1">SUMIF(日報!$J:$J,$O1111,日報!$L:$L)</f>
        <v>0</v>
      </c>
    </row>
    <row r="1112" spans="15:18" x14ac:dyDescent="0.15">
      <c r="O1112" s="7" t="str">
        <f>"REQ"&amp;TEXT([2]RequestList!$A1113,"0000")</f>
        <v>REQ0000</v>
      </c>
      <c r="P1112" s="7">
        <f>[2]RequestList!$J1113</f>
        <v>0</v>
      </c>
      <c r="Q1112" s="65">
        <f>SUMIF(日報!$R:$R,TEXT(YEAR($Q$2),"0000")&amp;TEXT(MONTH($Q$2),"00")&amp;$O1112,日報!$L:$L)</f>
        <v>0</v>
      </c>
      <c r="R1112" s="65">
        <f ca="1">SUMIF(日報!$J:$J,$O1112,日報!$L:$L)</f>
        <v>0</v>
      </c>
    </row>
    <row r="1113" spans="15:18" x14ac:dyDescent="0.15">
      <c r="O1113" s="7" t="str">
        <f>"REQ"&amp;TEXT([2]RequestList!$A1114,"0000")</f>
        <v>REQ0000</v>
      </c>
      <c r="P1113" s="7">
        <f>[2]RequestList!$J1114</f>
        <v>0</v>
      </c>
      <c r="Q1113" s="65">
        <f>SUMIF(日報!$R:$R,TEXT(YEAR($Q$2),"0000")&amp;TEXT(MONTH($Q$2),"00")&amp;$O1113,日報!$L:$L)</f>
        <v>0</v>
      </c>
      <c r="R1113" s="65">
        <f ca="1">SUMIF(日報!$J:$J,$O1113,日報!$L:$L)</f>
        <v>0</v>
      </c>
    </row>
    <row r="1114" spans="15:18" x14ac:dyDescent="0.15">
      <c r="O1114" s="7" t="str">
        <f>"REQ"&amp;TEXT([2]RequestList!$A1115,"0000")</f>
        <v>REQ0000</v>
      </c>
      <c r="P1114" s="7">
        <f>[2]RequestList!$J1115</f>
        <v>0</v>
      </c>
      <c r="Q1114" s="65">
        <f>SUMIF(日報!$R:$R,TEXT(YEAR($Q$2),"0000")&amp;TEXT(MONTH($Q$2),"00")&amp;$O1114,日報!$L:$L)</f>
        <v>0</v>
      </c>
      <c r="R1114" s="65">
        <f ca="1">SUMIF(日報!$J:$J,$O1114,日報!$L:$L)</f>
        <v>0</v>
      </c>
    </row>
    <row r="1115" spans="15:18" x14ac:dyDescent="0.15">
      <c r="O1115" s="7" t="str">
        <f>"REQ"&amp;TEXT([2]RequestList!$A1116,"0000")</f>
        <v>REQ0000</v>
      </c>
      <c r="P1115" s="7">
        <f>[2]RequestList!$J1116</f>
        <v>0</v>
      </c>
      <c r="Q1115" s="65">
        <f>SUMIF(日報!$R:$R,TEXT(YEAR($Q$2),"0000")&amp;TEXT(MONTH($Q$2),"00")&amp;$O1115,日報!$L:$L)</f>
        <v>0</v>
      </c>
      <c r="R1115" s="65">
        <f ca="1">SUMIF(日報!$J:$J,$O1115,日報!$L:$L)</f>
        <v>0</v>
      </c>
    </row>
    <row r="1116" spans="15:18" x14ac:dyDescent="0.15">
      <c r="O1116" s="7" t="str">
        <f>"REQ"&amp;TEXT([2]RequestList!$A1117,"0000")</f>
        <v>REQ0000</v>
      </c>
      <c r="P1116" s="7">
        <f>[2]RequestList!$J1117</f>
        <v>0</v>
      </c>
      <c r="Q1116" s="65">
        <f>SUMIF(日報!$R:$R,TEXT(YEAR($Q$2),"0000")&amp;TEXT(MONTH($Q$2),"00")&amp;$O1116,日報!$L:$L)</f>
        <v>0</v>
      </c>
      <c r="R1116" s="65">
        <f ca="1">SUMIF(日報!$J:$J,$O1116,日報!$L:$L)</f>
        <v>0</v>
      </c>
    </row>
    <row r="1117" spans="15:18" x14ac:dyDescent="0.15">
      <c r="O1117" s="7" t="str">
        <f>"REQ"&amp;TEXT([2]RequestList!$A1118,"0000")</f>
        <v>REQ0000</v>
      </c>
      <c r="P1117" s="7">
        <f>[2]RequestList!$J1118</f>
        <v>0</v>
      </c>
      <c r="Q1117" s="65">
        <f>SUMIF(日報!$R:$R,TEXT(YEAR($Q$2),"0000")&amp;TEXT(MONTH($Q$2),"00")&amp;$O1117,日報!$L:$L)</f>
        <v>0</v>
      </c>
      <c r="R1117" s="65">
        <f ca="1">SUMIF(日報!$J:$J,$O1117,日報!$L:$L)</f>
        <v>0</v>
      </c>
    </row>
    <row r="1118" spans="15:18" x14ac:dyDescent="0.15">
      <c r="O1118" s="7" t="str">
        <f>"REQ"&amp;TEXT([2]RequestList!$A1119,"0000")</f>
        <v>REQ0000</v>
      </c>
      <c r="P1118" s="7">
        <f>[2]RequestList!$J1119</f>
        <v>0</v>
      </c>
      <c r="Q1118" s="65">
        <f>SUMIF(日報!$R:$R,TEXT(YEAR($Q$2),"0000")&amp;TEXT(MONTH($Q$2),"00")&amp;$O1118,日報!$L:$L)</f>
        <v>0</v>
      </c>
      <c r="R1118" s="65">
        <f ca="1">SUMIF(日報!$J:$J,$O1118,日報!$L:$L)</f>
        <v>0</v>
      </c>
    </row>
    <row r="1119" spans="15:18" x14ac:dyDescent="0.15">
      <c r="O1119" s="7" t="str">
        <f>"REQ"&amp;TEXT([2]RequestList!$A1120,"0000")</f>
        <v>REQ0000</v>
      </c>
      <c r="P1119" s="7">
        <f>[2]RequestList!$J1120</f>
        <v>0</v>
      </c>
      <c r="Q1119" s="65">
        <f>SUMIF(日報!$R:$R,TEXT(YEAR($Q$2),"0000")&amp;TEXT(MONTH($Q$2),"00")&amp;$O1119,日報!$L:$L)</f>
        <v>0</v>
      </c>
      <c r="R1119" s="65">
        <f ca="1">SUMIF(日報!$J:$J,$O1119,日報!$L:$L)</f>
        <v>0</v>
      </c>
    </row>
    <row r="1120" spans="15:18" x14ac:dyDescent="0.15">
      <c r="O1120" s="7" t="str">
        <f>"REQ"&amp;TEXT([2]RequestList!$A1121,"0000")</f>
        <v>REQ0000</v>
      </c>
      <c r="P1120" s="7">
        <f>[2]RequestList!$J1121</f>
        <v>0</v>
      </c>
      <c r="Q1120" s="65">
        <f>SUMIF(日報!$R:$R,TEXT(YEAR($Q$2),"0000")&amp;TEXT(MONTH($Q$2),"00")&amp;$O1120,日報!$L:$L)</f>
        <v>0</v>
      </c>
      <c r="R1120" s="65">
        <f ca="1">SUMIF(日報!$J:$J,$O1120,日報!$L:$L)</f>
        <v>0</v>
      </c>
    </row>
    <row r="1121" spans="15:18" x14ac:dyDescent="0.15">
      <c r="O1121" s="7" t="str">
        <f>"REQ"&amp;TEXT([2]RequestList!$A1122,"0000")</f>
        <v>REQ0000</v>
      </c>
      <c r="P1121" s="7">
        <f>[2]RequestList!$J1122</f>
        <v>0</v>
      </c>
      <c r="Q1121" s="65">
        <f>SUMIF(日報!$R:$R,TEXT(YEAR($Q$2),"0000")&amp;TEXT(MONTH($Q$2),"00")&amp;$O1121,日報!$L:$L)</f>
        <v>0</v>
      </c>
      <c r="R1121" s="65">
        <f ca="1">SUMIF(日報!$J:$J,$O1121,日報!$L:$L)</f>
        <v>0</v>
      </c>
    </row>
    <row r="1122" spans="15:18" x14ac:dyDescent="0.15">
      <c r="O1122" s="7" t="str">
        <f>"REQ"&amp;TEXT([2]RequestList!$A1123,"0000")</f>
        <v>REQ0000</v>
      </c>
      <c r="P1122" s="7">
        <f>[2]RequestList!$J1123</f>
        <v>0</v>
      </c>
      <c r="Q1122" s="65">
        <f>SUMIF(日報!$R:$R,TEXT(YEAR($Q$2),"0000")&amp;TEXT(MONTH($Q$2),"00")&amp;$O1122,日報!$L:$L)</f>
        <v>0</v>
      </c>
      <c r="R1122" s="65">
        <f ca="1">SUMIF(日報!$J:$J,$O1122,日報!$L:$L)</f>
        <v>0</v>
      </c>
    </row>
    <row r="1123" spans="15:18" x14ac:dyDescent="0.15">
      <c r="O1123" s="7" t="str">
        <f>"REQ"&amp;TEXT([2]RequestList!$A1124,"0000")</f>
        <v>REQ0000</v>
      </c>
      <c r="P1123" s="7">
        <f>[2]RequestList!$J1124</f>
        <v>0</v>
      </c>
      <c r="Q1123" s="65">
        <f>SUMIF(日報!$R:$R,TEXT(YEAR($Q$2),"0000")&amp;TEXT(MONTH($Q$2),"00")&amp;$O1123,日報!$L:$L)</f>
        <v>0</v>
      </c>
      <c r="R1123" s="65">
        <f ca="1">SUMIF(日報!$J:$J,$O1123,日報!$L:$L)</f>
        <v>0</v>
      </c>
    </row>
    <row r="1124" spans="15:18" x14ac:dyDescent="0.15">
      <c r="O1124" s="7" t="str">
        <f>"REQ"&amp;TEXT([2]RequestList!$A1125,"0000")</f>
        <v>REQ0000</v>
      </c>
      <c r="P1124" s="7">
        <f>[2]RequestList!$J1125</f>
        <v>0</v>
      </c>
      <c r="Q1124" s="65">
        <f>SUMIF(日報!$R:$R,TEXT(YEAR($Q$2),"0000")&amp;TEXT(MONTH($Q$2),"00")&amp;$O1124,日報!$L:$L)</f>
        <v>0</v>
      </c>
      <c r="R1124" s="65">
        <f ca="1">SUMIF(日報!$J:$J,$O1124,日報!$L:$L)</f>
        <v>0</v>
      </c>
    </row>
    <row r="1125" spans="15:18" x14ac:dyDescent="0.15">
      <c r="O1125" s="7" t="str">
        <f>"REQ"&amp;TEXT([2]RequestList!$A1126,"0000")</f>
        <v>REQ0000</v>
      </c>
      <c r="P1125" s="7">
        <f>[2]RequestList!$J1126</f>
        <v>0</v>
      </c>
      <c r="Q1125" s="65">
        <f>SUMIF(日報!$R:$R,TEXT(YEAR($Q$2),"0000")&amp;TEXT(MONTH($Q$2),"00")&amp;$O1125,日報!$L:$L)</f>
        <v>0</v>
      </c>
      <c r="R1125" s="65">
        <f ca="1">SUMIF(日報!$J:$J,$O1125,日報!$L:$L)</f>
        <v>0</v>
      </c>
    </row>
    <row r="1126" spans="15:18" x14ac:dyDescent="0.15">
      <c r="O1126" s="7" t="str">
        <f>"REQ"&amp;TEXT([2]RequestList!$A1127,"0000")</f>
        <v>REQ0000</v>
      </c>
      <c r="P1126" s="7">
        <f>[2]RequestList!$J1127</f>
        <v>0</v>
      </c>
      <c r="Q1126" s="65">
        <f>SUMIF(日報!$R:$R,TEXT(YEAR($Q$2),"0000")&amp;TEXT(MONTH($Q$2),"00")&amp;$O1126,日報!$L:$L)</f>
        <v>0</v>
      </c>
      <c r="R1126" s="65">
        <f ca="1">SUMIF(日報!$J:$J,$O1126,日報!$L:$L)</f>
        <v>0</v>
      </c>
    </row>
    <row r="1127" spans="15:18" x14ac:dyDescent="0.15">
      <c r="O1127" s="7" t="str">
        <f>"REQ"&amp;TEXT([2]RequestList!$A1128,"0000")</f>
        <v>REQ0000</v>
      </c>
      <c r="P1127" s="7">
        <f>[2]RequestList!$J1128</f>
        <v>0</v>
      </c>
      <c r="Q1127" s="65">
        <f>SUMIF(日報!$R:$R,TEXT(YEAR($Q$2),"0000")&amp;TEXT(MONTH($Q$2),"00")&amp;$O1127,日報!$L:$L)</f>
        <v>0</v>
      </c>
      <c r="R1127" s="65">
        <f ca="1">SUMIF(日報!$J:$J,$O1127,日報!$L:$L)</f>
        <v>0</v>
      </c>
    </row>
    <row r="1128" spans="15:18" x14ac:dyDescent="0.15">
      <c r="O1128" s="7" t="str">
        <f>"REQ"&amp;TEXT([2]RequestList!$A1129,"0000")</f>
        <v>REQ0000</v>
      </c>
      <c r="P1128" s="7">
        <f>[2]RequestList!$J1129</f>
        <v>0</v>
      </c>
      <c r="Q1128" s="65">
        <f>SUMIF(日報!$R:$R,TEXT(YEAR($Q$2),"0000")&amp;TEXT(MONTH($Q$2),"00")&amp;$O1128,日報!$L:$L)</f>
        <v>0</v>
      </c>
      <c r="R1128" s="65">
        <f ca="1">SUMIF(日報!$J:$J,$O1128,日報!$L:$L)</f>
        <v>0</v>
      </c>
    </row>
    <row r="1129" spans="15:18" x14ac:dyDescent="0.15">
      <c r="O1129" s="7" t="str">
        <f>"REQ"&amp;TEXT([2]RequestList!$A1130,"0000")</f>
        <v>REQ0000</v>
      </c>
      <c r="P1129" s="7">
        <f>[2]RequestList!$J1130</f>
        <v>0</v>
      </c>
      <c r="Q1129" s="65">
        <f>SUMIF(日報!$R:$R,TEXT(YEAR($Q$2),"0000")&amp;TEXT(MONTH($Q$2),"00")&amp;$O1129,日報!$L:$L)</f>
        <v>0</v>
      </c>
      <c r="R1129" s="65">
        <f ca="1">SUMIF(日報!$J:$J,$O1129,日報!$L:$L)</f>
        <v>0</v>
      </c>
    </row>
    <row r="1130" spans="15:18" x14ac:dyDescent="0.15">
      <c r="O1130" s="7" t="str">
        <f>"REQ"&amp;TEXT([2]RequestList!$A1131,"0000")</f>
        <v>REQ0000</v>
      </c>
      <c r="P1130" s="7">
        <f>[2]RequestList!$J1131</f>
        <v>0</v>
      </c>
      <c r="Q1130" s="65">
        <f>SUMIF(日報!$R:$R,TEXT(YEAR($Q$2),"0000")&amp;TEXT(MONTH($Q$2),"00")&amp;$O1130,日報!$L:$L)</f>
        <v>0</v>
      </c>
      <c r="R1130" s="65">
        <f ca="1">SUMIF(日報!$J:$J,$O1130,日報!$L:$L)</f>
        <v>0</v>
      </c>
    </row>
    <row r="1131" spans="15:18" x14ac:dyDescent="0.15">
      <c r="O1131" s="7" t="str">
        <f>"REQ"&amp;TEXT([2]RequestList!$A1132,"0000")</f>
        <v>REQ0000</v>
      </c>
      <c r="P1131" s="7">
        <f>[2]RequestList!$J1132</f>
        <v>0</v>
      </c>
      <c r="Q1131" s="65">
        <f>SUMIF(日報!$R:$R,TEXT(YEAR($Q$2),"0000")&amp;TEXT(MONTH($Q$2),"00")&amp;$O1131,日報!$L:$L)</f>
        <v>0</v>
      </c>
      <c r="R1131" s="65">
        <f ca="1">SUMIF(日報!$J:$J,$O1131,日報!$L:$L)</f>
        <v>0</v>
      </c>
    </row>
    <row r="1132" spans="15:18" x14ac:dyDescent="0.15">
      <c r="O1132" s="7" t="str">
        <f>"REQ"&amp;TEXT([2]RequestList!$A1133,"0000")</f>
        <v>REQ0000</v>
      </c>
      <c r="P1132" s="7">
        <f>[2]RequestList!$J1133</f>
        <v>0</v>
      </c>
      <c r="Q1132" s="65">
        <f>SUMIF(日報!$R:$R,TEXT(YEAR($Q$2),"0000")&amp;TEXT(MONTH($Q$2),"00")&amp;$O1132,日報!$L:$L)</f>
        <v>0</v>
      </c>
      <c r="R1132" s="65">
        <f ca="1">SUMIF(日報!$J:$J,$O1132,日報!$L:$L)</f>
        <v>0</v>
      </c>
    </row>
    <row r="1133" spans="15:18" x14ac:dyDescent="0.15">
      <c r="O1133" s="7" t="str">
        <f>"REQ"&amp;TEXT([2]RequestList!$A1134,"0000")</f>
        <v>REQ0000</v>
      </c>
      <c r="P1133" s="7">
        <f>[2]RequestList!$J1134</f>
        <v>0</v>
      </c>
      <c r="Q1133" s="65">
        <f>SUMIF(日報!$R:$R,TEXT(YEAR($Q$2),"0000")&amp;TEXT(MONTH($Q$2),"00")&amp;$O1133,日報!$L:$L)</f>
        <v>0</v>
      </c>
      <c r="R1133" s="65">
        <f ca="1">SUMIF(日報!$J:$J,$O1133,日報!$L:$L)</f>
        <v>0</v>
      </c>
    </row>
    <row r="1134" spans="15:18" x14ac:dyDescent="0.15">
      <c r="O1134" s="7" t="str">
        <f>"REQ"&amp;TEXT([2]RequestList!$A1135,"0000")</f>
        <v>REQ0000</v>
      </c>
      <c r="P1134" s="7">
        <f>[2]RequestList!$J1135</f>
        <v>0</v>
      </c>
      <c r="Q1134" s="65">
        <f>SUMIF(日報!$R:$R,TEXT(YEAR($Q$2),"0000")&amp;TEXT(MONTH($Q$2),"00")&amp;$O1134,日報!$L:$L)</f>
        <v>0</v>
      </c>
      <c r="R1134" s="65">
        <f ca="1">SUMIF(日報!$J:$J,$O1134,日報!$L:$L)</f>
        <v>0</v>
      </c>
    </row>
    <row r="1135" spans="15:18" x14ac:dyDescent="0.15">
      <c r="O1135" s="7" t="str">
        <f>"REQ"&amp;TEXT([2]RequestList!$A1136,"0000")</f>
        <v>REQ0000</v>
      </c>
      <c r="P1135" s="7">
        <f>[2]RequestList!$J1136</f>
        <v>0</v>
      </c>
      <c r="Q1135" s="65">
        <f>SUMIF(日報!$R:$R,TEXT(YEAR($Q$2),"0000")&amp;TEXT(MONTH($Q$2),"00")&amp;$O1135,日報!$L:$L)</f>
        <v>0</v>
      </c>
      <c r="R1135" s="65">
        <f ca="1">SUMIF(日報!$J:$J,$O1135,日報!$L:$L)</f>
        <v>0</v>
      </c>
    </row>
    <row r="1136" spans="15:18" x14ac:dyDescent="0.15">
      <c r="O1136" s="7" t="str">
        <f>"REQ"&amp;TEXT([2]RequestList!$A1137,"0000")</f>
        <v>REQ0000</v>
      </c>
      <c r="P1136" s="7">
        <f>[2]RequestList!$J1137</f>
        <v>0</v>
      </c>
      <c r="Q1136" s="65">
        <f>SUMIF(日報!$R:$R,TEXT(YEAR($Q$2),"0000")&amp;TEXT(MONTH($Q$2),"00")&amp;$O1136,日報!$L:$L)</f>
        <v>0</v>
      </c>
      <c r="R1136" s="65">
        <f ca="1">SUMIF(日報!$J:$J,$O1136,日報!$L:$L)</f>
        <v>0</v>
      </c>
    </row>
    <row r="1137" spans="15:18" x14ac:dyDescent="0.15">
      <c r="O1137" s="7" t="str">
        <f>"REQ"&amp;TEXT([2]RequestList!$A1138,"0000")</f>
        <v>REQ0000</v>
      </c>
      <c r="P1137" s="7">
        <f>[2]RequestList!$J1138</f>
        <v>0</v>
      </c>
      <c r="Q1137" s="65">
        <f>SUMIF(日報!$R:$R,TEXT(YEAR($Q$2),"0000")&amp;TEXT(MONTH($Q$2),"00")&amp;$O1137,日報!$L:$L)</f>
        <v>0</v>
      </c>
      <c r="R1137" s="65">
        <f ca="1">SUMIF(日報!$J:$J,$O1137,日報!$L:$L)</f>
        <v>0</v>
      </c>
    </row>
    <row r="1138" spans="15:18" x14ac:dyDescent="0.15">
      <c r="O1138" s="7" t="str">
        <f>"REQ"&amp;TEXT([2]RequestList!$A1139,"0000")</f>
        <v>REQ0000</v>
      </c>
      <c r="P1138" s="7">
        <f>[2]RequestList!$J1139</f>
        <v>0</v>
      </c>
      <c r="Q1138" s="65">
        <f>SUMIF(日報!$R:$R,TEXT(YEAR($Q$2),"0000")&amp;TEXT(MONTH($Q$2),"00")&amp;$O1138,日報!$L:$L)</f>
        <v>0</v>
      </c>
      <c r="R1138" s="65">
        <f ca="1">SUMIF(日報!$J:$J,$O1138,日報!$L:$L)</f>
        <v>0</v>
      </c>
    </row>
    <row r="1139" spans="15:18" x14ac:dyDescent="0.15">
      <c r="O1139" s="7" t="str">
        <f>"REQ"&amp;TEXT([2]RequestList!$A1140,"0000")</f>
        <v>REQ0000</v>
      </c>
      <c r="P1139" s="7">
        <f>[2]RequestList!$J1140</f>
        <v>0</v>
      </c>
      <c r="Q1139" s="65">
        <f>SUMIF(日報!$R:$R,TEXT(YEAR($Q$2),"0000")&amp;TEXT(MONTH($Q$2),"00")&amp;$O1139,日報!$L:$L)</f>
        <v>0</v>
      </c>
      <c r="R1139" s="65">
        <f ca="1">SUMIF(日報!$J:$J,$O1139,日報!$L:$L)</f>
        <v>0</v>
      </c>
    </row>
    <row r="1140" spans="15:18" x14ac:dyDescent="0.15">
      <c r="O1140" s="7" t="str">
        <f>"REQ"&amp;TEXT([2]RequestList!$A1141,"0000")</f>
        <v>REQ0000</v>
      </c>
      <c r="P1140" s="7">
        <f>[2]RequestList!$J1141</f>
        <v>0</v>
      </c>
      <c r="Q1140" s="65">
        <f>SUMIF(日報!$R:$R,TEXT(YEAR($Q$2),"0000")&amp;TEXT(MONTH($Q$2),"00")&amp;$O1140,日報!$L:$L)</f>
        <v>0</v>
      </c>
      <c r="R1140" s="65">
        <f ca="1">SUMIF(日報!$J:$J,$O1140,日報!$L:$L)</f>
        <v>0</v>
      </c>
    </row>
    <row r="1141" spans="15:18" x14ac:dyDescent="0.15">
      <c r="O1141" s="7" t="str">
        <f>"REQ"&amp;TEXT([2]RequestList!$A1142,"0000")</f>
        <v>REQ0000</v>
      </c>
      <c r="P1141" s="7">
        <f>[2]RequestList!$J1142</f>
        <v>0</v>
      </c>
      <c r="Q1141" s="65">
        <f>SUMIF(日報!$R:$R,TEXT(YEAR($Q$2),"0000")&amp;TEXT(MONTH($Q$2),"00")&amp;$O1141,日報!$L:$L)</f>
        <v>0</v>
      </c>
      <c r="R1141" s="65">
        <f ca="1">SUMIF(日報!$J:$J,$O1141,日報!$L:$L)</f>
        <v>0</v>
      </c>
    </row>
    <row r="1142" spans="15:18" x14ac:dyDescent="0.15">
      <c r="O1142" s="7" t="str">
        <f>"REQ"&amp;TEXT([2]RequestList!$A1143,"0000")</f>
        <v>REQ0000</v>
      </c>
      <c r="P1142" s="7">
        <f>[2]RequestList!$J1143</f>
        <v>0</v>
      </c>
      <c r="Q1142" s="65">
        <f>SUMIF(日報!$R:$R,TEXT(YEAR($Q$2),"0000")&amp;TEXT(MONTH($Q$2),"00")&amp;$O1142,日報!$L:$L)</f>
        <v>0</v>
      </c>
      <c r="R1142" s="65">
        <f ca="1">SUMIF(日報!$J:$J,$O1142,日報!$L:$L)</f>
        <v>0</v>
      </c>
    </row>
    <row r="1143" spans="15:18" x14ac:dyDescent="0.15">
      <c r="O1143" s="7" t="str">
        <f>"REQ"&amp;TEXT([2]RequestList!$A1144,"0000")</f>
        <v>REQ0000</v>
      </c>
      <c r="P1143" s="7">
        <f>[2]RequestList!$J1144</f>
        <v>0</v>
      </c>
      <c r="Q1143" s="65">
        <f>SUMIF(日報!$R:$R,TEXT(YEAR($Q$2),"0000")&amp;TEXT(MONTH($Q$2),"00")&amp;$O1143,日報!$L:$L)</f>
        <v>0</v>
      </c>
      <c r="R1143" s="65">
        <f ca="1">SUMIF(日報!$J:$J,$O1143,日報!$L:$L)</f>
        <v>0</v>
      </c>
    </row>
    <row r="1144" spans="15:18" x14ac:dyDescent="0.15">
      <c r="O1144" s="7" t="str">
        <f>"REQ"&amp;TEXT([2]RequestList!$A1145,"0000")</f>
        <v>REQ0000</v>
      </c>
      <c r="P1144" s="7">
        <f>[2]RequestList!$J1145</f>
        <v>0</v>
      </c>
      <c r="Q1144" s="65">
        <f>SUMIF(日報!$R:$R,TEXT(YEAR($Q$2),"0000")&amp;TEXT(MONTH($Q$2),"00")&amp;$O1144,日報!$L:$L)</f>
        <v>0</v>
      </c>
      <c r="R1144" s="65">
        <f ca="1">SUMIF(日報!$J:$J,$O1144,日報!$L:$L)</f>
        <v>0</v>
      </c>
    </row>
    <row r="1145" spans="15:18" x14ac:dyDescent="0.15">
      <c r="O1145" s="7" t="str">
        <f>"REQ"&amp;TEXT([2]RequestList!$A1146,"0000")</f>
        <v>REQ0000</v>
      </c>
      <c r="P1145" s="7">
        <f>[2]RequestList!$J1146</f>
        <v>0</v>
      </c>
      <c r="Q1145" s="65">
        <f>SUMIF(日報!$R:$R,TEXT(YEAR($Q$2),"0000")&amp;TEXT(MONTH($Q$2),"00")&amp;$O1145,日報!$L:$L)</f>
        <v>0</v>
      </c>
      <c r="R1145" s="65">
        <f ca="1">SUMIF(日報!$J:$J,$O1145,日報!$L:$L)</f>
        <v>0</v>
      </c>
    </row>
    <row r="1146" spans="15:18" x14ac:dyDescent="0.15">
      <c r="O1146" s="7" t="str">
        <f>"REQ"&amp;TEXT([2]RequestList!$A1147,"0000")</f>
        <v>REQ0000</v>
      </c>
      <c r="P1146" s="7">
        <f>[2]RequestList!$J1147</f>
        <v>0</v>
      </c>
      <c r="Q1146" s="65">
        <f>SUMIF(日報!$R:$R,TEXT(YEAR($Q$2),"0000")&amp;TEXT(MONTH($Q$2),"00")&amp;$O1146,日報!$L:$L)</f>
        <v>0</v>
      </c>
      <c r="R1146" s="65">
        <f ca="1">SUMIF(日報!$J:$J,$O1146,日報!$L:$L)</f>
        <v>0</v>
      </c>
    </row>
    <row r="1147" spans="15:18" x14ac:dyDescent="0.15">
      <c r="O1147" s="7" t="str">
        <f>"REQ"&amp;TEXT([2]RequestList!$A1148,"0000")</f>
        <v>REQ0000</v>
      </c>
      <c r="P1147" s="7">
        <f>[2]RequestList!$J1148</f>
        <v>0</v>
      </c>
      <c r="Q1147" s="65">
        <f>SUMIF(日報!$R:$R,TEXT(YEAR($Q$2),"0000")&amp;TEXT(MONTH($Q$2),"00")&amp;$O1147,日報!$L:$L)</f>
        <v>0</v>
      </c>
      <c r="R1147" s="65">
        <f ca="1">SUMIF(日報!$J:$J,$O1147,日報!$L:$L)</f>
        <v>0</v>
      </c>
    </row>
    <row r="1148" spans="15:18" x14ac:dyDescent="0.15">
      <c r="O1148" s="7" t="str">
        <f>"REQ"&amp;TEXT([2]RequestList!$A1149,"0000")</f>
        <v>REQ0000</v>
      </c>
      <c r="P1148" s="7">
        <f>[2]RequestList!$J1149</f>
        <v>0</v>
      </c>
      <c r="Q1148" s="65">
        <f>SUMIF(日報!$R:$R,TEXT(YEAR($Q$2),"0000")&amp;TEXT(MONTH($Q$2),"00")&amp;$O1148,日報!$L:$L)</f>
        <v>0</v>
      </c>
      <c r="R1148" s="65">
        <f ca="1">SUMIF(日報!$J:$J,$O1148,日報!$L:$L)</f>
        <v>0</v>
      </c>
    </row>
    <row r="1149" spans="15:18" x14ac:dyDescent="0.15">
      <c r="O1149" s="7" t="str">
        <f>"REQ"&amp;TEXT([2]RequestList!$A1150,"0000")</f>
        <v>REQ0000</v>
      </c>
      <c r="P1149" s="7">
        <f>[2]RequestList!$J1150</f>
        <v>0</v>
      </c>
      <c r="Q1149" s="65">
        <f>SUMIF(日報!$R:$R,TEXT(YEAR($Q$2),"0000")&amp;TEXT(MONTH($Q$2),"00")&amp;$O1149,日報!$L:$L)</f>
        <v>0</v>
      </c>
      <c r="R1149" s="65">
        <f ca="1">SUMIF(日報!$J:$J,$O1149,日報!$L:$L)</f>
        <v>0</v>
      </c>
    </row>
    <row r="1150" spans="15:18" x14ac:dyDescent="0.15">
      <c r="O1150" s="7" t="str">
        <f>"REQ"&amp;TEXT([2]RequestList!$A1151,"0000")</f>
        <v>REQ0000</v>
      </c>
      <c r="P1150" s="7">
        <f>[2]RequestList!$J1151</f>
        <v>0</v>
      </c>
      <c r="Q1150" s="65">
        <f>SUMIF(日報!$R:$R,TEXT(YEAR($Q$2),"0000")&amp;TEXT(MONTH($Q$2),"00")&amp;$O1150,日報!$L:$L)</f>
        <v>0</v>
      </c>
      <c r="R1150" s="65">
        <f ca="1">SUMIF(日報!$J:$J,$O1150,日報!$L:$L)</f>
        <v>0</v>
      </c>
    </row>
    <row r="1151" spans="15:18" x14ac:dyDescent="0.15">
      <c r="O1151" s="7" t="str">
        <f>"REQ"&amp;TEXT([2]RequestList!$A1152,"0000")</f>
        <v>REQ0000</v>
      </c>
      <c r="P1151" s="7">
        <f>[2]RequestList!$J1152</f>
        <v>0</v>
      </c>
      <c r="Q1151" s="65">
        <f>SUMIF(日報!$R:$R,TEXT(YEAR($Q$2),"0000")&amp;TEXT(MONTH($Q$2),"00")&amp;$O1151,日報!$L:$L)</f>
        <v>0</v>
      </c>
      <c r="R1151" s="65">
        <f ca="1">SUMIF(日報!$J:$J,$O1151,日報!$L:$L)</f>
        <v>0</v>
      </c>
    </row>
    <row r="1152" spans="15:18" x14ac:dyDescent="0.15">
      <c r="O1152" s="7" t="str">
        <f>"REQ"&amp;TEXT([2]RequestList!$A1153,"0000")</f>
        <v>REQ0000</v>
      </c>
      <c r="P1152" s="7">
        <f>[2]RequestList!$J1153</f>
        <v>0</v>
      </c>
      <c r="Q1152" s="65">
        <f>SUMIF(日報!$R:$R,TEXT(YEAR($Q$2),"0000")&amp;TEXT(MONTH($Q$2),"00")&amp;$O1152,日報!$L:$L)</f>
        <v>0</v>
      </c>
      <c r="R1152" s="65">
        <f ca="1">SUMIF(日報!$J:$J,$O1152,日報!$L:$L)</f>
        <v>0</v>
      </c>
    </row>
    <row r="1153" spans="15:18" x14ac:dyDescent="0.15">
      <c r="O1153" s="7" t="str">
        <f>"REQ"&amp;TEXT([2]RequestList!$A1154,"0000")</f>
        <v>REQ0000</v>
      </c>
      <c r="P1153" s="7">
        <f>[2]RequestList!$J1154</f>
        <v>0</v>
      </c>
      <c r="Q1153" s="65">
        <f>SUMIF(日報!$R:$R,TEXT(YEAR($Q$2),"0000")&amp;TEXT(MONTH($Q$2),"00")&amp;$O1153,日報!$L:$L)</f>
        <v>0</v>
      </c>
      <c r="R1153" s="65">
        <f ca="1">SUMIF(日報!$J:$J,$O1153,日報!$L:$L)</f>
        <v>0</v>
      </c>
    </row>
    <row r="1154" spans="15:18" x14ac:dyDescent="0.15">
      <c r="O1154" s="7" t="str">
        <f>"REQ"&amp;TEXT([2]RequestList!$A1155,"0000")</f>
        <v>REQ0000</v>
      </c>
      <c r="P1154" s="7">
        <f>[2]RequestList!$J1155</f>
        <v>0</v>
      </c>
      <c r="Q1154" s="65">
        <f>SUMIF(日報!$R:$R,TEXT(YEAR($Q$2),"0000")&amp;TEXT(MONTH($Q$2),"00")&amp;$O1154,日報!$L:$L)</f>
        <v>0</v>
      </c>
      <c r="R1154" s="65">
        <f ca="1">SUMIF(日報!$J:$J,$O1154,日報!$L:$L)</f>
        <v>0</v>
      </c>
    </row>
    <row r="1155" spans="15:18" x14ac:dyDescent="0.15">
      <c r="O1155" s="7" t="str">
        <f>"REQ"&amp;TEXT([2]RequestList!$A1156,"0000")</f>
        <v>REQ0000</v>
      </c>
      <c r="P1155" s="7">
        <f>[2]RequestList!$J1156</f>
        <v>0</v>
      </c>
      <c r="Q1155" s="65">
        <f>SUMIF(日報!$R:$R,TEXT(YEAR($Q$2),"0000")&amp;TEXT(MONTH($Q$2),"00")&amp;$O1155,日報!$L:$L)</f>
        <v>0</v>
      </c>
      <c r="R1155" s="65">
        <f ca="1">SUMIF(日報!$J:$J,$O1155,日報!$L:$L)</f>
        <v>0</v>
      </c>
    </row>
    <row r="1156" spans="15:18" x14ac:dyDescent="0.15">
      <c r="O1156" s="7" t="str">
        <f>"REQ"&amp;TEXT([2]RequestList!$A1157,"0000")</f>
        <v>REQ0000</v>
      </c>
      <c r="P1156" s="7">
        <f>[2]RequestList!$J1157</f>
        <v>0</v>
      </c>
      <c r="Q1156" s="65">
        <f>SUMIF(日報!$R:$R,TEXT(YEAR($Q$2),"0000")&amp;TEXT(MONTH($Q$2),"00")&amp;$O1156,日報!$L:$L)</f>
        <v>0</v>
      </c>
      <c r="R1156" s="65">
        <f ca="1">SUMIF(日報!$J:$J,$O1156,日報!$L:$L)</f>
        <v>0</v>
      </c>
    </row>
    <row r="1157" spans="15:18" x14ac:dyDescent="0.15">
      <c r="O1157" s="7" t="str">
        <f>"REQ"&amp;TEXT([2]RequestList!$A1158,"0000")</f>
        <v>REQ0000</v>
      </c>
      <c r="P1157" s="7">
        <f>[2]RequestList!$J1158</f>
        <v>0</v>
      </c>
      <c r="Q1157" s="65">
        <f>SUMIF(日報!$R:$R,TEXT(YEAR($Q$2),"0000")&amp;TEXT(MONTH($Q$2),"00")&amp;$O1157,日報!$L:$L)</f>
        <v>0</v>
      </c>
      <c r="R1157" s="65">
        <f ca="1">SUMIF(日報!$J:$J,$O1157,日報!$L:$L)</f>
        <v>0</v>
      </c>
    </row>
    <row r="1158" spans="15:18" x14ac:dyDescent="0.15">
      <c r="O1158" s="7" t="str">
        <f>"REQ"&amp;TEXT([2]RequestList!$A1159,"0000")</f>
        <v>REQ0000</v>
      </c>
      <c r="P1158" s="7">
        <f>[2]RequestList!$J1159</f>
        <v>0</v>
      </c>
      <c r="Q1158" s="65">
        <f>SUMIF(日報!$R:$R,TEXT(YEAR($Q$2),"0000")&amp;TEXT(MONTH($Q$2),"00")&amp;$O1158,日報!$L:$L)</f>
        <v>0</v>
      </c>
      <c r="R1158" s="65">
        <f ca="1">SUMIF(日報!$J:$J,$O1158,日報!$L:$L)</f>
        <v>0</v>
      </c>
    </row>
    <row r="1159" spans="15:18" x14ac:dyDescent="0.15">
      <c r="O1159" s="7" t="str">
        <f>"REQ"&amp;TEXT([2]RequestList!$A1160,"0000")</f>
        <v>REQ0000</v>
      </c>
      <c r="P1159" s="7">
        <f>[2]RequestList!$J1160</f>
        <v>0</v>
      </c>
      <c r="Q1159" s="65">
        <f>SUMIF(日報!$R:$R,TEXT(YEAR($Q$2),"0000")&amp;TEXT(MONTH($Q$2),"00")&amp;$O1159,日報!$L:$L)</f>
        <v>0</v>
      </c>
      <c r="R1159" s="65">
        <f ca="1">SUMIF(日報!$J:$J,$O1159,日報!$L:$L)</f>
        <v>0</v>
      </c>
    </row>
    <row r="1160" spans="15:18" x14ac:dyDescent="0.15">
      <c r="O1160" s="7" t="str">
        <f>"REQ"&amp;TEXT([2]RequestList!$A1161,"0000")</f>
        <v>REQ0000</v>
      </c>
      <c r="P1160" s="7">
        <f>[2]RequestList!$J1161</f>
        <v>0</v>
      </c>
      <c r="Q1160" s="65">
        <f>SUMIF(日報!$R:$R,TEXT(YEAR($Q$2),"0000")&amp;TEXT(MONTH($Q$2),"00")&amp;$O1160,日報!$L:$L)</f>
        <v>0</v>
      </c>
      <c r="R1160" s="65">
        <f ca="1">SUMIF(日報!$J:$J,$O1160,日報!$L:$L)</f>
        <v>0</v>
      </c>
    </row>
    <row r="1161" spans="15:18" x14ac:dyDescent="0.15">
      <c r="O1161" s="7" t="str">
        <f>"REQ"&amp;TEXT([2]RequestList!$A1162,"0000")</f>
        <v>REQ0000</v>
      </c>
      <c r="P1161" s="7">
        <f>[2]RequestList!$J1162</f>
        <v>0</v>
      </c>
      <c r="Q1161" s="65">
        <f>SUMIF(日報!$R:$R,TEXT(YEAR($Q$2),"0000")&amp;TEXT(MONTH($Q$2),"00")&amp;$O1161,日報!$L:$L)</f>
        <v>0</v>
      </c>
      <c r="R1161" s="65">
        <f ca="1">SUMIF(日報!$J:$J,$O1161,日報!$L:$L)</f>
        <v>0</v>
      </c>
    </row>
    <row r="1162" spans="15:18" x14ac:dyDescent="0.15">
      <c r="O1162" s="7" t="str">
        <f>"REQ"&amp;TEXT([2]RequestList!$A1163,"0000")</f>
        <v>REQ0000</v>
      </c>
      <c r="P1162" s="7">
        <f>[2]RequestList!$J1163</f>
        <v>0</v>
      </c>
      <c r="Q1162" s="65">
        <f>SUMIF(日報!$R:$R,TEXT(YEAR($Q$2),"0000")&amp;TEXT(MONTH($Q$2),"00")&amp;$O1162,日報!$L:$L)</f>
        <v>0</v>
      </c>
      <c r="R1162" s="65">
        <f ca="1">SUMIF(日報!$J:$J,$O1162,日報!$L:$L)</f>
        <v>0</v>
      </c>
    </row>
    <row r="1163" spans="15:18" x14ac:dyDescent="0.15">
      <c r="O1163" s="7" t="str">
        <f>"REQ"&amp;TEXT([2]RequestList!$A1164,"0000")</f>
        <v>REQ0000</v>
      </c>
      <c r="P1163" s="7">
        <f>[2]RequestList!$J1164</f>
        <v>0</v>
      </c>
      <c r="Q1163" s="65">
        <f>SUMIF(日報!$R:$R,TEXT(YEAR($Q$2),"0000")&amp;TEXT(MONTH($Q$2),"00")&amp;$O1163,日報!$L:$L)</f>
        <v>0</v>
      </c>
      <c r="R1163" s="65">
        <f ca="1">SUMIF(日報!$J:$J,$O1163,日報!$L:$L)</f>
        <v>0</v>
      </c>
    </row>
    <row r="1164" spans="15:18" x14ac:dyDescent="0.15">
      <c r="O1164" s="7" t="str">
        <f>"REQ"&amp;TEXT([2]RequestList!$A1165,"0000")</f>
        <v>REQ0000</v>
      </c>
      <c r="P1164" s="7">
        <f>[2]RequestList!$J1165</f>
        <v>0</v>
      </c>
      <c r="Q1164" s="65">
        <f>SUMIF(日報!$R:$R,TEXT(YEAR($Q$2),"0000")&amp;TEXT(MONTH($Q$2),"00")&amp;$O1164,日報!$L:$L)</f>
        <v>0</v>
      </c>
      <c r="R1164" s="65">
        <f ca="1">SUMIF(日報!$J:$J,$O1164,日報!$L:$L)</f>
        <v>0</v>
      </c>
    </row>
    <row r="1165" spans="15:18" x14ac:dyDescent="0.15">
      <c r="O1165" s="7" t="str">
        <f>"REQ"&amp;TEXT([2]RequestList!$A1166,"0000")</f>
        <v>REQ0000</v>
      </c>
      <c r="P1165" s="7">
        <f>[2]RequestList!$J1166</f>
        <v>0</v>
      </c>
      <c r="Q1165" s="65">
        <f>SUMIF(日報!$R:$R,TEXT(YEAR($Q$2),"0000")&amp;TEXT(MONTH($Q$2),"00")&amp;$O1165,日報!$L:$L)</f>
        <v>0</v>
      </c>
      <c r="R1165" s="65">
        <f ca="1">SUMIF(日報!$J:$J,$O1165,日報!$L:$L)</f>
        <v>0</v>
      </c>
    </row>
    <row r="1166" spans="15:18" x14ac:dyDescent="0.15">
      <c r="O1166" s="7" t="str">
        <f>"REQ"&amp;TEXT([2]RequestList!$A1167,"0000")</f>
        <v>REQ0000</v>
      </c>
      <c r="P1166" s="7">
        <f>[2]RequestList!$J1167</f>
        <v>0</v>
      </c>
      <c r="Q1166" s="65">
        <f>SUMIF(日報!$R:$R,TEXT(YEAR($Q$2),"0000")&amp;TEXT(MONTH($Q$2),"00")&amp;$O1166,日報!$L:$L)</f>
        <v>0</v>
      </c>
      <c r="R1166" s="65">
        <f ca="1">SUMIF(日報!$J:$J,$O1166,日報!$L:$L)</f>
        <v>0</v>
      </c>
    </row>
    <row r="1167" spans="15:18" x14ac:dyDescent="0.15">
      <c r="O1167" s="7" t="str">
        <f>"REQ"&amp;TEXT([2]RequestList!$A1168,"0000")</f>
        <v>REQ0000</v>
      </c>
      <c r="P1167" s="7">
        <f>[2]RequestList!$J1168</f>
        <v>0</v>
      </c>
      <c r="Q1167" s="65">
        <f>SUMIF(日報!$R:$R,TEXT(YEAR($Q$2),"0000")&amp;TEXT(MONTH($Q$2),"00")&amp;$O1167,日報!$L:$L)</f>
        <v>0</v>
      </c>
      <c r="R1167" s="65">
        <f ca="1">SUMIF(日報!$J:$J,$O1167,日報!$L:$L)</f>
        <v>0</v>
      </c>
    </row>
    <row r="1168" spans="15:18" x14ac:dyDescent="0.15">
      <c r="O1168" s="7" t="str">
        <f>"REQ"&amp;TEXT([2]RequestList!$A1169,"0000")</f>
        <v>REQ0000</v>
      </c>
      <c r="P1168" s="7">
        <f>[2]RequestList!$J1169</f>
        <v>0</v>
      </c>
      <c r="Q1168" s="65">
        <f>SUMIF(日報!$R:$R,TEXT(YEAR($Q$2),"0000")&amp;TEXT(MONTH($Q$2),"00")&amp;$O1168,日報!$L:$L)</f>
        <v>0</v>
      </c>
      <c r="R1168" s="65">
        <f ca="1">SUMIF(日報!$J:$J,$O1168,日報!$L:$L)</f>
        <v>0</v>
      </c>
    </row>
    <row r="1169" spans="15:18" x14ac:dyDescent="0.15">
      <c r="O1169" s="7" t="str">
        <f>"REQ"&amp;TEXT([2]RequestList!$A1170,"0000")</f>
        <v>REQ0000</v>
      </c>
      <c r="P1169" s="7">
        <f>[2]RequestList!$J1170</f>
        <v>0</v>
      </c>
      <c r="Q1169" s="65">
        <f>SUMIF(日報!$R:$R,TEXT(YEAR($Q$2),"0000")&amp;TEXT(MONTH($Q$2),"00")&amp;$O1169,日報!$L:$L)</f>
        <v>0</v>
      </c>
      <c r="R1169" s="65">
        <f ca="1">SUMIF(日報!$J:$J,$O1169,日報!$L:$L)</f>
        <v>0</v>
      </c>
    </row>
    <row r="1170" spans="15:18" x14ac:dyDescent="0.15">
      <c r="O1170" s="7" t="str">
        <f>"REQ"&amp;TEXT([2]RequestList!$A1171,"0000")</f>
        <v>REQ0000</v>
      </c>
      <c r="P1170" s="7">
        <f>[2]RequestList!$J1171</f>
        <v>0</v>
      </c>
      <c r="Q1170" s="65">
        <f>SUMIF(日報!$R:$R,TEXT(YEAR($Q$2),"0000")&amp;TEXT(MONTH($Q$2),"00")&amp;$O1170,日報!$L:$L)</f>
        <v>0</v>
      </c>
      <c r="R1170" s="65">
        <f ca="1">SUMIF(日報!$J:$J,$O1170,日報!$L:$L)</f>
        <v>0</v>
      </c>
    </row>
    <row r="1171" spans="15:18" x14ac:dyDescent="0.15">
      <c r="O1171" s="7" t="str">
        <f>"REQ"&amp;TEXT([2]RequestList!$A1172,"0000")</f>
        <v>REQ0000</v>
      </c>
      <c r="P1171" s="7">
        <f>[2]RequestList!$J1172</f>
        <v>0</v>
      </c>
      <c r="Q1171" s="65">
        <f>SUMIF(日報!$R:$R,TEXT(YEAR($Q$2),"0000")&amp;TEXT(MONTH($Q$2),"00")&amp;$O1171,日報!$L:$L)</f>
        <v>0</v>
      </c>
      <c r="R1171" s="65">
        <f ca="1">SUMIF(日報!$J:$J,$O1171,日報!$L:$L)</f>
        <v>0</v>
      </c>
    </row>
    <row r="1172" spans="15:18" x14ac:dyDescent="0.15">
      <c r="O1172" s="7" t="str">
        <f>"REQ"&amp;TEXT([2]RequestList!$A1173,"0000")</f>
        <v>REQ0000</v>
      </c>
      <c r="P1172" s="7">
        <f>[2]RequestList!$J1173</f>
        <v>0</v>
      </c>
      <c r="Q1172" s="65">
        <f>SUMIF(日報!$R:$R,TEXT(YEAR($Q$2),"0000")&amp;TEXT(MONTH($Q$2),"00")&amp;$O1172,日報!$L:$L)</f>
        <v>0</v>
      </c>
      <c r="R1172" s="65">
        <f ca="1">SUMIF(日報!$J:$J,$O1172,日報!$L:$L)</f>
        <v>0</v>
      </c>
    </row>
    <row r="1173" spans="15:18" x14ac:dyDescent="0.15">
      <c r="O1173" s="7" t="str">
        <f>"REQ"&amp;TEXT([2]RequestList!$A1174,"0000")</f>
        <v>REQ0000</v>
      </c>
      <c r="P1173" s="7">
        <f>[2]RequestList!$J1174</f>
        <v>0</v>
      </c>
      <c r="Q1173" s="65">
        <f>SUMIF(日報!$R:$R,TEXT(YEAR($Q$2),"0000")&amp;TEXT(MONTH($Q$2),"00")&amp;$O1173,日報!$L:$L)</f>
        <v>0</v>
      </c>
      <c r="R1173" s="65">
        <f ca="1">SUMIF(日報!$J:$J,$O1173,日報!$L:$L)</f>
        <v>0</v>
      </c>
    </row>
    <row r="1174" spans="15:18" x14ac:dyDescent="0.15">
      <c r="O1174" s="7" t="str">
        <f>"REQ"&amp;TEXT([2]RequestList!$A1175,"0000")</f>
        <v>REQ0000</v>
      </c>
      <c r="P1174" s="7">
        <f>[2]RequestList!$J1175</f>
        <v>0</v>
      </c>
      <c r="Q1174" s="65">
        <f>SUMIF(日報!$R:$R,TEXT(YEAR($Q$2),"0000")&amp;TEXT(MONTH($Q$2),"00")&amp;$O1174,日報!$L:$L)</f>
        <v>0</v>
      </c>
      <c r="R1174" s="65">
        <f ca="1">SUMIF(日報!$J:$J,$O1174,日報!$L:$L)</f>
        <v>0</v>
      </c>
    </row>
    <row r="1175" spans="15:18" x14ac:dyDescent="0.15">
      <c r="O1175" s="7" t="str">
        <f>"REQ"&amp;TEXT([2]RequestList!$A1176,"0000")</f>
        <v>REQ0000</v>
      </c>
      <c r="P1175" s="7">
        <f>[2]RequestList!$J1176</f>
        <v>0</v>
      </c>
      <c r="Q1175" s="65">
        <f>SUMIF(日報!$R:$R,TEXT(YEAR($Q$2),"0000")&amp;TEXT(MONTH($Q$2),"00")&amp;$O1175,日報!$L:$L)</f>
        <v>0</v>
      </c>
      <c r="R1175" s="65">
        <f ca="1">SUMIF(日報!$J:$J,$O1175,日報!$L:$L)</f>
        <v>0</v>
      </c>
    </row>
    <row r="1176" spans="15:18" x14ac:dyDescent="0.15">
      <c r="O1176" s="7" t="str">
        <f>"REQ"&amp;TEXT([2]RequestList!$A1177,"0000")</f>
        <v>REQ0000</v>
      </c>
      <c r="P1176" s="7">
        <f>[2]RequestList!$J1177</f>
        <v>0</v>
      </c>
      <c r="Q1176" s="65">
        <f>SUMIF(日報!$R:$R,TEXT(YEAR($Q$2),"0000")&amp;TEXT(MONTH($Q$2),"00")&amp;$O1176,日報!$L:$L)</f>
        <v>0</v>
      </c>
      <c r="R1176" s="65">
        <f ca="1">SUMIF(日報!$J:$J,$O1176,日報!$L:$L)</f>
        <v>0</v>
      </c>
    </row>
    <row r="1177" spans="15:18" x14ac:dyDescent="0.15">
      <c r="O1177" s="7" t="str">
        <f>"REQ"&amp;TEXT([2]RequestList!$A1178,"0000")</f>
        <v>REQ0000</v>
      </c>
      <c r="P1177" s="7">
        <f>[2]RequestList!$J1178</f>
        <v>0</v>
      </c>
      <c r="Q1177" s="65">
        <f>SUMIF(日報!$R:$R,TEXT(YEAR($Q$2),"0000")&amp;TEXT(MONTH($Q$2),"00")&amp;$O1177,日報!$L:$L)</f>
        <v>0</v>
      </c>
      <c r="R1177" s="65">
        <f ca="1">SUMIF(日報!$J:$J,$O1177,日報!$L:$L)</f>
        <v>0</v>
      </c>
    </row>
    <row r="1178" spans="15:18" x14ac:dyDescent="0.15">
      <c r="O1178" s="7" t="str">
        <f>"REQ"&amp;TEXT([2]RequestList!$A1179,"0000")</f>
        <v>REQ0000</v>
      </c>
      <c r="P1178" s="7">
        <f>[2]RequestList!$J1179</f>
        <v>0</v>
      </c>
      <c r="Q1178" s="65">
        <f>SUMIF(日報!$R:$R,TEXT(YEAR($Q$2),"0000")&amp;TEXT(MONTH($Q$2),"00")&amp;$O1178,日報!$L:$L)</f>
        <v>0</v>
      </c>
      <c r="R1178" s="65">
        <f ca="1">SUMIF(日報!$J:$J,$O1178,日報!$L:$L)</f>
        <v>0</v>
      </c>
    </row>
    <row r="1179" spans="15:18" x14ac:dyDescent="0.15">
      <c r="O1179" s="7" t="str">
        <f>"REQ"&amp;TEXT([2]RequestList!$A1180,"0000")</f>
        <v>REQ0000</v>
      </c>
      <c r="P1179" s="7">
        <f>[2]RequestList!$J1180</f>
        <v>0</v>
      </c>
      <c r="Q1179" s="65">
        <f>SUMIF(日報!$R:$R,TEXT(YEAR($Q$2),"0000")&amp;TEXT(MONTH($Q$2),"00")&amp;$O1179,日報!$L:$L)</f>
        <v>0</v>
      </c>
      <c r="R1179" s="65">
        <f ca="1">SUMIF(日報!$J:$J,$O1179,日報!$L:$L)</f>
        <v>0</v>
      </c>
    </row>
    <row r="1180" spans="15:18" x14ac:dyDescent="0.15">
      <c r="O1180" s="7" t="str">
        <f>"REQ"&amp;TEXT([2]RequestList!$A1181,"0000")</f>
        <v>REQ0000</v>
      </c>
      <c r="P1180" s="7">
        <f>[2]RequestList!$J1181</f>
        <v>0</v>
      </c>
      <c r="Q1180" s="65">
        <f>SUMIF(日報!$R:$R,TEXT(YEAR($Q$2),"0000")&amp;TEXT(MONTH($Q$2),"00")&amp;$O1180,日報!$L:$L)</f>
        <v>0</v>
      </c>
      <c r="R1180" s="65">
        <f ca="1">SUMIF(日報!$J:$J,$O1180,日報!$L:$L)</f>
        <v>0</v>
      </c>
    </row>
    <row r="1181" spans="15:18" x14ac:dyDescent="0.15">
      <c r="O1181" s="7" t="str">
        <f>"REQ"&amp;TEXT([2]RequestList!$A1182,"0000")</f>
        <v>REQ0000</v>
      </c>
      <c r="P1181" s="7">
        <f>[2]RequestList!$J1182</f>
        <v>0</v>
      </c>
      <c r="Q1181" s="65">
        <f>SUMIF(日報!$R:$R,TEXT(YEAR($Q$2),"0000")&amp;TEXT(MONTH($Q$2),"00")&amp;$O1181,日報!$L:$L)</f>
        <v>0</v>
      </c>
      <c r="R1181" s="65">
        <f ca="1">SUMIF(日報!$J:$J,$O1181,日報!$L:$L)</f>
        <v>0</v>
      </c>
    </row>
    <row r="1182" spans="15:18" x14ac:dyDescent="0.15">
      <c r="O1182" s="7" t="str">
        <f>"REQ"&amp;TEXT([2]RequestList!$A1183,"0000")</f>
        <v>REQ0000</v>
      </c>
      <c r="P1182" s="7">
        <f>[2]RequestList!$J1183</f>
        <v>0</v>
      </c>
      <c r="Q1182" s="65">
        <f>SUMIF(日報!$R:$R,TEXT(YEAR($Q$2),"0000")&amp;TEXT(MONTH($Q$2),"00")&amp;$O1182,日報!$L:$L)</f>
        <v>0</v>
      </c>
      <c r="R1182" s="65">
        <f ca="1">SUMIF(日報!$J:$J,$O1182,日報!$L:$L)</f>
        <v>0</v>
      </c>
    </row>
    <row r="1183" spans="15:18" x14ac:dyDescent="0.15">
      <c r="O1183" s="7" t="str">
        <f>"REQ"&amp;TEXT([2]RequestList!$A1184,"0000")</f>
        <v>REQ0000</v>
      </c>
      <c r="P1183" s="7">
        <f>[2]RequestList!$J1184</f>
        <v>0</v>
      </c>
      <c r="Q1183" s="65">
        <f>SUMIF(日報!$R:$R,TEXT(YEAR($Q$2),"0000")&amp;TEXT(MONTH($Q$2),"00")&amp;$O1183,日報!$L:$L)</f>
        <v>0</v>
      </c>
      <c r="R1183" s="65">
        <f ca="1">SUMIF(日報!$J:$J,$O1183,日報!$L:$L)</f>
        <v>0</v>
      </c>
    </row>
    <row r="1184" spans="15:18" x14ac:dyDescent="0.15">
      <c r="O1184" s="7" t="str">
        <f>"REQ"&amp;TEXT([2]RequestList!$A1185,"0000")</f>
        <v>REQ0000</v>
      </c>
      <c r="P1184" s="7">
        <f>[2]RequestList!$J1185</f>
        <v>0</v>
      </c>
      <c r="Q1184" s="65">
        <f>SUMIF(日報!$R:$R,TEXT(YEAR($Q$2),"0000")&amp;TEXT(MONTH($Q$2),"00")&amp;$O1184,日報!$L:$L)</f>
        <v>0</v>
      </c>
      <c r="R1184" s="65">
        <f ca="1">SUMIF(日報!$J:$J,$O1184,日報!$L:$L)</f>
        <v>0</v>
      </c>
    </row>
    <row r="1185" spans="15:18" x14ac:dyDescent="0.15">
      <c r="O1185" s="7" t="str">
        <f>"REQ"&amp;TEXT([2]RequestList!$A1186,"0000")</f>
        <v>REQ0000</v>
      </c>
      <c r="P1185" s="7">
        <f>[2]RequestList!$J1186</f>
        <v>0</v>
      </c>
      <c r="Q1185" s="65">
        <f>SUMIF(日報!$R:$R,TEXT(YEAR($Q$2),"0000")&amp;TEXT(MONTH($Q$2),"00")&amp;$O1185,日報!$L:$L)</f>
        <v>0</v>
      </c>
      <c r="R1185" s="65">
        <f ca="1">SUMIF(日報!$J:$J,$O1185,日報!$L:$L)</f>
        <v>0</v>
      </c>
    </row>
    <row r="1186" spans="15:18" x14ac:dyDescent="0.15">
      <c r="O1186" s="7" t="str">
        <f>"REQ"&amp;TEXT([2]RequestList!$A1187,"0000")</f>
        <v>REQ0000</v>
      </c>
      <c r="P1186" s="7">
        <f>[2]RequestList!$J1187</f>
        <v>0</v>
      </c>
      <c r="Q1186" s="65">
        <f>SUMIF(日報!$R:$R,TEXT(YEAR($Q$2),"0000")&amp;TEXT(MONTH($Q$2),"00")&amp;$O1186,日報!$L:$L)</f>
        <v>0</v>
      </c>
      <c r="R1186" s="65">
        <f ca="1">SUMIF(日報!$J:$J,$O1186,日報!$L:$L)</f>
        <v>0</v>
      </c>
    </row>
    <row r="1187" spans="15:18" x14ac:dyDescent="0.15">
      <c r="O1187" s="7" t="str">
        <f>"REQ"&amp;TEXT([2]RequestList!$A1188,"0000")</f>
        <v>REQ0000</v>
      </c>
      <c r="P1187" s="7">
        <f>[2]RequestList!$J1188</f>
        <v>0</v>
      </c>
      <c r="Q1187" s="65">
        <f>SUMIF(日報!$R:$R,TEXT(YEAR($Q$2),"0000")&amp;TEXT(MONTH($Q$2),"00")&amp;$O1187,日報!$L:$L)</f>
        <v>0</v>
      </c>
      <c r="R1187" s="65">
        <f ca="1">SUMIF(日報!$J:$J,$O1187,日報!$L:$L)</f>
        <v>0</v>
      </c>
    </row>
    <row r="1188" spans="15:18" x14ac:dyDescent="0.15">
      <c r="O1188" s="7" t="str">
        <f>"REQ"&amp;TEXT([2]RequestList!$A1189,"0000")</f>
        <v>REQ0000</v>
      </c>
      <c r="P1188" s="7">
        <f>[2]RequestList!$J1189</f>
        <v>0</v>
      </c>
      <c r="Q1188" s="65">
        <f>SUMIF(日報!$R:$R,TEXT(YEAR($Q$2),"0000")&amp;TEXT(MONTH($Q$2),"00")&amp;$O1188,日報!$L:$L)</f>
        <v>0</v>
      </c>
      <c r="R1188" s="65">
        <f ca="1">SUMIF(日報!$J:$J,$O1188,日報!$L:$L)</f>
        <v>0</v>
      </c>
    </row>
    <row r="1189" spans="15:18" x14ac:dyDescent="0.15">
      <c r="O1189" s="7" t="str">
        <f>"REQ"&amp;TEXT([2]RequestList!$A1190,"0000")</f>
        <v>REQ0000</v>
      </c>
      <c r="P1189" s="7">
        <f>[2]RequestList!$J1190</f>
        <v>0</v>
      </c>
      <c r="Q1189" s="65">
        <f>SUMIF(日報!$R:$R,TEXT(YEAR($Q$2),"0000")&amp;TEXT(MONTH($Q$2),"00")&amp;$O1189,日報!$L:$L)</f>
        <v>0</v>
      </c>
      <c r="R1189" s="65">
        <f ca="1">SUMIF(日報!$J:$J,$O1189,日報!$L:$L)</f>
        <v>0</v>
      </c>
    </row>
    <row r="1190" spans="15:18" x14ac:dyDescent="0.15">
      <c r="O1190" s="7" t="str">
        <f>"REQ"&amp;TEXT([2]RequestList!$A1191,"0000")</f>
        <v>REQ0000</v>
      </c>
      <c r="P1190" s="7">
        <f>[2]RequestList!$J1191</f>
        <v>0</v>
      </c>
      <c r="Q1190" s="65">
        <f>SUMIF(日報!$R:$R,TEXT(YEAR($Q$2),"0000")&amp;TEXT(MONTH($Q$2),"00")&amp;$O1190,日報!$L:$L)</f>
        <v>0</v>
      </c>
      <c r="R1190" s="65">
        <f ca="1">SUMIF(日報!$J:$J,$O1190,日報!$L:$L)</f>
        <v>0</v>
      </c>
    </row>
    <row r="1191" spans="15:18" x14ac:dyDescent="0.15">
      <c r="O1191" s="7" t="str">
        <f>"REQ"&amp;TEXT([2]RequestList!$A1192,"0000")</f>
        <v>REQ0000</v>
      </c>
      <c r="P1191" s="7">
        <f>[2]RequestList!$J1192</f>
        <v>0</v>
      </c>
      <c r="Q1191" s="65">
        <f>SUMIF(日報!$R:$R,TEXT(YEAR($Q$2),"0000")&amp;TEXT(MONTH($Q$2),"00")&amp;$O1191,日報!$L:$L)</f>
        <v>0</v>
      </c>
      <c r="R1191" s="65">
        <f ca="1">SUMIF(日報!$J:$J,$O1191,日報!$L:$L)</f>
        <v>0</v>
      </c>
    </row>
    <row r="1192" spans="15:18" x14ac:dyDescent="0.15">
      <c r="O1192" s="7" t="str">
        <f>"REQ"&amp;TEXT([2]RequestList!$A1193,"0000")</f>
        <v>REQ0000</v>
      </c>
      <c r="P1192" s="7">
        <f>[2]RequestList!$J1193</f>
        <v>0</v>
      </c>
      <c r="Q1192" s="65">
        <f>SUMIF(日報!$R:$R,TEXT(YEAR($Q$2),"0000")&amp;TEXT(MONTH($Q$2),"00")&amp;$O1192,日報!$L:$L)</f>
        <v>0</v>
      </c>
      <c r="R1192" s="65">
        <f ca="1">SUMIF(日報!$J:$J,$O1192,日報!$L:$L)</f>
        <v>0</v>
      </c>
    </row>
    <row r="1193" spans="15:18" x14ac:dyDescent="0.15">
      <c r="O1193" s="7" t="str">
        <f>"REQ"&amp;TEXT([2]RequestList!$A1194,"0000")</f>
        <v>REQ0000</v>
      </c>
      <c r="P1193" s="7">
        <f>[2]RequestList!$J1194</f>
        <v>0</v>
      </c>
      <c r="Q1193" s="65">
        <f>SUMIF(日報!$R:$R,TEXT(YEAR($Q$2),"0000")&amp;TEXT(MONTH($Q$2),"00")&amp;$O1193,日報!$L:$L)</f>
        <v>0</v>
      </c>
      <c r="R1193" s="65">
        <f ca="1">SUMIF(日報!$J:$J,$O1193,日報!$L:$L)</f>
        <v>0</v>
      </c>
    </row>
    <row r="1194" spans="15:18" x14ac:dyDescent="0.15">
      <c r="O1194" s="7" t="str">
        <f>"REQ"&amp;TEXT([2]RequestList!$A1195,"0000")</f>
        <v>REQ0000</v>
      </c>
      <c r="P1194" s="7">
        <f>[2]RequestList!$J1195</f>
        <v>0</v>
      </c>
      <c r="Q1194" s="65">
        <f>SUMIF(日報!$R:$R,TEXT(YEAR($Q$2),"0000")&amp;TEXT(MONTH($Q$2),"00")&amp;$O1194,日報!$L:$L)</f>
        <v>0</v>
      </c>
      <c r="R1194" s="65">
        <f ca="1">SUMIF(日報!$J:$J,$O1194,日報!$L:$L)</f>
        <v>0</v>
      </c>
    </row>
    <row r="1195" spans="15:18" x14ac:dyDescent="0.15">
      <c r="O1195" s="7" t="str">
        <f>"REQ"&amp;TEXT([2]RequestList!$A1196,"0000")</f>
        <v>REQ0000</v>
      </c>
      <c r="P1195" s="7">
        <f>[2]RequestList!$J1196</f>
        <v>0</v>
      </c>
      <c r="Q1195" s="65">
        <f>SUMIF(日報!$R:$R,TEXT(YEAR($Q$2),"0000")&amp;TEXT(MONTH($Q$2),"00")&amp;$O1195,日報!$L:$L)</f>
        <v>0</v>
      </c>
      <c r="R1195" s="65">
        <f ca="1">SUMIF(日報!$J:$J,$O1195,日報!$L:$L)</f>
        <v>0</v>
      </c>
    </row>
    <row r="1196" spans="15:18" x14ac:dyDescent="0.15">
      <c r="O1196" s="7" t="str">
        <f>"REQ"&amp;TEXT([2]RequestList!$A1197,"0000")</f>
        <v>REQ0000</v>
      </c>
      <c r="P1196" s="7">
        <f>[2]RequestList!$J1197</f>
        <v>0</v>
      </c>
      <c r="Q1196" s="65">
        <f>SUMIF(日報!$R:$R,TEXT(YEAR($Q$2),"0000")&amp;TEXT(MONTH($Q$2),"00")&amp;$O1196,日報!$L:$L)</f>
        <v>0</v>
      </c>
      <c r="R1196" s="65">
        <f ca="1">SUMIF(日報!$J:$J,$O1196,日報!$L:$L)</f>
        <v>0</v>
      </c>
    </row>
    <row r="1197" spans="15:18" x14ac:dyDescent="0.15">
      <c r="O1197" s="7" t="str">
        <f>"REQ"&amp;TEXT([2]RequestList!$A1198,"0000")</f>
        <v>REQ0000</v>
      </c>
      <c r="P1197" s="7">
        <f>[2]RequestList!$J1198</f>
        <v>0</v>
      </c>
      <c r="Q1197" s="65">
        <f>SUMIF(日報!$R:$R,TEXT(YEAR($Q$2),"0000")&amp;TEXT(MONTH($Q$2),"00")&amp;$O1197,日報!$L:$L)</f>
        <v>0</v>
      </c>
      <c r="R1197" s="65">
        <f ca="1">SUMIF(日報!$J:$J,$O1197,日報!$L:$L)</f>
        <v>0</v>
      </c>
    </row>
    <row r="1198" spans="15:18" x14ac:dyDescent="0.15">
      <c r="O1198" s="7" t="str">
        <f>"REQ"&amp;TEXT([2]RequestList!$A1199,"0000")</f>
        <v>REQ0000</v>
      </c>
      <c r="P1198" s="7">
        <f>[2]RequestList!$J1199</f>
        <v>0</v>
      </c>
      <c r="Q1198" s="65">
        <f>SUMIF(日報!$R:$R,TEXT(YEAR($Q$2),"0000")&amp;TEXT(MONTH($Q$2),"00")&amp;$O1198,日報!$L:$L)</f>
        <v>0</v>
      </c>
      <c r="R1198" s="65">
        <f ca="1">SUMIF(日報!$J:$J,$O1198,日報!$L:$L)</f>
        <v>0</v>
      </c>
    </row>
    <row r="1199" spans="15:18" x14ac:dyDescent="0.15">
      <c r="O1199" s="7" t="str">
        <f>"REQ"&amp;TEXT([2]RequestList!$A1200,"0000")</f>
        <v>REQ0000</v>
      </c>
      <c r="P1199" s="7">
        <f>[2]RequestList!$J1200</f>
        <v>0</v>
      </c>
      <c r="Q1199" s="65">
        <f>SUMIF(日報!$R:$R,TEXT(YEAR($Q$2),"0000")&amp;TEXT(MONTH($Q$2),"00")&amp;$O1199,日報!$L:$L)</f>
        <v>0</v>
      </c>
      <c r="R1199" s="65">
        <f ca="1">SUMIF(日報!$J:$J,$O1199,日報!$L:$L)</f>
        <v>0</v>
      </c>
    </row>
    <row r="1200" spans="15:18" x14ac:dyDescent="0.15">
      <c r="O1200" s="7" t="str">
        <f>"REQ"&amp;TEXT([2]RequestList!$A1201,"0000")</f>
        <v>REQ0000</v>
      </c>
      <c r="P1200" s="7">
        <f>[2]RequestList!$J1201</f>
        <v>0</v>
      </c>
      <c r="Q1200" s="65">
        <f>SUMIF(日報!$R:$R,TEXT(YEAR($Q$2),"0000")&amp;TEXT(MONTH($Q$2),"00")&amp;$O1200,日報!$L:$L)</f>
        <v>0</v>
      </c>
      <c r="R1200" s="65">
        <f ca="1">SUMIF(日報!$J:$J,$O1200,日報!$L:$L)</f>
        <v>0</v>
      </c>
    </row>
    <row r="1201" spans="15:18" x14ac:dyDescent="0.15">
      <c r="O1201" s="7" t="str">
        <f>"REQ"&amp;TEXT([2]RequestList!$A1202,"0000")</f>
        <v>REQ0000</v>
      </c>
      <c r="P1201" s="7">
        <f>[2]RequestList!$J1202</f>
        <v>0</v>
      </c>
      <c r="Q1201" s="65">
        <f>SUMIF(日報!$R:$R,TEXT(YEAR($Q$2),"0000")&amp;TEXT(MONTH($Q$2),"00")&amp;$O1201,日報!$L:$L)</f>
        <v>0</v>
      </c>
      <c r="R1201" s="65">
        <f ca="1">SUMIF(日報!$J:$J,$O1201,日報!$L:$L)</f>
        <v>0</v>
      </c>
    </row>
    <row r="1202" spans="15:18" x14ac:dyDescent="0.15">
      <c r="O1202" s="7" t="str">
        <f>"REQ"&amp;TEXT([2]RequestList!$A1203,"0000")</f>
        <v>REQ0000</v>
      </c>
      <c r="P1202" s="7">
        <f>[2]RequestList!$J1203</f>
        <v>0</v>
      </c>
      <c r="Q1202" s="65">
        <f>SUMIF(日報!$R:$R,TEXT(YEAR($Q$2),"0000")&amp;TEXT(MONTH($Q$2),"00")&amp;$O1202,日報!$L:$L)</f>
        <v>0</v>
      </c>
      <c r="R1202" s="65">
        <f ca="1">SUMIF(日報!$J:$J,$O1202,日報!$L:$L)</f>
        <v>0</v>
      </c>
    </row>
    <row r="1203" spans="15:18" x14ac:dyDescent="0.15">
      <c r="O1203" s="7" t="str">
        <f>"REQ"&amp;TEXT([2]RequestList!$A1204,"0000")</f>
        <v>REQ0000</v>
      </c>
      <c r="P1203" s="7">
        <f>[2]RequestList!$J1204</f>
        <v>0</v>
      </c>
      <c r="Q1203" s="65">
        <f>SUMIF(日報!$R:$R,TEXT(YEAR($Q$2),"0000")&amp;TEXT(MONTH($Q$2),"00")&amp;$O1203,日報!$L:$L)</f>
        <v>0</v>
      </c>
      <c r="R1203" s="65">
        <f ca="1">SUMIF(日報!$J:$J,$O1203,日報!$L:$L)</f>
        <v>0</v>
      </c>
    </row>
    <row r="1204" spans="15:18" x14ac:dyDescent="0.15">
      <c r="O1204" s="7" t="str">
        <f>"REQ"&amp;TEXT([2]RequestList!$A1205,"0000")</f>
        <v>REQ0000</v>
      </c>
      <c r="P1204" s="7">
        <f>[2]RequestList!$J1205</f>
        <v>0</v>
      </c>
      <c r="Q1204" s="65">
        <f>SUMIF(日報!$R:$R,TEXT(YEAR($Q$2),"0000")&amp;TEXT(MONTH($Q$2),"00")&amp;$O1204,日報!$L:$L)</f>
        <v>0</v>
      </c>
      <c r="R1204" s="65">
        <f ca="1">SUMIF(日報!$J:$J,$O1204,日報!$L:$L)</f>
        <v>0</v>
      </c>
    </row>
    <row r="1205" spans="15:18" x14ac:dyDescent="0.15">
      <c r="O1205" s="7" t="str">
        <f>"REQ"&amp;TEXT([2]RequestList!$A1206,"0000")</f>
        <v>REQ0000</v>
      </c>
      <c r="P1205" s="7">
        <f>[2]RequestList!$J1206</f>
        <v>0</v>
      </c>
      <c r="Q1205" s="65">
        <f>SUMIF(日報!$R:$R,TEXT(YEAR($Q$2),"0000")&amp;TEXT(MONTH($Q$2),"00")&amp;$O1205,日報!$L:$L)</f>
        <v>0</v>
      </c>
      <c r="R1205" s="65">
        <f ca="1">SUMIF(日報!$J:$J,$O1205,日報!$L:$L)</f>
        <v>0</v>
      </c>
    </row>
    <row r="1206" spans="15:18" x14ac:dyDescent="0.15">
      <c r="O1206" s="7" t="str">
        <f>"REQ"&amp;TEXT([2]RequestList!$A1207,"0000")</f>
        <v>REQ0000</v>
      </c>
      <c r="P1206" s="7">
        <f>[2]RequestList!$J1207</f>
        <v>0</v>
      </c>
      <c r="Q1206" s="65">
        <f>SUMIF(日報!$R:$R,TEXT(YEAR($Q$2),"0000")&amp;TEXT(MONTH($Q$2),"00")&amp;$O1206,日報!$L:$L)</f>
        <v>0</v>
      </c>
      <c r="R1206" s="65">
        <f ca="1">SUMIF(日報!$J:$J,$O1206,日報!$L:$L)</f>
        <v>0</v>
      </c>
    </row>
    <row r="1207" spans="15:18" x14ac:dyDescent="0.15">
      <c r="O1207" s="7" t="str">
        <f>"REQ"&amp;TEXT([2]RequestList!$A1208,"0000")</f>
        <v>REQ0000</v>
      </c>
      <c r="P1207" s="7">
        <f>[2]RequestList!$J1208</f>
        <v>0</v>
      </c>
      <c r="Q1207" s="65">
        <f>SUMIF(日報!$R:$R,TEXT(YEAR($Q$2),"0000")&amp;TEXT(MONTH($Q$2),"00")&amp;$O1207,日報!$L:$L)</f>
        <v>0</v>
      </c>
      <c r="R1207" s="65">
        <f ca="1">SUMIF(日報!$J:$J,$O1207,日報!$L:$L)</f>
        <v>0</v>
      </c>
    </row>
    <row r="1208" spans="15:18" x14ac:dyDescent="0.15">
      <c r="O1208" s="7" t="str">
        <f>"REQ"&amp;TEXT([2]RequestList!$A1209,"0000")</f>
        <v>REQ0000</v>
      </c>
      <c r="P1208" s="7">
        <f>[2]RequestList!$J1209</f>
        <v>0</v>
      </c>
      <c r="Q1208" s="65">
        <f>SUMIF(日報!$R:$R,TEXT(YEAR($Q$2),"0000")&amp;TEXT(MONTH($Q$2),"00")&amp;$O1208,日報!$L:$L)</f>
        <v>0</v>
      </c>
      <c r="R1208" s="65">
        <f ca="1">SUMIF(日報!$J:$J,$O1208,日報!$L:$L)</f>
        <v>0</v>
      </c>
    </row>
    <row r="1209" spans="15:18" x14ac:dyDescent="0.15">
      <c r="O1209" s="7" t="str">
        <f>"REQ"&amp;TEXT([2]RequestList!$A1210,"0000")</f>
        <v>REQ0000</v>
      </c>
      <c r="P1209" s="7">
        <f>[2]RequestList!$J1210</f>
        <v>0</v>
      </c>
      <c r="Q1209" s="65">
        <f>SUMIF(日報!$R:$R,TEXT(YEAR($Q$2),"0000")&amp;TEXT(MONTH($Q$2),"00")&amp;$O1209,日報!$L:$L)</f>
        <v>0</v>
      </c>
      <c r="R1209" s="65">
        <f ca="1">SUMIF(日報!$J:$J,$O1209,日報!$L:$L)</f>
        <v>0</v>
      </c>
    </row>
    <row r="1210" spans="15:18" x14ac:dyDescent="0.15">
      <c r="O1210" s="7" t="str">
        <f>"REQ"&amp;TEXT([2]RequestList!$A1211,"0000")</f>
        <v>REQ0000</v>
      </c>
      <c r="P1210" s="7">
        <f>[2]RequestList!$J1211</f>
        <v>0</v>
      </c>
      <c r="Q1210" s="65">
        <f>SUMIF(日報!$R:$R,TEXT(YEAR($Q$2),"0000")&amp;TEXT(MONTH($Q$2),"00")&amp;$O1210,日報!$L:$L)</f>
        <v>0</v>
      </c>
      <c r="R1210" s="65">
        <f ca="1">SUMIF(日報!$J:$J,$O1210,日報!$L:$L)</f>
        <v>0</v>
      </c>
    </row>
    <row r="1211" spans="15:18" x14ac:dyDescent="0.15">
      <c r="O1211" s="7" t="str">
        <f>"REQ"&amp;TEXT([2]RequestList!$A1212,"0000")</f>
        <v>REQ0000</v>
      </c>
      <c r="P1211" s="7">
        <f>[2]RequestList!$J1212</f>
        <v>0</v>
      </c>
      <c r="Q1211" s="65">
        <f>SUMIF(日報!$R:$R,TEXT(YEAR($Q$2),"0000")&amp;TEXT(MONTH($Q$2),"00")&amp;$O1211,日報!$L:$L)</f>
        <v>0</v>
      </c>
      <c r="R1211" s="65">
        <f ca="1">SUMIF(日報!$J:$J,$O1211,日報!$L:$L)</f>
        <v>0</v>
      </c>
    </row>
    <row r="1212" spans="15:18" x14ac:dyDescent="0.15">
      <c r="O1212" s="7" t="str">
        <f>"REQ"&amp;TEXT([2]RequestList!$A1213,"0000")</f>
        <v>REQ0000</v>
      </c>
      <c r="P1212" s="7">
        <f>[2]RequestList!$J1213</f>
        <v>0</v>
      </c>
      <c r="Q1212" s="65">
        <f>SUMIF(日報!$R:$R,TEXT(YEAR($Q$2),"0000")&amp;TEXT(MONTH($Q$2),"00")&amp;$O1212,日報!$L:$L)</f>
        <v>0</v>
      </c>
      <c r="R1212" s="65">
        <f ca="1">SUMIF(日報!$J:$J,$O1212,日報!$L:$L)</f>
        <v>0</v>
      </c>
    </row>
    <row r="1213" spans="15:18" x14ac:dyDescent="0.15">
      <c r="O1213" s="7" t="str">
        <f>"REQ"&amp;TEXT([2]RequestList!$A1214,"0000")</f>
        <v>REQ0000</v>
      </c>
      <c r="P1213" s="7">
        <f>[2]RequestList!$J1214</f>
        <v>0</v>
      </c>
      <c r="Q1213" s="65">
        <f>SUMIF(日報!$R:$R,TEXT(YEAR($Q$2),"0000")&amp;TEXT(MONTH($Q$2),"00")&amp;$O1213,日報!$L:$L)</f>
        <v>0</v>
      </c>
      <c r="R1213" s="65">
        <f ca="1">SUMIF(日報!$J:$J,$O1213,日報!$L:$L)</f>
        <v>0</v>
      </c>
    </row>
    <row r="1214" spans="15:18" x14ac:dyDescent="0.15">
      <c r="O1214" s="7" t="str">
        <f>"REQ"&amp;TEXT([2]RequestList!$A1215,"0000")</f>
        <v>REQ0000</v>
      </c>
      <c r="P1214" s="7">
        <f>[2]RequestList!$J1215</f>
        <v>0</v>
      </c>
      <c r="Q1214" s="65">
        <f>SUMIF(日報!$R:$R,TEXT(YEAR($Q$2),"0000")&amp;TEXT(MONTH($Q$2),"00")&amp;$O1214,日報!$L:$L)</f>
        <v>0</v>
      </c>
      <c r="R1214" s="65">
        <f ca="1">SUMIF(日報!$J:$J,$O1214,日報!$L:$L)</f>
        <v>0</v>
      </c>
    </row>
    <row r="1215" spans="15:18" x14ac:dyDescent="0.15">
      <c r="O1215" s="7" t="str">
        <f>"REQ"&amp;TEXT([2]RequestList!$A1216,"0000")</f>
        <v>REQ0000</v>
      </c>
      <c r="P1215" s="7">
        <f>[2]RequestList!$J1216</f>
        <v>0</v>
      </c>
      <c r="Q1215" s="65">
        <f>SUMIF(日報!$R:$R,TEXT(YEAR($Q$2),"0000")&amp;TEXT(MONTH($Q$2),"00")&amp;$O1215,日報!$L:$L)</f>
        <v>0</v>
      </c>
      <c r="R1215" s="65">
        <f ca="1">SUMIF(日報!$J:$J,$O1215,日報!$L:$L)</f>
        <v>0</v>
      </c>
    </row>
    <row r="1216" spans="15:18" x14ac:dyDescent="0.15">
      <c r="O1216" s="7" t="str">
        <f>"REQ"&amp;TEXT([2]RequestList!$A1217,"0000")</f>
        <v>REQ0000</v>
      </c>
      <c r="P1216" s="7">
        <f>[2]RequestList!$J1217</f>
        <v>0</v>
      </c>
      <c r="Q1216" s="65">
        <f>SUMIF(日報!$R:$R,TEXT(YEAR($Q$2),"0000")&amp;TEXT(MONTH($Q$2),"00")&amp;$O1216,日報!$L:$L)</f>
        <v>0</v>
      </c>
      <c r="R1216" s="65">
        <f ca="1">SUMIF(日報!$J:$J,$O1216,日報!$L:$L)</f>
        <v>0</v>
      </c>
    </row>
    <row r="1217" spans="15:18" x14ac:dyDescent="0.15">
      <c r="O1217" s="7" t="str">
        <f>"REQ"&amp;TEXT([2]RequestList!$A1218,"0000")</f>
        <v>REQ0000</v>
      </c>
      <c r="P1217" s="7">
        <f>[2]RequestList!$J1218</f>
        <v>0</v>
      </c>
      <c r="Q1217" s="65">
        <f>SUMIF(日報!$R:$R,TEXT(YEAR($Q$2),"0000")&amp;TEXT(MONTH($Q$2),"00")&amp;$O1217,日報!$L:$L)</f>
        <v>0</v>
      </c>
      <c r="R1217" s="65">
        <f ca="1">SUMIF(日報!$J:$J,$O1217,日報!$L:$L)</f>
        <v>0</v>
      </c>
    </row>
    <row r="1218" spans="15:18" x14ac:dyDescent="0.15">
      <c r="O1218" s="7" t="str">
        <f>"REQ"&amp;TEXT([2]RequestList!$A1219,"0000")</f>
        <v>REQ0000</v>
      </c>
      <c r="P1218" s="7">
        <f>[2]RequestList!$J1219</f>
        <v>0</v>
      </c>
      <c r="Q1218" s="65">
        <f>SUMIF(日報!$R:$R,TEXT(YEAR($Q$2),"0000")&amp;TEXT(MONTH($Q$2),"00")&amp;$O1218,日報!$L:$L)</f>
        <v>0</v>
      </c>
      <c r="R1218" s="65">
        <f ca="1">SUMIF(日報!$J:$J,$O1218,日報!$L:$L)</f>
        <v>0</v>
      </c>
    </row>
    <row r="1219" spans="15:18" x14ac:dyDescent="0.15">
      <c r="O1219" s="7" t="str">
        <f>"REQ"&amp;TEXT([2]RequestList!$A1220,"0000")</f>
        <v>REQ0000</v>
      </c>
      <c r="P1219" s="7">
        <f>[2]RequestList!$J1220</f>
        <v>0</v>
      </c>
      <c r="Q1219" s="65">
        <f>SUMIF(日報!$R:$R,TEXT(YEAR($Q$2),"0000")&amp;TEXT(MONTH($Q$2),"00")&amp;$O1219,日報!$L:$L)</f>
        <v>0</v>
      </c>
      <c r="R1219" s="65">
        <f ca="1">SUMIF(日報!$J:$J,$O1219,日報!$L:$L)</f>
        <v>0</v>
      </c>
    </row>
    <row r="1220" spans="15:18" x14ac:dyDescent="0.15">
      <c r="O1220" s="7" t="str">
        <f>"REQ"&amp;TEXT([2]RequestList!$A1221,"0000")</f>
        <v>REQ0000</v>
      </c>
      <c r="P1220" s="7">
        <f>[2]RequestList!$J1221</f>
        <v>0</v>
      </c>
      <c r="Q1220" s="65">
        <f>SUMIF(日報!$R:$R,TEXT(YEAR($Q$2),"0000")&amp;TEXT(MONTH($Q$2),"00")&amp;$O1220,日報!$L:$L)</f>
        <v>0</v>
      </c>
      <c r="R1220" s="65">
        <f ca="1">SUMIF(日報!$J:$J,$O1220,日報!$L:$L)</f>
        <v>0</v>
      </c>
    </row>
    <row r="1221" spans="15:18" x14ac:dyDescent="0.15">
      <c r="O1221" s="7" t="str">
        <f>"REQ"&amp;TEXT([2]RequestList!$A1222,"0000")</f>
        <v>REQ0000</v>
      </c>
      <c r="P1221" s="7">
        <f>[2]RequestList!$J1222</f>
        <v>0</v>
      </c>
      <c r="Q1221" s="65">
        <f>SUMIF(日報!$R:$R,TEXT(YEAR($Q$2),"0000")&amp;TEXT(MONTH($Q$2),"00")&amp;$O1221,日報!$L:$L)</f>
        <v>0</v>
      </c>
      <c r="R1221" s="65">
        <f ca="1">SUMIF(日報!$J:$J,$O1221,日報!$L:$L)</f>
        <v>0</v>
      </c>
    </row>
    <row r="1222" spans="15:18" x14ac:dyDescent="0.15">
      <c r="O1222" s="7" t="str">
        <f>"REQ"&amp;TEXT([2]RequestList!$A1223,"0000")</f>
        <v>REQ0000</v>
      </c>
      <c r="P1222" s="7">
        <f>[2]RequestList!$J1223</f>
        <v>0</v>
      </c>
      <c r="Q1222" s="65">
        <f>SUMIF(日報!$R:$R,TEXT(YEAR($Q$2),"0000")&amp;TEXT(MONTH($Q$2),"00")&amp;$O1222,日報!$L:$L)</f>
        <v>0</v>
      </c>
      <c r="R1222" s="65">
        <f ca="1">SUMIF(日報!$J:$J,$O1222,日報!$L:$L)</f>
        <v>0</v>
      </c>
    </row>
    <row r="1223" spans="15:18" x14ac:dyDescent="0.15">
      <c r="O1223" s="7" t="str">
        <f>"REQ"&amp;TEXT([2]RequestList!$A1224,"0000")</f>
        <v>REQ0000</v>
      </c>
      <c r="P1223" s="7">
        <f>[2]RequestList!$J1224</f>
        <v>0</v>
      </c>
      <c r="Q1223" s="65">
        <f>SUMIF(日報!$R:$R,TEXT(YEAR($Q$2),"0000")&amp;TEXT(MONTH($Q$2),"00")&amp;$O1223,日報!$L:$L)</f>
        <v>0</v>
      </c>
      <c r="R1223" s="65">
        <f ca="1">SUMIF(日報!$J:$J,$O1223,日報!$L:$L)</f>
        <v>0</v>
      </c>
    </row>
    <row r="1224" spans="15:18" x14ac:dyDescent="0.15">
      <c r="O1224" s="7" t="str">
        <f>"REQ"&amp;TEXT([2]RequestList!$A1225,"0000")</f>
        <v>REQ0000</v>
      </c>
      <c r="P1224" s="7">
        <f>[2]RequestList!$J1225</f>
        <v>0</v>
      </c>
      <c r="Q1224" s="65">
        <f>SUMIF(日報!$R:$R,TEXT(YEAR($Q$2),"0000")&amp;TEXT(MONTH($Q$2),"00")&amp;$O1224,日報!$L:$L)</f>
        <v>0</v>
      </c>
      <c r="R1224" s="65">
        <f ca="1">SUMIF(日報!$J:$J,$O1224,日報!$L:$L)</f>
        <v>0</v>
      </c>
    </row>
    <row r="1225" spans="15:18" x14ac:dyDescent="0.15">
      <c r="O1225" s="7" t="str">
        <f>"REQ"&amp;TEXT([2]RequestList!$A1226,"0000")</f>
        <v>REQ0000</v>
      </c>
      <c r="P1225" s="7">
        <f>[2]RequestList!$J1226</f>
        <v>0</v>
      </c>
      <c r="Q1225" s="65">
        <f>SUMIF(日報!$R:$R,TEXT(YEAR($Q$2),"0000")&amp;TEXT(MONTH($Q$2),"00")&amp;$O1225,日報!$L:$L)</f>
        <v>0</v>
      </c>
      <c r="R1225" s="65">
        <f ca="1">SUMIF(日報!$J:$J,$O1225,日報!$L:$L)</f>
        <v>0</v>
      </c>
    </row>
    <row r="1226" spans="15:18" x14ac:dyDescent="0.15">
      <c r="O1226" s="7" t="str">
        <f>"REQ"&amp;TEXT([2]RequestList!$A1227,"0000")</f>
        <v>REQ0000</v>
      </c>
      <c r="P1226" s="7">
        <f>[2]RequestList!$J1227</f>
        <v>0</v>
      </c>
      <c r="Q1226" s="65">
        <f>SUMIF(日報!$R:$R,TEXT(YEAR($Q$2),"0000")&amp;TEXT(MONTH($Q$2),"00")&amp;$O1226,日報!$L:$L)</f>
        <v>0</v>
      </c>
      <c r="R1226" s="65">
        <f ca="1">SUMIF(日報!$J:$J,$O1226,日報!$L:$L)</f>
        <v>0</v>
      </c>
    </row>
    <row r="1227" spans="15:18" x14ac:dyDescent="0.15">
      <c r="O1227" s="7" t="str">
        <f>"REQ"&amp;TEXT([2]RequestList!$A1228,"0000")</f>
        <v>REQ0000</v>
      </c>
      <c r="P1227" s="7">
        <f>[2]RequestList!$J1228</f>
        <v>0</v>
      </c>
      <c r="Q1227" s="65">
        <f>SUMIF(日報!$R:$R,TEXT(YEAR($Q$2),"0000")&amp;TEXT(MONTH($Q$2),"00")&amp;$O1227,日報!$L:$L)</f>
        <v>0</v>
      </c>
      <c r="R1227" s="65">
        <f ca="1">SUMIF(日報!$J:$J,$O1227,日報!$L:$L)</f>
        <v>0</v>
      </c>
    </row>
    <row r="1228" spans="15:18" x14ac:dyDescent="0.15">
      <c r="O1228" s="7" t="str">
        <f>"REQ"&amp;TEXT([2]RequestList!$A1229,"0000")</f>
        <v>REQ0000</v>
      </c>
      <c r="P1228" s="7">
        <f>[2]RequestList!$J1229</f>
        <v>0</v>
      </c>
      <c r="Q1228" s="65">
        <f>SUMIF(日報!$R:$R,TEXT(YEAR($Q$2),"0000")&amp;TEXT(MONTH($Q$2),"00")&amp;$O1228,日報!$L:$L)</f>
        <v>0</v>
      </c>
      <c r="R1228" s="65">
        <f ca="1">SUMIF(日報!$J:$J,$O1228,日報!$L:$L)</f>
        <v>0</v>
      </c>
    </row>
    <row r="1229" spans="15:18" x14ac:dyDescent="0.15">
      <c r="O1229" s="7" t="str">
        <f>"REQ"&amp;TEXT([2]RequestList!$A1230,"0000")</f>
        <v>REQ0000</v>
      </c>
      <c r="P1229" s="7">
        <f>[2]RequestList!$J1230</f>
        <v>0</v>
      </c>
      <c r="Q1229" s="65">
        <f>SUMIF(日報!$R:$R,TEXT(YEAR($Q$2),"0000")&amp;TEXT(MONTH($Q$2),"00")&amp;$O1229,日報!$L:$L)</f>
        <v>0</v>
      </c>
      <c r="R1229" s="65">
        <f ca="1">SUMIF(日報!$J:$J,$O1229,日報!$L:$L)</f>
        <v>0</v>
      </c>
    </row>
    <row r="1230" spans="15:18" x14ac:dyDescent="0.15">
      <c r="O1230" s="7" t="str">
        <f>"REQ"&amp;TEXT([2]RequestList!$A1231,"0000")</f>
        <v>REQ0000</v>
      </c>
      <c r="P1230" s="7">
        <f>[2]RequestList!$J1231</f>
        <v>0</v>
      </c>
      <c r="Q1230" s="65">
        <f>SUMIF(日報!$R:$R,TEXT(YEAR($Q$2),"0000")&amp;TEXT(MONTH($Q$2),"00")&amp;$O1230,日報!$L:$L)</f>
        <v>0</v>
      </c>
      <c r="R1230" s="65">
        <f ca="1">SUMIF(日報!$J:$J,$O1230,日報!$L:$L)</f>
        <v>0</v>
      </c>
    </row>
    <row r="1231" spans="15:18" x14ac:dyDescent="0.15">
      <c r="O1231" s="7" t="str">
        <f>"REQ"&amp;TEXT([2]RequestList!$A1232,"0000")</f>
        <v>REQ0000</v>
      </c>
      <c r="P1231" s="7">
        <f>[2]RequestList!$J1232</f>
        <v>0</v>
      </c>
      <c r="Q1231" s="65">
        <f>SUMIF(日報!$R:$R,TEXT(YEAR($Q$2),"0000")&amp;TEXT(MONTH($Q$2),"00")&amp;$O1231,日報!$L:$L)</f>
        <v>0</v>
      </c>
      <c r="R1231" s="65">
        <f ca="1">SUMIF(日報!$J:$J,$O1231,日報!$L:$L)</f>
        <v>0</v>
      </c>
    </row>
    <row r="1232" spans="15:18" x14ac:dyDescent="0.15">
      <c r="O1232" s="7" t="str">
        <f>"REQ"&amp;TEXT([2]RequestList!$A1233,"0000")</f>
        <v>REQ0000</v>
      </c>
      <c r="P1232" s="7">
        <f>[2]RequestList!$J1233</f>
        <v>0</v>
      </c>
      <c r="Q1232" s="65">
        <f>SUMIF(日報!$R:$R,TEXT(YEAR($Q$2),"0000")&amp;TEXT(MONTH($Q$2),"00")&amp;$O1232,日報!$L:$L)</f>
        <v>0</v>
      </c>
      <c r="R1232" s="65">
        <f ca="1">SUMIF(日報!$J:$J,$O1232,日報!$L:$L)</f>
        <v>0</v>
      </c>
    </row>
    <row r="1233" spans="15:18" x14ac:dyDescent="0.15">
      <c r="O1233" s="7" t="str">
        <f>"REQ"&amp;TEXT([2]RequestList!$A1234,"0000")</f>
        <v>REQ0000</v>
      </c>
      <c r="P1233" s="7">
        <f>[2]RequestList!$J1234</f>
        <v>0</v>
      </c>
      <c r="Q1233" s="65">
        <f>SUMIF(日報!$R:$R,TEXT(YEAR($Q$2),"0000")&amp;TEXT(MONTH($Q$2),"00")&amp;$O1233,日報!$L:$L)</f>
        <v>0</v>
      </c>
      <c r="R1233" s="65">
        <f ca="1">SUMIF(日報!$J:$J,$O1233,日報!$L:$L)</f>
        <v>0</v>
      </c>
    </row>
    <row r="1234" spans="15:18" x14ac:dyDescent="0.15">
      <c r="O1234" s="7" t="str">
        <f>"REQ"&amp;TEXT([2]RequestList!$A1235,"0000")</f>
        <v>REQ0000</v>
      </c>
      <c r="P1234" s="7">
        <f>[2]RequestList!$J1235</f>
        <v>0</v>
      </c>
      <c r="Q1234" s="65">
        <f>SUMIF(日報!$R:$R,TEXT(YEAR($Q$2),"0000")&amp;TEXT(MONTH($Q$2),"00")&amp;$O1234,日報!$L:$L)</f>
        <v>0</v>
      </c>
      <c r="R1234" s="65">
        <f ca="1">SUMIF(日報!$J:$J,$O1234,日報!$L:$L)</f>
        <v>0</v>
      </c>
    </row>
    <row r="1235" spans="15:18" x14ac:dyDescent="0.15">
      <c r="O1235" s="7" t="str">
        <f>"REQ"&amp;TEXT([2]RequestList!$A1236,"0000")</f>
        <v>REQ0000</v>
      </c>
      <c r="P1235" s="7">
        <f>[2]RequestList!$J1236</f>
        <v>0</v>
      </c>
      <c r="Q1235" s="65">
        <f>SUMIF(日報!$R:$R,TEXT(YEAR($Q$2),"0000")&amp;TEXT(MONTH($Q$2),"00")&amp;$O1235,日報!$L:$L)</f>
        <v>0</v>
      </c>
      <c r="R1235" s="65">
        <f ca="1">SUMIF(日報!$J:$J,$O1235,日報!$L:$L)</f>
        <v>0</v>
      </c>
    </row>
    <row r="1236" spans="15:18" x14ac:dyDescent="0.15">
      <c r="O1236" s="7" t="str">
        <f>"REQ"&amp;TEXT([2]RequestList!$A1237,"0000")</f>
        <v>REQ0000</v>
      </c>
      <c r="P1236" s="7">
        <f>[2]RequestList!$J1237</f>
        <v>0</v>
      </c>
      <c r="Q1236" s="65">
        <f>SUMIF(日報!$R:$R,TEXT(YEAR($Q$2),"0000")&amp;TEXT(MONTH($Q$2),"00")&amp;$O1236,日報!$L:$L)</f>
        <v>0</v>
      </c>
      <c r="R1236" s="65">
        <f ca="1">SUMIF(日報!$J:$J,$O1236,日報!$L:$L)</f>
        <v>0</v>
      </c>
    </row>
    <row r="1237" spans="15:18" x14ac:dyDescent="0.15">
      <c r="O1237" s="7" t="str">
        <f>"REQ"&amp;TEXT([2]RequestList!$A1238,"0000")</f>
        <v>REQ0000</v>
      </c>
      <c r="P1237" s="7">
        <f>[2]RequestList!$J1238</f>
        <v>0</v>
      </c>
      <c r="Q1237" s="65">
        <f>SUMIF(日報!$R:$R,TEXT(YEAR($Q$2),"0000")&amp;TEXT(MONTH($Q$2),"00")&amp;$O1237,日報!$L:$L)</f>
        <v>0</v>
      </c>
      <c r="R1237" s="65">
        <f ca="1">SUMIF(日報!$J:$J,$O1237,日報!$L:$L)</f>
        <v>0</v>
      </c>
    </row>
    <row r="1238" spans="15:18" x14ac:dyDescent="0.15">
      <c r="O1238" s="7" t="str">
        <f>"REQ"&amp;TEXT([2]RequestList!$A1239,"0000")</f>
        <v>REQ0000</v>
      </c>
      <c r="P1238" s="7">
        <f>[2]RequestList!$J1239</f>
        <v>0</v>
      </c>
      <c r="Q1238" s="65">
        <f>SUMIF(日報!$R:$R,TEXT(YEAR($Q$2),"0000")&amp;TEXT(MONTH($Q$2),"00")&amp;$O1238,日報!$L:$L)</f>
        <v>0</v>
      </c>
      <c r="R1238" s="65">
        <f ca="1">SUMIF(日報!$J:$J,$O1238,日報!$L:$L)</f>
        <v>0</v>
      </c>
    </row>
    <row r="1239" spans="15:18" x14ac:dyDescent="0.15">
      <c r="O1239" s="7" t="str">
        <f>"REQ"&amp;TEXT([2]RequestList!$A1240,"0000")</f>
        <v>REQ0000</v>
      </c>
      <c r="P1239" s="7">
        <f>[2]RequestList!$J1240</f>
        <v>0</v>
      </c>
      <c r="Q1239" s="65">
        <f>SUMIF(日報!$R:$R,TEXT(YEAR($Q$2),"0000")&amp;TEXT(MONTH($Q$2),"00")&amp;$O1239,日報!$L:$L)</f>
        <v>0</v>
      </c>
      <c r="R1239" s="65">
        <f ca="1">SUMIF(日報!$J:$J,$O1239,日報!$L:$L)</f>
        <v>0</v>
      </c>
    </row>
    <row r="1240" spans="15:18" x14ac:dyDescent="0.15">
      <c r="O1240" s="7" t="str">
        <f>"REQ"&amp;TEXT([2]RequestList!$A1241,"0000")</f>
        <v>REQ0000</v>
      </c>
      <c r="P1240" s="7">
        <f>[2]RequestList!$J1241</f>
        <v>0</v>
      </c>
      <c r="Q1240" s="65">
        <f>SUMIF(日報!$R:$R,TEXT(YEAR($Q$2),"0000")&amp;TEXT(MONTH($Q$2),"00")&amp;$O1240,日報!$L:$L)</f>
        <v>0</v>
      </c>
      <c r="R1240" s="65">
        <f ca="1">SUMIF(日報!$J:$J,$O1240,日報!$L:$L)</f>
        <v>0</v>
      </c>
    </row>
    <row r="1241" spans="15:18" x14ac:dyDescent="0.15">
      <c r="O1241" s="7" t="str">
        <f>"REQ"&amp;TEXT([2]RequestList!$A1242,"0000")</f>
        <v>REQ0000</v>
      </c>
      <c r="P1241" s="7">
        <f>[2]RequestList!$J1242</f>
        <v>0</v>
      </c>
      <c r="Q1241" s="65">
        <f>SUMIF(日報!$R:$R,TEXT(YEAR($Q$2),"0000")&amp;TEXT(MONTH($Q$2),"00")&amp;$O1241,日報!$L:$L)</f>
        <v>0</v>
      </c>
      <c r="R1241" s="65">
        <f ca="1">SUMIF(日報!$J:$J,$O1241,日報!$L:$L)</f>
        <v>0</v>
      </c>
    </row>
    <row r="1242" spans="15:18" x14ac:dyDescent="0.15">
      <c r="O1242" s="7" t="str">
        <f>"REQ"&amp;TEXT([2]RequestList!$A1243,"0000")</f>
        <v>REQ0000</v>
      </c>
      <c r="P1242" s="7">
        <f>[2]RequestList!$J1243</f>
        <v>0</v>
      </c>
      <c r="Q1242" s="65">
        <f>SUMIF(日報!$R:$R,TEXT(YEAR($Q$2),"0000")&amp;TEXT(MONTH($Q$2),"00")&amp;$O1242,日報!$L:$L)</f>
        <v>0</v>
      </c>
      <c r="R1242" s="65">
        <f ca="1">SUMIF(日報!$J:$J,$O1242,日報!$L:$L)</f>
        <v>0</v>
      </c>
    </row>
    <row r="1243" spans="15:18" x14ac:dyDescent="0.15">
      <c r="O1243" s="7" t="str">
        <f>"REQ"&amp;TEXT([2]RequestList!$A1244,"0000")</f>
        <v>REQ0000</v>
      </c>
      <c r="P1243" s="7">
        <f>[2]RequestList!$J1244</f>
        <v>0</v>
      </c>
      <c r="Q1243" s="65">
        <f>SUMIF(日報!$R:$R,TEXT(YEAR($Q$2),"0000")&amp;TEXT(MONTH($Q$2),"00")&amp;$O1243,日報!$L:$L)</f>
        <v>0</v>
      </c>
      <c r="R1243" s="65">
        <f ca="1">SUMIF(日報!$J:$J,$O1243,日報!$L:$L)</f>
        <v>0</v>
      </c>
    </row>
    <row r="1244" spans="15:18" x14ac:dyDescent="0.15">
      <c r="O1244" s="7" t="str">
        <f>"REQ"&amp;TEXT([2]RequestList!$A1245,"0000")</f>
        <v>REQ0000</v>
      </c>
      <c r="P1244" s="7">
        <f>[2]RequestList!$J1245</f>
        <v>0</v>
      </c>
      <c r="Q1244" s="65">
        <f>SUMIF(日報!$R:$R,TEXT(YEAR($Q$2),"0000")&amp;TEXT(MONTH($Q$2),"00")&amp;$O1244,日報!$L:$L)</f>
        <v>0</v>
      </c>
      <c r="R1244" s="65">
        <f ca="1">SUMIF(日報!$J:$J,$O1244,日報!$L:$L)</f>
        <v>0</v>
      </c>
    </row>
    <row r="1245" spans="15:18" x14ac:dyDescent="0.15">
      <c r="O1245" s="7" t="str">
        <f>"REQ"&amp;TEXT([2]RequestList!$A1246,"0000")</f>
        <v>REQ0000</v>
      </c>
      <c r="P1245" s="7">
        <f>[2]RequestList!$J1246</f>
        <v>0</v>
      </c>
      <c r="Q1245" s="65">
        <f>SUMIF(日報!$R:$R,TEXT(YEAR($Q$2),"0000")&amp;TEXT(MONTH($Q$2),"00")&amp;$O1245,日報!$L:$L)</f>
        <v>0</v>
      </c>
      <c r="R1245" s="65">
        <f ca="1">SUMIF(日報!$J:$J,$O1245,日報!$L:$L)</f>
        <v>0</v>
      </c>
    </row>
    <row r="1246" spans="15:18" x14ac:dyDescent="0.15">
      <c r="O1246" s="7" t="str">
        <f>"REQ"&amp;TEXT([2]RequestList!$A1247,"0000")</f>
        <v>REQ0000</v>
      </c>
      <c r="P1246" s="7">
        <f>[2]RequestList!$J1247</f>
        <v>0</v>
      </c>
      <c r="Q1246" s="65">
        <f>SUMIF(日報!$R:$R,TEXT(YEAR($Q$2),"0000")&amp;TEXT(MONTH($Q$2),"00")&amp;$O1246,日報!$L:$L)</f>
        <v>0</v>
      </c>
      <c r="R1246" s="65">
        <f ca="1">SUMIF(日報!$J:$J,$O1246,日報!$L:$L)</f>
        <v>0</v>
      </c>
    </row>
    <row r="1247" spans="15:18" x14ac:dyDescent="0.15">
      <c r="O1247" s="7" t="str">
        <f>"REQ"&amp;TEXT([2]RequestList!$A1248,"0000")</f>
        <v>REQ0000</v>
      </c>
      <c r="P1247" s="7">
        <f>[2]RequestList!$J1248</f>
        <v>0</v>
      </c>
      <c r="Q1247" s="65">
        <f>SUMIF(日報!$R:$R,TEXT(YEAR($Q$2),"0000")&amp;TEXT(MONTH($Q$2),"00")&amp;$O1247,日報!$L:$L)</f>
        <v>0</v>
      </c>
      <c r="R1247" s="65">
        <f ca="1">SUMIF(日報!$J:$J,$O1247,日報!$L:$L)</f>
        <v>0</v>
      </c>
    </row>
    <row r="1248" spans="15:18" x14ac:dyDescent="0.15">
      <c r="O1248" s="7" t="str">
        <f>"REQ"&amp;TEXT([2]RequestList!$A1249,"0000")</f>
        <v>REQ0000</v>
      </c>
      <c r="P1248" s="7">
        <f>[2]RequestList!$J1249</f>
        <v>0</v>
      </c>
      <c r="Q1248" s="65">
        <f>SUMIF(日報!$R:$R,TEXT(YEAR($Q$2),"0000")&amp;TEXT(MONTH($Q$2),"00")&amp;$O1248,日報!$L:$L)</f>
        <v>0</v>
      </c>
      <c r="R1248" s="65">
        <f ca="1">SUMIF(日報!$J:$J,$O1248,日報!$L:$L)</f>
        <v>0</v>
      </c>
    </row>
    <row r="1249" spans="15:18" x14ac:dyDescent="0.15">
      <c r="O1249" s="7" t="str">
        <f>"REQ"&amp;TEXT([2]RequestList!$A1250,"0000")</f>
        <v>REQ0000</v>
      </c>
      <c r="P1249" s="7">
        <f>[2]RequestList!$J1250</f>
        <v>0</v>
      </c>
      <c r="Q1249" s="65">
        <f>SUMIF(日報!$R:$R,TEXT(YEAR($Q$2),"0000")&amp;TEXT(MONTH($Q$2),"00")&amp;$O1249,日報!$L:$L)</f>
        <v>0</v>
      </c>
      <c r="R1249" s="65">
        <f ca="1">SUMIF(日報!$J:$J,$O1249,日報!$L:$L)</f>
        <v>0</v>
      </c>
    </row>
    <row r="1250" spans="15:18" x14ac:dyDescent="0.15">
      <c r="O1250" s="7" t="str">
        <f>"REQ"&amp;TEXT([2]RequestList!$A1251,"0000")</f>
        <v>REQ0000</v>
      </c>
      <c r="P1250" s="7">
        <f>[2]RequestList!$J1251</f>
        <v>0</v>
      </c>
      <c r="Q1250" s="65">
        <f>SUMIF(日報!$R:$R,TEXT(YEAR($Q$2),"0000")&amp;TEXT(MONTH($Q$2),"00")&amp;$O1250,日報!$L:$L)</f>
        <v>0</v>
      </c>
      <c r="R1250" s="65">
        <f ca="1">SUMIF(日報!$J:$J,$O1250,日報!$L:$L)</f>
        <v>0</v>
      </c>
    </row>
    <row r="1251" spans="15:18" x14ac:dyDescent="0.15">
      <c r="O1251" s="7" t="str">
        <f>"REQ"&amp;TEXT([2]RequestList!$A1252,"0000")</f>
        <v>REQ0000</v>
      </c>
      <c r="P1251" s="7">
        <f>[2]RequestList!$J1252</f>
        <v>0</v>
      </c>
      <c r="Q1251" s="65">
        <f>SUMIF(日報!$R:$R,TEXT(YEAR($Q$2),"0000")&amp;TEXT(MONTH($Q$2),"00")&amp;$O1251,日報!$L:$L)</f>
        <v>0</v>
      </c>
      <c r="R1251" s="65">
        <f ca="1">SUMIF(日報!$J:$J,$O1251,日報!$L:$L)</f>
        <v>0</v>
      </c>
    </row>
    <row r="1252" spans="15:18" x14ac:dyDescent="0.15">
      <c r="O1252" s="7" t="str">
        <f>"REQ"&amp;TEXT([2]RequestList!$A1253,"0000")</f>
        <v>REQ0000</v>
      </c>
      <c r="P1252" s="7">
        <f>[2]RequestList!$J1253</f>
        <v>0</v>
      </c>
      <c r="Q1252" s="65">
        <f>SUMIF(日報!$R:$R,TEXT(YEAR($Q$2),"0000")&amp;TEXT(MONTH($Q$2),"00")&amp;$O1252,日報!$L:$L)</f>
        <v>0</v>
      </c>
      <c r="R1252" s="65">
        <f ca="1">SUMIF(日報!$J:$J,$O1252,日報!$L:$L)</f>
        <v>0</v>
      </c>
    </row>
    <row r="1253" spans="15:18" x14ac:dyDescent="0.15">
      <c r="O1253" s="7" t="str">
        <f>"REQ"&amp;TEXT([2]RequestList!$A1254,"0000")</f>
        <v>REQ0000</v>
      </c>
      <c r="P1253" s="7">
        <f>[2]RequestList!$J1254</f>
        <v>0</v>
      </c>
      <c r="Q1253" s="65">
        <f>SUMIF(日報!$R:$R,TEXT(YEAR($Q$2),"0000")&amp;TEXT(MONTH($Q$2),"00")&amp;$O1253,日報!$L:$L)</f>
        <v>0</v>
      </c>
      <c r="R1253" s="65">
        <f ca="1">SUMIF(日報!$J:$J,$O1253,日報!$L:$L)</f>
        <v>0</v>
      </c>
    </row>
    <row r="1254" spans="15:18" x14ac:dyDescent="0.15">
      <c r="O1254" s="7" t="str">
        <f>"REQ"&amp;TEXT([2]RequestList!$A1255,"0000")</f>
        <v>REQ0000</v>
      </c>
      <c r="P1254" s="7">
        <f>[2]RequestList!$J1255</f>
        <v>0</v>
      </c>
      <c r="Q1254" s="65">
        <f>SUMIF(日報!$R:$R,TEXT(YEAR($Q$2),"0000")&amp;TEXT(MONTH($Q$2),"00")&amp;$O1254,日報!$L:$L)</f>
        <v>0</v>
      </c>
      <c r="R1254" s="65">
        <f ca="1">SUMIF(日報!$J:$J,$O1254,日報!$L:$L)</f>
        <v>0</v>
      </c>
    </row>
    <row r="1255" spans="15:18" x14ac:dyDescent="0.15">
      <c r="O1255" s="7" t="str">
        <f>"REQ"&amp;TEXT([2]RequestList!$A1256,"0000")</f>
        <v>REQ0000</v>
      </c>
      <c r="P1255" s="7">
        <f>[2]RequestList!$J1256</f>
        <v>0</v>
      </c>
      <c r="Q1255" s="65">
        <f>SUMIF(日報!$R:$R,TEXT(YEAR($Q$2),"0000")&amp;TEXT(MONTH($Q$2),"00")&amp;$O1255,日報!$L:$L)</f>
        <v>0</v>
      </c>
      <c r="R1255" s="65">
        <f ca="1">SUMIF(日報!$J:$J,$O1255,日報!$L:$L)</f>
        <v>0</v>
      </c>
    </row>
    <row r="1256" spans="15:18" x14ac:dyDescent="0.15">
      <c r="O1256" s="7" t="str">
        <f>"REQ"&amp;TEXT([2]RequestList!$A1257,"0000")</f>
        <v>REQ0000</v>
      </c>
      <c r="P1256" s="7">
        <f>[2]RequestList!$J1257</f>
        <v>0</v>
      </c>
      <c r="Q1256" s="65">
        <f>SUMIF(日報!$R:$R,TEXT(YEAR($Q$2),"0000")&amp;TEXT(MONTH($Q$2),"00")&amp;$O1256,日報!$L:$L)</f>
        <v>0</v>
      </c>
      <c r="R1256" s="65">
        <f ca="1">SUMIF(日報!$J:$J,$O1256,日報!$L:$L)</f>
        <v>0</v>
      </c>
    </row>
    <row r="1257" spans="15:18" x14ac:dyDescent="0.15">
      <c r="O1257" s="7" t="str">
        <f>"REQ"&amp;TEXT([2]RequestList!$A1258,"0000")</f>
        <v>REQ0000</v>
      </c>
      <c r="P1257" s="7">
        <f>[2]RequestList!$J1258</f>
        <v>0</v>
      </c>
      <c r="Q1257" s="65">
        <f>SUMIF(日報!$R:$R,TEXT(YEAR($Q$2),"0000")&amp;TEXT(MONTH($Q$2),"00")&amp;$O1257,日報!$L:$L)</f>
        <v>0</v>
      </c>
      <c r="R1257" s="65">
        <f ca="1">SUMIF(日報!$J:$J,$O1257,日報!$L:$L)</f>
        <v>0</v>
      </c>
    </row>
    <row r="1258" spans="15:18" x14ac:dyDescent="0.15">
      <c r="O1258" s="7" t="str">
        <f>"REQ"&amp;TEXT([2]RequestList!$A1259,"0000")</f>
        <v>REQ0000</v>
      </c>
      <c r="P1258" s="7">
        <f>[2]RequestList!$J1259</f>
        <v>0</v>
      </c>
      <c r="Q1258" s="65">
        <f>SUMIF(日報!$R:$R,TEXT(YEAR($Q$2),"0000")&amp;TEXT(MONTH($Q$2),"00")&amp;$O1258,日報!$L:$L)</f>
        <v>0</v>
      </c>
      <c r="R1258" s="65">
        <f ca="1">SUMIF(日報!$J:$J,$O1258,日報!$L:$L)</f>
        <v>0</v>
      </c>
    </row>
    <row r="1259" spans="15:18" x14ac:dyDescent="0.15">
      <c r="O1259" s="7" t="str">
        <f>"REQ"&amp;TEXT([2]RequestList!$A1260,"0000")</f>
        <v>REQ0000</v>
      </c>
      <c r="P1259" s="7">
        <f>[2]RequestList!$J1260</f>
        <v>0</v>
      </c>
      <c r="Q1259" s="65">
        <f>SUMIF(日報!$R:$R,TEXT(YEAR($Q$2),"0000")&amp;TEXT(MONTH($Q$2),"00")&amp;$O1259,日報!$L:$L)</f>
        <v>0</v>
      </c>
      <c r="R1259" s="65">
        <f ca="1">SUMIF(日報!$J:$J,$O1259,日報!$L:$L)</f>
        <v>0</v>
      </c>
    </row>
    <row r="1260" spans="15:18" x14ac:dyDescent="0.15">
      <c r="O1260" s="7" t="str">
        <f>"REQ"&amp;TEXT([2]RequestList!$A1261,"0000")</f>
        <v>REQ0000</v>
      </c>
      <c r="P1260" s="7">
        <f>[2]RequestList!$J1261</f>
        <v>0</v>
      </c>
      <c r="Q1260" s="65">
        <f>SUMIF(日報!$R:$R,TEXT(YEAR($Q$2),"0000")&amp;TEXT(MONTH($Q$2),"00")&amp;$O1260,日報!$L:$L)</f>
        <v>0</v>
      </c>
      <c r="R1260" s="65">
        <f ca="1">SUMIF(日報!$J:$J,$O1260,日報!$L:$L)</f>
        <v>0</v>
      </c>
    </row>
    <row r="1261" spans="15:18" x14ac:dyDescent="0.15">
      <c r="O1261" s="7" t="str">
        <f>"REQ"&amp;TEXT([2]RequestList!$A1262,"0000")</f>
        <v>REQ0000</v>
      </c>
      <c r="P1261" s="7">
        <f>[2]RequestList!$J1262</f>
        <v>0</v>
      </c>
      <c r="Q1261" s="65">
        <f>SUMIF(日報!$R:$R,TEXT(YEAR($Q$2),"0000")&amp;TEXT(MONTH($Q$2),"00")&amp;$O1261,日報!$L:$L)</f>
        <v>0</v>
      </c>
      <c r="R1261" s="65">
        <f ca="1">SUMIF(日報!$J:$J,$O1261,日報!$L:$L)</f>
        <v>0</v>
      </c>
    </row>
    <row r="1262" spans="15:18" x14ac:dyDescent="0.15">
      <c r="O1262" s="7" t="str">
        <f>"REQ"&amp;TEXT([2]RequestList!$A1263,"0000")</f>
        <v>REQ0000</v>
      </c>
      <c r="P1262" s="7">
        <f>[2]RequestList!$J1263</f>
        <v>0</v>
      </c>
      <c r="Q1262" s="65">
        <f>SUMIF(日報!$R:$R,TEXT(YEAR($Q$2),"0000")&amp;TEXT(MONTH($Q$2),"00")&amp;$O1262,日報!$L:$L)</f>
        <v>0</v>
      </c>
      <c r="R1262" s="65">
        <f ca="1">SUMIF(日報!$J:$J,$O1262,日報!$L:$L)</f>
        <v>0</v>
      </c>
    </row>
    <row r="1263" spans="15:18" x14ac:dyDescent="0.15">
      <c r="O1263" s="7" t="str">
        <f>"REQ"&amp;TEXT([2]RequestList!$A1264,"0000")</f>
        <v>REQ0000</v>
      </c>
      <c r="P1263" s="7">
        <f>[2]RequestList!$J1264</f>
        <v>0</v>
      </c>
      <c r="Q1263" s="65">
        <f>SUMIF(日報!$R:$R,TEXT(YEAR($Q$2),"0000")&amp;TEXT(MONTH($Q$2),"00")&amp;$O1263,日報!$L:$L)</f>
        <v>0</v>
      </c>
      <c r="R1263" s="65">
        <f ca="1">SUMIF(日報!$J:$J,$O1263,日報!$L:$L)</f>
        <v>0</v>
      </c>
    </row>
    <row r="1264" spans="15:18" x14ac:dyDescent="0.15">
      <c r="O1264" s="7" t="str">
        <f>"REQ"&amp;TEXT([2]RequestList!$A1265,"0000")</f>
        <v>REQ0000</v>
      </c>
      <c r="P1264" s="7">
        <f>[2]RequestList!$J1265</f>
        <v>0</v>
      </c>
      <c r="Q1264" s="65">
        <f>SUMIF(日報!$R:$R,TEXT(YEAR($Q$2),"0000")&amp;TEXT(MONTH($Q$2),"00")&amp;$O1264,日報!$L:$L)</f>
        <v>0</v>
      </c>
      <c r="R1264" s="65">
        <f ca="1">SUMIF(日報!$J:$J,$O1264,日報!$L:$L)</f>
        <v>0</v>
      </c>
    </row>
    <row r="1265" spans="15:18" x14ac:dyDescent="0.15">
      <c r="O1265" s="7" t="str">
        <f>"REQ"&amp;TEXT([2]RequestList!$A1266,"0000")</f>
        <v>REQ0000</v>
      </c>
      <c r="P1265" s="7">
        <f>[2]RequestList!$J1266</f>
        <v>0</v>
      </c>
      <c r="Q1265" s="65">
        <f>SUMIF(日報!$R:$R,TEXT(YEAR($Q$2),"0000")&amp;TEXT(MONTH($Q$2),"00")&amp;$O1265,日報!$L:$L)</f>
        <v>0</v>
      </c>
      <c r="R1265" s="65">
        <f ca="1">SUMIF(日報!$J:$J,$O1265,日報!$L:$L)</f>
        <v>0</v>
      </c>
    </row>
    <row r="1266" spans="15:18" x14ac:dyDescent="0.15">
      <c r="O1266" s="7" t="str">
        <f>"REQ"&amp;TEXT([2]RequestList!$A1267,"0000")</f>
        <v>REQ0000</v>
      </c>
      <c r="P1266" s="7">
        <f>[2]RequestList!$J1267</f>
        <v>0</v>
      </c>
      <c r="Q1266" s="65">
        <f>SUMIF(日報!$R:$R,TEXT(YEAR($Q$2),"0000")&amp;TEXT(MONTH($Q$2),"00")&amp;$O1266,日報!$L:$L)</f>
        <v>0</v>
      </c>
      <c r="R1266" s="65">
        <f ca="1">SUMIF(日報!$J:$J,$O1266,日報!$L:$L)</f>
        <v>0</v>
      </c>
    </row>
    <row r="1267" spans="15:18" x14ac:dyDescent="0.15">
      <c r="O1267" s="7" t="str">
        <f>"REQ"&amp;TEXT([2]RequestList!$A1268,"0000")</f>
        <v>REQ0000</v>
      </c>
      <c r="P1267" s="7">
        <f>[2]RequestList!$J1268</f>
        <v>0</v>
      </c>
      <c r="Q1267" s="65">
        <f>SUMIF(日報!$R:$R,TEXT(YEAR($Q$2),"0000")&amp;TEXT(MONTH($Q$2),"00")&amp;$O1267,日報!$L:$L)</f>
        <v>0</v>
      </c>
      <c r="R1267" s="65">
        <f ca="1">SUMIF(日報!$J:$J,$O1267,日報!$L:$L)</f>
        <v>0</v>
      </c>
    </row>
    <row r="1268" spans="15:18" x14ac:dyDescent="0.15">
      <c r="O1268" s="7" t="str">
        <f>"REQ"&amp;TEXT([2]RequestList!$A1269,"0000")</f>
        <v>REQ0000</v>
      </c>
      <c r="P1268" s="7">
        <f>[2]RequestList!$J1269</f>
        <v>0</v>
      </c>
      <c r="Q1268" s="65">
        <f>SUMIF(日報!$R:$R,TEXT(YEAR($Q$2),"0000")&amp;TEXT(MONTH($Q$2),"00")&amp;$O1268,日報!$L:$L)</f>
        <v>0</v>
      </c>
      <c r="R1268" s="65">
        <f ca="1">SUMIF(日報!$J:$J,$O1268,日報!$L:$L)</f>
        <v>0</v>
      </c>
    </row>
    <row r="1269" spans="15:18" x14ac:dyDescent="0.15">
      <c r="O1269" s="7" t="str">
        <f>"REQ"&amp;TEXT([2]RequestList!$A1270,"0000")</f>
        <v>REQ0000</v>
      </c>
      <c r="P1269" s="7">
        <f>[2]RequestList!$J1270</f>
        <v>0</v>
      </c>
      <c r="Q1269" s="65">
        <f>SUMIF(日報!$R:$R,TEXT(YEAR($Q$2),"0000")&amp;TEXT(MONTH($Q$2),"00")&amp;$O1269,日報!$L:$L)</f>
        <v>0</v>
      </c>
      <c r="R1269" s="65">
        <f ca="1">SUMIF(日報!$J:$J,$O1269,日報!$L:$L)</f>
        <v>0</v>
      </c>
    </row>
    <row r="1270" spans="15:18" x14ac:dyDescent="0.15">
      <c r="O1270" s="7" t="str">
        <f>"REQ"&amp;TEXT([2]RequestList!$A1271,"0000")</f>
        <v>REQ0000</v>
      </c>
      <c r="P1270" s="7">
        <f>[2]RequestList!$J1271</f>
        <v>0</v>
      </c>
      <c r="Q1270" s="65">
        <f>SUMIF(日報!$R:$R,TEXT(YEAR($Q$2),"0000")&amp;TEXT(MONTH($Q$2),"00")&amp;$O1270,日報!$L:$L)</f>
        <v>0</v>
      </c>
      <c r="R1270" s="65">
        <f ca="1">SUMIF(日報!$J:$J,$O1270,日報!$L:$L)</f>
        <v>0</v>
      </c>
    </row>
    <row r="1271" spans="15:18" x14ac:dyDescent="0.15">
      <c r="O1271" s="7" t="str">
        <f>"REQ"&amp;TEXT([2]RequestList!$A1272,"0000")</f>
        <v>REQ0000</v>
      </c>
      <c r="P1271" s="7">
        <f>[2]RequestList!$J1272</f>
        <v>0</v>
      </c>
      <c r="Q1271" s="65">
        <f>SUMIF(日報!$R:$R,TEXT(YEAR($Q$2),"0000")&amp;TEXT(MONTH($Q$2),"00")&amp;$O1271,日報!$L:$L)</f>
        <v>0</v>
      </c>
      <c r="R1271" s="65">
        <f ca="1">SUMIF(日報!$J:$J,$O1271,日報!$L:$L)</f>
        <v>0</v>
      </c>
    </row>
    <row r="1272" spans="15:18" x14ac:dyDescent="0.15">
      <c r="O1272" s="7" t="str">
        <f>"REQ"&amp;TEXT([2]RequestList!$A1273,"0000")</f>
        <v>REQ0000</v>
      </c>
      <c r="P1272" s="7">
        <f>[2]RequestList!$J1273</f>
        <v>0</v>
      </c>
      <c r="Q1272" s="65">
        <f>SUMIF(日報!$R:$R,TEXT(YEAR($Q$2),"0000")&amp;TEXT(MONTH($Q$2),"00")&amp;$O1272,日報!$L:$L)</f>
        <v>0</v>
      </c>
      <c r="R1272" s="65">
        <f ca="1">SUMIF(日報!$J:$J,$O1272,日報!$L:$L)</f>
        <v>0</v>
      </c>
    </row>
    <row r="1273" spans="15:18" x14ac:dyDescent="0.15">
      <c r="O1273" s="7" t="str">
        <f>"REQ"&amp;TEXT([2]RequestList!$A1274,"0000")</f>
        <v>REQ0000</v>
      </c>
      <c r="P1273" s="7">
        <f>[2]RequestList!$J1274</f>
        <v>0</v>
      </c>
      <c r="Q1273" s="65">
        <f>SUMIF(日報!$R:$R,TEXT(YEAR($Q$2),"0000")&amp;TEXT(MONTH($Q$2),"00")&amp;$O1273,日報!$L:$L)</f>
        <v>0</v>
      </c>
      <c r="R1273" s="65">
        <f ca="1">SUMIF(日報!$J:$J,$O1273,日報!$L:$L)</f>
        <v>0</v>
      </c>
    </row>
    <row r="1274" spans="15:18" x14ac:dyDescent="0.15">
      <c r="O1274" s="7" t="str">
        <f>"REQ"&amp;TEXT([2]RequestList!$A1275,"0000")</f>
        <v>REQ0000</v>
      </c>
      <c r="P1274" s="7">
        <f>[2]RequestList!$J1275</f>
        <v>0</v>
      </c>
      <c r="Q1274" s="65">
        <f>SUMIF(日報!$R:$R,TEXT(YEAR($Q$2),"0000")&amp;TEXT(MONTH($Q$2),"00")&amp;$O1274,日報!$L:$L)</f>
        <v>0</v>
      </c>
      <c r="R1274" s="65">
        <f ca="1">SUMIF(日報!$J:$J,$O1274,日報!$L:$L)</f>
        <v>0</v>
      </c>
    </row>
    <row r="1275" spans="15:18" x14ac:dyDescent="0.15">
      <c r="O1275" s="7" t="str">
        <f>"REQ"&amp;TEXT([2]RequestList!$A1276,"0000")</f>
        <v>REQ0000</v>
      </c>
      <c r="P1275" s="7">
        <f>[2]RequestList!$J1276</f>
        <v>0</v>
      </c>
      <c r="Q1275" s="65">
        <f>SUMIF(日報!$R:$R,TEXT(YEAR($Q$2),"0000")&amp;TEXT(MONTH($Q$2),"00")&amp;$O1275,日報!$L:$L)</f>
        <v>0</v>
      </c>
      <c r="R1275" s="65">
        <f ca="1">SUMIF(日報!$J:$J,$O1275,日報!$L:$L)</f>
        <v>0</v>
      </c>
    </row>
    <row r="1276" spans="15:18" x14ac:dyDescent="0.15">
      <c r="O1276" s="7" t="str">
        <f>"REQ"&amp;TEXT([2]RequestList!$A1277,"0000")</f>
        <v>REQ0000</v>
      </c>
      <c r="P1276" s="7">
        <f>[2]RequestList!$J1277</f>
        <v>0</v>
      </c>
      <c r="Q1276" s="65">
        <f>SUMIF(日報!$R:$R,TEXT(YEAR($Q$2),"0000")&amp;TEXT(MONTH($Q$2),"00")&amp;$O1276,日報!$L:$L)</f>
        <v>0</v>
      </c>
      <c r="R1276" s="65">
        <f ca="1">SUMIF(日報!$J:$J,$O1276,日報!$L:$L)</f>
        <v>0</v>
      </c>
    </row>
    <row r="1277" spans="15:18" x14ac:dyDescent="0.15">
      <c r="O1277" s="7" t="str">
        <f>"REQ"&amp;TEXT([2]RequestList!$A1278,"0000")</f>
        <v>REQ0000</v>
      </c>
      <c r="P1277" s="7">
        <f>[2]RequestList!$J1278</f>
        <v>0</v>
      </c>
      <c r="Q1277" s="65">
        <f>SUMIF(日報!$R:$R,TEXT(YEAR($Q$2),"0000")&amp;TEXT(MONTH($Q$2),"00")&amp;$O1277,日報!$L:$L)</f>
        <v>0</v>
      </c>
      <c r="R1277" s="65">
        <f ca="1">SUMIF(日報!$J:$J,$O1277,日報!$L:$L)</f>
        <v>0</v>
      </c>
    </row>
    <row r="1278" spans="15:18" x14ac:dyDescent="0.15">
      <c r="O1278" s="7" t="str">
        <f>"REQ"&amp;TEXT([2]RequestList!$A1279,"0000")</f>
        <v>REQ0000</v>
      </c>
      <c r="P1278" s="7">
        <f>[2]RequestList!$J1279</f>
        <v>0</v>
      </c>
      <c r="Q1278" s="65">
        <f>SUMIF(日報!$R:$R,TEXT(YEAR($Q$2),"0000")&amp;TEXT(MONTH($Q$2),"00")&amp;$O1278,日報!$L:$L)</f>
        <v>0</v>
      </c>
      <c r="R1278" s="65">
        <f ca="1">SUMIF(日報!$J:$J,$O1278,日報!$L:$L)</f>
        <v>0</v>
      </c>
    </row>
    <row r="1279" spans="15:18" x14ac:dyDescent="0.15">
      <c r="O1279" s="7" t="str">
        <f>"REQ"&amp;TEXT([2]RequestList!$A1280,"0000")</f>
        <v>REQ0000</v>
      </c>
      <c r="P1279" s="7">
        <f>[2]RequestList!$J1280</f>
        <v>0</v>
      </c>
      <c r="Q1279" s="65">
        <f>SUMIF(日報!$R:$R,TEXT(YEAR($Q$2),"0000")&amp;TEXT(MONTH($Q$2),"00")&amp;$O1279,日報!$L:$L)</f>
        <v>0</v>
      </c>
      <c r="R1279" s="65">
        <f ca="1">SUMIF(日報!$J:$J,$O1279,日報!$L:$L)</f>
        <v>0</v>
      </c>
    </row>
    <row r="1280" spans="15:18" x14ac:dyDescent="0.15">
      <c r="O1280" s="7" t="str">
        <f>"REQ"&amp;TEXT([2]RequestList!$A1281,"0000")</f>
        <v>REQ0000</v>
      </c>
      <c r="P1280" s="7">
        <f>[2]RequestList!$J1281</f>
        <v>0</v>
      </c>
      <c r="Q1280" s="65">
        <f>SUMIF(日報!$R:$R,TEXT(YEAR($Q$2),"0000")&amp;TEXT(MONTH($Q$2),"00")&amp;$O1280,日報!$L:$L)</f>
        <v>0</v>
      </c>
      <c r="R1280" s="65">
        <f ca="1">SUMIF(日報!$J:$J,$O1280,日報!$L:$L)</f>
        <v>0</v>
      </c>
    </row>
    <row r="1281" spans="15:18" x14ac:dyDescent="0.15">
      <c r="O1281" s="7" t="str">
        <f>"REQ"&amp;TEXT([2]RequestList!$A1282,"0000")</f>
        <v>REQ0000</v>
      </c>
      <c r="P1281" s="7">
        <f>[2]RequestList!$J1282</f>
        <v>0</v>
      </c>
      <c r="Q1281" s="65">
        <f>SUMIF(日報!$R:$R,TEXT(YEAR($Q$2),"0000")&amp;TEXT(MONTH($Q$2),"00")&amp;$O1281,日報!$L:$L)</f>
        <v>0</v>
      </c>
      <c r="R1281" s="65">
        <f ca="1">SUMIF(日報!$J:$J,$O1281,日報!$L:$L)</f>
        <v>0</v>
      </c>
    </row>
    <row r="1282" spans="15:18" x14ac:dyDescent="0.15">
      <c r="O1282" s="7" t="str">
        <f>"REQ"&amp;TEXT([2]RequestList!$A1283,"0000")</f>
        <v>REQ0000</v>
      </c>
      <c r="P1282" s="7">
        <f>[2]RequestList!$J1283</f>
        <v>0</v>
      </c>
      <c r="Q1282" s="65">
        <f>SUMIF(日報!$R:$R,TEXT(YEAR($Q$2),"0000")&amp;TEXT(MONTH($Q$2),"00")&amp;$O1282,日報!$L:$L)</f>
        <v>0</v>
      </c>
      <c r="R1282" s="65">
        <f ca="1">SUMIF(日報!$J:$J,$O1282,日報!$L:$L)</f>
        <v>0</v>
      </c>
    </row>
    <row r="1283" spans="15:18" x14ac:dyDescent="0.15">
      <c r="O1283" s="7" t="str">
        <f>"REQ"&amp;TEXT([2]RequestList!$A1284,"0000")</f>
        <v>REQ0000</v>
      </c>
      <c r="P1283" s="7">
        <f>[2]RequestList!$J1284</f>
        <v>0</v>
      </c>
      <c r="Q1283" s="65">
        <f>SUMIF(日報!$R:$R,TEXT(YEAR($Q$2),"0000")&amp;TEXT(MONTH($Q$2),"00")&amp;$O1283,日報!$L:$L)</f>
        <v>0</v>
      </c>
      <c r="R1283" s="65">
        <f ca="1">SUMIF(日報!$J:$J,$O1283,日報!$L:$L)</f>
        <v>0</v>
      </c>
    </row>
    <row r="1284" spans="15:18" x14ac:dyDescent="0.15">
      <c r="O1284" s="7" t="str">
        <f>"REQ"&amp;TEXT([2]RequestList!$A1285,"0000")</f>
        <v>REQ0000</v>
      </c>
      <c r="P1284" s="7">
        <f>[2]RequestList!$J1285</f>
        <v>0</v>
      </c>
      <c r="Q1284" s="65">
        <f>SUMIF(日報!$R:$R,TEXT(YEAR($Q$2),"0000")&amp;TEXT(MONTH($Q$2),"00")&amp;$O1284,日報!$L:$L)</f>
        <v>0</v>
      </c>
      <c r="R1284" s="65">
        <f ca="1">SUMIF(日報!$J:$J,$O1284,日報!$L:$L)</f>
        <v>0</v>
      </c>
    </row>
    <row r="1285" spans="15:18" x14ac:dyDescent="0.15">
      <c r="O1285" s="7" t="str">
        <f>"REQ"&amp;TEXT([2]RequestList!$A1286,"0000")</f>
        <v>REQ0000</v>
      </c>
      <c r="P1285" s="7">
        <f>[2]RequestList!$J1286</f>
        <v>0</v>
      </c>
      <c r="Q1285" s="65">
        <f>SUMIF(日報!$R:$R,TEXT(YEAR($Q$2),"0000")&amp;TEXT(MONTH($Q$2),"00")&amp;$O1285,日報!$L:$L)</f>
        <v>0</v>
      </c>
      <c r="R1285" s="65">
        <f ca="1">SUMIF(日報!$J:$J,$O1285,日報!$L:$L)</f>
        <v>0</v>
      </c>
    </row>
    <row r="1286" spans="15:18" x14ac:dyDescent="0.15">
      <c r="O1286" s="7" t="str">
        <f>"REQ"&amp;TEXT([2]RequestList!$A1287,"0000")</f>
        <v>REQ0000</v>
      </c>
      <c r="P1286" s="7">
        <f>[2]RequestList!$J1287</f>
        <v>0</v>
      </c>
      <c r="Q1286" s="65">
        <f>SUMIF(日報!$R:$R,TEXT(YEAR($Q$2),"0000")&amp;TEXT(MONTH($Q$2),"00")&amp;$O1286,日報!$L:$L)</f>
        <v>0</v>
      </c>
      <c r="R1286" s="65">
        <f ca="1">SUMIF(日報!$J:$J,$O1286,日報!$L:$L)</f>
        <v>0</v>
      </c>
    </row>
    <row r="1287" spans="15:18" x14ac:dyDescent="0.15">
      <c r="O1287" s="7" t="str">
        <f>"REQ"&amp;TEXT([2]RequestList!$A1288,"0000")</f>
        <v>REQ0000</v>
      </c>
      <c r="P1287" s="7">
        <f>[2]RequestList!$J1288</f>
        <v>0</v>
      </c>
      <c r="Q1287" s="65">
        <f>SUMIF(日報!$R:$R,TEXT(YEAR($Q$2),"0000")&amp;TEXT(MONTH($Q$2),"00")&amp;$O1287,日報!$L:$L)</f>
        <v>0</v>
      </c>
      <c r="R1287" s="65">
        <f ca="1">SUMIF(日報!$J:$J,$O1287,日報!$L:$L)</f>
        <v>0</v>
      </c>
    </row>
    <row r="1288" spans="15:18" x14ac:dyDescent="0.15">
      <c r="O1288" s="7" t="str">
        <f>"REQ"&amp;TEXT([2]RequestList!$A1289,"0000")</f>
        <v>REQ0000</v>
      </c>
      <c r="P1288" s="7">
        <f>[2]RequestList!$J1289</f>
        <v>0</v>
      </c>
      <c r="Q1288" s="65">
        <f>SUMIF(日報!$R:$R,TEXT(YEAR($Q$2),"0000")&amp;TEXT(MONTH($Q$2),"00")&amp;$O1288,日報!$L:$L)</f>
        <v>0</v>
      </c>
      <c r="R1288" s="65">
        <f ca="1">SUMIF(日報!$J:$J,$O1288,日報!$L:$L)</f>
        <v>0</v>
      </c>
    </row>
    <row r="1289" spans="15:18" x14ac:dyDescent="0.15">
      <c r="O1289" s="7" t="str">
        <f>"REQ"&amp;TEXT([2]RequestList!$A1290,"0000")</f>
        <v>REQ0000</v>
      </c>
      <c r="P1289" s="7">
        <f>[2]RequestList!$J1290</f>
        <v>0</v>
      </c>
      <c r="Q1289" s="65">
        <f>SUMIF(日報!$R:$R,TEXT(YEAR($Q$2),"0000")&amp;TEXT(MONTH($Q$2),"00")&amp;$O1289,日報!$L:$L)</f>
        <v>0</v>
      </c>
      <c r="R1289" s="65">
        <f ca="1">SUMIF(日報!$J:$J,$O1289,日報!$L:$L)</f>
        <v>0</v>
      </c>
    </row>
    <row r="1290" spans="15:18" x14ac:dyDescent="0.15">
      <c r="O1290" s="7" t="str">
        <f>"REQ"&amp;TEXT([2]RequestList!$A1291,"0000")</f>
        <v>REQ0000</v>
      </c>
      <c r="P1290" s="7">
        <f>[2]RequestList!$J1291</f>
        <v>0</v>
      </c>
      <c r="Q1290" s="65">
        <f>SUMIF(日報!$R:$R,TEXT(YEAR($Q$2),"0000")&amp;TEXT(MONTH($Q$2),"00")&amp;$O1290,日報!$L:$L)</f>
        <v>0</v>
      </c>
      <c r="R1290" s="65">
        <f ca="1">SUMIF(日報!$J:$J,$O1290,日報!$L:$L)</f>
        <v>0</v>
      </c>
    </row>
    <row r="1291" spans="15:18" x14ac:dyDescent="0.15">
      <c r="O1291" s="7" t="str">
        <f>"REQ"&amp;TEXT([2]RequestList!$A1292,"0000")</f>
        <v>REQ0000</v>
      </c>
      <c r="P1291" s="7">
        <f>[2]RequestList!$J1292</f>
        <v>0</v>
      </c>
      <c r="Q1291" s="65">
        <f>SUMIF(日報!$R:$R,TEXT(YEAR($Q$2),"0000")&amp;TEXT(MONTH($Q$2),"00")&amp;$O1291,日報!$L:$L)</f>
        <v>0</v>
      </c>
      <c r="R1291" s="65">
        <f ca="1">SUMIF(日報!$J:$J,$O1291,日報!$L:$L)</f>
        <v>0</v>
      </c>
    </row>
    <row r="1292" spans="15:18" x14ac:dyDescent="0.15">
      <c r="O1292" s="7" t="str">
        <f>"REQ"&amp;TEXT([2]RequestList!$A1293,"0000")</f>
        <v>REQ0000</v>
      </c>
      <c r="P1292" s="7">
        <f>[2]RequestList!$J1293</f>
        <v>0</v>
      </c>
      <c r="Q1292" s="65">
        <f>SUMIF(日報!$R:$R,TEXT(YEAR($Q$2),"0000")&amp;TEXT(MONTH($Q$2),"00")&amp;$O1292,日報!$L:$L)</f>
        <v>0</v>
      </c>
      <c r="R1292" s="65">
        <f ca="1">SUMIF(日報!$J:$J,$O1292,日報!$L:$L)</f>
        <v>0</v>
      </c>
    </row>
    <row r="1293" spans="15:18" x14ac:dyDescent="0.15">
      <c r="O1293" s="7" t="str">
        <f>"REQ"&amp;TEXT([2]RequestList!$A1294,"0000")</f>
        <v>REQ0000</v>
      </c>
      <c r="P1293" s="7">
        <f>[2]RequestList!$J1294</f>
        <v>0</v>
      </c>
      <c r="Q1293" s="65">
        <f>SUMIF(日報!$R:$R,TEXT(YEAR($Q$2),"0000")&amp;TEXT(MONTH($Q$2),"00")&amp;$O1293,日報!$L:$L)</f>
        <v>0</v>
      </c>
      <c r="R1293" s="65">
        <f ca="1">SUMIF(日報!$J:$J,$O1293,日報!$L:$L)</f>
        <v>0</v>
      </c>
    </row>
    <row r="1294" spans="15:18" x14ac:dyDescent="0.15">
      <c r="O1294" s="7" t="str">
        <f>"REQ"&amp;TEXT([2]RequestList!$A1295,"0000")</f>
        <v>REQ0000</v>
      </c>
      <c r="P1294" s="7">
        <f>[2]RequestList!$J1295</f>
        <v>0</v>
      </c>
      <c r="Q1294" s="65">
        <f>SUMIF(日報!$R:$R,TEXT(YEAR($Q$2),"0000")&amp;TEXT(MONTH($Q$2),"00")&amp;$O1294,日報!$L:$L)</f>
        <v>0</v>
      </c>
      <c r="R1294" s="65">
        <f ca="1">SUMIF(日報!$J:$J,$O1294,日報!$L:$L)</f>
        <v>0</v>
      </c>
    </row>
    <row r="1295" spans="15:18" x14ac:dyDescent="0.15">
      <c r="O1295" s="7" t="str">
        <f>"REQ"&amp;TEXT([2]RequestList!$A1296,"0000")</f>
        <v>REQ0000</v>
      </c>
      <c r="P1295" s="7">
        <f>[2]RequestList!$J1296</f>
        <v>0</v>
      </c>
      <c r="Q1295" s="65">
        <f>SUMIF(日報!$R:$R,TEXT(YEAR($Q$2),"0000")&amp;TEXT(MONTH($Q$2),"00")&amp;$O1295,日報!$L:$L)</f>
        <v>0</v>
      </c>
      <c r="R1295" s="65">
        <f ca="1">SUMIF(日報!$J:$J,$O1295,日報!$L:$L)</f>
        <v>0</v>
      </c>
    </row>
    <row r="1296" spans="15:18" x14ac:dyDescent="0.15">
      <c r="O1296" s="7" t="str">
        <f>"REQ"&amp;TEXT([2]RequestList!$A1297,"0000")</f>
        <v>REQ0000</v>
      </c>
      <c r="P1296" s="7">
        <f>[2]RequestList!$J1297</f>
        <v>0</v>
      </c>
      <c r="Q1296" s="65">
        <f>SUMIF(日報!$R:$R,TEXT(YEAR($Q$2),"0000")&amp;TEXT(MONTH($Q$2),"00")&amp;$O1296,日報!$L:$L)</f>
        <v>0</v>
      </c>
      <c r="R1296" s="65">
        <f ca="1">SUMIF(日報!$J:$J,$O1296,日報!$L:$L)</f>
        <v>0</v>
      </c>
    </row>
    <row r="1297" spans="15:18" x14ac:dyDescent="0.15">
      <c r="O1297" s="7" t="str">
        <f>"REQ"&amp;TEXT([2]RequestList!$A1298,"0000")</f>
        <v>REQ0000</v>
      </c>
      <c r="P1297" s="7">
        <f>[2]RequestList!$J1298</f>
        <v>0</v>
      </c>
      <c r="Q1297" s="65">
        <f>SUMIF(日報!$R:$R,TEXT(YEAR($Q$2),"0000")&amp;TEXT(MONTH($Q$2),"00")&amp;$O1297,日報!$L:$L)</f>
        <v>0</v>
      </c>
      <c r="R1297" s="65">
        <f ca="1">SUMIF(日報!$J:$J,$O1297,日報!$L:$L)</f>
        <v>0</v>
      </c>
    </row>
    <row r="1298" spans="15:18" x14ac:dyDescent="0.15">
      <c r="O1298" s="7" t="str">
        <f>"REQ"&amp;TEXT([2]RequestList!$A1299,"0000")</f>
        <v>REQ0000</v>
      </c>
      <c r="P1298" s="7">
        <f>[2]RequestList!$J1299</f>
        <v>0</v>
      </c>
      <c r="Q1298" s="65">
        <f>SUMIF(日報!$R:$R,TEXT(YEAR($Q$2),"0000")&amp;TEXT(MONTH($Q$2),"00")&amp;$O1298,日報!$L:$L)</f>
        <v>0</v>
      </c>
      <c r="R1298" s="65">
        <f ca="1">SUMIF(日報!$J:$J,$O1298,日報!$L:$L)</f>
        <v>0</v>
      </c>
    </row>
    <row r="1299" spans="15:18" x14ac:dyDescent="0.15">
      <c r="O1299" s="7" t="str">
        <f>"REQ"&amp;TEXT([2]RequestList!$A1300,"0000")</f>
        <v>REQ0000</v>
      </c>
      <c r="P1299" s="7">
        <f>[2]RequestList!$J1300</f>
        <v>0</v>
      </c>
      <c r="Q1299" s="65">
        <f>SUMIF(日報!$R:$R,TEXT(YEAR($Q$2),"0000")&amp;TEXT(MONTH($Q$2),"00")&amp;$O1299,日報!$L:$L)</f>
        <v>0</v>
      </c>
      <c r="R1299" s="65">
        <f ca="1">SUMIF(日報!$J:$J,$O1299,日報!$L:$L)</f>
        <v>0</v>
      </c>
    </row>
    <row r="1300" spans="15:18" x14ac:dyDescent="0.15">
      <c r="O1300" s="7" t="str">
        <f>"REQ"&amp;TEXT([2]RequestList!$A1301,"0000")</f>
        <v>REQ0000</v>
      </c>
      <c r="P1300" s="7">
        <f>[2]RequestList!$J1301</f>
        <v>0</v>
      </c>
      <c r="Q1300" s="65">
        <f>SUMIF(日報!$R:$R,TEXT(YEAR($Q$2),"0000")&amp;TEXT(MONTH($Q$2),"00")&amp;$O1300,日報!$L:$L)</f>
        <v>0</v>
      </c>
      <c r="R1300" s="65">
        <f ca="1">SUMIF(日報!$J:$J,$O1300,日報!$L:$L)</f>
        <v>0</v>
      </c>
    </row>
    <row r="1301" spans="15:18" x14ac:dyDescent="0.15">
      <c r="O1301" s="7" t="str">
        <f>"REQ"&amp;TEXT([2]RequestList!$A1302,"0000")</f>
        <v>REQ0000</v>
      </c>
      <c r="P1301" s="7">
        <f>[2]RequestList!$J1302</f>
        <v>0</v>
      </c>
      <c r="Q1301" s="65">
        <f>SUMIF(日報!$R:$R,TEXT(YEAR($Q$2),"0000")&amp;TEXT(MONTH($Q$2),"00")&amp;$O1301,日報!$L:$L)</f>
        <v>0</v>
      </c>
      <c r="R1301" s="65">
        <f ca="1">SUMIF(日報!$J:$J,$O1301,日報!$L:$L)</f>
        <v>0</v>
      </c>
    </row>
    <row r="1302" spans="15:18" x14ac:dyDescent="0.15">
      <c r="O1302" s="7" t="str">
        <f>"REQ"&amp;TEXT([2]RequestList!$A1303,"0000")</f>
        <v>REQ0000</v>
      </c>
      <c r="P1302" s="7">
        <f>[2]RequestList!$J1303</f>
        <v>0</v>
      </c>
      <c r="Q1302" s="65">
        <f>SUMIF(日報!$R:$R,TEXT(YEAR($Q$2),"0000")&amp;TEXT(MONTH($Q$2),"00")&amp;$O1302,日報!$L:$L)</f>
        <v>0</v>
      </c>
      <c r="R1302" s="65">
        <f ca="1">SUMIF(日報!$J:$J,$O1302,日報!$L:$L)</f>
        <v>0</v>
      </c>
    </row>
    <row r="1303" spans="15:18" x14ac:dyDescent="0.15">
      <c r="O1303" s="7" t="str">
        <f>"REQ"&amp;TEXT([2]RequestList!$A1304,"0000")</f>
        <v>REQ0000</v>
      </c>
      <c r="P1303" s="7">
        <f>[2]RequestList!$J1304</f>
        <v>0</v>
      </c>
      <c r="Q1303" s="65">
        <f>SUMIF(日報!$R:$R,TEXT(YEAR($Q$2),"0000")&amp;TEXT(MONTH($Q$2),"00")&amp;$O1303,日報!$L:$L)</f>
        <v>0</v>
      </c>
      <c r="R1303" s="65">
        <f ca="1">SUMIF(日報!$J:$J,$O1303,日報!$L:$L)</f>
        <v>0</v>
      </c>
    </row>
    <row r="1304" spans="15:18" x14ac:dyDescent="0.15">
      <c r="O1304" s="7" t="str">
        <f>"REQ"&amp;TEXT([2]RequestList!$A1305,"0000")</f>
        <v>REQ0000</v>
      </c>
      <c r="P1304" s="7">
        <f>[2]RequestList!$J1305</f>
        <v>0</v>
      </c>
      <c r="Q1304" s="65">
        <f>SUMIF(日報!$R:$R,TEXT(YEAR($Q$2),"0000")&amp;TEXT(MONTH($Q$2),"00")&amp;$O1304,日報!$L:$L)</f>
        <v>0</v>
      </c>
      <c r="R1304" s="65">
        <f ca="1">SUMIF(日報!$J:$J,$O1304,日報!$L:$L)</f>
        <v>0</v>
      </c>
    </row>
    <row r="1305" spans="15:18" x14ac:dyDescent="0.15">
      <c r="O1305" s="7" t="str">
        <f>"REQ"&amp;TEXT([2]RequestList!$A1306,"0000")</f>
        <v>REQ0000</v>
      </c>
      <c r="P1305" s="7">
        <f>[2]RequestList!$J1306</f>
        <v>0</v>
      </c>
      <c r="Q1305" s="65">
        <f>SUMIF(日報!$R:$R,TEXT(YEAR($Q$2),"0000")&amp;TEXT(MONTH($Q$2),"00")&amp;$O1305,日報!$L:$L)</f>
        <v>0</v>
      </c>
      <c r="R1305" s="65">
        <f ca="1">SUMIF(日報!$J:$J,$O1305,日報!$L:$L)</f>
        <v>0</v>
      </c>
    </row>
    <row r="1306" spans="15:18" x14ac:dyDescent="0.15">
      <c r="O1306" s="7" t="str">
        <f>"REQ"&amp;TEXT([2]RequestList!$A1307,"0000")</f>
        <v>REQ0000</v>
      </c>
      <c r="P1306" s="7">
        <f>[2]RequestList!$J1307</f>
        <v>0</v>
      </c>
      <c r="Q1306" s="65">
        <f>SUMIF(日報!$R:$R,TEXT(YEAR($Q$2),"0000")&amp;TEXT(MONTH($Q$2),"00")&amp;$O1306,日報!$L:$L)</f>
        <v>0</v>
      </c>
      <c r="R1306" s="65">
        <f ca="1">SUMIF(日報!$J:$J,$O1306,日報!$L:$L)</f>
        <v>0</v>
      </c>
    </row>
    <row r="1307" spans="15:18" x14ac:dyDescent="0.15">
      <c r="O1307" s="7" t="str">
        <f>"REQ"&amp;TEXT([2]RequestList!$A1308,"0000")</f>
        <v>REQ0000</v>
      </c>
      <c r="P1307" s="7">
        <f>[2]RequestList!$J1308</f>
        <v>0</v>
      </c>
      <c r="Q1307" s="65">
        <f>SUMIF(日報!$R:$R,TEXT(YEAR($Q$2),"0000")&amp;TEXT(MONTH($Q$2),"00")&amp;$O1307,日報!$L:$L)</f>
        <v>0</v>
      </c>
      <c r="R1307" s="65">
        <f ca="1">SUMIF(日報!$J:$J,$O1307,日報!$L:$L)</f>
        <v>0</v>
      </c>
    </row>
    <row r="1308" spans="15:18" x14ac:dyDescent="0.15">
      <c r="O1308" s="7" t="str">
        <f>"REQ"&amp;TEXT([2]RequestList!$A1309,"0000")</f>
        <v>REQ0000</v>
      </c>
      <c r="P1308" s="7">
        <f>[2]RequestList!$J1309</f>
        <v>0</v>
      </c>
      <c r="Q1308" s="65">
        <f>SUMIF(日報!$R:$R,TEXT(YEAR($Q$2),"0000")&amp;TEXT(MONTH($Q$2),"00")&amp;$O1308,日報!$L:$L)</f>
        <v>0</v>
      </c>
      <c r="R1308" s="65">
        <f ca="1">SUMIF(日報!$J:$J,$O1308,日報!$L:$L)</f>
        <v>0</v>
      </c>
    </row>
    <row r="1309" spans="15:18" x14ac:dyDescent="0.15">
      <c r="O1309" s="7" t="str">
        <f>"REQ"&amp;TEXT([2]RequestList!$A1310,"0000")</f>
        <v>REQ0000</v>
      </c>
      <c r="P1309" s="7">
        <f>[2]RequestList!$J1310</f>
        <v>0</v>
      </c>
      <c r="Q1309" s="65">
        <f>SUMIF(日報!$R:$R,TEXT(YEAR($Q$2),"0000")&amp;TEXT(MONTH($Q$2),"00")&amp;$O1309,日報!$L:$L)</f>
        <v>0</v>
      </c>
      <c r="R1309" s="65">
        <f ca="1">SUMIF(日報!$J:$J,$O1309,日報!$L:$L)</f>
        <v>0</v>
      </c>
    </row>
    <row r="1310" spans="15:18" x14ac:dyDescent="0.15">
      <c r="O1310" s="7" t="str">
        <f>"REQ"&amp;TEXT([2]RequestList!$A1311,"0000")</f>
        <v>REQ0000</v>
      </c>
      <c r="P1310" s="7">
        <f>[2]RequestList!$J1311</f>
        <v>0</v>
      </c>
      <c r="Q1310" s="65">
        <f>SUMIF(日報!$R:$R,TEXT(YEAR($Q$2),"0000")&amp;TEXT(MONTH($Q$2),"00")&amp;$O1310,日報!$L:$L)</f>
        <v>0</v>
      </c>
      <c r="R1310" s="65">
        <f ca="1">SUMIF(日報!$J:$J,$O1310,日報!$L:$L)</f>
        <v>0</v>
      </c>
    </row>
    <row r="1311" spans="15:18" x14ac:dyDescent="0.15">
      <c r="O1311" s="7" t="str">
        <f>"REQ"&amp;TEXT([2]RequestList!$A1312,"0000")</f>
        <v>REQ0000</v>
      </c>
      <c r="P1311" s="7">
        <f>[2]RequestList!$J1312</f>
        <v>0</v>
      </c>
      <c r="Q1311" s="65">
        <f>SUMIF(日報!$R:$R,TEXT(YEAR($Q$2),"0000")&amp;TEXT(MONTH($Q$2),"00")&amp;$O1311,日報!$L:$L)</f>
        <v>0</v>
      </c>
      <c r="R1311" s="65">
        <f ca="1">SUMIF(日報!$J:$J,$O1311,日報!$L:$L)</f>
        <v>0</v>
      </c>
    </row>
    <row r="1312" spans="15:18" x14ac:dyDescent="0.15">
      <c r="O1312" s="7" t="str">
        <f>"REQ"&amp;TEXT([2]RequestList!$A1313,"0000")</f>
        <v>REQ0000</v>
      </c>
      <c r="P1312" s="7">
        <f>[2]RequestList!$J1313</f>
        <v>0</v>
      </c>
      <c r="Q1312" s="65">
        <f>SUMIF(日報!$R:$R,TEXT(YEAR($Q$2),"0000")&amp;TEXT(MONTH($Q$2),"00")&amp;$O1312,日報!$L:$L)</f>
        <v>0</v>
      </c>
      <c r="R1312" s="65">
        <f ca="1">SUMIF(日報!$J:$J,$O1312,日報!$L:$L)</f>
        <v>0</v>
      </c>
    </row>
    <row r="1313" spans="15:18" x14ac:dyDescent="0.15">
      <c r="O1313" s="7" t="str">
        <f>"REQ"&amp;TEXT([2]RequestList!$A1314,"0000")</f>
        <v>REQ0000</v>
      </c>
      <c r="P1313" s="7">
        <f>[2]RequestList!$J1314</f>
        <v>0</v>
      </c>
      <c r="Q1313" s="65">
        <f>SUMIF(日報!$R:$R,TEXT(YEAR($Q$2),"0000")&amp;TEXT(MONTH($Q$2),"00")&amp;$O1313,日報!$L:$L)</f>
        <v>0</v>
      </c>
      <c r="R1313" s="65">
        <f ca="1">SUMIF(日報!$J:$J,$O1313,日報!$L:$L)</f>
        <v>0</v>
      </c>
    </row>
    <row r="1314" spans="15:18" x14ac:dyDescent="0.15">
      <c r="O1314" s="7" t="str">
        <f>"REQ"&amp;TEXT([2]RequestList!$A1315,"0000")</f>
        <v>REQ0000</v>
      </c>
      <c r="P1314" s="7">
        <f>[2]RequestList!$J1315</f>
        <v>0</v>
      </c>
      <c r="Q1314" s="65">
        <f>SUMIF(日報!$R:$R,TEXT(YEAR($Q$2),"0000")&amp;TEXT(MONTH($Q$2),"00")&amp;$O1314,日報!$L:$L)</f>
        <v>0</v>
      </c>
      <c r="R1314" s="65">
        <f ca="1">SUMIF(日報!$J:$J,$O1314,日報!$L:$L)</f>
        <v>0</v>
      </c>
    </row>
    <row r="1315" spans="15:18" x14ac:dyDescent="0.15">
      <c r="O1315" s="7" t="str">
        <f>"REQ"&amp;TEXT([2]RequestList!$A1316,"0000")</f>
        <v>REQ0000</v>
      </c>
      <c r="P1315" s="7">
        <f>[2]RequestList!$J1316</f>
        <v>0</v>
      </c>
      <c r="Q1315" s="65">
        <f>SUMIF(日報!$R:$R,TEXT(YEAR($Q$2),"0000")&amp;TEXT(MONTH($Q$2),"00")&amp;$O1315,日報!$L:$L)</f>
        <v>0</v>
      </c>
      <c r="R1315" s="65">
        <f ca="1">SUMIF(日報!$J:$J,$O1315,日報!$L:$L)</f>
        <v>0</v>
      </c>
    </row>
    <row r="1316" spans="15:18" x14ac:dyDescent="0.15">
      <c r="O1316" s="7" t="str">
        <f>"REQ"&amp;TEXT([2]RequestList!$A1317,"0000")</f>
        <v>REQ0000</v>
      </c>
      <c r="P1316" s="7">
        <f>[2]RequestList!$J1317</f>
        <v>0</v>
      </c>
      <c r="Q1316" s="65">
        <f>SUMIF(日報!$R:$R,TEXT(YEAR($Q$2),"0000")&amp;TEXT(MONTH($Q$2),"00")&amp;$O1316,日報!$L:$L)</f>
        <v>0</v>
      </c>
      <c r="R1316" s="65">
        <f ca="1">SUMIF(日報!$J:$J,$O1316,日報!$L:$L)</f>
        <v>0</v>
      </c>
    </row>
    <row r="1317" spans="15:18" x14ac:dyDescent="0.15">
      <c r="O1317" s="7" t="str">
        <f>"REQ"&amp;TEXT([2]RequestList!$A1318,"0000")</f>
        <v>REQ0000</v>
      </c>
      <c r="P1317" s="7">
        <f>[2]RequestList!$J1318</f>
        <v>0</v>
      </c>
      <c r="Q1317" s="65">
        <f>SUMIF(日報!$R:$R,TEXT(YEAR($Q$2),"0000")&amp;TEXT(MONTH($Q$2),"00")&amp;$O1317,日報!$L:$L)</f>
        <v>0</v>
      </c>
      <c r="R1317" s="65">
        <f ca="1">SUMIF(日報!$J:$J,$O1317,日報!$L:$L)</f>
        <v>0</v>
      </c>
    </row>
    <row r="1318" spans="15:18" x14ac:dyDescent="0.15">
      <c r="O1318" s="7" t="str">
        <f>"REQ"&amp;TEXT([2]RequestList!$A1319,"0000")</f>
        <v>REQ0000</v>
      </c>
      <c r="P1318" s="7">
        <f>[2]RequestList!$J1319</f>
        <v>0</v>
      </c>
      <c r="Q1318" s="65">
        <f>SUMIF(日報!$R:$R,TEXT(YEAR($Q$2),"0000")&amp;TEXT(MONTH($Q$2),"00")&amp;$O1318,日報!$L:$L)</f>
        <v>0</v>
      </c>
      <c r="R1318" s="65">
        <f ca="1">SUMIF(日報!$J:$J,$O1318,日報!$L:$L)</f>
        <v>0</v>
      </c>
    </row>
    <row r="1319" spans="15:18" x14ac:dyDescent="0.15">
      <c r="O1319" s="7" t="str">
        <f>"REQ"&amp;TEXT([2]RequestList!$A1320,"0000")</f>
        <v>REQ0000</v>
      </c>
      <c r="P1319" s="7">
        <f>[2]RequestList!$J1320</f>
        <v>0</v>
      </c>
      <c r="Q1319" s="65">
        <f>SUMIF(日報!$R:$R,TEXT(YEAR($Q$2),"0000")&amp;TEXT(MONTH($Q$2),"00")&amp;$O1319,日報!$L:$L)</f>
        <v>0</v>
      </c>
      <c r="R1319" s="65">
        <f ca="1">SUMIF(日報!$J:$J,$O1319,日報!$L:$L)</f>
        <v>0</v>
      </c>
    </row>
    <row r="1320" spans="15:18" x14ac:dyDescent="0.15">
      <c r="O1320" s="7" t="str">
        <f>"REQ"&amp;TEXT([2]RequestList!$A1321,"0000")</f>
        <v>REQ0000</v>
      </c>
      <c r="P1320" s="7">
        <f>[2]RequestList!$J1321</f>
        <v>0</v>
      </c>
      <c r="Q1320" s="65">
        <f>SUMIF(日報!$R:$R,TEXT(YEAR($Q$2),"0000")&amp;TEXT(MONTH($Q$2),"00")&amp;$O1320,日報!$L:$L)</f>
        <v>0</v>
      </c>
      <c r="R1320" s="65">
        <f ca="1">SUMIF(日報!$J:$J,$O1320,日報!$L:$L)</f>
        <v>0</v>
      </c>
    </row>
    <row r="1321" spans="15:18" x14ac:dyDescent="0.15">
      <c r="O1321" s="7" t="str">
        <f>"REQ"&amp;TEXT([2]RequestList!$A1322,"0000")</f>
        <v>REQ0000</v>
      </c>
      <c r="P1321" s="7">
        <f>[2]RequestList!$J1322</f>
        <v>0</v>
      </c>
      <c r="Q1321" s="65">
        <f>SUMIF(日報!$R:$R,TEXT(YEAR($Q$2),"0000")&amp;TEXT(MONTH($Q$2),"00")&amp;$O1321,日報!$L:$L)</f>
        <v>0</v>
      </c>
      <c r="R1321" s="65">
        <f ca="1">SUMIF(日報!$J:$J,$O1321,日報!$L:$L)</f>
        <v>0</v>
      </c>
    </row>
    <row r="1322" spans="15:18" x14ac:dyDescent="0.15">
      <c r="O1322" s="7" t="str">
        <f>"REQ"&amp;TEXT([2]RequestList!$A1323,"0000")</f>
        <v>REQ0000</v>
      </c>
      <c r="P1322" s="7">
        <f>[2]RequestList!$J1323</f>
        <v>0</v>
      </c>
      <c r="Q1322" s="65">
        <f>SUMIF(日報!$R:$R,TEXT(YEAR($Q$2),"0000")&amp;TEXT(MONTH($Q$2),"00")&amp;$O1322,日報!$L:$L)</f>
        <v>0</v>
      </c>
      <c r="R1322" s="65">
        <f ca="1">SUMIF(日報!$J:$J,$O1322,日報!$L:$L)</f>
        <v>0</v>
      </c>
    </row>
    <row r="1323" spans="15:18" x14ac:dyDescent="0.15">
      <c r="O1323" s="7" t="str">
        <f>"REQ"&amp;TEXT([2]RequestList!$A1324,"0000")</f>
        <v>REQ0000</v>
      </c>
      <c r="P1323" s="7">
        <f>[2]RequestList!$J1324</f>
        <v>0</v>
      </c>
      <c r="Q1323" s="65">
        <f>SUMIF(日報!$R:$R,TEXT(YEAR($Q$2),"0000")&amp;TEXT(MONTH($Q$2),"00")&amp;$O1323,日報!$L:$L)</f>
        <v>0</v>
      </c>
      <c r="R1323" s="65">
        <f ca="1">SUMIF(日報!$J:$J,$O1323,日報!$L:$L)</f>
        <v>0</v>
      </c>
    </row>
    <row r="1324" spans="15:18" x14ac:dyDescent="0.15">
      <c r="O1324" s="7" t="str">
        <f>"REQ"&amp;TEXT([2]RequestList!$A1325,"0000")</f>
        <v>REQ0000</v>
      </c>
      <c r="P1324" s="7">
        <f>[2]RequestList!$J1325</f>
        <v>0</v>
      </c>
      <c r="Q1324" s="65">
        <f>SUMIF(日報!$R:$R,TEXT(YEAR($Q$2),"0000")&amp;TEXT(MONTH($Q$2),"00")&amp;$O1324,日報!$L:$L)</f>
        <v>0</v>
      </c>
      <c r="R1324" s="65">
        <f ca="1">SUMIF(日報!$J:$J,$O1324,日報!$L:$L)</f>
        <v>0</v>
      </c>
    </row>
    <row r="1325" spans="15:18" x14ac:dyDescent="0.15">
      <c r="O1325" s="7" t="str">
        <f>"REQ"&amp;TEXT([2]RequestList!$A1326,"0000")</f>
        <v>REQ0000</v>
      </c>
      <c r="P1325" s="7">
        <f>[2]RequestList!$J1326</f>
        <v>0</v>
      </c>
      <c r="Q1325" s="65">
        <f>SUMIF(日報!$R:$R,TEXT(YEAR($Q$2),"0000")&amp;TEXT(MONTH($Q$2),"00")&amp;$O1325,日報!$L:$L)</f>
        <v>0</v>
      </c>
      <c r="R1325" s="65">
        <f ca="1">SUMIF(日報!$J:$J,$O1325,日報!$L:$L)</f>
        <v>0</v>
      </c>
    </row>
    <row r="1326" spans="15:18" x14ac:dyDescent="0.15">
      <c r="O1326" s="7" t="str">
        <f>"REQ"&amp;TEXT([2]RequestList!$A1327,"0000")</f>
        <v>REQ0000</v>
      </c>
      <c r="P1326" s="7">
        <f>[2]RequestList!$J1327</f>
        <v>0</v>
      </c>
      <c r="Q1326" s="65">
        <f>SUMIF(日報!$R:$R,TEXT(YEAR($Q$2),"0000")&amp;TEXT(MONTH($Q$2),"00")&amp;$O1326,日報!$L:$L)</f>
        <v>0</v>
      </c>
      <c r="R1326" s="65">
        <f ca="1">SUMIF(日報!$J:$J,$O1326,日報!$L:$L)</f>
        <v>0</v>
      </c>
    </row>
    <row r="1327" spans="15:18" x14ac:dyDescent="0.15">
      <c r="O1327" s="7" t="str">
        <f>"REQ"&amp;TEXT([2]RequestList!$A1328,"0000")</f>
        <v>REQ0000</v>
      </c>
      <c r="P1327" s="7">
        <f>[2]RequestList!$J1328</f>
        <v>0</v>
      </c>
      <c r="Q1327" s="65">
        <f>SUMIF(日報!$R:$R,TEXT(YEAR($Q$2),"0000")&amp;TEXT(MONTH($Q$2),"00")&amp;$O1327,日報!$L:$L)</f>
        <v>0</v>
      </c>
      <c r="R1327" s="65">
        <f ca="1">SUMIF(日報!$J:$J,$O1327,日報!$L:$L)</f>
        <v>0</v>
      </c>
    </row>
    <row r="1328" spans="15:18" x14ac:dyDescent="0.15">
      <c r="O1328" s="7" t="str">
        <f>"REQ"&amp;TEXT([2]RequestList!$A1329,"0000")</f>
        <v>REQ0000</v>
      </c>
      <c r="P1328" s="7">
        <f>[2]RequestList!$J1329</f>
        <v>0</v>
      </c>
      <c r="Q1328" s="65">
        <f>SUMIF(日報!$R:$R,TEXT(YEAR($Q$2),"0000")&amp;TEXT(MONTH($Q$2),"00")&amp;$O1328,日報!$L:$L)</f>
        <v>0</v>
      </c>
      <c r="R1328" s="65">
        <f ca="1">SUMIF(日報!$J:$J,$O1328,日報!$L:$L)</f>
        <v>0</v>
      </c>
    </row>
    <row r="1329" spans="15:18" x14ac:dyDescent="0.15">
      <c r="O1329" s="7" t="str">
        <f>"REQ"&amp;TEXT([2]RequestList!$A1330,"0000")</f>
        <v>REQ0000</v>
      </c>
      <c r="P1329" s="7">
        <f>[2]RequestList!$J1330</f>
        <v>0</v>
      </c>
      <c r="Q1329" s="65">
        <f>SUMIF(日報!$R:$R,TEXT(YEAR($Q$2),"0000")&amp;TEXT(MONTH($Q$2),"00")&amp;$O1329,日報!$L:$L)</f>
        <v>0</v>
      </c>
      <c r="R1329" s="65">
        <f ca="1">SUMIF(日報!$J:$J,$O1329,日報!$L:$L)</f>
        <v>0</v>
      </c>
    </row>
    <row r="1330" spans="15:18" x14ac:dyDescent="0.15">
      <c r="O1330" s="7" t="str">
        <f>"REQ"&amp;TEXT([2]RequestList!$A1331,"0000")</f>
        <v>REQ0000</v>
      </c>
      <c r="P1330" s="7">
        <f>[2]RequestList!$J1331</f>
        <v>0</v>
      </c>
      <c r="Q1330" s="65">
        <f>SUMIF(日報!$R:$R,TEXT(YEAR($Q$2),"0000")&amp;TEXT(MONTH($Q$2),"00")&amp;$O1330,日報!$L:$L)</f>
        <v>0</v>
      </c>
      <c r="R1330" s="65">
        <f ca="1">SUMIF(日報!$J:$J,$O1330,日報!$L:$L)</f>
        <v>0</v>
      </c>
    </row>
    <row r="1331" spans="15:18" x14ac:dyDescent="0.15">
      <c r="O1331" s="7" t="str">
        <f>"REQ"&amp;TEXT([2]RequestList!$A1332,"0000")</f>
        <v>REQ0000</v>
      </c>
      <c r="P1331" s="7">
        <f>[2]RequestList!$J1332</f>
        <v>0</v>
      </c>
      <c r="Q1331" s="65">
        <f>SUMIF(日報!$R:$R,TEXT(YEAR($Q$2),"0000")&amp;TEXT(MONTH($Q$2),"00")&amp;$O1331,日報!$L:$L)</f>
        <v>0</v>
      </c>
      <c r="R1331" s="65">
        <f ca="1">SUMIF(日報!$J:$J,$O1331,日報!$L:$L)</f>
        <v>0</v>
      </c>
    </row>
    <row r="1332" spans="15:18" x14ac:dyDescent="0.15">
      <c r="O1332" s="7" t="str">
        <f>"REQ"&amp;TEXT([2]RequestList!$A1333,"0000")</f>
        <v>REQ0000</v>
      </c>
      <c r="P1332" s="7">
        <f>[2]RequestList!$J1333</f>
        <v>0</v>
      </c>
      <c r="Q1332" s="65">
        <f>SUMIF(日報!$R:$R,TEXT(YEAR($Q$2),"0000")&amp;TEXT(MONTH($Q$2),"00")&amp;$O1332,日報!$L:$L)</f>
        <v>0</v>
      </c>
      <c r="R1332" s="65">
        <f ca="1">SUMIF(日報!$J:$J,$O1332,日報!$L:$L)</f>
        <v>0</v>
      </c>
    </row>
    <row r="1333" spans="15:18" x14ac:dyDescent="0.15">
      <c r="O1333" s="7" t="str">
        <f>"REQ"&amp;TEXT([2]RequestList!$A1334,"0000")</f>
        <v>REQ0000</v>
      </c>
      <c r="P1333" s="7">
        <f>[2]RequestList!$J1334</f>
        <v>0</v>
      </c>
      <c r="Q1333" s="65">
        <f>SUMIF(日報!$R:$R,TEXT(YEAR($Q$2),"0000")&amp;TEXT(MONTH($Q$2),"00")&amp;$O1333,日報!$L:$L)</f>
        <v>0</v>
      </c>
      <c r="R1333" s="65">
        <f ca="1">SUMIF(日報!$J:$J,$O1333,日報!$L:$L)</f>
        <v>0</v>
      </c>
    </row>
    <row r="1334" spans="15:18" x14ac:dyDescent="0.15">
      <c r="O1334" s="7" t="str">
        <f>"REQ"&amp;TEXT([2]RequestList!$A1335,"0000")</f>
        <v>REQ0000</v>
      </c>
      <c r="P1334" s="7">
        <f>[2]RequestList!$J1335</f>
        <v>0</v>
      </c>
      <c r="Q1334" s="65">
        <f>SUMIF(日報!$R:$R,TEXT(YEAR($Q$2),"0000")&amp;TEXT(MONTH($Q$2),"00")&amp;$O1334,日報!$L:$L)</f>
        <v>0</v>
      </c>
      <c r="R1334" s="65">
        <f ca="1">SUMIF(日報!$J:$J,$O1334,日報!$L:$L)</f>
        <v>0</v>
      </c>
    </row>
    <row r="1335" spans="15:18" x14ac:dyDescent="0.15">
      <c r="O1335" s="7" t="str">
        <f>"REQ"&amp;TEXT([2]RequestList!$A1336,"0000")</f>
        <v>REQ0000</v>
      </c>
      <c r="P1335" s="7">
        <f>[2]RequestList!$J1336</f>
        <v>0</v>
      </c>
      <c r="Q1335" s="65">
        <f>SUMIF(日報!$R:$R,TEXT(YEAR($Q$2),"0000")&amp;TEXT(MONTH($Q$2),"00")&amp;$O1335,日報!$L:$L)</f>
        <v>0</v>
      </c>
      <c r="R1335" s="65">
        <f ca="1">SUMIF(日報!$J:$J,$O1335,日報!$L:$L)</f>
        <v>0</v>
      </c>
    </row>
    <row r="1336" spans="15:18" x14ac:dyDescent="0.15">
      <c r="O1336" s="7" t="str">
        <f>"REQ"&amp;TEXT([2]RequestList!$A1337,"0000")</f>
        <v>REQ0000</v>
      </c>
      <c r="P1336" s="7">
        <f>[2]RequestList!$J1337</f>
        <v>0</v>
      </c>
      <c r="Q1336" s="65">
        <f>SUMIF(日報!$R:$R,TEXT(YEAR($Q$2),"0000")&amp;TEXT(MONTH($Q$2),"00")&amp;$O1336,日報!$L:$L)</f>
        <v>0</v>
      </c>
      <c r="R1336" s="65">
        <f ca="1">SUMIF(日報!$J:$J,$O1336,日報!$L:$L)</f>
        <v>0</v>
      </c>
    </row>
    <row r="1337" spans="15:18" x14ac:dyDescent="0.15">
      <c r="O1337" s="7" t="str">
        <f>"REQ"&amp;TEXT([2]RequestList!$A1338,"0000")</f>
        <v>REQ0000</v>
      </c>
      <c r="P1337" s="7">
        <f>[2]RequestList!$J1338</f>
        <v>0</v>
      </c>
      <c r="Q1337" s="65">
        <f>SUMIF(日報!$R:$R,TEXT(YEAR($Q$2),"0000")&amp;TEXT(MONTH($Q$2),"00")&amp;$O1337,日報!$L:$L)</f>
        <v>0</v>
      </c>
      <c r="R1337" s="65">
        <f ca="1">SUMIF(日報!$J:$J,$O1337,日報!$L:$L)</f>
        <v>0</v>
      </c>
    </row>
    <row r="1338" spans="15:18" x14ac:dyDescent="0.15">
      <c r="O1338" s="7" t="str">
        <f>"REQ"&amp;TEXT([2]RequestList!$A1339,"0000")</f>
        <v>REQ0000</v>
      </c>
      <c r="P1338" s="7">
        <f>[2]RequestList!$J1339</f>
        <v>0</v>
      </c>
      <c r="Q1338" s="65">
        <f>SUMIF(日報!$R:$R,TEXT(YEAR($Q$2),"0000")&amp;TEXT(MONTH($Q$2),"00")&amp;$O1338,日報!$L:$L)</f>
        <v>0</v>
      </c>
      <c r="R1338" s="65">
        <f ca="1">SUMIF(日報!$J:$J,$O1338,日報!$L:$L)</f>
        <v>0</v>
      </c>
    </row>
    <row r="1339" spans="15:18" x14ac:dyDescent="0.15">
      <c r="O1339" s="7" t="str">
        <f>"REQ"&amp;TEXT([2]RequestList!$A1340,"0000")</f>
        <v>REQ0000</v>
      </c>
      <c r="P1339" s="7">
        <f>[2]RequestList!$J1340</f>
        <v>0</v>
      </c>
      <c r="Q1339" s="65">
        <f>SUMIF(日報!$R:$R,TEXT(YEAR($Q$2),"0000")&amp;TEXT(MONTH($Q$2),"00")&amp;$O1339,日報!$L:$L)</f>
        <v>0</v>
      </c>
      <c r="R1339" s="65">
        <f ca="1">SUMIF(日報!$J:$J,$O1339,日報!$L:$L)</f>
        <v>0</v>
      </c>
    </row>
    <row r="1340" spans="15:18" x14ac:dyDescent="0.15">
      <c r="O1340" s="7" t="str">
        <f>"REQ"&amp;TEXT([2]RequestList!$A1341,"0000")</f>
        <v>REQ0000</v>
      </c>
      <c r="P1340" s="7">
        <f>[2]RequestList!$J1341</f>
        <v>0</v>
      </c>
      <c r="Q1340" s="65">
        <f>SUMIF(日報!$R:$R,TEXT(YEAR($Q$2),"0000")&amp;TEXT(MONTH($Q$2),"00")&amp;$O1340,日報!$L:$L)</f>
        <v>0</v>
      </c>
      <c r="R1340" s="65">
        <f ca="1">SUMIF(日報!$J:$J,$O1340,日報!$L:$L)</f>
        <v>0</v>
      </c>
    </row>
    <row r="1341" spans="15:18" x14ac:dyDescent="0.15">
      <c r="O1341" s="7" t="str">
        <f>"REQ"&amp;TEXT([2]RequestList!$A1342,"0000")</f>
        <v>REQ0000</v>
      </c>
      <c r="P1341" s="7">
        <f>[2]RequestList!$J1342</f>
        <v>0</v>
      </c>
      <c r="Q1341" s="65">
        <f>SUMIF(日報!$R:$R,TEXT(YEAR($Q$2),"0000")&amp;TEXT(MONTH($Q$2),"00")&amp;$O1341,日報!$L:$L)</f>
        <v>0</v>
      </c>
      <c r="R1341" s="65">
        <f ca="1">SUMIF(日報!$J:$J,$O1341,日報!$L:$L)</f>
        <v>0</v>
      </c>
    </row>
    <row r="1342" spans="15:18" x14ac:dyDescent="0.15">
      <c r="O1342" s="7" t="str">
        <f>"REQ"&amp;TEXT([2]RequestList!$A1343,"0000")</f>
        <v>REQ0000</v>
      </c>
      <c r="P1342" s="7">
        <f>[2]RequestList!$J1343</f>
        <v>0</v>
      </c>
      <c r="Q1342" s="65">
        <f>SUMIF(日報!$R:$R,TEXT(YEAR($Q$2),"0000")&amp;TEXT(MONTH($Q$2),"00")&amp;$O1342,日報!$L:$L)</f>
        <v>0</v>
      </c>
      <c r="R1342" s="65">
        <f ca="1">SUMIF(日報!$J:$J,$O1342,日報!$L:$L)</f>
        <v>0</v>
      </c>
    </row>
    <row r="1343" spans="15:18" x14ac:dyDescent="0.15">
      <c r="O1343" s="7" t="str">
        <f>"REQ"&amp;TEXT([2]RequestList!$A1344,"0000")</f>
        <v>REQ0000</v>
      </c>
      <c r="P1343" s="7">
        <f>[2]RequestList!$J1344</f>
        <v>0</v>
      </c>
      <c r="Q1343" s="65">
        <f>SUMIF(日報!$R:$R,TEXT(YEAR($Q$2),"0000")&amp;TEXT(MONTH($Q$2),"00")&amp;$O1343,日報!$L:$L)</f>
        <v>0</v>
      </c>
      <c r="R1343" s="65">
        <f ca="1">SUMIF(日報!$J:$J,$O1343,日報!$L:$L)</f>
        <v>0</v>
      </c>
    </row>
    <row r="1344" spans="15:18" x14ac:dyDescent="0.15">
      <c r="O1344" s="7" t="str">
        <f>"REQ"&amp;TEXT([2]RequestList!$A1345,"0000")</f>
        <v>REQ0000</v>
      </c>
      <c r="P1344" s="7">
        <f>[2]RequestList!$J1345</f>
        <v>0</v>
      </c>
      <c r="Q1344" s="65">
        <f>SUMIF(日報!$R:$R,TEXT(YEAR($Q$2),"0000")&amp;TEXT(MONTH($Q$2),"00")&amp;$O1344,日報!$L:$L)</f>
        <v>0</v>
      </c>
      <c r="R1344" s="65">
        <f ca="1">SUMIF(日報!$J:$J,$O1344,日報!$L:$L)</f>
        <v>0</v>
      </c>
    </row>
    <row r="1345" spans="15:18" x14ac:dyDescent="0.15">
      <c r="O1345" s="7" t="str">
        <f>"REQ"&amp;TEXT([2]RequestList!$A1346,"0000")</f>
        <v>REQ0000</v>
      </c>
      <c r="P1345" s="7">
        <f>[2]RequestList!$J1346</f>
        <v>0</v>
      </c>
      <c r="Q1345" s="65">
        <f>SUMIF(日報!$R:$R,TEXT(YEAR($Q$2),"0000")&amp;TEXT(MONTH($Q$2),"00")&amp;$O1345,日報!$L:$L)</f>
        <v>0</v>
      </c>
      <c r="R1345" s="65">
        <f ca="1">SUMIF(日報!$J:$J,$O1345,日報!$L:$L)</f>
        <v>0</v>
      </c>
    </row>
    <row r="1346" spans="15:18" x14ac:dyDescent="0.15">
      <c r="O1346" s="7" t="str">
        <f>"REQ"&amp;TEXT([2]RequestList!$A1347,"0000")</f>
        <v>REQ0000</v>
      </c>
      <c r="P1346" s="7">
        <f>[2]RequestList!$J1347</f>
        <v>0</v>
      </c>
      <c r="Q1346" s="65">
        <f>SUMIF(日報!$R:$R,TEXT(YEAR($Q$2),"0000")&amp;TEXT(MONTH($Q$2),"00")&amp;$O1346,日報!$L:$L)</f>
        <v>0</v>
      </c>
      <c r="R1346" s="65">
        <f ca="1">SUMIF(日報!$J:$J,$O1346,日報!$L:$L)</f>
        <v>0</v>
      </c>
    </row>
    <row r="1347" spans="15:18" x14ac:dyDescent="0.15">
      <c r="O1347" s="7" t="str">
        <f>"REQ"&amp;TEXT([2]RequestList!$A1348,"0000")</f>
        <v>REQ0000</v>
      </c>
      <c r="P1347" s="7">
        <f>[2]RequestList!$J1348</f>
        <v>0</v>
      </c>
      <c r="Q1347" s="65">
        <f>SUMIF(日報!$R:$R,TEXT(YEAR($Q$2),"0000")&amp;TEXT(MONTH($Q$2),"00")&amp;$O1347,日報!$L:$L)</f>
        <v>0</v>
      </c>
      <c r="R1347" s="65">
        <f ca="1">SUMIF(日報!$J:$J,$O1347,日報!$L:$L)</f>
        <v>0</v>
      </c>
    </row>
    <row r="1348" spans="15:18" x14ac:dyDescent="0.15">
      <c r="O1348" s="7" t="str">
        <f>"REQ"&amp;TEXT([2]RequestList!$A1349,"0000")</f>
        <v>REQ0000</v>
      </c>
      <c r="P1348" s="7">
        <f>[2]RequestList!$J1349</f>
        <v>0</v>
      </c>
      <c r="Q1348" s="65">
        <f>SUMIF(日報!$R:$R,TEXT(YEAR($Q$2),"0000")&amp;TEXT(MONTH($Q$2),"00")&amp;$O1348,日報!$L:$L)</f>
        <v>0</v>
      </c>
      <c r="R1348" s="65">
        <f ca="1">SUMIF(日報!$J:$J,$O1348,日報!$L:$L)</f>
        <v>0</v>
      </c>
    </row>
    <row r="1349" spans="15:18" x14ac:dyDescent="0.15">
      <c r="O1349" s="7" t="str">
        <f>"REQ"&amp;TEXT([2]RequestList!$A1350,"0000")</f>
        <v>REQ0000</v>
      </c>
      <c r="P1349" s="7">
        <f>[2]RequestList!$J1350</f>
        <v>0</v>
      </c>
      <c r="Q1349" s="65">
        <f>SUMIF(日報!$R:$R,TEXT(YEAR($Q$2),"0000")&amp;TEXT(MONTH($Q$2),"00")&amp;$O1349,日報!$L:$L)</f>
        <v>0</v>
      </c>
      <c r="R1349" s="65">
        <f ca="1">SUMIF(日報!$J:$J,$O1349,日報!$L:$L)</f>
        <v>0</v>
      </c>
    </row>
    <row r="1350" spans="15:18" x14ac:dyDescent="0.15">
      <c r="O1350" s="7" t="str">
        <f>"REQ"&amp;TEXT([2]RequestList!$A1351,"0000")</f>
        <v>REQ0000</v>
      </c>
      <c r="P1350" s="7">
        <f>[2]RequestList!$J1351</f>
        <v>0</v>
      </c>
      <c r="Q1350" s="65">
        <f>SUMIF(日報!$R:$R,TEXT(YEAR($Q$2),"0000")&amp;TEXT(MONTH($Q$2),"00")&amp;$O1350,日報!$L:$L)</f>
        <v>0</v>
      </c>
      <c r="R1350" s="65">
        <f ca="1">SUMIF(日報!$J:$J,$O1350,日報!$L:$L)</f>
        <v>0</v>
      </c>
    </row>
    <row r="1351" spans="15:18" x14ac:dyDescent="0.15">
      <c r="O1351" s="7" t="str">
        <f>"REQ"&amp;TEXT([2]RequestList!$A1352,"0000")</f>
        <v>REQ0000</v>
      </c>
      <c r="P1351" s="7">
        <f>[2]RequestList!$J1352</f>
        <v>0</v>
      </c>
      <c r="Q1351" s="65">
        <f>SUMIF(日報!$R:$R,TEXT(YEAR($Q$2),"0000")&amp;TEXT(MONTH($Q$2),"00")&amp;$O1351,日報!$L:$L)</f>
        <v>0</v>
      </c>
      <c r="R1351" s="65">
        <f ca="1">SUMIF(日報!$J:$J,$O1351,日報!$L:$L)</f>
        <v>0</v>
      </c>
    </row>
    <row r="1352" spans="15:18" x14ac:dyDescent="0.15">
      <c r="O1352" s="7" t="str">
        <f>"REQ"&amp;TEXT([2]RequestList!$A1353,"0000")</f>
        <v>REQ0000</v>
      </c>
      <c r="P1352" s="7">
        <f>[2]RequestList!$J1353</f>
        <v>0</v>
      </c>
      <c r="Q1352" s="65">
        <f>SUMIF(日報!$R:$R,TEXT(YEAR($Q$2),"0000")&amp;TEXT(MONTH($Q$2),"00")&amp;$O1352,日報!$L:$L)</f>
        <v>0</v>
      </c>
      <c r="R1352" s="65">
        <f ca="1">SUMIF(日報!$J:$J,$O1352,日報!$L:$L)</f>
        <v>0</v>
      </c>
    </row>
    <row r="1353" spans="15:18" x14ac:dyDescent="0.15">
      <c r="O1353" s="7" t="str">
        <f>"REQ"&amp;TEXT([2]RequestList!$A1354,"0000")</f>
        <v>REQ0000</v>
      </c>
      <c r="P1353" s="7">
        <f>[2]RequestList!$J1354</f>
        <v>0</v>
      </c>
      <c r="Q1353" s="65">
        <f>SUMIF(日報!$R:$R,TEXT(YEAR($Q$2),"0000")&amp;TEXT(MONTH($Q$2),"00")&amp;$O1353,日報!$L:$L)</f>
        <v>0</v>
      </c>
      <c r="R1353" s="65">
        <f ca="1">SUMIF(日報!$J:$J,$O1353,日報!$L:$L)</f>
        <v>0</v>
      </c>
    </row>
    <row r="1354" spans="15:18" x14ac:dyDescent="0.15">
      <c r="O1354" s="7" t="str">
        <f>"REQ"&amp;TEXT([2]RequestList!$A1355,"0000")</f>
        <v>REQ0000</v>
      </c>
      <c r="P1354" s="7">
        <f>[2]RequestList!$J1355</f>
        <v>0</v>
      </c>
      <c r="Q1354" s="65">
        <f>SUMIF(日報!$R:$R,TEXT(YEAR($Q$2),"0000")&amp;TEXT(MONTH($Q$2),"00")&amp;$O1354,日報!$L:$L)</f>
        <v>0</v>
      </c>
      <c r="R1354" s="65">
        <f ca="1">SUMIF(日報!$J:$J,$O1354,日報!$L:$L)</f>
        <v>0</v>
      </c>
    </row>
    <row r="1355" spans="15:18" x14ac:dyDescent="0.15">
      <c r="O1355" s="7" t="str">
        <f>"REQ"&amp;TEXT([2]RequestList!$A1356,"0000")</f>
        <v>REQ0000</v>
      </c>
      <c r="P1355" s="7">
        <f>[2]RequestList!$J1356</f>
        <v>0</v>
      </c>
      <c r="Q1355" s="65">
        <f>SUMIF(日報!$R:$R,TEXT(YEAR($Q$2),"0000")&amp;TEXT(MONTH($Q$2),"00")&amp;$O1355,日報!$L:$L)</f>
        <v>0</v>
      </c>
      <c r="R1355" s="65">
        <f ca="1">SUMIF(日報!$J:$J,$O1355,日報!$L:$L)</f>
        <v>0</v>
      </c>
    </row>
    <row r="1356" spans="15:18" x14ac:dyDescent="0.15">
      <c r="O1356" s="7" t="str">
        <f>"REQ"&amp;TEXT([2]RequestList!$A1357,"0000")</f>
        <v>REQ0000</v>
      </c>
      <c r="P1356" s="7">
        <f>[2]RequestList!$J1357</f>
        <v>0</v>
      </c>
      <c r="Q1356" s="65">
        <f>SUMIF(日報!$R:$R,TEXT(YEAR($Q$2),"0000")&amp;TEXT(MONTH($Q$2),"00")&amp;$O1356,日報!$L:$L)</f>
        <v>0</v>
      </c>
      <c r="R1356" s="65">
        <f ca="1">SUMIF(日報!$J:$J,$O1356,日報!$L:$L)</f>
        <v>0</v>
      </c>
    </row>
    <row r="1357" spans="15:18" x14ac:dyDescent="0.15">
      <c r="O1357" s="7" t="str">
        <f>"REQ"&amp;TEXT([2]RequestList!$A1358,"0000")</f>
        <v>REQ0000</v>
      </c>
      <c r="P1357" s="7">
        <f>[2]RequestList!$J1358</f>
        <v>0</v>
      </c>
      <c r="Q1357" s="65">
        <f>SUMIF(日報!$R:$R,TEXT(YEAR($Q$2),"0000")&amp;TEXT(MONTH($Q$2),"00")&amp;$O1357,日報!$L:$L)</f>
        <v>0</v>
      </c>
      <c r="R1357" s="65">
        <f ca="1">SUMIF(日報!$J:$J,$O1357,日報!$L:$L)</f>
        <v>0</v>
      </c>
    </row>
    <row r="1358" spans="15:18" x14ac:dyDescent="0.15">
      <c r="O1358" s="7" t="str">
        <f>"REQ"&amp;TEXT([2]RequestList!$A1359,"0000")</f>
        <v>REQ0000</v>
      </c>
      <c r="P1358" s="7">
        <f>[2]RequestList!$J1359</f>
        <v>0</v>
      </c>
      <c r="Q1358" s="65">
        <f>SUMIF(日報!$R:$R,TEXT(YEAR($Q$2),"0000")&amp;TEXT(MONTH($Q$2),"00")&amp;$O1358,日報!$L:$L)</f>
        <v>0</v>
      </c>
      <c r="R1358" s="65">
        <f ca="1">SUMIF(日報!$J:$J,$O1358,日報!$L:$L)</f>
        <v>0</v>
      </c>
    </row>
    <row r="1359" spans="15:18" x14ac:dyDescent="0.15">
      <c r="O1359" s="7" t="str">
        <f>"REQ"&amp;TEXT([2]RequestList!$A1360,"0000")</f>
        <v>REQ0000</v>
      </c>
      <c r="P1359" s="7">
        <f>[2]RequestList!$J1360</f>
        <v>0</v>
      </c>
      <c r="Q1359" s="65">
        <f>SUMIF(日報!$R:$R,TEXT(YEAR($Q$2),"0000")&amp;TEXT(MONTH($Q$2),"00")&amp;$O1359,日報!$L:$L)</f>
        <v>0</v>
      </c>
      <c r="R1359" s="65">
        <f ca="1">SUMIF(日報!$J:$J,$O1359,日報!$L:$L)</f>
        <v>0</v>
      </c>
    </row>
    <row r="1360" spans="15:18" x14ac:dyDescent="0.15">
      <c r="O1360" s="7" t="str">
        <f>"REQ"&amp;TEXT([2]RequestList!$A1361,"0000")</f>
        <v>REQ0000</v>
      </c>
      <c r="P1360" s="7">
        <f>[2]RequestList!$J1361</f>
        <v>0</v>
      </c>
      <c r="Q1360" s="65">
        <f>SUMIF(日報!$R:$R,TEXT(YEAR($Q$2),"0000")&amp;TEXT(MONTH($Q$2),"00")&amp;$O1360,日報!$L:$L)</f>
        <v>0</v>
      </c>
      <c r="R1360" s="65">
        <f ca="1">SUMIF(日報!$J:$J,$O1360,日報!$L:$L)</f>
        <v>0</v>
      </c>
    </row>
    <row r="1361" spans="15:18" x14ac:dyDescent="0.15">
      <c r="O1361" s="7" t="str">
        <f>"REQ"&amp;TEXT([2]RequestList!$A1362,"0000")</f>
        <v>REQ0000</v>
      </c>
      <c r="P1361" s="7">
        <f>[2]RequestList!$J1362</f>
        <v>0</v>
      </c>
      <c r="Q1361" s="65">
        <f>SUMIF(日報!$R:$R,TEXT(YEAR($Q$2),"0000")&amp;TEXT(MONTH($Q$2),"00")&amp;$O1361,日報!$L:$L)</f>
        <v>0</v>
      </c>
      <c r="R1361" s="65">
        <f ca="1">SUMIF(日報!$J:$J,$O1361,日報!$L:$L)</f>
        <v>0</v>
      </c>
    </row>
    <row r="1362" spans="15:18" x14ac:dyDescent="0.15">
      <c r="O1362" s="7" t="str">
        <f>"REQ"&amp;TEXT([2]RequestList!$A1363,"0000")</f>
        <v>REQ0000</v>
      </c>
      <c r="P1362" s="7">
        <f>[2]RequestList!$J1363</f>
        <v>0</v>
      </c>
      <c r="Q1362" s="65">
        <f>SUMIF(日報!$R:$R,TEXT(YEAR($Q$2),"0000")&amp;TEXT(MONTH($Q$2),"00")&amp;$O1362,日報!$L:$L)</f>
        <v>0</v>
      </c>
      <c r="R1362" s="65">
        <f ca="1">SUMIF(日報!$J:$J,$O1362,日報!$L:$L)</f>
        <v>0</v>
      </c>
    </row>
    <row r="1363" spans="15:18" x14ac:dyDescent="0.15">
      <c r="O1363" s="7" t="str">
        <f>"REQ"&amp;TEXT([2]RequestList!$A1364,"0000")</f>
        <v>REQ0000</v>
      </c>
      <c r="P1363" s="7">
        <f>[2]RequestList!$J1364</f>
        <v>0</v>
      </c>
      <c r="Q1363" s="65">
        <f>SUMIF(日報!$R:$R,TEXT(YEAR($Q$2),"0000")&amp;TEXT(MONTH($Q$2),"00")&amp;$O1363,日報!$L:$L)</f>
        <v>0</v>
      </c>
      <c r="R1363" s="65">
        <f ca="1">SUMIF(日報!$J:$J,$O1363,日報!$L:$L)</f>
        <v>0</v>
      </c>
    </row>
    <row r="1364" spans="15:18" x14ac:dyDescent="0.15">
      <c r="O1364" s="7" t="str">
        <f>"REQ"&amp;TEXT([2]RequestList!$A1365,"0000")</f>
        <v>REQ0000</v>
      </c>
      <c r="P1364" s="7">
        <f>[2]RequestList!$J1365</f>
        <v>0</v>
      </c>
      <c r="Q1364" s="65">
        <f>SUMIF(日報!$R:$R,TEXT(YEAR($Q$2),"0000")&amp;TEXT(MONTH($Q$2),"00")&amp;$O1364,日報!$L:$L)</f>
        <v>0</v>
      </c>
      <c r="R1364" s="65">
        <f ca="1">SUMIF(日報!$J:$J,$O1364,日報!$L:$L)</f>
        <v>0</v>
      </c>
    </row>
    <row r="1365" spans="15:18" x14ac:dyDescent="0.15">
      <c r="O1365" s="7" t="str">
        <f>"REQ"&amp;TEXT([2]RequestList!$A1366,"0000")</f>
        <v>REQ0000</v>
      </c>
      <c r="P1365" s="7">
        <f>[2]RequestList!$J1366</f>
        <v>0</v>
      </c>
      <c r="Q1365" s="65">
        <f>SUMIF(日報!$R:$R,TEXT(YEAR($Q$2),"0000")&amp;TEXT(MONTH($Q$2),"00")&amp;$O1365,日報!$L:$L)</f>
        <v>0</v>
      </c>
      <c r="R1365" s="65">
        <f ca="1">SUMIF(日報!$J:$J,$O1365,日報!$L:$L)</f>
        <v>0</v>
      </c>
    </row>
    <row r="1366" spans="15:18" x14ac:dyDescent="0.15">
      <c r="O1366" s="7" t="str">
        <f>"REQ"&amp;TEXT([2]RequestList!$A1367,"0000")</f>
        <v>REQ0000</v>
      </c>
      <c r="P1366" s="7">
        <f>[2]RequestList!$J1367</f>
        <v>0</v>
      </c>
      <c r="Q1366" s="65">
        <f>SUMIF(日報!$R:$R,TEXT(YEAR($Q$2),"0000")&amp;TEXT(MONTH($Q$2),"00")&amp;$O1366,日報!$L:$L)</f>
        <v>0</v>
      </c>
      <c r="R1366" s="65">
        <f ca="1">SUMIF(日報!$J:$J,$O1366,日報!$L:$L)</f>
        <v>0</v>
      </c>
    </row>
    <row r="1367" spans="15:18" x14ac:dyDescent="0.15">
      <c r="O1367" s="7" t="str">
        <f>"REQ"&amp;TEXT([2]RequestList!$A1368,"0000")</f>
        <v>REQ0000</v>
      </c>
      <c r="P1367" s="7">
        <f>[2]RequestList!$J1368</f>
        <v>0</v>
      </c>
      <c r="Q1367" s="65">
        <f>SUMIF(日報!$R:$R,TEXT(YEAR($Q$2),"0000")&amp;TEXT(MONTH($Q$2),"00")&amp;$O1367,日報!$L:$L)</f>
        <v>0</v>
      </c>
      <c r="R1367" s="65">
        <f ca="1">SUMIF(日報!$J:$J,$O1367,日報!$L:$L)</f>
        <v>0</v>
      </c>
    </row>
    <row r="1368" spans="15:18" x14ac:dyDescent="0.15">
      <c r="O1368" s="7" t="str">
        <f>"REQ"&amp;TEXT([2]RequestList!$A1369,"0000")</f>
        <v>REQ0000</v>
      </c>
      <c r="P1368" s="7">
        <f>[2]RequestList!$J1369</f>
        <v>0</v>
      </c>
      <c r="Q1368" s="65">
        <f>SUMIF(日報!$R:$R,TEXT(YEAR($Q$2),"0000")&amp;TEXT(MONTH($Q$2),"00")&amp;$O1368,日報!$L:$L)</f>
        <v>0</v>
      </c>
      <c r="R1368" s="65">
        <f ca="1">SUMIF(日報!$J:$J,$O1368,日報!$L:$L)</f>
        <v>0</v>
      </c>
    </row>
    <row r="1369" spans="15:18" x14ac:dyDescent="0.15">
      <c r="O1369" s="7" t="str">
        <f>"REQ"&amp;TEXT([2]RequestList!$A1370,"0000")</f>
        <v>REQ0000</v>
      </c>
      <c r="P1369" s="7">
        <f>[2]RequestList!$J1370</f>
        <v>0</v>
      </c>
      <c r="Q1369" s="65">
        <f>SUMIF(日報!$R:$R,TEXT(YEAR($Q$2),"0000")&amp;TEXT(MONTH($Q$2),"00")&amp;$O1369,日報!$L:$L)</f>
        <v>0</v>
      </c>
      <c r="R1369" s="65">
        <f ca="1">SUMIF(日報!$J:$J,$O1369,日報!$L:$L)</f>
        <v>0</v>
      </c>
    </row>
    <row r="1370" spans="15:18" x14ac:dyDescent="0.15">
      <c r="O1370" s="7" t="str">
        <f>"REQ"&amp;TEXT([2]RequestList!$A1371,"0000")</f>
        <v>REQ0000</v>
      </c>
      <c r="P1370" s="7">
        <f>[2]RequestList!$J1371</f>
        <v>0</v>
      </c>
      <c r="Q1370" s="65">
        <f>SUMIF(日報!$R:$R,TEXT(YEAR($Q$2),"0000")&amp;TEXT(MONTH($Q$2),"00")&amp;$O1370,日報!$L:$L)</f>
        <v>0</v>
      </c>
      <c r="R1370" s="65">
        <f ca="1">SUMIF(日報!$J:$J,$O1370,日報!$L:$L)</f>
        <v>0</v>
      </c>
    </row>
    <row r="1371" spans="15:18" x14ac:dyDescent="0.15">
      <c r="O1371" s="7" t="str">
        <f>"REQ"&amp;TEXT([2]RequestList!$A1372,"0000")</f>
        <v>REQ0000</v>
      </c>
      <c r="P1371" s="7">
        <f>[2]RequestList!$J1372</f>
        <v>0</v>
      </c>
      <c r="Q1371" s="65">
        <f>SUMIF(日報!$R:$R,TEXT(YEAR($Q$2),"0000")&amp;TEXT(MONTH($Q$2),"00")&amp;$O1371,日報!$L:$L)</f>
        <v>0</v>
      </c>
      <c r="R1371" s="65">
        <f ca="1">SUMIF(日報!$J:$J,$O1371,日報!$L:$L)</f>
        <v>0</v>
      </c>
    </row>
    <row r="1372" spans="15:18" x14ac:dyDescent="0.15">
      <c r="O1372" s="7" t="str">
        <f>"REQ"&amp;TEXT([2]RequestList!$A1373,"0000")</f>
        <v>REQ0000</v>
      </c>
      <c r="P1372" s="7">
        <f>[2]RequestList!$J1373</f>
        <v>0</v>
      </c>
      <c r="Q1372" s="65">
        <f>SUMIF(日報!$R:$R,TEXT(YEAR($Q$2),"0000")&amp;TEXT(MONTH($Q$2),"00")&amp;$O1372,日報!$L:$L)</f>
        <v>0</v>
      </c>
      <c r="R1372" s="65">
        <f ca="1">SUMIF(日報!$J:$J,$O1372,日報!$L:$L)</f>
        <v>0</v>
      </c>
    </row>
    <row r="1373" spans="15:18" x14ac:dyDescent="0.15">
      <c r="O1373" s="7" t="str">
        <f>"REQ"&amp;TEXT([2]RequestList!$A1374,"0000")</f>
        <v>REQ0000</v>
      </c>
      <c r="P1373" s="7">
        <f>[2]RequestList!$J1374</f>
        <v>0</v>
      </c>
      <c r="Q1373" s="65">
        <f>SUMIF(日報!$R:$R,TEXT(YEAR($Q$2),"0000")&amp;TEXT(MONTH($Q$2),"00")&amp;$O1373,日報!$L:$L)</f>
        <v>0</v>
      </c>
      <c r="R1373" s="65">
        <f ca="1">SUMIF(日報!$J:$J,$O1373,日報!$L:$L)</f>
        <v>0</v>
      </c>
    </row>
    <row r="1374" spans="15:18" x14ac:dyDescent="0.15">
      <c r="O1374" s="7" t="str">
        <f>"REQ"&amp;TEXT([2]RequestList!$A1375,"0000")</f>
        <v>REQ0000</v>
      </c>
      <c r="P1374" s="7">
        <f>[2]RequestList!$J1375</f>
        <v>0</v>
      </c>
      <c r="Q1374" s="65">
        <f>SUMIF(日報!$R:$R,TEXT(YEAR($Q$2),"0000")&amp;TEXT(MONTH($Q$2),"00")&amp;$O1374,日報!$L:$L)</f>
        <v>0</v>
      </c>
      <c r="R1374" s="65">
        <f ca="1">SUMIF(日報!$J:$J,$O1374,日報!$L:$L)</f>
        <v>0</v>
      </c>
    </row>
    <row r="1375" spans="15:18" x14ac:dyDescent="0.15">
      <c r="O1375" s="7" t="str">
        <f>"REQ"&amp;TEXT([2]RequestList!$A1376,"0000")</f>
        <v>REQ0000</v>
      </c>
      <c r="P1375" s="7">
        <f>[2]RequestList!$J1376</f>
        <v>0</v>
      </c>
      <c r="Q1375" s="65">
        <f>SUMIF(日報!$R:$R,TEXT(YEAR($Q$2),"0000")&amp;TEXT(MONTH($Q$2),"00")&amp;$O1375,日報!$L:$L)</f>
        <v>0</v>
      </c>
      <c r="R1375" s="65">
        <f ca="1">SUMIF(日報!$J:$J,$O1375,日報!$L:$L)</f>
        <v>0</v>
      </c>
    </row>
    <row r="1376" spans="15:18" x14ac:dyDescent="0.15">
      <c r="O1376" s="7" t="str">
        <f>"REQ"&amp;TEXT([2]RequestList!$A1377,"0000")</f>
        <v>REQ0000</v>
      </c>
      <c r="P1376" s="7">
        <f>[2]RequestList!$J1377</f>
        <v>0</v>
      </c>
      <c r="Q1376" s="65">
        <f>SUMIF(日報!$R:$R,TEXT(YEAR($Q$2),"0000")&amp;TEXT(MONTH($Q$2),"00")&amp;$O1376,日報!$L:$L)</f>
        <v>0</v>
      </c>
      <c r="R1376" s="65">
        <f ca="1">SUMIF(日報!$J:$J,$O1376,日報!$L:$L)</f>
        <v>0</v>
      </c>
    </row>
    <row r="1377" spans="15:18" x14ac:dyDescent="0.15">
      <c r="O1377" s="7" t="str">
        <f>"REQ"&amp;TEXT([2]RequestList!$A1378,"0000")</f>
        <v>REQ0000</v>
      </c>
      <c r="P1377" s="7">
        <f>[2]RequestList!$J1378</f>
        <v>0</v>
      </c>
      <c r="Q1377" s="65">
        <f>SUMIF(日報!$R:$R,TEXT(YEAR($Q$2),"0000")&amp;TEXT(MONTH($Q$2),"00")&amp;$O1377,日報!$L:$L)</f>
        <v>0</v>
      </c>
      <c r="R1377" s="65">
        <f ca="1">SUMIF(日報!$J:$J,$O1377,日報!$L:$L)</f>
        <v>0</v>
      </c>
    </row>
    <row r="1378" spans="15:18" x14ac:dyDescent="0.15">
      <c r="O1378" s="7" t="str">
        <f>"REQ"&amp;TEXT([2]RequestList!$A1379,"0000")</f>
        <v>REQ0000</v>
      </c>
      <c r="P1378" s="7">
        <f>[2]RequestList!$J1379</f>
        <v>0</v>
      </c>
      <c r="Q1378" s="65">
        <f>SUMIF(日報!$R:$R,TEXT(YEAR($Q$2),"0000")&amp;TEXT(MONTH($Q$2),"00")&amp;$O1378,日報!$L:$L)</f>
        <v>0</v>
      </c>
      <c r="R1378" s="65">
        <f ca="1">SUMIF(日報!$J:$J,$O1378,日報!$L:$L)</f>
        <v>0</v>
      </c>
    </row>
    <row r="1379" spans="15:18" x14ac:dyDescent="0.15">
      <c r="O1379" s="7" t="str">
        <f>"REQ"&amp;TEXT([2]RequestList!$A1380,"0000")</f>
        <v>REQ0000</v>
      </c>
      <c r="P1379" s="7">
        <f>[2]RequestList!$J1380</f>
        <v>0</v>
      </c>
      <c r="Q1379" s="65">
        <f>SUMIF(日報!$R:$R,TEXT(YEAR($Q$2),"0000")&amp;TEXT(MONTH($Q$2),"00")&amp;$O1379,日報!$L:$L)</f>
        <v>0</v>
      </c>
      <c r="R1379" s="65">
        <f ca="1">SUMIF(日報!$J:$J,$O1379,日報!$L:$L)</f>
        <v>0</v>
      </c>
    </row>
    <row r="1380" spans="15:18" x14ac:dyDescent="0.15">
      <c r="O1380" s="7" t="str">
        <f>"REQ"&amp;TEXT([2]RequestList!$A1381,"0000")</f>
        <v>REQ0000</v>
      </c>
      <c r="P1380" s="7">
        <f>[2]RequestList!$J1381</f>
        <v>0</v>
      </c>
      <c r="Q1380" s="65">
        <f>SUMIF(日報!$R:$R,TEXT(YEAR($Q$2),"0000")&amp;TEXT(MONTH($Q$2),"00")&amp;$O1380,日報!$L:$L)</f>
        <v>0</v>
      </c>
      <c r="R1380" s="65">
        <f ca="1">SUMIF(日報!$J:$J,$O1380,日報!$L:$L)</f>
        <v>0</v>
      </c>
    </row>
    <row r="1381" spans="15:18" x14ac:dyDescent="0.15">
      <c r="O1381" s="7" t="str">
        <f>"REQ"&amp;TEXT([2]RequestList!$A1382,"0000")</f>
        <v>REQ0000</v>
      </c>
      <c r="P1381" s="7">
        <f>[2]RequestList!$J1382</f>
        <v>0</v>
      </c>
      <c r="Q1381" s="65">
        <f>SUMIF(日報!$R:$R,TEXT(YEAR($Q$2),"0000")&amp;TEXT(MONTH($Q$2),"00")&amp;$O1381,日報!$L:$L)</f>
        <v>0</v>
      </c>
      <c r="R1381" s="65">
        <f ca="1">SUMIF(日報!$J:$J,$O1381,日報!$L:$L)</f>
        <v>0</v>
      </c>
    </row>
    <row r="1382" spans="15:18" x14ac:dyDescent="0.15">
      <c r="O1382" s="7" t="str">
        <f>"REQ"&amp;TEXT([2]RequestList!$A1383,"0000")</f>
        <v>REQ0000</v>
      </c>
      <c r="P1382" s="7">
        <f>[2]RequestList!$J1383</f>
        <v>0</v>
      </c>
      <c r="Q1382" s="65">
        <f>SUMIF(日報!$R:$R,TEXT(YEAR($Q$2),"0000")&amp;TEXT(MONTH($Q$2),"00")&amp;$O1382,日報!$L:$L)</f>
        <v>0</v>
      </c>
      <c r="R1382" s="65">
        <f ca="1">SUMIF(日報!$J:$J,$O1382,日報!$L:$L)</f>
        <v>0</v>
      </c>
    </row>
    <row r="1383" spans="15:18" x14ac:dyDescent="0.15">
      <c r="O1383" s="7" t="str">
        <f>"REQ"&amp;TEXT([2]RequestList!$A1384,"0000")</f>
        <v>REQ0000</v>
      </c>
      <c r="P1383" s="7">
        <f>[2]RequestList!$J1384</f>
        <v>0</v>
      </c>
      <c r="Q1383" s="65">
        <f>SUMIF(日報!$R:$R,TEXT(YEAR($Q$2),"0000")&amp;TEXT(MONTH($Q$2),"00")&amp;$O1383,日報!$L:$L)</f>
        <v>0</v>
      </c>
      <c r="R1383" s="65">
        <f ca="1">SUMIF(日報!$J:$J,$O1383,日報!$L:$L)</f>
        <v>0</v>
      </c>
    </row>
    <row r="1384" spans="15:18" x14ac:dyDescent="0.15">
      <c r="O1384" s="7" t="str">
        <f>"REQ"&amp;TEXT([2]RequestList!$A1385,"0000")</f>
        <v>REQ0000</v>
      </c>
      <c r="P1384" s="7">
        <f>[2]RequestList!$J1385</f>
        <v>0</v>
      </c>
      <c r="Q1384" s="65">
        <f>SUMIF(日報!$R:$R,TEXT(YEAR($Q$2),"0000")&amp;TEXT(MONTH($Q$2),"00")&amp;$O1384,日報!$L:$L)</f>
        <v>0</v>
      </c>
      <c r="R1384" s="65">
        <f ca="1">SUMIF(日報!$J:$J,$O1384,日報!$L:$L)</f>
        <v>0</v>
      </c>
    </row>
    <row r="1385" spans="15:18" x14ac:dyDescent="0.15">
      <c r="O1385" s="7" t="str">
        <f>"REQ"&amp;TEXT([2]RequestList!$A1386,"0000")</f>
        <v>REQ0000</v>
      </c>
      <c r="P1385" s="7">
        <f>[2]RequestList!$J1386</f>
        <v>0</v>
      </c>
      <c r="Q1385" s="65">
        <f>SUMIF(日報!$R:$R,TEXT(YEAR($Q$2),"0000")&amp;TEXT(MONTH($Q$2),"00")&amp;$O1385,日報!$L:$L)</f>
        <v>0</v>
      </c>
      <c r="R1385" s="65">
        <f ca="1">SUMIF(日報!$J:$J,$O1385,日報!$L:$L)</f>
        <v>0</v>
      </c>
    </row>
    <row r="1386" spans="15:18" x14ac:dyDescent="0.15">
      <c r="O1386" s="7" t="str">
        <f>"REQ"&amp;TEXT([2]RequestList!$A1387,"0000")</f>
        <v>REQ0000</v>
      </c>
      <c r="P1386" s="7">
        <f>[2]RequestList!$J1387</f>
        <v>0</v>
      </c>
      <c r="Q1386" s="65">
        <f>SUMIF(日報!$R:$R,TEXT(YEAR($Q$2),"0000")&amp;TEXT(MONTH($Q$2),"00")&amp;$O1386,日報!$L:$L)</f>
        <v>0</v>
      </c>
      <c r="R1386" s="65">
        <f ca="1">SUMIF(日報!$J:$J,$O1386,日報!$L:$L)</f>
        <v>0</v>
      </c>
    </row>
    <row r="1387" spans="15:18" x14ac:dyDescent="0.15">
      <c r="O1387" s="7" t="str">
        <f>"REQ"&amp;TEXT([2]RequestList!$A1388,"0000")</f>
        <v>REQ0000</v>
      </c>
      <c r="P1387" s="7">
        <f>[2]RequestList!$J1388</f>
        <v>0</v>
      </c>
      <c r="Q1387" s="65">
        <f>SUMIF(日報!$R:$R,TEXT(YEAR($Q$2),"0000")&amp;TEXT(MONTH($Q$2),"00")&amp;$O1387,日報!$L:$L)</f>
        <v>0</v>
      </c>
      <c r="R1387" s="65">
        <f ca="1">SUMIF(日報!$J:$J,$O1387,日報!$L:$L)</f>
        <v>0</v>
      </c>
    </row>
    <row r="1388" spans="15:18" x14ac:dyDescent="0.15">
      <c r="O1388" s="7" t="str">
        <f>"REQ"&amp;TEXT([2]RequestList!$A1389,"0000")</f>
        <v>REQ0000</v>
      </c>
      <c r="P1388" s="7">
        <f>[2]RequestList!$J1389</f>
        <v>0</v>
      </c>
      <c r="Q1388" s="65">
        <f>SUMIF(日報!$R:$R,TEXT(YEAR($Q$2),"0000")&amp;TEXT(MONTH($Q$2),"00")&amp;$O1388,日報!$L:$L)</f>
        <v>0</v>
      </c>
      <c r="R1388" s="65">
        <f ca="1">SUMIF(日報!$J:$J,$O1388,日報!$L:$L)</f>
        <v>0</v>
      </c>
    </row>
    <row r="1389" spans="15:18" x14ac:dyDescent="0.15">
      <c r="O1389" s="7" t="str">
        <f>"REQ"&amp;TEXT([2]RequestList!$A1390,"0000")</f>
        <v>REQ0000</v>
      </c>
      <c r="P1389" s="7">
        <f>[2]RequestList!$J1390</f>
        <v>0</v>
      </c>
      <c r="Q1389" s="65">
        <f>SUMIF(日報!$R:$R,TEXT(YEAR($Q$2),"0000")&amp;TEXT(MONTH($Q$2),"00")&amp;$O1389,日報!$L:$L)</f>
        <v>0</v>
      </c>
      <c r="R1389" s="65">
        <f ca="1">SUMIF(日報!$J:$J,$O1389,日報!$L:$L)</f>
        <v>0</v>
      </c>
    </row>
    <row r="1390" spans="15:18" x14ac:dyDescent="0.15">
      <c r="O1390" s="7" t="str">
        <f>"REQ"&amp;TEXT([2]RequestList!$A1391,"0000")</f>
        <v>REQ0000</v>
      </c>
      <c r="P1390" s="7">
        <f>[2]RequestList!$J1391</f>
        <v>0</v>
      </c>
      <c r="Q1390" s="65">
        <f>SUMIF(日報!$R:$R,TEXT(YEAR($Q$2),"0000")&amp;TEXT(MONTH($Q$2),"00")&amp;$O1390,日報!$L:$L)</f>
        <v>0</v>
      </c>
      <c r="R1390" s="65">
        <f ca="1">SUMIF(日報!$J:$J,$O1390,日報!$L:$L)</f>
        <v>0</v>
      </c>
    </row>
    <row r="1391" spans="15:18" x14ac:dyDescent="0.15">
      <c r="O1391" s="7" t="str">
        <f>"REQ"&amp;TEXT([2]RequestList!$A1392,"0000")</f>
        <v>REQ0000</v>
      </c>
      <c r="P1391" s="7">
        <f>[2]RequestList!$J1392</f>
        <v>0</v>
      </c>
      <c r="Q1391" s="65">
        <f>SUMIF(日報!$R:$R,TEXT(YEAR($Q$2),"0000")&amp;TEXT(MONTH($Q$2),"00")&amp;$O1391,日報!$L:$L)</f>
        <v>0</v>
      </c>
      <c r="R1391" s="65">
        <f ca="1">SUMIF(日報!$J:$J,$O1391,日報!$L:$L)</f>
        <v>0</v>
      </c>
    </row>
    <row r="1392" spans="15:18" x14ac:dyDescent="0.15">
      <c r="O1392" s="7" t="str">
        <f>"REQ"&amp;TEXT([2]RequestList!$A1393,"0000")</f>
        <v>REQ0000</v>
      </c>
      <c r="P1392" s="7">
        <f>[2]RequestList!$J1393</f>
        <v>0</v>
      </c>
      <c r="Q1392" s="65">
        <f>SUMIF(日報!$R:$R,TEXT(YEAR($Q$2),"0000")&amp;TEXT(MONTH($Q$2),"00")&amp;$O1392,日報!$L:$L)</f>
        <v>0</v>
      </c>
      <c r="R1392" s="65">
        <f ca="1">SUMIF(日報!$J:$J,$O1392,日報!$L:$L)</f>
        <v>0</v>
      </c>
    </row>
    <row r="1393" spans="15:18" x14ac:dyDescent="0.15">
      <c r="O1393" s="7" t="str">
        <f>"REQ"&amp;TEXT([2]RequestList!$A1394,"0000")</f>
        <v>REQ0000</v>
      </c>
      <c r="P1393" s="7">
        <f>[2]RequestList!$J1394</f>
        <v>0</v>
      </c>
      <c r="Q1393" s="65">
        <f>SUMIF(日報!$R:$R,TEXT(YEAR($Q$2),"0000")&amp;TEXT(MONTH($Q$2),"00")&amp;$O1393,日報!$L:$L)</f>
        <v>0</v>
      </c>
      <c r="R1393" s="65">
        <f ca="1">SUMIF(日報!$J:$J,$O1393,日報!$L:$L)</f>
        <v>0</v>
      </c>
    </row>
    <row r="1394" spans="15:18" x14ac:dyDescent="0.15">
      <c r="O1394" s="7" t="str">
        <f>"REQ"&amp;TEXT([2]RequestList!$A1395,"0000")</f>
        <v>REQ0000</v>
      </c>
      <c r="P1394" s="7">
        <f>[2]RequestList!$J1395</f>
        <v>0</v>
      </c>
      <c r="Q1394" s="65">
        <f>SUMIF(日報!$R:$R,TEXT(YEAR($Q$2),"0000")&amp;TEXT(MONTH($Q$2),"00")&amp;$O1394,日報!$L:$L)</f>
        <v>0</v>
      </c>
      <c r="R1394" s="65">
        <f ca="1">SUMIF(日報!$J:$J,$O1394,日報!$L:$L)</f>
        <v>0</v>
      </c>
    </row>
    <row r="1395" spans="15:18" x14ac:dyDescent="0.15">
      <c r="O1395" s="7" t="str">
        <f>"REQ"&amp;TEXT([2]RequestList!$A1396,"0000")</f>
        <v>REQ0000</v>
      </c>
      <c r="P1395" s="7">
        <f>[2]RequestList!$J1396</f>
        <v>0</v>
      </c>
      <c r="Q1395" s="65">
        <f>SUMIF(日報!$R:$R,TEXT(YEAR($Q$2),"0000")&amp;TEXT(MONTH($Q$2),"00")&amp;$O1395,日報!$L:$L)</f>
        <v>0</v>
      </c>
      <c r="R1395" s="65">
        <f ca="1">SUMIF(日報!$J:$J,$O1395,日報!$L:$L)</f>
        <v>0</v>
      </c>
    </row>
    <row r="1396" spans="15:18" x14ac:dyDescent="0.15">
      <c r="O1396" s="7" t="str">
        <f>"REQ"&amp;TEXT([2]RequestList!$A1397,"0000")</f>
        <v>REQ0000</v>
      </c>
      <c r="P1396" s="7">
        <f>[2]RequestList!$J1397</f>
        <v>0</v>
      </c>
      <c r="Q1396" s="65">
        <f>SUMIF(日報!$R:$R,TEXT(YEAR($Q$2),"0000")&amp;TEXT(MONTH($Q$2),"00")&amp;$O1396,日報!$L:$L)</f>
        <v>0</v>
      </c>
      <c r="R1396" s="65">
        <f ca="1">SUMIF(日報!$J:$J,$O1396,日報!$L:$L)</f>
        <v>0</v>
      </c>
    </row>
    <row r="1397" spans="15:18" x14ac:dyDescent="0.15">
      <c r="O1397" s="7" t="str">
        <f>"REQ"&amp;TEXT([2]RequestList!$A1398,"0000")</f>
        <v>REQ0000</v>
      </c>
      <c r="P1397" s="7">
        <f>[2]RequestList!$J1398</f>
        <v>0</v>
      </c>
      <c r="Q1397" s="65">
        <f>SUMIF(日報!$R:$R,TEXT(YEAR($Q$2),"0000")&amp;TEXT(MONTH($Q$2),"00")&amp;$O1397,日報!$L:$L)</f>
        <v>0</v>
      </c>
      <c r="R1397" s="65">
        <f ca="1">SUMIF(日報!$J:$J,$O1397,日報!$L:$L)</f>
        <v>0</v>
      </c>
    </row>
    <row r="1398" spans="15:18" x14ac:dyDescent="0.15">
      <c r="O1398" s="7" t="str">
        <f>"REQ"&amp;TEXT([2]RequestList!$A1399,"0000")</f>
        <v>REQ0000</v>
      </c>
      <c r="P1398" s="7">
        <f>[2]RequestList!$J1399</f>
        <v>0</v>
      </c>
      <c r="Q1398" s="65">
        <f>SUMIF(日報!$R:$R,TEXT(YEAR($Q$2),"0000")&amp;TEXT(MONTH($Q$2),"00")&amp;$O1398,日報!$L:$L)</f>
        <v>0</v>
      </c>
      <c r="R1398" s="65">
        <f ca="1">SUMIF(日報!$J:$J,$O1398,日報!$L:$L)</f>
        <v>0</v>
      </c>
    </row>
    <row r="1399" spans="15:18" x14ac:dyDescent="0.15">
      <c r="O1399" s="7" t="str">
        <f>"REQ"&amp;TEXT([2]RequestList!$A1400,"0000")</f>
        <v>REQ0000</v>
      </c>
      <c r="P1399" s="7">
        <f>[2]RequestList!$J1400</f>
        <v>0</v>
      </c>
      <c r="Q1399" s="65">
        <f>SUMIF(日報!$R:$R,TEXT(YEAR($Q$2),"0000")&amp;TEXT(MONTH($Q$2),"00")&amp;$O1399,日報!$L:$L)</f>
        <v>0</v>
      </c>
      <c r="R1399" s="65">
        <f ca="1">SUMIF(日報!$J:$J,$O1399,日報!$L:$L)</f>
        <v>0</v>
      </c>
    </row>
    <row r="1400" spans="15:18" x14ac:dyDescent="0.15">
      <c r="O1400" s="7" t="str">
        <f>"REQ"&amp;TEXT([2]RequestList!$A1401,"0000")</f>
        <v>REQ0000</v>
      </c>
      <c r="P1400" s="7">
        <f>[2]RequestList!$J1401</f>
        <v>0</v>
      </c>
      <c r="Q1400" s="65">
        <f>SUMIF(日報!$R:$R,TEXT(YEAR($Q$2),"0000")&amp;TEXT(MONTH($Q$2),"00")&amp;$O1400,日報!$L:$L)</f>
        <v>0</v>
      </c>
      <c r="R1400" s="65">
        <f ca="1">SUMIF(日報!$J:$J,$O1400,日報!$L:$L)</f>
        <v>0</v>
      </c>
    </row>
    <row r="1401" spans="15:18" x14ac:dyDescent="0.15">
      <c r="O1401" s="7" t="str">
        <f>"REQ"&amp;TEXT([2]RequestList!$A1402,"0000")</f>
        <v>REQ0000</v>
      </c>
      <c r="P1401" s="7">
        <f>[2]RequestList!$J1402</f>
        <v>0</v>
      </c>
      <c r="Q1401" s="65">
        <f>SUMIF(日報!$R:$R,TEXT(YEAR($Q$2),"0000")&amp;TEXT(MONTH($Q$2),"00")&amp;$O1401,日報!$L:$L)</f>
        <v>0</v>
      </c>
      <c r="R1401" s="65">
        <f ca="1">SUMIF(日報!$J:$J,$O1401,日報!$L:$L)</f>
        <v>0</v>
      </c>
    </row>
    <row r="1402" spans="15:18" x14ac:dyDescent="0.15">
      <c r="O1402" s="7" t="str">
        <f>"REQ"&amp;TEXT([2]RequestList!$A1403,"0000")</f>
        <v>REQ0000</v>
      </c>
      <c r="P1402" s="7">
        <f>[2]RequestList!$J1403</f>
        <v>0</v>
      </c>
      <c r="Q1402" s="65">
        <f>SUMIF(日報!$R:$R,TEXT(YEAR($Q$2),"0000")&amp;TEXT(MONTH($Q$2),"00")&amp;$O1402,日報!$L:$L)</f>
        <v>0</v>
      </c>
      <c r="R1402" s="65">
        <f ca="1">SUMIF(日報!$J:$J,$O1402,日報!$L:$L)</f>
        <v>0</v>
      </c>
    </row>
    <row r="1403" spans="15:18" x14ac:dyDescent="0.15">
      <c r="O1403" s="7" t="str">
        <f>"REQ"&amp;TEXT([2]RequestList!$A1404,"0000")</f>
        <v>REQ0000</v>
      </c>
      <c r="P1403" s="7">
        <f>[2]RequestList!$J1404</f>
        <v>0</v>
      </c>
      <c r="Q1403" s="65">
        <f>SUMIF(日報!$R:$R,TEXT(YEAR($Q$2),"0000")&amp;TEXT(MONTH($Q$2),"00")&amp;$O1403,日報!$L:$L)</f>
        <v>0</v>
      </c>
      <c r="R1403" s="65">
        <f ca="1">SUMIF(日報!$J:$J,$O1403,日報!$L:$L)</f>
        <v>0</v>
      </c>
    </row>
    <row r="1404" spans="15:18" x14ac:dyDescent="0.15">
      <c r="O1404" s="7" t="str">
        <f>"REQ"&amp;TEXT([2]RequestList!$A1405,"0000")</f>
        <v>REQ0000</v>
      </c>
      <c r="P1404" s="7">
        <f>[2]RequestList!$J1405</f>
        <v>0</v>
      </c>
      <c r="Q1404" s="65">
        <f>SUMIF(日報!$R:$R,TEXT(YEAR($Q$2),"0000")&amp;TEXT(MONTH($Q$2),"00")&amp;$O1404,日報!$L:$L)</f>
        <v>0</v>
      </c>
      <c r="R1404" s="65">
        <f ca="1">SUMIF(日報!$J:$J,$O1404,日報!$L:$L)</f>
        <v>0</v>
      </c>
    </row>
    <row r="1405" spans="15:18" x14ac:dyDescent="0.15">
      <c r="O1405" s="7" t="str">
        <f>"REQ"&amp;TEXT([2]RequestList!$A1406,"0000")</f>
        <v>REQ0000</v>
      </c>
      <c r="P1405" s="7">
        <f>[2]RequestList!$J1406</f>
        <v>0</v>
      </c>
      <c r="Q1405" s="65">
        <f>SUMIF(日報!$R:$R,TEXT(YEAR($Q$2),"0000")&amp;TEXT(MONTH($Q$2),"00")&amp;$O1405,日報!$L:$L)</f>
        <v>0</v>
      </c>
      <c r="R1405" s="65">
        <f ca="1">SUMIF(日報!$J:$J,$O1405,日報!$L:$L)</f>
        <v>0</v>
      </c>
    </row>
    <row r="1406" spans="15:18" x14ac:dyDescent="0.15">
      <c r="O1406" s="7" t="str">
        <f>"REQ"&amp;TEXT([2]RequestList!$A1407,"0000")</f>
        <v>REQ0000</v>
      </c>
      <c r="P1406" s="7">
        <f>[2]RequestList!$J1407</f>
        <v>0</v>
      </c>
      <c r="Q1406" s="65">
        <f>SUMIF(日報!$R:$R,TEXT(YEAR($Q$2),"0000")&amp;TEXT(MONTH($Q$2),"00")&amp;$O1406,日報!$L:$L)</f>
        <v>0</v>
      </c>
      <c r="R1406" s="65">
        <f ca="1">SUMIF(日報!$J:$J,$O1406,日報!$L:$L)</f>
        <v>0</v>
      </c>
    </row>
    <row r="1407" spans="15:18" x14ac:dyDescent="0.15">
      <c r="O1407" s="7" t="str">
        <f>"REQ"&amp;TEXT([2]RequestList!$A1408,"0000")</f>
        <v>REQ0000</v>
      </c>
      <c r="P1407" s="7">
        <f>[2]RequestList!$J1408</f>
        <v>0</v>
      </c>
      <c r="Q1407" s="65">
        <f>SUMIF(日報!$R:$R,TEXT(YEAR($Q$2),"0000")&amp;TEXT(MONTH($Q$2),"00")&amp;$O1407,日報!$L:$L)</f>
        <v>0</v>
      </c>
      <c r="R1407" s="65">
        <f ca="1">SUMIF(日報!$J:$J,$O1407,日報!$L:$L)</f>
        <v>0</v>
      </c>
    </row>
    <row r="1408" spans="15:18" x14ac:dyDescent="0.15">
      <c r="O1408" s="7" t="str">
        <f>"REQ"&amp;TEXT([2]RequestList!$A1409,"0000")</f>
        <v>REQ0000</v>
      </c>
      <c r="P1408" s="7">
        <f>[2]RequestList!$J1409</f>
        <v>0</v>
      </c>
      <c r="Q1408" s="65">
        <f>SUMIF(日報!$R:$R,TEXT(YEAR($Q$2),"0000")&amp;TEXT(MONTH($Q$2),"00")&amp;$O1408,日報!$L:$L)</f>
        <v>0</v>
      </c>
      <c r="R1408" s="65">
        <f ca="1">SUMIF(日報!$J:$J,$O1408,日報!$L:$L)</f>
        <v>0</v>
      </c>
    </row>
    <row r="1409" spans="15:18" x14ac:dyDescent="0.15">
      <c r="O1409" s="7" t="str">
        <f>"REQ"&amp;TEXT([2]RequestList!$A1410,"0000")</f>
        <v>REQ0000</v>
      </c>
      <c r="P1409" s="7">
        <f>[2]RequestList!$J1410</f>
        <v>0</v>
      </c>
      <c r="Q1409" s="65">
        <f>SUMIF(日報!$R:$R,TEXT(YEAR($Q$2),"0000")&amp;TEXT(MONTH($Q$2),"00")&amp;$O1409,日報!$L:$L)</f>
        <v>0</v>
      </c>
      <c r="R1409" s="65">
        <f ca="1">SUMIF(日報!$J:$J,$O1409,日報!$L:$L)</f>
        <v>0</v>
      </c>
    </row>
    <row r="1410" spans="15:18" x14ac:dyDescent="0.15">
      <c r="O1410" s="7" t="str">
        <f>"REQ"&amp;TEXT([2]RequestList!$A1411,"0000")</f>
        <v>REQ0000</v>
      </c>
      <c r="P1410" s="7">
        <f>[2]RequestList!$J1411</f>
        <v>0</v>
      </c>
      <c r="Q1410" s="65">
        <f>SUMIF(日報!$R:$R,TEXT(YEAR($Q$2),"0000")&amp;TEXT(MONTH($Q$2),"00")&amp;$O1410,日報!$L:$L)</f>
        <v>0</v>
      </c>
      <c r="R1410" s="65">
        <f ca="1">SUMIF(日報!$J:$J,$O1410,日報!$L:$L)</f>
        <v>0</v>
      </c>
    </row>
    <row r="1411" spans="15:18" x14ac:dyDescent="0.15">
      <c r="O1411" s="7" t="str">
        <f>"REQ"&amp;TEXT([2]RequestList!$A1412,"0000")</f>
        <v>REQ0000</v>
      </c>
      <c r="P1411" s="7">
        <f>[2]RequestList!$J1412</f>
        <v>0</v>
      </c>
      <c r="Q1411" s="65">
        <f>SUMIF(日報!$R:$R,TEXT(YEAR($Q$2),"0000")&amp;TEXT(MONTH($Q$2),"00")&amp;$O1411,日報!$L:$L)</f>
        <v>0</v>
      </c>
      <c r="R1411" s="65">
        <f ca="1">SUMIF(日報!$J:$J,$O1411,日報!$L:$L)</f>
        <v>0</v>
      </c>
    </row>
    <row r="1412" spans="15:18" x14ac:dyDescent="0.15">
      <c r="O1412" s="7" t="str">
        <f>"REQ"&amp;TEXT([2]RequestList!$A1413,"0000")</f>
        <v>REQ0000</v>
      </c>
      <c r="P1412" s="7">
        <f>[2]RequestList!$J1413</f>
        <v>0</v>
      </c>
      <c r="Q1412" s="65">
        <f>SUMIF(日報!$R:$R,TEXT(YEAR($Q$2),"0000")&amp;TEXT(MONTH($Q$2),"00")&amp;$O1412,日報!$L:$L)</f>
        <v>0</v>
      </c>
      <c r="R1412" s="65">
        <f ca="1">SUMIF(日報!$J:$J,$O1412,日報!$L:$L)</f>
        <v>0</v>
      </c>
    </row>
    <row r="1413" spans="15:18" x14ac:dyDescent="0.15">
      <c r="O1413" s="7" t="str">
        <f>"REQ"&amp;TEXT([2]RequestList!$A1414,"0000")</f>
        <v>REQ0000</v>
      </c>
      <c r="P1413" s="7">
        <f>[2]RequestList!$J1414</f>
        <v>0</v>
      </c>
      <c r="Q1413" s="65">
        <f>SUMIF(日報!$R:$R,TEXT(YEAR($Q$2),"0000")&amp;TEXT(MONTH($Q$2),"00")&amp;$O1413,日報!$L:$L)</f>
        <v>0</v>
      </c>
      <c r="R1413" s="65">
        <f ca="1">SUMIF(日報!$J:$J,$O1413,日報!$L:$L)</f>
        <v>0</v>
      </c>
    </row>
    <row r="1414" spans="15:18" x14ac:dyDescent="0.15">
      <c r="O1414" s="7" t="str">
        <f>"REQ"&amp;TEXT([2]RequestList!$A1415,"0000")</f>
        <v>REQ0000</v>
      </c>
      <c r="P1414" s="7">
        <f>[2]RequestList!$J1415</f>
        <v>0</v>
      </c>
      <c r="Q1414" s="65">
        <f>SUMIF(日報!$R:$R,TEXT(YEAR($Q$2),"0000")&amp;TEXT(MONTH($Q$2),"00")&amp;$O1414,日報!$L:$L)</f>
        <v>0</v>
      </c>
      <c r="R1414" s="65">
        <f ca="1">SUMIF(日報!$J:$J,$O1414,日報!$L:$L)</f>
        <v>0</v>
      </c>
    </row>
    <row r="1415" spans="15:18" x14ac:dyDescent="0.15">
      <c r="O1415" s="7" t="str">
        <f>"REQ"&amp;TEXT([2]RequestList!$A1416,"0000")</f>
        <v>REQ0000</v>
      </c>
      <c r="P1415" s="7">
        <f>[2]RequestList!$J1416</f>
        <v>0</v>
      </c>
      <c r="Q1415" s="65">
        <f>SUMIF(日報!$R:$R,TEXT(YEAR($Q$2),"0000")&amp;TEXT(MONTH($Q$2),"00")&amp;$O1415,日報!$L:$L)</f>
        <v>0</v>
      </c>
      <c r="R1415" s="65">
        <f ca="1">SUMIF(日報!$J:$J,$O1415,日報!$L:$L)</f>
        <v>0</v>
      </c>
    </row>
    <row r="1416" spans="15:18" x14ac:dyDescent="0.15">
      <c r="O1416" s="7" t="str">
        <f>"REQ"&amp;TEXT([2]RequestList!$A1417,"0000")</f>
        <v>REQ0000</v>
      </c>
      <c r="P1416" s="7">
        <f>[2]RequestList!$J1417</f>
        <v>0</v>
      </c>
      <c r="Q1416" s="65">
        <f>SUMIF(日報!$R:$R,TEXT(YEAR($Q$2),"0000")&amp;TEXT(MONTH($Q$2),"00")&amp;$O1416,日報!$L:$L)</f>
        <v>0</v>
      </c>
      <c r="R1416" s="65">
        <f ca="1">SUMIF(日報!$J:$J,$O1416,日報!$L:$L)</f>
        <v>0</v>
      </c>
    </row>
    <row r="1417" spans="15:18" x14ac:dyDescent="0.15">
      <c r="O1417" s="7" t="str">
        <f>"REQ"&amp;TEXT([2]RequestList!$A1418,"0000")</f>
        <v>REQ0000</v>
      </c>
      <c r="P1417" s="7">
        <f>[2]RequestList!$J1418</f>
        <v>0</v>
      </c>
      <c r="Q1417" s="65">
        <f>SUMIF(日報!$R:$R,TEXT(YEAR($Q$2),"0000")&amp;TEXT(MONTH($Q$2),"00")&amp;$O1417,日報!$L:$L)</f>
        <v>0</v>
      </c>
      <c r="R1417" s="65">
        <f ca="1">SUMIF(日報!$J:$J,$O1417,日報!$L:$L)</f>
        <v>0</v>
      </c>
    </row>
    <row r="1418" spans="15:18" x14ac:dyDescent="0.15">
      <c r="O1418" s="7" t="str">
        <f>"REQ"&amp;TEXT([2]RequestList!$A1419,"0000")</f>
        <v>REQ0000</v>
      </c>
      <c r="P1418" s="7">
        <f>[2]RequestList!$J1419</f>
        <v>0</v>
      </c>
      <c r="Q1418" s="65">
        <f>SUMIF(日報!$R:$R,TEXT(YEAR($Q$2),"0000")&amp;TEXT(MONTH($Q$2),"00")&amp;$O1418,日報!$L:$L)</f>
        <v>0</v>
      </c>
      <c r="R1418" s="65">
        <f ca="1">SUMIF(日報!$J:$J,$O1418,日報!$L:$L)</f>
        <v>0</v>
      </c>
    </row>
    <row r="1419" spans="15:18" x14ac:dyDescent="0.15">
      <c r="O1419" s="7" t="str">
        <f>"REQ"&amp;TEXT([2]RequestList!$A1420,"0000")</f>
        <v>REQ0000</v>
      </c>
      <c r="P1419" s="7">
        <f>[2]RequestList!$J1420</f>
        <v>0</v>
      </c>
      <c r="Q1419" s="65">
        <f>SUMIF(日報!$R:$R,TEXT(YEAR($Q$2),"0000")&amp;TEXT(MONTH($Q$2),"00")&amp;$O1419,日報!$L:$L)</f>
        <v>0</v>
      </c>
      <c r="R1419" s="65">
        <f ca="1">SUMIF(日報!$J:$J,$O1419,日報!$L:$L)</f>
        <v>0</v>
      </c>
    </row>
    <row r="1420" spans="15:18" x14ac:dyDescent="0.15">
      <c r="O1420" s="7" t="str">
        <f>"REQ"&amp;TEXT([2]RequestList!$A1421,"0000")</f>
        <v>REQ0000</v>
      </c>
      <c r="P1420" s="7">
        <f>[2]RequestList!$J1421</f>
        <v>0</v>
      </c>
      <c r="Q1420" s="65">
        <f>SUMIF(日報!$R:$R,TEXT(YEAR($Q$2),"0000")&amp;TEXT(MONTH($Q$2),"00")&amp;$O1420,日報!$L:$L)</f>
        <v>0</v>
      </c>
      <c r="R1420" s="65">
        <f ca="1">SUMIF(日報!$J:$J,$O1420,日報!$L:$L)</f>
        <v>0</v>
      </c>
    </row>
    <row r="1421" spans="15:18" x14ac:dyDescent="0.15">
      <c r="O1421" s="7" t="str">
        <f>"REQ"&amp;TEXT([2]RequestList!$A1422,"0000")</f>
        <v>REQ0000</v>
      </c>
      <c r="P1421" s="7">
        <f>[2]RequestList!$J1422</f>
        <v>0</v>
      </c>
      <c r="Q1421" s="65">
        <f>SUMIF(日報!$R:$R,TEXT(YEAR($Q$2),"0000")&amp;TEXT(MONTH($Q$2),"00")&amp;$O1421,日報!$L:$L)</f>
        <v>0</v>
      </c>
      <c r="R1421" s="65">
        <f ca="1">SUMIF(日報!$J:$J,$O1421,日報!$L:$L)</f>
        <v>0</v>
      </c>
    </row>
    <row r="1422" spans="15:18" x14ac:dyDescent="0.15">
      <c r="O1422" s="7" t="str">
        <f>"REQ"&amp;TEXT([2]RequestList!$A1423,"0000")</f>
        <v>REQ0000</v>
      </c>
      <c r="P1422" s="7">
        <f>[2]RequestList!$J1423</f>
        <v>0</v>
      </c>
      <c r="Q1422" s="65">
        <f>SUMIF(日報!$R:$R,TEXT(YEAR($Q$2),"0000")&amp;TEXT(MONTH($Q$2),"00")&amp;$O1422,日報!$L:$L)</f>
        <v>0</v>
      </c>
      <c r="R1422" s="65">
        <f ca="1">SUMIF(日報!$J:$J,$O1422,日報!$L:$L)</f>
        <v>0</v>
      </c>
    </row>
    <row r="1423" spans="15:18" x14ac:dyDescent="0.15">
      <c r="O1423" s="7" t="str">
        <f>"REQ"&amp;TEXT([2]RequestList!$A1424,"0000")</f>
        <v>REQ0000</v>
      </c>
      <c r="P1423" s="7">
        <f>[2]RequestList!$J1424</f>
        <v>0</v>
      </c>
      <c r="Q1423" s="65">
        <f>SUMIF(日報!$R:$R,TEXT(YEAR($Q$2),"0000")&amp;TEXT(MONTH($Q$2),"00")&amp;$O1423,日報!$L:$L)</f>
        <v>0</v>
      </c>
      <c r="R1423" s="65">
        <f ca="1">SUMIF(日報!$J:$J,$O1423,日報!$L:$L)</f>
        <v>0</v>
      </c>
    </row>
    <row r="1424" spans="15:18" x14ac:dyDescent="0.15">
      <c r="O1424" s="7" t="str">
        <f>"REQ"&amp;TEXT([2]RequestList!$A1425,"0000")</f>
        <v>REQ0000</v>
      </c>
      <c r="P1424" s="7">
        <f>[2]RequestList!$J1425</f>
        <v>0</v>
      </c>
      <c r="Q1424" s="65">
        <f>SUMIF(日報!$R:$R,TEXT(YEAR($Q$2),"0000")&amp;TEXT(MONTH($Q$2),"00")&amp;$O1424,日報!$L:$L)</f>
        <v>0</v>
      </c>
      <c r="R1424" s="65">
        <f ca="1">SUMIF(日報!$J:$J,$O1424,日報!$L:$L)</f>
        <v>0</v>
      </c>
    </row>
    <row r="1425" spans="15:18" x14ac:dyDescent="0.15">
      <c r="O1425" s="7" t="str">
        <f>"REQ"&amp;TEXT([2]RequestList!$A1426,"0000")</f>
        <v>REQ0000</v>
      </c>
      <c r="P1425" s="7">
        <f>[2]RequestList!$J1426</f>
        <v>0</v>
      </c>
      <c r="Q1425" s="65">
        <f>SUMIF(日報!$R:$R,TEXT(YEAR($Q$2),"0000")&amp;TEXT(MONTH($Q$2),"00")&amp;$O1425,日報!$L:$L)</f>
        <v>0</v>
      </c>
      <c r="R1425" s="65">
        <f ca="1">SUMIF(日報!$J:$J,$O1425,日報!$L:$L)</f>
        <v>0</v>
      </c>
    </row>
    <row r="1426" spans="15:18" x14ac:dyDescent="0.15">
      <c r="O1426" s="7" t="str">
        <f>"REQ"&amp;TEXT([2]RequestList!$A1427,"0000")</f>
        <v>REQ0000</v>
      </c>
      <c r="P1426" s="7">
        <f>[2]RequestList!$J1427</f>
        <v>0</v>
      </c>
      <c r="Q1426" s="65">
        <f>SUMIF(日報!$R:$R,TEXT(YEAR($Q$2),"0000")&amp;TEXT(MONTH($Q$2),"00")&amp;$O1426,日報!$L:$L)</f>
        <v>0</v>
      </c>
      <c r="R1426" s="65">
        <f ca="1">SUMIF(日報!$J:$J,$O1426,日報!$L:$L)</f>
        <v>0</v>
      </c>
    </row>
    <row r="1427" spans="15:18" x14ac:dyDescent="0.15">
      <c r="O1427" s="7" t="str">
        <f>"REQ"&amp;TEXT([2]RequestList!$A1428,"0000")</f>
        <v>REQ0000</v>
      </c>
      <c r="P1427" s="7">
        <f>[2]RequestList!$J1428</f>
        <v>0</v>
      </c>
      <c r="Q1427" s="65">
        <f>SUMIF(日報!$R:$R,TEXT(YEAR($Q$2),"0000")&amp;TEXT(MONTH($Q$2),"00")&amp;$O1427,日報!$L:$L)</f>
        <v>0</v>
      </c>
      <c r="R1427" s="65">
        <f ca="1">SUMIF(日報!$J:$J,$O1427,日報!$L:$L)</f>
        <v>0</v>
      </c>
    </row>
    <row r="1428" spans="15:18" x14ac:dyDescent="0.15">
      <c r="O1428" s="7" t="str">
        <f>"REQ"&amp;TEXT([2]RequestList!$A1429,"0000")</f>
        <v>REQ0000</v>
      </c>
      <c r="P1428" s="7">
        <f>[2]RequestList!$J1429</f>
        <v>0</v>
      </c>
      <c r="Q1428" s="65">
        <f>SUMIF(日報!$R:$R,TEXT(YEAR($Q$2),"0000")&amp;TEXT(MONTH($Q$2),"00")&amp;$O1428,日報!$L:$L)</f>
        <v>0</v>
      </c>
      <c r="R1428" s="65">
        <f ca="1">SUMIF(日報!$J:$J,$O1428,日報!$L:$L)</f>
        <v>0</v>
      </c>
    </row>
    <row r="1429" spans="15:18" x14ac:dyDescent="0.15">
      <c r="O1429" s="7" t="str">
        <f>"REQ"&amp;TEXT([2]RequestList!$A1430,"0000")</f>
        <v>REQ0000</v>
      </c>
      <c r="P1429" s="7">
        <f>[2]RequestList!$J1430</f>
        <v>0</v>
      </c>
      <c r="Q1429" s="65">
        <f>SUMIF(日報!$R:$R,TEXT(YEAR($Q$2),"0000")&amp;TEXT(MONTH($Q$2),"00")&amp;$O1429,日報!$L:$L)</f>
        <v>0</v>
      </c>
      <c r="R1429" s="65">
        <f ca="1">SUMIF(日報!$J:$J,$O1429,日報!$L:$L)</f>
        <v>0</v>
      </c>
    </row>
    <row r="1430" spans="15:18" x14ac:dyDescent="0.15">
      <c r="O1430" s="7" t="str">
        <f>"REQ"&amp;TEXT([2]RequestList!$A1431,"0000")</f>
        <v>REQ0000</v>
      </c>
      <c r="P1430" s="7">
        <f>[2]RequestList!$J1431</f>
        <v>0</v>
      </c>
      <c r="Q1430" s="65">
        <f>SUMIF(日報!$R:$R,TEXT(YEAR($Q$2),"0000")&amp;TEXT(MONTH($Q$2),"00")&amp;$O1430,日報!$L:$L)</f>
        <v>0</v>
      </c>
      <c r="R1430" s="65">
        <f ca="1">SUMIF(日報!$J:$J,$O1430,日報!$L:$L)</f>
        <v>0</v>
      </c>
    </row>
    <row r="1431" spans="15:18" x14ac:dyDescent="0.15">
      <c r="O1431" s="7" t="str">
        <f>"REQ"&amp;TEXT([2]RequestList!$A1432,"0000")</f>
        <v>REQ0000</v>
      </c>
      <c r="P1431" s="7">
        <f>[2]RequestList!$J1432</f>
        <v>0</v>
      </c>
      <c r="Q1431" s="65">
        <f>SUMIF(日報!$R:$R,TEXT(YEAR($Q$2),"0000")&amp;TEXT(MONTH($Q$2),"00")&amp;$O1431,日報!$L:$L)</f>
        <v>0</v>
      </c>
      <c r="R1431" s="65">
        <f ca="1">SUMIF(日報!$J:$J,$O1431,日報!$L:$L)</f>
        <v>0</v>
      </c>
    </row>
    <row r="1432" spans="15:18" x14ac:dyDescent="0.15">
      <c r="O1432" s="7" t="str">
        <f>"REQ"&amp;TEXT([2]RequestList!$A1433,"0000")</f>
        <v>REQ0000</v>
      </c>
      <c r="P1432" s="7">
        <f>[2]RequestList!$J1433</f>
        <v>0</v>
      </c>
      <c r="Q1432" s="65">
        <f>SUMIF(日報!$R:$R,TEXT(YEAR($Q$2),"0000")&amp;TEXT(MONTH($Q$2),"00")&amp;$O1432,日報!$L:$L)</f>
        <v>0</v>
      </c>
      <c r="R1432" s="65">
        <f ca="1">SUMIF(日報!$J:$J,$O1432,日報!$L:$L)</f>
        <v>0</v>
      </c>
    </row>
    <row r="1433" spans="15:18" x14ac:dyDescent="0.15">
      <c r="O1433" s="7" t="str">
        <f>"REQ"&amp;TEXT([2]RequestList!$A1434,"0000")</f>
        <v>REQ0000</v>
      </c>
      <c r="P1433" s="7">
        <f>[2]RequestList!$J1434</f>
        <v>0</v>
      </c>
      <c r="Q1433" s="65">
        <f>SUMIF(日報!$R:$R,TEXT(YEAR($Q$2),"0000")&amp;TEXT(MONTH($Q$2),"00")&amp;$O1433,日報!$L:$L)</f>
        <v>0</v>
      </c>
      <c r="R1433" s="65">
        <f ca="1">SUMIF(日報!$J:$J,$O1433,日報!$L:$L)</f>
        <v>0</v>
      </c>
    </row>
    <row r="1434" spans="15:18" x14ac:dyDescent="0.15">
      <c r="O1434" s="7" t="str">
        <f>"REQ"&amp;TEXT([2]RequestList!$A1435,"0000")</f>
        <v>REQ0000</v>
      </c>
      <c r="P1434" s="7">
        <f>[2]RequestList!$J1435</f>
        <v>0</v>
      </c>
      <c r="Q1434" s="65">
        <f>SUMIF(日報!$R:$R,TEXT(YEAR($Q$2),"0000")&amp;TEXT(MONTH($Q$2),"00")&amp;$O1434,日報!$L:$L)</f>
        <v>0</v>
      </c>
      <c r="R1434" s="65">
        <f ca="1">SUMIF(日報!$J:$J,$O1434,日報!$L:$L)</f>
        <v>0</v>
      </c>
    </row>
    <row r="1435" spans="15:18" x14ac:dyDescent="0.15">
      <c r="O1435" s="7" t="str">
        <f>"REQ"&amp;TEXT([2]RequestList!$A1436,"0000")</f>
        <v>REQ0000</v>
      </c>
      <c r="P1435" s="7">
        <f>[2]RequestList!$J1436</f>
        <v>0</v>
      </c>
      <c r="Q1435" s="65">
        <f>SUMIF(日報!$R:$R,TEXT(YEAR($Q$2),"0000")&amp;TEXT(MONTH($Q$2),"00")&amp;$O1435,日報!$L:$L)</f>
        <v>0</v>
      </c>
      <c r="R1435" s="65">
        <f ca="1">SUMIF(日報!$J:$J,$O1435,日報!$L:$L)</f>
        <v>0</v>
      </c>
    </row>
    <row r="1436" spans="15:18" x14ac:dyDescent="0.15">
      <c r="O1436" s="7" t="str">
        <f>"REQ"&amp;TEXT([2]RequestList!$A1437,"0000")</f>
        <v>REQ0000</v>
      </c>
      <c r="P1436" s="7">
        <f>[2]RequestList!$J1437</f>
        <v>0</v>
      </c>
      <c r="Q1436" s="65">
        <f>SUMIF(日報!$R:$R,TEXT(YEAR($Q$2),"0000")&amp;TEXT(MONTH($Q$2),"00")&amp;$O1436,日報!$L:$L)</f>
        <v>0</v>
      </c>
      <c r="R1436" s="65">
        <f ca="1">SUMIF(日報!$J:$J,$O1436,日報!$L:$L)</f>
        <v>0</v>
      </c>
    </row>
    <row r="1437" spans="15:18" x14ac:dyDescent="0.15">
      <c r="O1437" s="7" t="str">
        <f>"REQ"&amp;TEXT([2]RequestList!$A1438,"0000")</f>
        <v>REQ0000</v>
      </c>
      <c r="P1437" s="7">
        <f>[2]RequestList!$J1438</f>
        <v>0</v>
      </c>
      <c r="Q1437" s="65">
        <f>SUMIF(日報!$R:$R,TEXT(YEAR($Q$2),"0000")&amp;TEXT(MONTH($Q$2),"00")&amp;$O1437,日報!$L:$L)</f>
        <v>0</v>
      </c>
      <c r="R1437" s="65">
        <f ca="1">SUMIF(日報!$J:$J,$O1437,日報!$L:$L)</f>
        <v>0</v>
      </c>
    </row>
    <row r="1438" spans="15:18" x14ac:dyDescent="0.15">
      <c r="O1438" s="7" t="str">
        <f>"REQ"&amp;TEXT([2]RequestList!$A1439,"0000")</f>
        <v>REQ0000</v>
      </c>
      <c r="P1438" s="7">
        <f>[2]RequestList!$J1439</f>
        <v>0</v>
      </c>
      <c r="Q1438" s="65">
        <f>SUMIF(日報!$R:$R,TEXT(YEAR($Q$2),"0000")&amp;TEXT(MONTH($Q$2),"00")&amp;$O1438,日報!$L:$L)</f>
        <v>0</v>
      </c>
      <c r="R1438" s="65">
        <f ca="1">SUMIF(日報!$J:$J,$O1438,日報!$L:$L)</f>
        <v>0</v>
      </c>
    </row>
    <row r="1439" spans="15:18" x14ac:dyDescent="0.15">
      <c r="O1439" s="7" t="str">
        <f>"REQ"&amp;TEXT([2]RequestList!$A1440,"0000")</f>
        <v>REQ0000</v>
      </c>
      <c r="P1439" s="7">
        <f>[2]RequestList!$J1440</f>
        <v>0</v>
      </c>
      <c r="Q1439" s="65">
        <f>SUMIF(日報!$R:$R,TEXT(YEAR($Q$2),"0000")&amp;TEXT(MONTH($Q$2),"00")&amp;$O1439,日報!$L:$L)</f>
        <v>0</v>
      </c>
      <c r="R1439" s="65">
        <f ca="1">SUMIF(日報!$J:$J,$O1439,日報!$L:$L)</f>
        <v>0</v>
      </c>
    </row>
    <row r="1440" spans="15:18" x14ac:dyDescent="0.15">
      <c r="O1440" s="7" t="str">
        <f>"REQ"&amp;TEXT([2]RequestList!$A1441,"0000")</f>
        <v>REQ0000</v>
      </c>
      <c r="P1440" s="7">
        <f>[2]RequestList!$J1441</f>
        <v>0</v>
      </c>
      <c r="Q1440" s="65">
        <f>SUMIF(日報!$R:$R,TEXT(YEAR($Q$2),"0000")&amp;TEXT(MONTH($Q$2),"00")&amp;$O1440,日報!$L:$L)</f>
        <v>0</v>
      </c>
      <c r="R1440" s="65">
        <f ca="1">SUMIF(日報!$J:$J,$O1440,日報!$L:$L)</f>
        <v>0</v>
      </c>
    </row>
    <row r="1441" spans="15:18" x14ac:dyDescent="0.15">
      <c r="O1441" s="7" t="str">
        <f>"REQ"&amp;TEXT([2]RequestList!$A1442,"0000")</f>
        <v>REQ0000</v>
      </c>
      <c r="P1441" s="7">
        <f>[2]RequestList!$J1442</f>
        <v>0</v>
      </c>
      <c r="Q1441" s="65">
        <f>SUMIF(日報!$R:$R,TEXT(YEAR($Q$2),"0000")&amp;TEXT(MONTH($Q$2),"00")&amp;$O1441,日報!$L:$L)</f>
        <v>0</v>
      </c>
      <c r="R1441" s="65">
        <f ca="1">SUMIF(日報!$J:$J,$O1441,日報!$L:$L)</f>
        <v>0</v>
      </c>
    </row>
    <row r="1442" spans="15:18" x14ac:dyDescent="0.15">
      <c r="O1442" s="7" t="str">
        <f>"REQ"&amp;TEXT([2]RequestList!$A1443,"0000")</f>
        <v>REQ0000</v>
      </c>
      <c r="P1442" s="7">
        <f>[2]RequestList!$J1443</f>
        <v>0</v>
      </c>
      <c r="Q1442" s="65">
        <f>SUMIF(日報!$R:$R,TEXT(YEAR($Q$2),"0000")&amp;TEXT(MONTH($Q$2),"00")&amp;$O1442,日報!$L:$L)</f>
        <v>0</v>
      </c>
      <c r="R1442" s="65">
        <f ca="1">SUMIF(日報!$J:$J,$O1442,日報!$L:$L)</f>
        <v>0</v>
      </c>
    </row>
    <row r="1443" spans="15:18" x14ac:dyDescent="0.15">
      <c r="O1443" s="7" t="str">
        <f>"REQ"&amp;TEXT([2]RequestList!$A1444,"0000")</f>
        <v>REQ0000</v>
      </c>
      <c r="P1443" s="7">
        <f>[2]RequestList!$J1444</f>
        <v>0</v>
      </c>
      <c r="Q1443" s="65">
        <f>SUMIF(日報!$R:$R,TEXT(YEAR($Q$2),"0000")&amp;TEXT(MONTH($Q$2),"00")&amp;$O1443,日報!$L:$L)</f>
        <v>0</v>
      </c>
      <c r="R1443" s="65">
        <f ca="1">SUMIF(日報!$J:$J,$O1443,日報!$L:$L)</f>
        <v>0</v>
      </c>
    </row>
    <row r="1444" spans="15:18" x14ac:dyDescent="0.15">
      <c r="O1444" s="7" t="str">
        <f>"REQ"&amp;TEXT([2]RequestList!$A1445,"0000")</f>
        <v>REQ0000</v>
      </c>
      <c r="P1444" s="7">
        <f>[2]RequestList!$J1445</f>
        <v>0</v>
      </c>
      <c r="Q1444" s="65">
        <f>SUMIF(日報!$R:$R,TEXT(YEAR($Q$2),"0000")&amp;TEXT(MONTH($Q$2),"00")&amp;$O1444,日報!$L:$L)</f>
        <v>0</v>
      </c>
      <c r="R1444" s="65">
        <f ca="1">SUMIF(日報!$J:$J,$O1444,日報!$L:$L)</f>
        <v>0</v>
      </c>
    </row>
    <row r="1445" spans="15:18" x14ac:dyDescent="0.15">
      <c r="O1445" s="7" t="str">
        <f>"REQ"&amp;TEXT([2]RequestList!$A1446,"0000")</f>
        <v>REQ0000</v>
      </c>
      <c r="P1445" s="7">
        <f>[2]RequestList!$J1446</f>
        <v>0</v>
      </c>
      <c r="Q1445" s="65">
        <f>SUMIF(日報!$R:$R,TEXT(YEAR($Q$2),"0000")&amp;TEXT(MONTH($Q$2),"00")&amp;$O1445,日報!$L:$L)</f>
        <v>0</v>
      </c>
      <c r="R1445" s="65">
        <f ca="1">SUMIF(日報!$J:$J,$O1445,日報!$L:$L)</f>
        <v>0</v>
      </c>
    </row>
    <row r="1446" spans="15:18" x14ac:dyDescent="0.15">
      <c r="O1446" s="7" t="str">
        <f>"REQ"&amp;TEXT([2]RequestList!$A1447,"0000")</f>
        <v>REQ0000</v>
      </c>
      <c r="P1446" s="7">
        <f>[2]RequestList!$J1447</f>
        <v>0</v>
      </c>
      <c r="Q1446" s="65">
        <f>SUMIF(日報!$R:$R,TEXT(YEAR($Q$2),"0000")&amp;TEXT(MONTH($Q$2),"00")&amp;$O1446,日報!$L:$L)</f>
        <v>0</v>
      </c>
      <c r="R1446" s="65">
        <f ca="1">SUMIF(日報!$J:$J,$O1446,日報!$L:$L)</f>
        <v>0</v>
      </c>
    </row>
    <row r="1447" spans="15:18" x14ac:dyDescent="0.15">
      <c r="O1447" s="7" t="str">
        <f>"REQ"&amp;TEXT([2]RequestList!$A1448,"0000")</f>
        <v>REQ0000</v>
      </c>
      <c r="P1447" s="7">
        <f>[2]RequestList!$J1448</f>
        <v>0</v>
      </c>
      <c r="Q1447" s="65">
        <f>SUMIF(日報!$R:$R,TEXT(YEAR($Q$2),"0000")&amp;TEXT(MONTH($Q$2),"00")&amp;$O1447,日報!$L:$L)</f>
        <v>0</v>
      </c>
      <c r="R1447" s="65">
        <f ca="1">SUMIF(日報!$J:$J,$O1447,日報!$L:$L)</f>
        <v>0</v>
      </c>
    </row>
    <row r="1448" spans="15:18" x14ac:dyDescent="0.15">
      <c r="O1448" s="7" t="str">
        <f>"REQ"&amp;TEXT([2]RequestList!$A1449,"0000")</f>
        <v>REQ0000</v>
      </c>
      <c r="P1448" s="7">
        <f>[2]RequestList!$J1449</f>
        <v>0</v>
      </c>
      <c r="Q1448" s="65">
        <f>SUMIF(日報!$R:$R,TEXT(YEAR($Q$2),"0000")&amp;TEXT(MONTH($Q$2),"00")&amp;$O1448,日報!$L:$L)</f>
        <v>0</v>
      </c>
      <c r="R1448" s="65">
        <f ca="1">SUMIF(日報!$J:$J,$O1448,日報!$L:$L)</f>
        <v>0</v>
      </c>
    </row>
    <row r="1449" spans="15:18" x14ac:dyDescent="0.15">
      <c r="O1449" s="7" t="str">
        <f>"REQ"&amp;TEXT([2]RequestList!$A1450,"0000")</f>
        <v>REQ0000</v>
      </c>
      <c r="P1449" s="7">
        <f>[2]RequestList!$J1450</f>
        <v>0</v>
      </c>
      <c r="Q1449" s="65">
        <f>SUMIF(日報!$R:$R,TEXT(YEAR($Q$2),"0000")&amp;TEXT(MONTH($Q$2),"00")&amp;$O1449,日報!$L:$L)</f>
        <v>0</v>
      </c>
      <c r="R1449" s="65">
        <f ca="1">SUMIF(日報!$J:$J,$O1449,日報!$L:$L)</f>
        <v>0</v>
      </c>
    </row>
    <row r="1450" spans="15:18" x14ac:dyDescent="0.15">
      <c r="O1450" s="7" t="str">
        <f>"REQ"&amp;TEXT([2]RequestList!$A1451,"0000")</f>
        <v>REQ0000</v>
      </c>
      <c r="P1450" s="7">
        <f>[2]RequestList!$J1451</f>
        <v>0</v>
      </c>
      <c r="Q1450" s="65">
        <f>SUMIF(日報!$R:$R,TEXT(YEAR($Q$2),"0000")&amp;TEXT(MONTH($Q$2),"00")&amp;$O1450,日報!$L:$L)</f>
        <v>0</v>
      </c>
      <c r="R1450" s="65">
        <f ca="1">SUMIF(日報!$J:$J,$O1450,日報!$L:$L)</f>
        <v>0</v>
      </c>
    </row>
    <row r="1451" spans="15:18" x14ac:dyDescent="0.15">
      <c r="O1451" s="7" t="str">
        <f>"REQ"&amp;TEXT([2]RequestList!$A1452,"0000")</f>
        <v>REQ0000</v>
      </c>
      <c r="P1451" s="7">
        <f>[2]RequestList!$J1452</f>
        <v>0</v>
      </c>
      <c r="Q1451" s="65">
        <f>SUMIF(日報!$R:$R,TEXT(YEAR($Q$2),"0000")&amp;TEXT(MONTH($Q$2),"00")&amp;$O1451,日報!$L:$L)</f>
        <v>0</v>
      </c>
      <c r="R1451" s="65">
        <f ca="1">SUMIF(日報!$J:$J,$O1451,日報!$L:$L)</f>
        <v>0</v>
      </c>
    </row>
    <row r="1452" spans="15:18" x14ac:dyDescent="0.15">
      <c r="O1452" s="7" t="str">
        <f>"REQ"&amp;TEXT([2]RequestList!$A1453,"0000")</f>
        <v>REQ0000</v>
      </c>
      <c r="P1452" s="7">
        <f>[2]RequestList!$J1453</f>
        <v>0</v>
      </c>
      <c r="Q1452" s="65">
        <f>SUMIF(日報!$R:$R,TEXT(YEAR($Q$2),"0000")&amp;TEXT(MONTH($Q$2),"00")&amp;$O1452,日報!$L:$L)</f>
        <v>0</v>
      </c>
      <c r="R1452" s="65">
        <f ca="1">SUMIF(日報!$J:$J,$O1452,日報!$L:$L)</f>
        <v>0</v>
      </c>
    </row>
    <row r="1453" spans="15:18" x14ac:dyDescent="0.15">
      <c r="O1453" s="7" t="str">
        <f>"REQ"&amp;TEXT([2]RequestList!$A1454,"0000")</f>
        <v>REQ0000</v>
      </c>
      <c r="P1453" s="7">
        <f>[2]RequestList!$J1454</f>
        <v>0</v>
      </c>
      <c r="Q1453" s="65">
        <f>SUMIF(日報!$R:$R,TEXT(YEAR($Q$2),"0000")&amp;TEXT(MONTH($Q$2),"00")&amp;$O1453,日報!$L:$L)</f>
        <v>0</v>
      </c>
      <c r="R1453" s="65">
        <f ca="1">SUMIF(日報!$J:$J,$O1453,日報!$L:$L)</f>
        <v>0</v>
      </c>
    </row>
    <row r="1454" spans="15:18" x14ac:dyDescent="0.15">
      <c r="O1454" s="7" t="str">
        <f>"REQ"&amp;TEXT([2]RequestList!$A1455,"0000")</f>
        <v>REQ0000</v>
      </c>
      <c r="P1454" s="7">
        <f>[2]RequestList!$J1455</f>
        <v>0</v>
      </c>
      <c r="Q1454" s="65">
        <f>SUMIF(日報!$R:$R,TEXT(YEAR($Q$2),"0000")&amp;TEXT(MONTH($Q$2),"00")&amp;$O1454,日報!$L:$L)</f>
        <v>0</v>
      </c>
      <c r="R1454" s="65">
        <f ca="1">SUMIF(日報!$J:$J,$O1454,日報!$L:$L)</f>
        <v>0</v>
      </c>
    </row>
    <row r="1455" spans="15:18" x14ac:dyDescent="0.15">
      <c r="O1455" s="7" t="str">
        <f>"REQ"&amp;TEXT([2]RequestList!$A1456,"0000")</f>
        <v>REQ0000</v>
      </c>
      <c r="P1455" s="7">
        <f>[2]RequestList!$J1456</f>
        <v>0</v>
      </c>
      <c r="Q1455" s="65">
        <f>SUMIF(日報!$R:$R,TEXT(YEAR($Q$2),"0000")&amp;TEXT(MONTH($Q$2),"00")&amp;$O1455,日報!$L:$L)</f>
        <v>0</v>
      </c>
      <c r="R1455" s="65">
        <f ca="1">SUMIF(日報!$J:$J,$O1455,日報!$L:$L)</f>
        <v>0</v>
      </c>
    </row>
    <row r="1456" spans="15:18" x14ac:dyDescent="0.15">
      <c r="O1456" s="7" t="str">
        <f>"REQ"&amp;TEXT([2]RequestList!$A1457,"0000")</f>
        <v>REQ0000</v>
      </c>
      <c r="P1456" s="7">
        <f>[2]RequestList!$J1457</f>
        <v>0</v>
      </c>
      <c r="Q1456" s="65">
        <f>SUMIF(日報!$R:$R,TEXT(YEAR($Q$2),"0000")&amp;TEXT(MONTH($Q$2),"00")&amp;$O1456,日報!$L:$L)</f>
        <v>0</v>
      </c>
      <c r="R1456" s="65">
        <f ca="1">SUMIF(日報!$J:$J,$O1456,日報!$L:$L)</f>
        <v>0</v>
      </c>
    </row>
    <row r="1457" spans="15:18" x14ac:dyDescent="0.15">
      <c r="O1457" s="7" t="str">
        <f>"REQ"&amp;TEXT([2]RequestList!$A1458,"0000")</f>
        <v>REQ0000</v>
      </c>
      <c r="P1457" s="7">
        <f>[2]RequestList!$J1458</f>
        <v>0</v>
      </c>
      <c r="Q1457" s="65">
        <f>SUMIF(日報!$R:$R,TEXT(YEAR($Q$2),"0000")&amp;TEXT(MONTH($Q$2),"00")&amp;$O1457,日報!$L:$L)</f>
        <v>0</v>
      </c>
      <c r="R1457" s="65">
        <f ca="1">SUMIF(日報!$J:$J,$O1457,日報!$L:$L)</f>
        <v>0</v>
      </c>
    </row>
    <row r="1458" spans="15:18" x14ac:dyDescent="0.15">
      <c r="O1458" s="7" t="str">
        <f>"REQ"&amp;TEXT([2]RequestList!$A1459,"0000")</f>
        <v>REQ0000</v>
      </c>
      <c r="P1458" s="7">
        <f>[2]RequestList!$J1459</f>
        <v>0</v>
      </c>
      <c r="Q1458" s="65">
        <f>SUMIF(日報!$R:$R,TEXT(YEAR($Q$2),"0000")&amp;TEXT(MONTH($Q$2),"00")&amp;$O1458,日報!$L:$L)</f>
        <v>0</v>
      </c>
      <c r="R1458" s="65">
        <f ca="1">SUMIF(日報!$J:$J,$O1458,日報!$L:$L)</f>
        <v>0</v>
      </c>
    </row>
    <row r="1459" spans="15:18" x14ac:dyDescent="0.15">
      <c r="O1459" s="7" t="str">
        <f>"REQ"&amp;TEXT([2]RequestList!$A1460,"0000")</f>
        <v>REQ0000</v>
      </c>
      <c r="P1459" s="7">
        <f>[2]RequestList!$J1460</f>
        <v>0</v>
      </c>
      <c r="Q1459" s="65">
        <f>SUMIF(日報!$R:$R,TEXT(YEAR($Q$2),"0000")&amp;TEXT(MONTH($Q$2),"00")&amp;$O1459,日報!$L:$L)</f>
        <v>0</v>
      </c>
      <c r="R1459" s="65">
        <f ca="1">SUMIF(日報!$J:$J,$O1459,日報!$L:$L)</f>
        <v>0</v>
      </c>
    </row>
    <row r="1460" spans="15:18" x14ac:dyDescent="0.15">
      <c r="O1460" s="7" t="str">
        <f>"REQ"&amp;TEXT([2]RequestList!$A1461,"0000")</f>
        <v>REQ0000</v>
      </c>
      <c r="P1460" s="7">
        <f>[2]RequestList!$J1461</f>
        <v>0</v>
      </c>
      <c r="Q1460" s="65">
        <f>SUMIF(日報!$R:$R,TEXT(YEAR($Q$2),"0000")&amp;TEXT(MONTH($Q$2),"00")&amp;$O1460,日報!$L:$L)</f>
        <v>0</v>
      </c>
      <c r="R1460" s="65">
        <f ca="1">SUMIF(日報!$J:$J,$O1460,日報!$L:$L)</f>
        <v>0</v>
      </c>
    </row>
    <row r="1461" spans="15:18" x14ac:dyDescent="0.15">
      <c r="O1461" s="7" t="str">
        <f>"REQ"&amp;TEXT([2]RequestList!$A1462,"0000")</f>
        <v>REQ0000</v>
      </c>
      <c r="P1461" s="7">
        <f>[2]RequestList!$J1462</f>
        <v>0</v>
      </c>
      <c r="Q1461" s="65">
        <f>SUMIF(日報!$R:$R,TEXT(YEAR($Q$2),"0000")&amp;TEXT(MONTH($Q$2),"00")&amp;$O1461,日報!$L:$L)</f>
        <v>0</v>
      </c>
      <c r="R1461" s="65">
        <f ca="1">SUMIF(日報!$J:$J,$O1461,日報!$L:$L)</f>
        <v>0</v>
      </c>
    </row>
    <row r="1462" spans="15:18" x14ac:dyDescent="0.15">
      <c r="O1462" s="7" t="str">
        <f>"REQ"&amp;TEXT([2]RequestList!$A1463,"0000")</f>
        <v>REQ0000</v>
      </c>
      <c r="P1462" s="7">
        <f>[2]RequestList!$J1463</f>
        <v>0</v>
      </c>
      <c r="Q1462" s="65">
        <f>SUMIF(日報!$R:$R,TEXT(YEAR($Q$2),"0000")&amp;TEXT(MONTH($Q$2),"00")&amp;$O1462,日報!$L:$L)</f>
        <v>0</v>
      </c>
      <c r="R1462" s="65">
        <f ca="1">SUMIF(日報!$J:$J,$O1462,日報!$L:$L)</f>
        <v>0</v>
      </c>
    </row>
    <row r="1463" spans="15:18" x14ac:dyDescent="0.15">
      <c r="O1463" s="7" t="str">
        <f>"REQ"&amp;TEXT([2]RequestList!$A1464,"0000")</f>
        <v>REQ0000</v>
      </c>
      <c r="P1463" s="7">
        <f>[2]RequestList!$J1464</f>
        <v>0</v>
      </c>
      <c r="Q1463" s="65">
        <f>SUMIF(日報!$R:$R,TEXT(YEAR($Q$2),"0000")&amp;TEXT(MONTH($Q$2),"00")&amp;$O1463,日報!$L:$L)</f>
        <v>0</v>
      </c>
      <c r="R1463" s="65">
        <f ca="1">SUMIF(日報!$J:$J,$O1463,日報!$L:$L)</f>
        <v>0</v>
      </c>
    </row>
    <row r="1464" spans="15:18" x14ac:dyDescent="0.15">
      <c r="O1464" s="7" t="str">
        <f>"REQ"&amp;TEXT([2]RequestList!$A1465,"0000")</f>
        <v>REQ0000</v>
      </c>
      <c r="P1464" s="7">
        <f>[2]RequestList!$J1465</f>
        <v>0</v>
      </c>
      <c r="Q1464" s="65">
        <f>SUMIF(日報!$R:$R,TEXT(YEAR($Q$2),"0000")&amp;TEXT(MONTH($Q$2),"00")&amp;$O1464,日報!$L:$L)</f>
        <v>0</v>
      </c>
      <c r="R1464" s="65">
        <f ca="1">SUMIF(日報!$J:$J,$O1464,日報!$L:$L)</f>
        <v>0</v>
      </c>
    </row>
    <row r="1465" spans="15:18" x14ac:dyDescent="0.15">
      <c r="O1465" s="7" t="str">
        <f>"REQ"&amp;TEXT([2]RequestList!$A1466,"0000")</f>
        <v>REQ0000</v>
      </c>
      <c r="P1465" s="7">
        <f>[2]RequestList!$J1466</f>
        <v>0</v>
      </c>
      <c r="Q1465" s="65">
        <f>SUMIF(日報!$R:$R,TEXT(YEAR($Q$2),"0000")&amp;TEXT(MONTH($Q$2),"00")&amp;$O1465,日報!$L:$L)</f>
        <v>0</v>
      </c>
      <c r="R1465" s="65">
        <f ca="1">SUMIF(日報!$J:$J,$O1465,日報!$L:$L)</f>
        <v>0</v>
      </c>
    </row>
    <row r="1466" spans="15:18" x14ac:dyDescent="0.15">
      <c r="O1466" s="7" t="str">
        <f>"REQ"&amp;TEXT([2]RequestList!$A1467,"0000")</f>
        <v>REQ0000</v>
      </c>
      <c r="P1466" s="7">
        <f>[2]RequestList!$J1467</f>
        <v>0</v>
      </c>
      <c r="Q1466" s="65">
        <f>SUMIF(日報!$R:$R,TEXT(YEAR($Q$2),"0000")&amp;TEXT(MONTH($Q$2),"00")&amp;$O1466,日報!$L:$L)</f>
        <v>0</v>
      </c>
      <c r="R1466" s="65">
        <f ca="1">SUMIF(日報!$J:$J,$O1466,日報!$L:$L)</f>
        <v>0</v>
      </c>
    </row>
    <row r="1467" spans="15:18" x14ac:dyDescent="0.15">
      <c r="O1467" s="7" t="str">
        <f>"REQ"&amp;TEXT([2]RequestList!$A1468,"0000")</f>
        <v>REQ0000</v>
      </c>
      <c r="P1467" s="7">
        <f>[2]RequestList!$J1468</f>
        <v>0</v>
      </c>
      <c r="Q1467" s="65">
        <f>SUMIF(日報!$R:$R,TEXT(YEAR($Q$2),"0000")&amp;TEXT(MONTH($Q$2),"00")&amp;$O1467,日報!$L:$L)</f>
        <v>0</v>
      </c>
      <c r="R1467" s="65">
        <f ca="1">SUMIF(日報!$J:$J,$O1467,日報!$L:$L)</f>
        <v>0</v>
      </c>
    </row>
    <row r="1468" spans="15:18" x14ac:dyDescent="0.15">
      <c r="O1468" s="7" t="str">
        <f>"REQ"&amp;TEXT([2]RequestList!$A1469,"0000")</f>
        <v>REQ0000</v>
      </c>
      <c r="P1468" s="7">
        <f>[2]RequestList!$J1469</f>
        <v>0</v>
      </c>
      <c r="Q1468" s="65">
        <f>SUMIF(日報!$R:$R,TEXT(YEAR($Q$2),"0000")&amp;TEXT(MONTH($Q$2),"00")&amp;$O1468,日報!$L:$L)</f>
        <v>0</v>
      </c>
      <c r="R1468" s="65">
        <f ca="1">SUMIF(日報!$J:$J,$O1468,日報!$L:$L)</f>
        <v>0</v>
      </c>
    </row>
    <row r="1469" spans="15:18" x14ac:dyDescent="0.15">
      <c r="O1469" s="7" t="str">
        <f>"REQ"&amp;TEXT([2]RequestList!$A1470,"0000")</f>
        <v>REQ0000</v>
      </c>
      <c r="P1469" s="7">
        <f>[2]RequestList!$J1470</f>
        <v>0</v>
      </c>
      <c r="Q1469" s="65">
        <f>SUMIF(日報!$R:$R,TEXT(YEAR($Q$2),"0000")&amp;TEXT(MONTH($Q$2),"00")&amp;$O1469,日報!$L:$L)</f>
        <v>0</v>
      </c>
      <c r="R1469" s="65">
        <f ca="1">SUMIF(日報!$J:$J,$O1469,日報!$L:$L)</f>
        <v>0</v>
      </c>
    </row>
    <row r="1470" spans="15:18" x14ac:dyDescent="0.15">
      <c r="O1470" s="7" t="str">
        <f>"REQ"&amp;TEXT([2]RequestList!$A1471,"0000")</f>
        <v>REQ0000</v>
      </c>
      <c r="P1470" s="7">
        <f>[2]RequestList!$J1471</f>
        <v>0</v>
      </c>
      <c r="Q1470" s="65">
        <f>SUMIF(日報!$R:$R,TEXT(YEAR($Q$2),"0000")&amp;TEXT(MONTH($Q$2),"00")&amp;$O1470,日報!$L:$L)</f>
        <v>0</v>
      </c>
      <c r="R1470" s="65">
        <f ca="1">SUMIF(日報!$J:$J,$O1470,日報!$L:$L)</f>
        <v>0</v>
      </c>
    </row>
    <row r="1471" spans="15:18" x14ac:dyDescent="0.15">
      <c r="O1471" s="7" t="str">
        <f>"REQ"&amp;TEXT([2]RequestList!$A1472,"0000")</f>
        <v>REQ0000</v>
      </c>
      <c r="P1471" s="7">
        <f>[2]RequestList!$J1472</f>
        <v>0</v>
      </c>
      <c r="Q1471" s="65">
        <f>SUMIF(日報!$R:$R,TEXT(YEAR($Q$2),"0000")&amp;TEXT(MONTH($Q$2),"00")&amp;$O1471,日報!$L:$L)</f>
        <v>0</v>
      </c>
      <c r="R1471" s="65">
        <f ca="1">SUMIF(日報!$J:$J,$O1471,日報!$L:$L)</f>
        <v>0</v>
      </c>
    </row>
    <row r="1472" spans="15:18" x14ac:dyDescent="0.15">
      <c r="O1472" s="7" t="str">
        <f>"REQ"&amp;TEXT([2]RequestList!$A1473,"0000")</f>
        <v>REQ0000</v>
      </c>
      <c r="P1472" s="7">
        <f>[2]RequestList!$J1473</f>
        <v>0</v>
      </c>
      <c r="Q1472" s="65">
        <f>SUMIF(日報!$R:$R,TEXT(YEAR($Q$2),"0000")&amp;TEXT(MONTH($Q$2),"00")&amp;$O1472,日報!$L:$L)</f>
        <v>0</v>
      </c>
      <c r="R1472" s="65">
        <f ca="1">SUMIF(日報!$J:$J,$O1472,日報!$L:$L)</f>
        <v>0</v>
      </c>
    </row>
    <row r="1473" spans="15:18" x14ac:dyDescent="0.15">
      <c r="O1473" s="7" t="str">
        <f>"REQ"&amp;TEXT([2]RequestList!$A1474,"0000")</f>
        <v>REQ0000</v>
      </c>
      <c r="P1473" s="7">
        <f>[2]RequestList!$J1474</f>
        <v>0</v>
      </c>
      <c r="Q1473" s="65">
        <f>SUMIF(日報!$R:$R,TEXT(YEAR($Q$2),"0000")&amp;TEXT(MONTH($Q$2),"00")&amp;$O1473,日報!$L:$L)</f>
        <v>0</v>
      </c>
      <c r="R1473" s="65">
        <f ca="1">SUMIF(日報!$J:$J,$O1473,日報!$L:$L)</f>
        <v>0</v>
      </c>
    </row>
    <row r="1474" spans="15:18" x14ac:dyDescent="0.15">
      <c r="O1474" s="7" t="str">
        <f>"REQ"&amp;TEXT([2]RequestList!$A1475,"0000")</f>
        <v>REQ0000</v>
      </c>
      <c r="P1474" s="7">
        <f>[2]RequestList!$J1475</f>
        <v>0</v>
      </c>
      <c r="Q1474" s="65">
        <f>SUMIF(日報!$R:$R,TEXT(YEAR($Q$2),"0000")&amp;TEXT(MONTH($Q$2),"00")&amp;$O1474,日報!$L:$L)</f>
        <v>0</v>
      </c>
      <c r="R1474" s="65">
        <f ca="1">SUMIF(日報!$J:$J,$O1474,日報!$L:$L)</f>
        <v>0</v>
      </c>
    </row>
    <row r="1475" spans="15:18" x14ac:dyDescent="0.15">
      <c r="O1475" s="7" t="str">
        <f>"REQ"&amp;TEXT([2]RequestList!$A1476,"0000")</f>
        <v>REQ0000</v>
      </c>
      <c r="P1475" s="7">
        <f>[2]RequestList!$J1476</f>
        <v>0</v>
      </c>
      <c r="Q1475" s="65">
        <f>SUMIF(日報!$R:$R,TEXT(YEAR($Q$2),"0000")&amp;TEXT(MONTH($Q$2),"00")&amp;$O1475,日報!$L:$L)</f>
        <v>0</v>
      </c>
      <c r="R1475" s="65">
        <f ca="1">SUMIF(日報!$J:$J,$O1475,日報!$L:$L)</f>
        <v>0</v>
      </c>
    </row>
    <row r="1476" spans="15:18" x14ac:dyDescent="0.15">
      <c r="O1476" s="7" t="str">
        <f>"REQ"&amp;TEXT([2]RequestList!$A1477,"0000")</f>
        <v>REQ0000</v>
      </c>
      <c r="P1476" s="7">
        <f>[2]RequestList!$J1477</f>
        <v>0</v>
      </c>
      <c r="Q1476" s="65">
        <f>SUMIF(日報!$R:$R,TEXT(YEAR($Q$2),"0000")&amp;TEXT(MONTH($Q$2),"00")&amp;$O1476,日報!$L:$L)</f>
        <v>0</v>
      </c>
      <c r="R1476" s="65">
        <f ca="1">SUMIF(日報!$J:$J,$O1476,日報!$L:$L)</f>
        <v>0</v>
      </c>
    </row>
    <row r="1477" spans="15:18" x14ac:dyDescent="0.15">
      <c r="O1477" s="7" t="str">
        <f>"REQ"&amp;TEXT([2]RequestList!$A1478,"0000")</f>
        <v>REQ0000</v>
      </c>
      <c r="P1477" s="7">
        <f>[2]RequestList!$J1478</f>
        <v>0</v>
      </c>
      <c r="Q1477" s="65">
        <f>SUMIF(日報!$R:$R,TEXT(YEAR($Q$2),"0000")&amp;TEXT(MONTH($Q$2),"00")&amp;$O1477,日報!$L:$L)</f>
        <v>0</v>
      </c>
      <c r="R1477" s="65">
        <f ca="1">SUMIF(日報!$J:$J,$O1477,日報!$L:$L)</f>
        <v>0</v>
      </c>
    </row>
    <row r="1478" spans="15:18" x14ac:dyDescent="0.15">
      <c r="O1478" s="7" t="str">
        <f>"REQ"&amp;TEXT([2]RequestList!$A1479,"0000")</f>
        <v>REQ0000</v>
      </c>
      <c r="P1478" s="7">
        <f>[2]RequestList!$J1479</f>
        <v>0</v>
      </c>
      <c r="Q1478" s="65">
        <f>SUMIF(日報!$R:$R,TEXT(YEAR($Q$2),"0000")&amp;TEXT(MONTH($Q$2),"00")&amp;$O1478,日報!$L:$L)</f>
        <v>0</v>
      </c>
      <c r="R1478" s="65">
        <f ca="1">SUMIF(日報!$J:$J,$O1478,日報!$L:$L)</f>
        <v>0</v>
      </c>
    </row>
    <row r="1479" spans="15:18" x14ac:dyDescent="0.15">
      <c r="O1479" s="7" t="str">
        <f>"REQ"&amp;TEXT([2]RequestList!$A1480,"0000")</f>
        <v>REQ0000</v>
      </c>
      <c r="P1479" s="7">
        <f>[2]RequestList!$J1480</f>
        <v>0</v>
      </c>
      <c r="Q1479" s="65">
        <f>SUMIF(日報!$R:$R,TEXT(YEAR($Q$2),"0000")&amp;TEXT(MONTH($Q$2),"00")&amp;$O1479,日報!$L:$L)</f>
        <v>0</v>
      </c>
      <c r="R1479" s="65">
        <f ca="1">SUMIF(日報!$J:$J,$O1479,日報!$L:$L)</f>
        <v>0</v>
      </c>
    </row>
    <row r="1480" spans="15:18" x14ac:dyDescent="0.15">
      <c r="O1480" s="7" t="str">
        <f>"REQ"&amp;TEXT([2]RequestList!$A1481,"0000")</f>
        <v>REQ0000</v>
      </c>
      <c r="P1480" s="7">
        <f>[2]RequestList!$J1481</f>
        <v>0</v>
      </c>
      <c r="Q1480" s="65">
        <f>SUMIF(日報!$R:$R,TEXT(YEAR($Q$2),"0000")&amp;TEXT(MONTH($Q$2),"00")&amp;$O1480,日報!$L:$L)</f>
        <v>0</v>
      </c>
      <c r="R1480" s="65">
        <f ca="1">SUMIF(日報!$J:$J,$O1480,日報!$L:$L)</f>
        <v>0</v>
      </c>
    </row>
    <row r="1481" spans="15:18" x14ac:dyDescent="0.15">
      <c r="O1481" s="7" t="str">
        <f>"REQ"&amp;TEXT([2]RequestList!$A1482,"0000")</f>
        <v>REQ0000</v>
      </c>
      <c r="P1481" s="7">
        <f>[2]RequestList!$J1482</f>
        <v>0</v>
      </c>
      <c r="Q1481" s="65">
        <f>SUMIF(日報!$R:$R,TEXT(YEAR($Q$2),"0000")&amp;TEXT(MONTH($Q$2),"00")&amp;$O1481,日報!$L:$L)</f>
        <v>0</v>
      </c>
      <c r="R1481" s="65">
        <f ca="1">SUMIF(日報!$J:$J,$O1481,日報!$L:$L)</f>
        <v>0</v>
      </c>
    </row>
    <row r="1482" spans="15:18" x14ac:dyDescent="0.15">
      <c r="O1482" s="7" t="str">
        <f>"REQ"&amp;TEXT([2]RequestList!$A1483,"0000")</f>
        <v>REQ0000</v>
      </c>
      <c r="P1482" s="7">
        <f>[2]RequestList!$J1483</f>
        <v>0</v>
      </c>
      <c r="Q1482" s="65">
        <f>SUMIF(日報!$R:$R,TEXT(YEAR($Q$2),"0000")&amp;TEXT(MONTH($Q$2),"00")&amp;$O1482,日報!$L:$L)</f>
        <v>0</v>
      </c>
      <c r="R1482" s="65">
        <f ca="1">SUMIF(日報!$J:$J,$O1482,日報!$L:$L)</f>
        <v>0</v>
      </c>
    </row>
    <row r="1483" spans="15:18" x14ac:dyDescent="0.15">
      <c r="O1483" s="7" t="str">
        <f>"REQ"&amp;TEXT([2]RequestList!$A1484,"0000")</f>
        <v>REQ0000</v>
      </c>
      <c r="P1483" s="7">
        <f>[2]RequestList!$J1484</f>
        <v>0</v>
      </c>
      <c r="Q1483" s="65">
        <f>SUMIF(日報!$R:$R,TEXT(YEAR($Q$2),"0000")&amp;TEXT(MONTH($Q$2),"00")&amp;$O1483,日報!$L:$L)</f>
        <v>0</v>
      </c>
      <c r="R1483" s="65">
        <f ca="1">SUMIF(日報!$J:$J,$O1483,日報!$L:$L)</f>
        <v>0</v>
      </c>
    </row>
    <row r="1484" spans="15:18" x14ac:dyDescent="0.15">
      <c r="O1484" s="7" t="str">
        <f>"REQ"&amp;TEXT([2]RequestList!$A1485,"0000")</f>
        <v>REQ0000</v>
      </c>
      <c r="P1484" s="7">
        <f>[2]RequestList!$J1485</f>
        <v>0</v>
      </c>
      <c r="Q1484" s="65">
        <f>SUMIF(日報!$R:$R,TEXT(YEAR($Q$2),"0000")&amp;TEXT(MONTH($Q$2),"00")&amp;$O1484,日報!$L:$L)</f>
        <v>0</v>
      </c>
      <c r="R1484" s="65">
        <f ca="1">SUMIF(日報!$J:$J,$O1484,日報!$L:$L)</f>
        <v>0</v>
      </c>
    </row>
    <row r="1485" spans="15:18" x14ac:dyDescent="0.15">
      <c r="O1485" s="7" t="str">
        <f>"REQ"&amp;TEXT([2]RequestList!$A1486,"0000")</f>
        <v>REQ0000</v>
      </c>
      <c r="P1485" s="7">
        <f>[2]RequestList!$J1486</f>
        <v>0</v>
      </c>
      <c r="Q1485" s="65">
        <f>SUMIF(日報!$R:$R,TEXT(YEAR($Q$2),"0000")&amp;TEXT(MONTH($Q$2),"00")&amp;$O1485,日報!$L:$L)</f>
        <v>0</v>
      </c>
      <c r="R1485" s="65">
        <f ca="1">SUMIF(日報!$J:$J,$O1485,日報!$L:$L)</f>
        <v>0</v>
      </c>
    </row>
    <row r="1486" spans="15:18" x14ac:dyDescent="0.15">
      <c r="O1486" s="7" t="str">
        <f>"REQ"&amp;TEXT([2]RequestList!$A1487,"0000")</f>
        <v>REQ0000</v>
      </c>
      <c r="P1486" s="7">
        <f>[2]RequestList!$J1487</f>
        <v>0</v>
      </c>
      <c r="Q1486" s="65">
        <f>SUMIF(日報!$R:$R,TEXT(YEAR($Q$2),"0000")&amp;TEXT(MONTH($Q$2),"00")&amp;$O1486,日報!$L:$L)</f>
        <v>0</v>
      </c>
      <c r="R1486" s="65">
        <f ca="1">SUMIF(日報!$J:$J,$O1486,日報!$L:$L)</f>
        <v>0</v>
      </c>
    </row>
    <row r="1487" spans="15:18" x14ac:dyDescent="0.15">
      <c r="O1487" s="7" t="str">
        <f>"REQ"&amp;TEXT([2]RequestList!$A1488,"0000")</f>
        <v>REQ0000</v>
      </c>
      <c r="P1487" s="7">
        <f>[2]RequestList!$J1488</f>
        <v>0</v>
      </c>
      <c r="Q1487" s="65">
        <f>SUMIF(日報!$R:$R,TEXT(YEAR($Q$2),"0000")&amp;TEXT(MONTH($Q$2),"00")&amp;$O1487,日報!$L:$L)</f>
        <v>0</v>
      </c>
      <c r="R1487" s="65">
        <f ca="1">SUMIF(日報!$J:$J,$O1487,日報!$L:$L)</f>
        <v>0</v>
      </c>
    </row>
    <row r="1488" spans="15:18" x14ac:dyDescent="0.15">
      <c r="O1488" s="7" t="str">
        <f>"REQ"&amp;TEXT([2]RequestList!$A1489,"0000")</f>
        <v>REQ0000</v>
      </c>
      <c r="P1488" s="7">
        <f>[2]RequestList!$J1489</f>
        <v>0</v>
      </c>
      <c r="Q1488" s="65">
        <f>SUMIF(日報!$R:$R,TEXT(YEAR($Q$2),"0000")&amp;TEXT(MONTH($Q$2),"00")&amp;$O1488,日報!$L:$L)</f>
        <v>0</v>
      </c>
      <c r="R1488" s="65">
        <f ca="1">SUMIF(日報!$J:$J,$O1488,日報!$L:$L)</f>
        <v>0</v>
      </c>
    </row>
    <row r="1489" spans="15:18" x14ac:dyDescent="0.15">
      <c r="O1489" s="7" t="str">
        <f>"REQ"&amp;TEXT([2]RequestList!$A1490,"0000")</f>
        <v>REQ0000</v>
      </c>
      <c r="P1489" s="7">
        <f>[2]RequestList!$J1490</f>
        <v>0</v>
      </c>
      <c r="Q1489" s="65">
        <f>SUMIF(日報!$R:$R,TEXT(YEAR($Q$2),"0000")&amp;TEXT(MONTH($Q$2),"00")&amp;$O1489,日報!$L:$L)</f>
        <v>0</v>
      </c>
      <c r="R1489" s="65">
        <f ca="1">SUMIF(日報!$J:$J,$O1489,日報!$L:$L)</f>
        <v>0</v>
      </c>
    </row>
    <row r="1490" spans="15:18" x14ac:dyDescent="0.15">
      <c r="O1490" s="7" t="str">
        <f>"REQ"&amp;TEXT([2]RequestList!$A1491,"0000")</f>
        <v>REQ0000</v>
      </c>
      <c r="P1490" s="7">
        <f>[2]RequestList!$J1491</f>
        <v>0</v>
      </c>
      <c r="Q1490" s="65">
        <f>SUMIF(日報!$R:$R,TEXT(YEAR($Q$2),"0000")&amp;TEXT(MONTH($Q$2),"00")&amp;$O1490,日報!$L:$L)</f>
        <v>0</v>
      </c>
      <c r="R1490" s="65">
        <f ca="1">SUMIF(日報!$J:$J,$O1490,日報!$L:$L)</f>
        <v>0</v>
      </c>
    </row>
    <row r="1491" spans="15:18" x14ac:dyDescent="0.15">
      <c r="O1491" s="7" t="str">
        <f>"REQ"&amp;TEXT([2]RequestList!$A1492,"0000")</f>
        <v>REQ0000</v>
      </c>
      <c r="P1491" s="7">
        <f>[2]RequestList!$J1492</f>
        <v>0</v>
      </c>
      <c r="Q1491" s="65">
        <f>SUMIF(日報!$R:$R,TEXT(YEAR($Q$2),"0000")&amp;TEXT(MONTH($Q$2),"00")&amp;$O1491,日報!$L:$L)</f>
        <v>0</v>
      </c>
      <c r="R1491" s="65">
        <f ca="1">SUMIF(日報!$J:$J,$O1491,日報!$L:$L)</f>
        <v>0</v>
      </c>
    </row>
    <row r="1492" spans="15:18" x14ac:dyDescent="0.15">
      <c r="O1492" s="7" t="str">
        <f>"REQ"&amp;TEXT([2]RequestList!$A1493,"0000")</f>
        <v>REQ0000</v>
      </c>
      <c r="P1492" s="7">
        <f>[2]RequestList!$J1493</f>
        <v>0</v>
      </c>
      <c r="Q1492" s="65">
        <f>SUMIF(日報!$R:$R,TEXT(YEAR($Q$2),"0000")&amp;TEXT(MONTH($Q$2),"00")&amp;$O1492,日報!$L:$L)</f>
        <v>0</v>
      </c>
      <c r="R1492" s="65">
        <f ca="1">SUMIF(日報!$J:$J,$O1492,日報!$L:$L)</f>
        <v>0</v>
      </c>
    </row>
    <row r="1493" spans="15:18" x14ac:dyDescent="0.15">
      <c r="O1493" s="7" t="str">
        <f>"REQ"&amp;TEXT([2]RequestList!$A1494,"0000")</f>
        <v>REQ0000</v>
      </c>
      <c r="P1493" s="7">
        <f>[2]RequestList!$J1494</f>
        <v>0</v>
      </c>
      <c r="Q1493" s="65">
        <f>SUMIF(日報!$R:$R,TEXT(YEAR($Q$2),"0000")&amp;TEXT(MONTH($Q$2),"00")&amp;$O1493,日報!$L:$L)</f>
        <v>0</v>
      </c>
      <c r="R1493" s="65">
        <f ca="1">SUMIF(日報!$J:$J,$O1493,日報!$L:$L)</f>
        <v>0</v>
      </c>
    </row>
    <row r="1494" spans="15:18" x14ac:dyDescent="0.15">
      <c r="O1494" s="7" t="str">
        <f>"REQ"&amp;TEXT([2]RequestList!$A1495,"0000")</f>
        <v>REQ0000</v>
      </c>
      <c r="P1494" s="7">
        <f>[2]RequestList!$J1495</f>
        <v>0</v>
      </c>
      <c r="Q1494" s="65">
        <f>SUMIF(日報!$R:$R,TEXT(YEAR($Q$2),"0000")&amp;TEXT(MONTH($Q$2),"00")&amp;$O1494,日報!$L:$L)</f>
        <v>0</v>
      </c>
      <c r="R1494" s="65">
        <f ca="1">SUMIF(日報!$J:$J,$O1494,日報!$L:$L)</f>
        <v>0</v>
      </c>
    </row>
    <row r="1495" spans="15:18" x14ac:dyDescent="0.15">
      <c r="O1495" s="7" t="str">
        <f>"REQ"&amp;TEXT([2]RequestList!$A1496,"0000")</f>
        <v>REQ0000</v>
      </c>
      <c r="P1495" s="7">
        <f>[2]RequestList!$J1496</f>
        <v>0</v>
      </c>
      <c r="Q1495" s="65">
        <f>SUMIF(日報!$R:$R,TEXT(YEAR($Q$2),"0000")&amp;TEXT(MONTH($Q$2),"00")&amp;$O1495,日報!$L:$L)</f>
        <v>0</v>
      </c>
      <c r="R1495" s="65">
        <f ca="1">SUMIF(日報!$J:$J,$O1495,日報!$L:$L)</f>
        <v>0</v>
      </c>
    </row>
    <row r="1496" spans="15:18" x14ac:dyDescent="0.15">
      <c r="O1496" s="7" t="str">
        <f>"REQ"&amp;TEXT([2]RequestList!$A1497,"0000")</f>
        <v>REQ0000</v>
      </c>
      <c r="P1496" s="7">
        <f>[2]RequestList!$J1497</f>
        <v>0</v>
      </c>
      <c r="Q1496" s="65">
        <f>SUMIF(日報!$R:$R,TEXT(YEAR($Q$2),"0000")&amp;TEXT(MONTH($Q$2),"00")&amp;$O1496,日報!$L:$L)</f>
        <v>0</v>
      </c>
      <c r="R1496" s="65">
        <f ca="1">SUMIF(日報!$J:$J,$O1496,日報!$L:$L)</f>
        <v>0</v>
      </c>
    </row>
    <row r="1497" spans="15:18" x14ac:dyDescent="0.15">
      <c r="O1497" s="7" t="str">
        <f>"REQ"&amp;TEXT([2]RequestList!$A1498,"0000")</f>
        <v>REQ0000</v>
      </c>
      <c r="P1497" s="7">
        <f>[2]RequestList!$J1498</f>
        <v>0</v>
      </c>
      <c r="Q1497" s="65">
        <f>SUMIF(日報!$R:$R,TEXT(YEAR($Q$2),"0000")&amp;TEXT(MONTH($Q$2),"00")&amp;$O1497,日報!$L:$L)</f>
        <v>0</v>
      </c>
      <c r="R1497" s="65">
        <f ca="1">SUMIF(日報!$J:$J,$O1497,日報!$L:$L)</f>
        <v>0</v>
      </c>
    </row>
    <row r="1498" spans="15:18" x14ac:dyDescent="0.15">
      <c r="O1498" s="7" t="str">
        <f>"REQ"&amp;TEXT([2]RequestList!$A1499,"0000")</f>
        <v>REQ0000</v>
      </c>
      <c r="P1498" s="7">
        <f>[2]RequestList!$J1499</f>
        <v>0</v>
      </c>
      <c r="Q1498" s="65">
        <f>SUMIF(日報!$R:$R,TEXT(YEAR($Q$2),"0000")&amp;TEXT(MONTH($Q$2),"00")&amp;$O1498,日報!$L:$L)</f>
        <v>0</v>
      </c>
      <c r="R1498" s="65">
        <f ca="1">SUMIF(日報!$J:$J,$O1498,日報!$L:$L)</f>
        <v>0</v>
      </c>
    </row>
    <row r="1499" spans="15:18" x14ac:dyDescent="0.15">
      <c r="O1499" s="7" t="str">
        <f>"REQ"&amp;TEXT([2]RequestList!$A1500,"0000")</f>
        <v>REQ0000</v>
      </c>
      <c r="P1499" s="7">
        <f>[2]RequestList!$J1500</f>
        <v>0</v>
      </c>
      <c r="Q1499" s="65">
        <f>SUMIF(日報!$R:$R,TEXT(YEAR($Q$2),"0000")&amp;TEXT(MONTH($Q$2),"00")&amp;$O1499,日報!$L:$L)</f>
        <v>0</v>
      </c>
      <c r="R1499" s="65">
        <f ca="1">SUMIF(日報!$J:$J,$O1499,日報!$L:$L)</f>
        <v>0</v>
      </c>
    </row>
    <row r="1500" spans="15:18" x14ac:dyDescent="0.15">
      <c r="O1500" s="7" t="str">
        <f>"REQ"&amp;TEXT([2]RequestList!$A1501,"0000")</f>
        <v>REQ0000</v>
      </c>
      <c r="P1500" s="7">
        <f>[2]RequestList!$J1501</f>
        <v>0</v>
      </c>
      <c r="Q1500" s="65">
        <f>SUMIF(日報!$R:$R,TEXT(YEAR($Q$2),"0000")&amp;TEXT(MONTH($Q$2),"00")&amp;$O1500,日報!$L:$L)</f>
        <v>0</v>
      </c>
      <c r="R1500" s="65">
        <f ca="1">SUMIF(日報!$J:$J,$O1500,日報!$L:$L)</f>
        <v>0</v>
      </c>
    </row>
    <row r="1501" spans="15:18" x14ac:dyDescent="0.15">
      <c r="O1501" s="7" t="str">
        <f>"REQ"&amp;TEXT([2]RequestList!$A1502,"0000")</f>
        <v>REQ0000</v>
      </c>
      <c r="P1501" s="7">
        <f>[2]RequestList!$J1502</f>
        <v>0</v>
      </c>
      <c r="Q1501" s="65">
        <f>SUMIF(日報!$R:$R,TEXT(YEAR($Q$2),"0000")&amp;TEXT(MONTH($Q$2),"00")&amp;$O1501,日報!$L:$L)</f>
        <v>0</v>
      </c>
      <c r="R1501" s="65">
        <f ca="1">SUMIF(日報!$J:$J,$O1501,日報!$L:$L)</f>
        <v>0</v>
      </c>
    </row>
    <row r="1502" spans="15:18" x14ac:dyDescent="0.15">
      <c r="O1502" s="7" t="str">
        <f>"REQ"&amp;TEXT([2]RequestList!$A1503,"0000")</f>
        <v>REQ0000</v>
      </c>
      <c r="P1502" s="7">
        <f>[2]RequestList!$J1503</f>
        <v>0</v>
      </c>
      <c r="Q1502" s="65">
        <f>SUMIF(日報!$R:$R,TEXT(YEAR($Q$2),"0000")&amp;TEXT(MONTH($Q$2),"00")&amp;$O1502,日報!$L:$L)</f>
        <v>0</v>
      </c>
      <c r="R1502" s="65">
        <f ca="1">SUMIF(日報!$J:$J,$O1502,日報!$L:$L)</f>
        <v>0</v>
      </c>
    </row>
    <row r="1503" spans="15:18" x14ac:dyDescent="0.15">
      <c r="O1503" s="7" t="str">
        <f>"REQ"&amp;TEXT([2]RequestList!$A1504,"0000")</f>
        <v>REQ0000</v>
      </c>
      <c r="P1503" s="7">
        <f>[2]RequestList!$J1504</f>
        <v>0</v>
      </c>
      <c r="Q1503" s="65">
        <f>SUMIF(日報!$R:$R,TEXT(YEAR($Q$2),"0000")&amp;TEXT(MONTH($Q$2),"00")&amp;$O1503,日報!$L:$L)</f>
        <v>0</v>
      </c>
      <c r="R1503" s="65">
        <f ca="1">SUMIF(日報!$J:$J,$O1503,日報!$L:$L)</f>
        <v>0</v>
      </c>
    </row>
    <row r="1504" spans="15:18" x14ac:dyDescent="0.15">
      <c r="O1504" s="7" t="str">
        <f>"REQ"&amp;TEXT([2]RequestList!$A1505,"0000")</f>
        <v>REQ0000</v>
      </c>
      <c r="P1504" s="7">
        <f>[2]RequestList!$J1505</f>
        <v>0</v>
      </c>
      <c r="Q1504" s="65">
        <f>SUMIF(日報!$R:$R,TEXT(YEAR($Q$2),"0000")&amp;TEXT(MONTH($Q$2),"00")&amp;$O1504,日報!$L:$L)</f>
        <v>0</v>
      </c>
      <c r="R1504" s="65">
        <f ca="1">SUMIF(日報!$J:$J,$O1504,日報!$L:$L)</f>
        <v>0</v>
      </c>
    </row>
    <row r="1505" spans="15:18" x14ac:dyDescent="0.15">
      <c r="O1505" s="7" t="str">
        <f>"REQ"&amp;TEXT([2]RequestList!$A1506,"0000")</f>
        <v>REQ0000</v>
      </c>
      <c r="P1505" s="7">
        <f>[2]RequestList!$J1506</f>
        <v>0</v>
      </c>
      <c r="Q1505" s="65">
        <f>SUMIF(日報!$R:$R,TEXT(YEAR($Q$2),"0000")&amp;TEXT(MONTH($Q$2),"00")&amp;$O1505,日報!$L:$L)</f>
        <v>0</v>
      </c>
      <c r="R1505" s="65">
        <f ca="1">SUMIF(日報!$J:$J,$O1505,日報!$L:$L)</f>
        <v>0</v>
      </c>
    </row>
    <row r="1506" spans="15:18" x14ac:dyDescent="0.15">
      <c r="O1506" s="7" t="str">
        <f>"REQ"&amp;TEXT([2]RequestList!$A1507,"0000")</f>
        <v>REQ0000</v>
      </c>
      <c r="P1506" s="7">
        <f>[2]RequestList!$J1507</f>
        <v>0</v>
      </c>
      <c r="Q1506" s="65">
        <f>SUMIF(日報!$R:$R,TEXT(YEAR($Q$2),"0000")&amp;TEXT(MONTH($Q$2),"00")&amp;$O1506,日報!$L:$L)</f>
        <v>0</v>
      </c>
      <c r="R1506" s="65">
        <f ca="1">SUMIF(日報!$J:$J,$O1506,日報!$L:$L)</f>
        <v>0</v>
      </c>
    </row>
    <row r="1507" spans="15:18" x14ac:dyDescent="0.15">
      <c r="O1507" s="7" t="str">
        <f>"REQ"&amp;TEXT([2]RequestList!$A1508,"0000")</f>
        <v>REQ0000</v>
      </c>
      <c r="P1507" s="7">
        <f>[2]RequestList!$J1508</f>
        <v>0</v>
      </c>
      <c r="Q1507" s="65">
        <f>SUMIF(日報!$R:$R,TEXT(YEAR($Q$2),"0000")&amp;TEXT(MONTH($Q$2),"00")&amp;$O1507,日報!$L:$L)</f>
        <v>0</v>
      </c>
      <c r="R1507" s="65">
        <f ca="1">SUMIF(日報!$J:$J,$O1507,日報!$L:$L)</f>
        <v>0</v>
      </c>
    </row>
    <row r="1508" spans="15:18" x14ac:dyDescent="0.15">
      <c r="O1508" s="7" t="str">
        <f>"REQ"&amp;TEXT([2]RequestList!$A1509,"0000")</f>
        <v>REQ0000</v>
      </c>
      <c r="P1508" s="7">
        <f>[2]RequestList!$J1509</f>
        <v>0</v>
      </c>
      <c r="Q1508" s="65">
        <f>SUMIF(日報!$R:$R,TEXT(YEAR($Q$2),"0000")&amp;TEXT(MONTH($Q$2),"00")&amp;$O1508,日報!$L:$L)</f>
        <v>0</v>
      </c>
      <c r="R1508" s="65">
        <f ca="1">SUMIF(日報!$J:$J,$O1508,日報!$L:$L)</f>
        <v>0</v>
      </c>
    </row>
    <row r="1509" spans="15:18" x14ac:dyDescent="0.15">
      <c r="O1509" s="7" t="str">
        <f>"REQ"&amp;TEXT([2]RequestList!$A1510,"0000")</f>
        <v>REQ0000</v>
      </c>
      <c r="P1509" s="7">
        <f>[2]RequestList!$J1510</f>
        <v>0</v>
      </c>
      <c r="Q1509" s="65">
        <f>SUMIF(日報!$R:$R,TEXT(YEAR($Q$2),"0000")&amp;TEXT(MONTH($Q$2),"00")&amp;$O1509,日報!$L:$L)</f>
        <v>0</v>
      </c>
      <c r="R1509" s="65">
        <f ca="1">SUMIF(日報!$J:$J,$O1509,日報!$L:$L)</f>
        <v>0</v>
      </c>
    </row>
    <row r="1510" spans="15:18" x14ac:dyDescent="0.15">
      <c r="O1510" s="7" t="str">
        <f>"REQ"&amp;TEXT([2]RequestList!$A1511,"0000")</f>
        <v>REQ0000</v>
      </c>
      <c r="P1510" s="7">
        <f>[2]RequestList!$J1511</f>
        <v>0</v>
      </c>
      <c r="Q1510" s="65">
        <f>SUMIF(日報!$R:$R,TEXT(YEAR($Q$2),"0000")&amp;TEXT(MONTH($Q$2),"00")&amp;$O1510,日報!$L:$L)</f>
        <v>0</v>
      </c>
      <c r="R1510" s="65">
        <f ca="1">SUMIF(日報!$J:$J,$O1510,日報!$L:$L)</f>
        <v>0</v>
      </c>
    </row>
    <row r="1511" spans="15:18" x14ac:dyDescent="0.15">
      <c r="O1511" s="7" t="str">
        <f>"REQ"&amp;TEXT([2]RequestList!$A1512,"0000")</f>
        <v>REQ0000</v>
      </c>
      <c r="P1511" s="7">
        <f>[2]RequestList!$J1512</f>
        <v>0</v>
      </c>
      <c r="Q1511" s="65">
        <f>SUMIF(日報!$R:$R,TEXT(YEAR($Q$2),"0000")&amp;TEXT(MONTH($Q$2),"00")&amp;$O1511,日報!$L:$L)</f>
        <v>0</v>
      </c>
      <c r="R1511" s="65">
        <f ca="1">SUMIF(日報!$J:$J,$O1511,日報!$L:$L)</f>
        <v>0</v>
      </c>
    </row>
    <row r="1512" spans="15:18" x14ac:dyDescent="0.15">
      <c r="O1512" s="7" t="str">
        <f>"REQ"&amp;TEXT([2]RequestList!$A1513,"0000")</f>
        <v>REQ0000</v>
      </c>
      <c r="P1512" s="7">
        <f>[2]RequestList!$J1513</f>
        <v>0</v>
      </c>
      <c r="Q1512" s="65">
        <f>SUMIF(日報!$R:$R,TEXT(YEAR($Q$2),"0000")&amp;TEXT(MONTH($Q$2),"00")&amp;$O1512,日報!$L:$L)</f>
        <v>0</v>
      </c>
      <c r="R1512" s="65">
        <f ca="1">SUMIF(日報!$J:$J,$O1512,日報!$L:$L)</f>
        <v>0</v>
      </c>
    </row>
    <row r="1513" spans="15:18" x14ac:dyDescent="0.15">
      <c r="O1513" s="7" t="str">
        <f>"REQ"&amp;TEXT([2]RequestList!$A1514,"0000")</f>
        <v>REQ0000</v>
      </c>
      <c r="P1513" s="7">
        <f>[2]RequestList!$J1514</f>
        <v>0</v>
      </c>
      <c r="Q1513" s="65">
        <f>SUMIF(日報!$R:$R,TEXT(YEAR($Q$2),"0000")&amp;TEXT(MONTH($Q$2),"00")&amp;$O1513,日報!$L:$L)</f>
        <v>0</v>
      </c>
      <c r="R1513" s="65">
        <f ca="1">SUMIF(日報!$J:$J,$O1513,日報!$L:$L)</f>
        <v>0</v>
      </c>
    </row>
    <row r="1514" spans="15:18" x14ac:dyDescent="0.15">
      <c r="O1514" s="7" t="str">
        <f>"REQ"&amp;TEXT([2]RequestList!$A1515,"0000")</f>
        <v>REQ0000</v>
      </c>
      <c r="P1514" s="7">
        <f>[2]RequestList!$J1515</f>
        <v>0</v>
      </c>
      <c r="Q1514" s="65">
        <f>SUMIF(日報!$R:$R,TEXT(YEAR($Q$2),"0000")&amp;TEXT(MONTH($Q$2),"00")&amp;$O1514,日報!$L:$L)</f>
        <v>0</v>
      </c>
      <c r="R1514" s="65">
        <f ca="1">SUMIF(日報!$J:$J,$O1514,日報!$L:$L)</f>
        <v>0</v>
      </c>
    </row>
    <row r="1515" spans="15:18" x14ac:dyDescent="0.15">
      <c r="O1515" s="7" t="str">
        <f>"REQ"&amp;TEXT([2]RequestList!$A1516,"0000")</f>
        <v>REQ0000</v>
      </c>
      <c r="P1515" s="7">
        <f>[2]RequestList!$J1516</f>
        <v>0</v>
      </c>
      <c r="Q1515" s="65">
        <f>SUMIF(日報!$R:$R,TEXT(YEAR($Q$2),"0000")&amp;TEXT(MONTH($Q$2),"00")&amp;$O1515,日報!$L:$L)</f>
        <v>0</v>
      </c>
      <c r="R1515" s="65">
        <f ca="1">SUMIF(日報!$J:$J,$O1515,日報!$L:$L)</f>
        <v>0</v>
      </c>
    </row>
    <row r="1516" spans="15:18" x14ac:dyDescent="0.15">
      <c r="O1516" s="7" t="str">
        <f>"REQ"&amp;TEXT([2]RequestList!$A1517,"0000")</f>
        <v>REQ0000</v>
      </c>
      <c r="P1516" s="7">
        <f>[2]RequestList!$J1517</f>
        <v>0</v>
      </c>
      <c r="Q1516" s="65">
        <f>SUMIF(日報!$R:$R,TEXT(YEAR($Q$2),"0000")&amp;TEXT(MONTH($Q$2),"00")&amp;$O1516,日報!$L:$L)</f>
        <v>0</v>
      </c>
      <c r="R1516" s="65">
        <f ca="1">SUMIF(日報!$J:$J,$O1516,日報!$L:$L)</f>
        <v>0</v>
      </c>
    </row>
    <row r="1517" spans="15:18" x14ac:dyDescent="0.15">
      <c r="O1517" s="7" t="str">
        <f>"REQ"&amp;TEXT([2]RequestList!$A1518,"0000")</f>
        <v>REQ0000</v>
      </c>
      <c r="P1517" s="7">
        <f>[2]RequestList!$J1518</f>
        <v>0</v>
      </c>
      <c r="Q1517" s="65">
        <f>SUMIF(日報!$R:$R,TEXT(YEAR($Q$2),"0000")&amp;TEXT(MONTH($Q$2),"00")&amp;$O1517,日報!$L:$L)</f>
        <v>0</v>
      </c>
      <c r="R1517" s="65">
        <f ca="1">SUMIF(日報!$J:$J,$O1517,日報!$L:$L)</f>
        <v>0</v>
      </c>
    </row>
    <row r="1518" spans="15:18" x14ac:dyDescent="0.15">
      <c r="O1518" s="7" t="str">
        <f>"REQ"&amp;TEXT([2]RequestList!$A1519,"0000")</f>
        <v>REQ0000</v>
      </c>
      <c r="P1518" s="7">
        <f>[2]RequestList!$J1519</f>
        <v>0</v>
      </c>
      <c r="Q1518" s="65">
        <f>SUMIF(日報!$R:$R,TEXT(YEAR($Q$2),"0000")&amp;TEXT(MONTH($Q$2),"00")&amp;$O1518,日報!$L:$L)</f>
        <v>0</v>
      </c>
      <c r="R1518" s="65">
        <f ca="1">SUMIF(日報!$J:$J,$O1518,日報!$L:$L)</f>
        <v>0</v>
      </c>
    </row>
    <row r="1519" spans="15:18" x14ac:dyDescent="0.15">
      <c r="O1519" s="7" t="str">
        <f>"REQ"&amp;TEXT([2]RequestList!$A1520,"0000")</f>
        <v>REQ0000</v>
      </c>
      <c r="P1519" s="7">
        <f>[2]RequestList!$J1520</f>
        <v>0</v>
      </c>
      <c r="Q1519" s="65">
        <f>SUMIF(日報!$R:$R,TEXT(YEAR($Q$2),"0000")&amp;TEXT(MONTH($Q$2),"00")&amp;$O1519,日報!$L:$L)</f>
        <v>0</v>
      </c>
      <c r="R1519" s="65">
        <f ca="1">SUMIF(日報!$J:$J,$O1519,日報!$L:$L)</f>
        <v>0</v>
      </c>
    </row>
    <row r="1520" spans="15:18" x14ac:dyDescent="0.15">
      <c r="O1520" s="7" t="str">
        <f>"REQ"&amp;TEXT([2]RequestList!$A1521,"0000")</f>
        <v>REQ0000</v>
      </c>
      <c r="P1520" s="7">
        <f>[2]RequestList!$J1521</f>
        <v>0</v>
      </c>
      <c r="Q1520" s="65">
        <f>SUMIF(日報!$R:$R,TEXT(YEAR($Q$2),"0000")&amp;TEXT(MONTH($Q$2),"00")&amp;$O1520,日報!$L:$L)</f>
        <v>0</v>
      </c>
      <c r="R1520" s="65">
        <f ca="1">SUMIF(日報!$J:$J,$O1520,日報!$L:$L)</f>
        <v>0</v>
      </c>
    </row>
    <row r="1521" spans="15:18" x14ac:dyDescent="0.15">
      <c r="O1521" s="7" t="str">
        <f>"REQ"&amp;TEXT([2]RequestList!$A1522,"0000")</f>
        <v>REQ0000</v>
      </c>
      <c r="P1521" s="7">
        <f>[2]RequestList!$J1522</f>
        <v>0</v>
      </c>
      <c r="Q1521" s="65">
        <f>SUMIF(日報!$R:$R,TEXT(YEAR($Q$2),"0000")&amp;TEXT(MONTH($Q$2),"00")&amp;$O1521,日報!$L:$L)</f>
        <v>0</v>
      </c>
      <c r="R1521" s="65">
        <f ca="1">SUMIF(日報!$J:$J,$O1521,日報!$L:$L)</f>
        <v>0</v>
      </c>
    </row>
    <row r="1522" spans="15:18" x14ac:dyDescent="0.15">
      <c r="O1522" s="7" t="str">
        <f>"REQ"&amp;TEXT([2]RequestList!$A1523,"0000")</f>
        <v>REQ0000</v>
      </c>
      <c r="P1522" s="7">
        <f>[2]RequestList!$J1523</f>
        <v>0</v>
      </c>
      <c r="Q1522" s="65">
        <f>SUMIF(日報!$R:$R,TEXT(YEAR($Q$2),"0000")&amp;TEXT(MONTH($Q$2),"00")&amp;$O1522,日報!$L:$L)</f>
        <v>0</v>
      </c>
      <c r="R1522" s="65">
        <f ca="1">SUMIF(日報!$J:$J,$O1522,日報!$L:$L)</f>
        <v>0</v>
      </c>
    </row>
    <row r="1523" spans="15:18" x14ac:dyDescent="0.15">
      <c r="O1523" s="7" t="str">
        <f>"REQ"&amp;TEXT([2]RequestList!$A1524,"0000")</f>
        <v>REQ0000</v>
      </c>
      <c r="P1523" s="7">
        <f>[2]RequestList!$J1524</f>
        <v>0</v>
      </c>
      <c r="Q1523" s="65">
        <f>SUMIF(日報!$R:$R,TEXT(YEAR($Q$2),"0000")&amp;TEXT(MONTH($Q$2),"00")&amp;$O1523,日報!$L:$L)</f>
        <v>0</v>
      </c>
      <c r="R1523" s="65">
        <f ca="1">SUMIF(日報!$J:$J,$O1523,日報!$L:$L)</f>
        <v>0</v>
      </c>
    </row>
    <row r="1524" spans="15:18" x14ac:dyDescent="0.15">
      <c r="O1524" s="7" t="str">
        <f>"REQ"&amp;TEXT([2]RequestList!$A1525,"0000")</f>
        <v>REQ0000</v>
      </c>
      <c r="P1524" s="7">
        <f>[2]RequestList!$J1525</f>
        <v>0</v>
      </c>
      <c r="Q1524" s="65">
        <f>SUMIF(日報!$R:$R,TEXT(YEAR($Q$2),"0000")&amp;TEXT(MONTH($Q$2),"00")&amp;$O1524,日報!$L:$L)</f>
        <v>0</v>
      </c>
      <c r="R1524" s="65">
        <f ca="1">SUMIF(日報!$J:$J,$O1524,日報!$L:$L)</f>
        <v>0</v>
      </c>
    </row>
    <row r="1525" spans="15:18" x14ac:dyDescent="0.15">
      <c r="O1525" s="7" t="str">
        <f>"REQ"&amp;TEXT([2]RequestList!$A1526,"0000")</f>
        <v>REQ0000</v>
      </c>
      <c r="P1525" s="7">
        <f>[2]RequestList!$J1526</f>
        <v>0</v>
      </c>
      <c r="Q1525" s="65">
        <f>SUMIF(日報!$R:$R,TEXT(YEAR($Q$2),"0000")&amp;TEXT(MONTH($Q$2),"00")&amp;$O1525,日報!$L:$L)</f>
        <v>0</v>
      </c>
      <c r="R1525" s="65">
        <f ca="1">SUMIF(日報!$J:$J,$O1525,日報!$L:$L)</f>
        <v>0</v>
      </c>
    </row>
    <row r="1526" spans="15:18" x14ac:dyDescent="0.15">
      <c r="O1526" s="7" t="str">
        <f>"REQ"&amp;TEXT([2]RequestList!$A1527,"0000")</f>
        <v>REQ0000</v>
      </c>
      <c r="P1526" s="7">
        <f>[2]RequestList!$J1527</f>
        <v>0</v>
      </c>
      <c r="Q1526" s="65">
        <f>SUMIF(日報!$R:$R,TEXT(YEAR($Q$2),"0000")&amp;TEXT(MONTH($Q$2),"00")&amp;$O1526,日報!$L:$L)</f>
        <v>0</v>
      </c>
      <c r="R1526" s="65">
        <f ca="1">SUMIF(日報!$J:$J,$O1526,日報!$L:$L)</f>
        <v>0</v>
      </c>
    </row>
    <row r="1527" spans="15:18" x14ac:dyDescent="0.15">
      <c r="O1527" s="7" t="str">
        <f>"REQ"&amp;TEXT([2]RequestList!$A1528,"0000")</f>
        <v>REQ0000</v>
      </c>
      <c r="P1527" s="7">
        <f>[2]RequestList!$J1528</f>
        <v>0</v>
      </c>
      <c r="Q1527" s="65">
        <f>SUMIF(日報!$R:$R,TEXT(YEAR($Q$2),"0000")&amp;TEXT(MONTH($Q$2),"00")&amp;$O1527,日報!$L:$L)</f>
        <v>0</v>
      </c>
      <c r="R1527" s="65">
        <f ca="1">SUMIF(日報!$J:$J,$O1527,日報!$L:$L)</f>
        <v>0</v>
      </c>
    </row>
    <row r="1528" spans="15:18" x14ac:dyDescent="0.15">
      <c r="O1528" s="7" t="str">
        <f>"REQ"&amp;TEXT([2]RequestList!$A1529,"0000")</f>
        <v>REQ0000</v>
      </c>
      <c r="P1528" s="7">
        <f>[2]RequestList!$J1529</f>
        <v>0</v>
      </c>
      <c r="Q1528" s="65">
        <f>SUMIF(日報!$R:$R,TEXT(YEAR($Q$2),"0000")&amp;TEXT(MONTH($Q$2),"00")&amp;$O1528,日報!$L:$L)</f>
        <v>0</v>
      </c>
      <c r="R1528" s="65">
        <f ca="1">SUMIF(日報!$J:$J,$O1528,日報!$L:$L)</f>
        <v>0</v>
      </c>
    </row>
    <row r="1529" spans="15:18" x14ac:dyDescent="0.15">
      <c r="O1529" s="7" t="str">
        <f>"REQ"&amp;TEXT([2]RequestList!$A1530,"0000")</f>
        <v>REQ0000</v>
      </c>
      <c r="P1529" s="7">
        <f>[2]RequestList!$J1530</f>
        <v>0</v>
      </c>
      <c r="Q1529" s="65">
        <f>SUMIF(日報!$R:$R,TEXT(YEAR($Q$2),"0000")&amp;TEXT(MONTH($Q$2),"00")&amp;$O1529,日報!$L:$L)</f>
        <v>0</v>
      </c>
      <c r="R1529" s="65">
        <f ca="1">SUMIF(日報!$J:$J,$O1529,日報!$L:$L)</f>
        <v>0</v>
      </c>
    </row>
    <row r="1530" spans="15:18" x14ac:dyDescent="0.15">
      <c r="O1530" s="7" t="str">
        <f>"REQ"&amp;TEXT([2]RequestList!$A1531,"0000")</f>
        <v>REQ0000</v>
      </c>
      <c r="P1530" s="7">
        <f>[2]RequestList!$J1531</f>
        <v>0</v>
      </c>
      <c r="Q1530" s="65">
        <f>SUMIF(日報!$R:$R,TEXT(YEAR($Q$2),"0000")&amp;TEXT(MONTH($Q$2),"00")&amp;$O1530,日報!$L:$L)</f>
        <v>0</v>
      </c>
      <c r="R1530" s="65">
        <f ca="1">SUMIF(日報!$J:$J,$O1530,日報!$L:$L)</f>
        <v>0</v>
      </c>
    </row>
    <row r="1531" spans="15:18" x14ac:dyDescent="0.15">
      <c r="O1531" s="7" t="str">
        <f>"REQ"&amp;TEXT([2]RequestList!$A1532,"0000")</f>
        <v>REQ0000</v>
      </c>
      <c r="P1531" s="7">
        <f>[2]RequestList!$J1532</f>
        <v>0</v>
      </c>
      <c r="Q1531" s="65">
        <f>SUMIF(日報!$R:$R,TEXT(YEAR($Q$2),"0000")&amp;TEXT(MONTH($Q$2),"00")&amp;$O1531,日報!$L:$L)</f>
        <v>0</v>
      </c>
      <c r="R1531" s="65">
        <f ca="1">SUMIF(日報!$J:$J,$O1531,日報!$L:$L)</f>
        <v>0</v>
      </c>
    </row>
    <row r="1532" spans="15:18" x14ac:dyDescent="0.15">
      <c r="O1532" s="7" t="str">
        <f>"REQ"&amp;TEXT([2]RequestList!$A1533,"0000")</f>
        <v>REQ0000</v>
      </c>
      <c r="P1532" s="7">
        <f>[2]RequestList!$J1533</f>
        <v>0</v>
      </c>
      <c r="Q1532" s="65">
        <f>SUMIF(日報!$R:$R,TEXT(YEAR($Q$2),"0000")&amp;TEXT(MONTH($Q$2),"00")&amp;$O1532,日報!$L:$L)</f>
        <v>0</v>
      </c>
      <c r="R1532" s="65">
        <f ca="1">SUMIF(日報!$J:$J,$O1532,日報!$L:$L)</f>
        <v>0</v>
      </c>
    </row>
    <row r="1533" spans="15:18" x14ac:dyDescent="0.15">
      <c r="O1533" s="7" t="str">
        <f>"REQ"&amp;TEXT([2]RequestList!$A1534,"0000")</f>
        <v>REQ0000</v>
      </c>
      <c r="P1533" s="7">
        <f>[2]RequestList!$J1534</f>
        <v>0</v>
      </c>
      <c r="Q1533" s="65">
        <f>SUMIF(日報!$R:$R,TEXT(YEAR($Q$2),"0000")&amp;TEXT(MONTH($Q$2),"00")&amp;$O1533,日報!$L:$L)</f>
        <v>0</v>
      </c>
      <c r="R1533" s="65">
        <f ca="1">SUMIF(日報!$J:$J,$O1533,日報!$L:$L)</f>
        <v>0</v>
      </c>
    </row>
    <row r="1534" spans="15:18" x14ac:dyDescent="0.15">
      <c r="O1534" s="7" t="str">
        <f>"REQ"&amp;TEXT([2]RequestList!$A1535,"0000")</f>
        <v>REQ0000</v>
      </c>
      <c r="P1534" s="7">
        <f>[2]RequestList!$J1535</f>
        <v>0</v>
      </c>
      <c r="Q1534" s="65">
        <f>SUMIF(日報!$R:$R,TEXT(YEAR($Q$2),"0000")&amp;TEXT(MONTH($Q$2),"00")&amp;$O1534,日報!$L:$L)</f>
        <v>0</v>
      </c>
      <c r="R1534" s="65">
        <f ca="1">SUMIF(日報!$J:$J,$O1534,日報!$L:$L)</f>
        <v>0</v>
      </c>
    </row>
    <row r="1535" spans="15:18" x14ac:dyDescent="0.15">
      <c r="O1535" s="7" t="str">
        <f>"REQ"&amp;TEXT([2]RequestList!$A1536,"0000")</f>
        <v>REQ0000</v>
      </c>
      <c r="P1535" s="7">
        <f>[2]RequestList!$J1536</f>
        <v>0</v>
      </c>
      <c r="Q1535" s="65">
        <f>SUMIF(日報!$R:$R,TEXT(YEAR($Q$2),"0000")&amp;TEXT(MONTH($Q$2),"00")&amp;$O1535,日報!$L:$L)</f>
        <v>0</v>
      </c>
      <c r="R1535" s="65">
        <f ca="1">SUMIF(日報!$J:$J,$O1535,日報!$L:$L)</f>
        <v>0</v>
      </c>
    </row>
    <row r="1536" spans="15:18" x14ac:dyDescent="0.15">
      <c r="O1536" s="7" t="str">
        <f>"REQ"&amp;TEXT([2]RequestList!$A1537,"0000")</f>
        <v>REQ0000</v>
      </c>
      <c r="P1536" s="7">
        <f>[2]RequestList!$J1537</f>
        <v>0</v>
      </c>
      <c r="Q1536" s="65">
        <f>SUMIF(日報!$R:$R,TEXT(YEAR($Q$2),"0000")&amp;TEXT(MONTH($Q$2),"00")&amp;$O1536,日報!$L:$L)</f>
        <v>0</v>
      </c>
      <c r="R1536" s="65">
        <f ca="1">SUMIF(日報!$J:$J,$O1536,日報!$L:$L)</f>
        <v>0</v>
      </c>
    </row>
    <row r="1537" spans="15:18" x14ac:dyDescent="0.15">
      <c r="O1537" s="7" t="str">
        <f>"REQ"&amp;TEXT([2]RequestList!$A1538,"0000")</f>
        <v>REQ0000</v>
      </c>
      <c r="P1537" s="7">
        <f>[2]RequestList!$J1538</f>
        <v>0</v>
      </c>
      <c r="Q1537" s="65">
        <f>SUMIF(日報!$R:$R,TEXT(YEAR($Q$2),"0000")&amp;TEXT(MONTH($Q$2),"00")&amp;$O1537,日報!$L:$L)</f>
        <v>0</v>
      </c>
      <c r="R1537" s="65">
        <f ca="1">SUMIF(日報!$J:$J,$O1537,日報!$L:$L)</f>
        <v>0</v>
      </c>
    </row>
    <row r="1538" spans="15:18" x14ac:dyDescent="0.15">
      <c r="O1538" s="7" t="str">
        <f>"REQ"&amp;TEXT([2]RequestList!$A1539,"0000")</f>
        <v>REQ0000</v>
      </c>
      <c r="P1538" s="7">
        <f>[2]RequestList!$J1539</f>
        <v>0</v>
      </c>
      <c r="Q1538" s="65">
        <f>SUMIF(日報!$R:$R,TEXT(YEAR($Q$2),"0000")&amp;TEXT(MONTH($Q$2),"00")&amp;$O1538,日報!$L:$L)</f>
        <v>0</v>
      </c>
      <c r="R1538" s="65">
        <f ca="1">SUMIF(日報!$J:$J,$O1538,日報!$L:$L)</f>
        <v>0</v>
      </c>
    </row>
    <row r="1539" spans="15:18" x14ac:dyDescent="0.15">
      <c r="O1539" s="7" t="str">
        <f>"REQ"&amp;TEXT([2]RequestList!$A1540,"0000")</f>
        <v>REQ0000</v>
      </c>
      <c r="P1539" s="7">
        <f>[2]RequestList!$J1540</f>
        <v>0</v>
      </c>
      <c r="Q1539" s="65">
        <f>SUMIF(日報!$R:$R,TEXT(YEAR($Q$2),"0000")&amp;TEXT(MONTH($Q$2),"00")&amp;$O1539,日報!$L:$L)</f>
        <v>0</v>
      </c>
      <c r="R1539" s="65">
        <f ca="1">SUMIF(日報!$J:$J,$O1539,日報!$L:$L)</f>
        <v>0</v>
      </c>
    </row>
    <row r="1540" spans="15:18" x14ac:dyDescent="0.15">
      <c r="O1540" s="7" t="str">
        <f>"REQ"&amp;TEXT([2]RequestList!$A1541,"0000")</f>
        <v>REQ0000</v>
      </c>
      <c r="P1540" s="7">
        <f>[2]RequestList!$J1541</f>
        <v>0</v>
      </c>
      <c r="Q1540" s="65">
        <f>SUMIF(日報!$R:$R,TEXT(YEAR($Q$2),"0000")&amp;TEXT(MONTH($Q$2),"00")&amp;$O1540,日報!$L:$L)</f>
        <v>0</v>
      </c>
      <c r="R1540" s="65">
        <f ca="1">SUMIF(日報!$J:$J,$O1540,日報!$L:$L)</f>
        <v>0</v>
      </c>
    </row>
    <row r="1541" spans="15:18" x14ac:dyDescent="0.15">
      <c r="O1541" s="7" t="str">
        <f>"REQ"&amp;TEXT([2]RequestList!$A1542,"0000")</f>
        <v>REQ0000</v>
      </c>
      <c r="P1541" s="7">
        <f>[2]RequestList!$J1542</f>
        <v>0</v>
      </c>
      <c r="Q1541" s="65">
        <f>SUMIF(日報!$R:$R,TEXT(YEAR($Q$2),"0000")&amp;TEXT(MONTH($Q$2),"00")&amp;$O1541,日報!$L:$L)</f>
        <v>0</v>
      </c>
      <c r="R1541" s="65">
        <f ca="1">SUMIF(日報!$J:$J,$O1541,日報!$L:$L)</f>
        <v>0</v>
      </c>
    </row>
    <row r="1542" spans="15:18" x14ac:dyDescent="0.15">
      <c r="O1542" s="7" t="str">
        <f>"REQ"&amp;TEXT([2]RequestList!$A1543,"0000")</f>
        <v>REQ0000</v>
      </c>
      <c r="P1542" s="7">
        <f>[2]RequestList!$J1543</f>
        <v>0</v>
      </c>
      <c r="Q1542" s="65">
        <f>SUMIF(日報!$R:$R,TEXT(YEAR($Q$2),"0000")&amp;TEXT(MONTH($Q$2),"00")&amp;$O1542,日報!$L:$L)</f>
        <v>0</v>
      </c>
      <c r="R1542" s="65">
        <f ca="1">SUMIF(日報!$J:$J,$O1542,日報!$L:$L)</f>
        <v>0</v>
      </c>
    </row>
    <row r="1543" spans="15:18" x14ac:dyDescent="0.15">
      <c r="O1543" s="7" t="str">
        <f>"REQ"&amp;TEXT([2]RequestList!$A1544,"0000")</f>
        <v>REQ0000</v>
      </c>
      <c r="P1543" s="7">
        <f>[2]RequestList!$J1544</f>
        <v>0</v>
      </c>
      <c r="Q1543" s="65">
        <f>SUMIF(日報!$R:$R,TEXT(YEAR($Q$2),"0000")&amp;TEXT(MONTH($Q$2),"00")&amp;$O1543,日報!$L:$L)</f>
        <v>0</v>
      </c>
      <c r="R1543" s="65">
        <f ca="1">SUMIF(日報!$J:$J,$O1543,日報!$L:$L)</f>
        <v>0</v>
      </c>
    </row>
    <row r="1544" spans="15:18" x14ac:dyDescent="0.15">
      <c r="O1544" s="7" t="str">
        <f>"REQ"&amp;TEXT([2]RequestList!$A1545,"0000")</f>
        <v>REQ0000</v>
      </c>
      <c r="P1544" s="7">
        <f>[2]RequestList!$J1545</f>
        <v>0</v>
      </c>
      <c r="Q1544" s="65">
        <f>SUMIF(日報!$R:$R,TEXT(YEAR($Q$2),"0000")&amp;TEXT(MONTH($Q$2),"00")&amp;$O1544,日報!$L:$L)</f>
        <v>0</v>
      </c>
      <c r="R1544" s="65">
        <f ca="1">SUMIF(日報!$J:$J,$O1544,日報!$L:$L)</f>
        <v>0</v>
      </c>
    </row>
    <row r="1545" spans="15:18" x14ac:dyDescent="0.15">
      <c r="O1545" s="7" t="str">
        <f>"REQ"&amp;TEXT([2]RequestList!$A1546,"0000")</f>
        <v>REQ0000</v>
      </c>
      <c r="P1545" s="7">
        <f>[2]RequestList!$J1546</f>
        <v>0</v>
      </c>
      <c r="Q1545" s="65">
        <f>SUMIF(日報!$R:$R,TEXT(YEAR($Q$2),"0000")&amp;TEXT(MONTH($Q$2),"00")&amp;$O1545,日報!$L:$L)</f>
        <v>0</v>
      </c>
      <c r="R1545" s="65">
        <f ca="1">SUMIF(日報!$J:$J,$O1545,日報!$L:$L)</f>
        <v>0</v>
      </c>
    </row>
    <row r="1546" spans="15:18" x14ac:dyDescent="0.15">
      <c r="O1546" s="7" t="str">
        <f>"REQ"&amp;TEXT([2]RequestList!$A1547,"0000")</f>
        <v>REQ0000</v>
      </c>
      <c r="P1546" s="7">
        <f>[2]RequestList!$J1547</f>
        <v>0</v>
      </c>
      <c r="Q1546" s="65">
        <f>SUMIF(日報!$R:$R,TEXT(YEAR($Q$2),"0000")&amp;TEXT(MONTH($Q$2),"00")&amp;$O1546,日報!$L:$L)</f>
        <v>0</v>
      </c>
      <c r="R1546" s="65">
        <f ca="1">SUMIF(日報!$J:$J,$O1546,日報!$L:$L)</f>
        <v>0</v>
      </c>
    </row>
    <row r="1547" spans="15:18" x14ac:dyDescent="0.15">
      <c r="O1547" s="7" t="str">
        <f>"REQ"&amp;TEXT([2]RequestList!$A1548,"0000")</f>
        <v>REQ0000</v>
      </c>
      <c r="P1547" s="7">
        <f>[2]RequestList!$J1548</f>
        <v>0</v>
      </c>
      <c r="Q1547" s="65">
        <f>SUMIF(日報!$R:$R,TEXT(YEAR($Q$2),"0000")&amp;TEXT(MONTH($Q$2),"00")&amp;$O1547,日報!$L:$L)</f>
        <v>0</v>
      </c>
      <c r="R1547" s="65">
        <f ca="1">SUMIF(日報!$J:$J,$O1547,日報!$L:$L)</f>
        <v>0</v>
      </c>
    </row>
    <row r="1548" spans="15:18" x14ac:dyDescent="0.15">
      <c r="O1548" s="7" t="str">
        <f>"REQ"&amp;TEXT([2]RequestList!$A1549,"0000")</f>
        <v>REQ0000</v>
      </c>
      <c r="P1548" s="7">
        <f>[2]RequestList!$J1549</f>
        <v>0</v>
      </c>
      <c r="Q1548" s="65">
        <f>SUMIF(日報!$R:$R,TEXT(YEAR($Q$2),"0000")&amp;TEXT(MONTH($Q$2),"00")&amp;$O1548,日報!$L:$L)</f>
        <v>0</v>
      </c>
      <c r="R1548" s="65">
        <f ca="1">SUMIF(日報!$J:$J,$O1548,日報!$L:$L)</f>
        <v>0</v>
      </c>
    </row>
    <row r="1549" spans="15:18" x14ac:dyDescent="0.15">
      <c r="O1549" s="7" t="str">
        <f>"REQ"&amp;TEXT([2]RequestList!$A1550,"0000")</f>
        <v>REQ0000</v>
      </c>
      <c r="P1549" s="7">
        <f>[2]RequestList!$J1550</f>
        <v>0</v>
      </c>
      <c r="Q1549" s="65">
        <f>SUMIF(日報!$R:$R,TEXT(YEAR($Q$2),"0000")&amp;TEXT(MONTH($Q$2),"00")&amp;$O1549,日報!$L:$L)</f>
        <v>0</v>
      </c>
      <c r="R1549" s="65">
        <f ca="1">SUMIF(日報!$J:$J,$O1549,日報!$L:$L)</f>
        <v>0</v>
      </c>
    </row>
    <row r="1550" spans="15:18" x14ac:dyDescent="0.15">
      <c r="O1550" s="7" t="str">
        <f>"REQ"&amp;TEXT([2]RequestList!$A1551,"0000")</f>
        <v>REQ0000</v>
      </c>
      <c r="P1550" s="7">
        <f>[2]RequestList!$J1551</f>
        <v>0</v>
      </c>
      <c r="Q1550" s="65">
        <f>SUMIF(日報!$R:$R,TEXT(YEAR($Q$2),"0000")&amp;TEXT(MONTH($Q$2),"00")&amp;$O1550,日報!$L:$L)</f>
        <v>0</v>
      </c>
      <c r="R1550" s="65">
        <f ca="1">SUMIF(日報!$J:$J,$O1550,日報!$L:$L)</f>
        <v>0</v>
      </c>
    </row>
    <row r="1551" spans="15:18" x14ac:dyDescent="0.15">
      <c r="O1551" s="7" t="str">
        <f>"REQ"&amp;TEXT([2]RequestList!$A1552,"0000")</f>
        <v>REQ0000</v>
      </c>
      <c r="P1551" s="7">
        <f>[2]RequestList!$J1552</f>
        <v>0</v>
      </c>
      <c r="Q1551" s="65">
        <f>SUMIF(日報!$R:$R,TEXT(YEAR($Q$2),"0000")&amp;TEXT(MONTH($Q$2),"00")&amp;$O1551,日報!$L:$L)</f>
        <v>0</v>
      </c>
      <c r="R1551" s="65">
        <f ca="1">SUMIF(日報!$J:$J,$O1551,日報!$L:$L)</f>
        <v>0</v>
      </c>
    </row>
    <row r="1552" spans="15:18" x14ac:dyDescent="0.15">
      <c r="O1552" s="7" t="str">
        <f>"REQ"&amp;TEXT([2]RequestList!$A1553,"0000")</f>
        <v>REQ0000</v>
      </c>
      <c r="P1552" s="7">
        <f>[2]RequestList!$J1553</f>
        <v>0</v>
      </c>
      <c r="Q1552" s="65">
        <f>SUMIF(日報!$R:$R,TEXT(YEAR($Q$2),"0000")&amp;TEXT(MONTH($Q$2),"00")&amp;$O1552,日報!$L:$L)</f>
        <v>0</v>
      </c>
      <c r="R1552" s="65">
        <f ca="1">SUMIF(日報!$J:$J,$O1552,日報!$L:$L)</f>
        <v>0</v>
      </c>
    </row>
    <row r="1553" spans="15:18" x14ac:dyDescent="0.15">
      <c r="O1553" s="7" t="str">
        <f>"REQ"&amp;TEXT([2]RequestList!$A1554,"0000")</f>
        <v>REQ0000</v>
      </c>
      <c r="P1553" s="7">
        <f>[2]RequestList!$J1554</f>
        <v>0</v>
      </c>
      <c r="Q1553" s="65">
        <f>SUMIF(日報!$R:$R,TEXT(YEAR($Q$2),"0000")&amp;TEXT(MONTH($Q$2),"00")&amp;$O1553,日報!$L:$L)</f>
        <v>0</v>
      </c>
      <c r="R1553" s="65">
        <f ca="1">SUMIF(日報!$J:$J,$O1553,日報!$L:$L)</f>
        <v>0</v>
      </c>
    </row>
    <row r="1554" spans="15:18" x14ac:dyDescent="0.15">
      <c r="O1554" s="7" t="str">
        <f>"REQ"&amp;TEXT([2]RequestList!$A1555,"0000")</f>
        <v>REQ0000</v>
      </c>
      <c r="P1554" s="7">
        <f>[2]RequestList!$J1555</f>
        <v>0</v>
      </c>
      <c r="Q1554" s="65">
        <f>SUMIF(日報!$R:$R,TEXT(YEAR($Q$2),"0000")&amp;TEXT(MONTH($Q$2),"00")&amp;$O1554,日報!$L:$L)</f>
        <v>0</v>
      </c>
      <c r="R1554" s="65">
        <f ca="1">SUMIF(日報!$J:$J,$O1554,日報!$L:$L)</f>
        <v>0</v>
      </c>
    </row>
    <row r="1555" spans="15:18" x14ac:dyDescent="0.15">
      <c r="O1555" s="7" t="str">
        <f>"REQ"&amp;TEXT([2]RequestList!$A1556,"0000")</f>
        <v>REQ0000</v>
      </c>
      <c r="P1555" s="7">
        <f>[2]RequestList!$J1556</f>
        <v>0</v>
      </c>
      <c r="Q1555" s="65">
        <f>SUMIF(日報!$R:$R,TEXT(YEAR($Q$2),"0000")&amp;TEXT(MONTH($Q$2),"00")&amp;$O1555,日報!$L:$L)</f>
        <v>0</v>
      </c>
      <c r="R1555" s="65">
        <f ca="1">SUMIF(日報!$J:$J,$O1555,日報!$L:$L)</f>
        <v>0</v>
      </c>
    </row>
    <row r="1556" spans="15:18" x14ac:dyDescent="0.15">
      <c r="O1556" s="7" t="str">
        <f>"REQ"&amp;TEXT([2]RequestList!$A1557,"0000")</f>
        <v>REQ0000</v>
      </c>
      <c r="P1556" s="7">
        <f>[2]RequestList!$J1557</f>
        <v>0</v>
      </c>
      <c r="Q1556" s="65">
        <f>SUMIF(日報!$R:$R,TEXT(YEAR($Q$2),"0000")&amp;TEXT(MONTH($Q$2),"00")&amp;$O1556,日報!$L:$L)</f>
        <v>0</v>
      </c>
      <c r="R1556" s="65">
        <f ca="1">SUMIF(日報!$J:$J,$O1556,日報!$L:$L)</f>
        <v>0</v>
      </c>
    </row>
    <row r="1557" spans="15:18" x14ac:dyDescent="0.15">
      <c r="O1557" s="7" t="str">
        <f>"REQ"&amp;TEXT([2]RequestList!$A1558,"0000")</f>
        <v>REQ0000</v>
      </c>
      <c r="P1557" s="7">
        <f>[2]RequestList!$J1558</f>
        <v>0</v>
      </c>
      <c r="Q1557" s="65">
        <f>SUMIF(日報!$R:$R,TEXT(YEAR($Q$2),"0000")&amp;TEXT(MONTH($Q$2),"00")&amp;$O1557,日報!$L:$L)</f>
        <v>0</v>
      </c>
      <c r="R1557" s="65">
        <f ca="1">SUMIF(日報!$J:$J,$O1557,日報!$L:$L)</f>
        <v>0</v>
      </c>
    </row>
    <row r="1558" spans="15:18" x14ac:dyDescent="0.15">
      <c r="O1558" s="7" t="str">
        <f>"REQ"&amp;TEXT([2]RequestList!$A1559,"0000")</f>
        <v>REQ0000</v>
      </c>
      <c r="P1558" s="7">
        <f>[2]RequestList!$J1559</f>
        <v>0</v>
      </c>
      <c r="Q1558" s="65">
        <f>SUMIF(日報!$R:$R,TEXT(YEAR($Q$2),"0000")&amp;TEXT(MONTH($Q$2),"00")&amp;$O1558,日報!$L:$L)</f>
        <v>0</v>
      </c>
      <c r="R1558" s="65">
        <f ca="1">SUMIF(日報!$J:$J,$O1558,日報!$L:$L)</f>
        <v>0</v>
      </c>
    </row>
    <row r="1559" spans="15:18" x14ac:dyDescent="0.15">
      <c r="O1559" s="7" t="str">
        <f>"REQ"&amp;TEXT([2]RequestList!$A1560,"0000")</f>
        <v>REQ0000</v>
      </c>
      <c r="P1559" s="7">
        <f>[2]RequestList!$J1560</f>
        <v>0</v>
      </c>
      <c r="Q1559" s="65">
        <f>SUMIF(日報!$R:$R,TEXT(YEAR($Q$2),"0000")&amp;TEXT(MONTH($Q$2),"00")&amp;$O1559,日報!$L:$L)</f>
        <v>0</v>
      </c>
      <c r="R1559" s="65">
        <f ca="1">SUMIF(日報!$J:$J,$O1559,日報!$L:$L)</f>
        <v>0</v>
      </c>
    </row>
    <row r="1560" spans="15:18" x14ac:dyDescent="0.15">
      <c r="O1560" s="7" t="str">
        <f>"REQ"&amp;TEXT([2]RequestList!$A1561,"0000")</f>
        <v>REQ0000</v>
      </c>
      <c r="P1560" s="7">
        <f>[2]RequestList!$J1561</f>
        <v>0</v>
      </c>
      <c r="Q1560" s="65">
        <f>SUMIF(日報!$R:$R,TEXT(YEAR($Q$2),"0000")&amp;TEXT(MONTH($Q$2),"00")&amp;$O1560,日報!$L:$L)</f>
        <v>0</v>
      </c>
      <c r="R1560" s="65">
        <f ca="1">SUMIF(日報!$J:$J,$O1560,日報!$L:$L)</f>
        <v>0</v>
      </c>
    </row>
    <row r="1561" spans="15:18" x14ac:dyDescent="0.15">
      <c r="O1561" s="7" t="str">
        <f>"REQ"&amp;TEXT([2]RequestList!$A1562,"0000")</f>
        <v>REQ0000</v>
      </c>
      <c r="P1561" s="7">
        <f>[2]RequestList!$J1562</f>
        <v>0</v>
      </c>
      <c r="Q1561" s="65">
        <f>SUMIF(日報!$R:$R,TEXT(YEAR($Q$2),"0000")&amp;TEXT(MONTH($Q$2),"00")&amp;$O1561,日報!$L:$L)</f>
        <v>0</v>
      </c>
      <c r="R1561" s="65">
        <f ca="1">SUMIF(日報!$J:$J,$O1561,日報!$L:$L)</f>
        <v>0</v>
      </c>
    </row>
    <row r="1562" spans="15:18" x14ac:dyDescent="0.15">
      <c r="O1562" s="7" t="str">
        <f>"REQ"&amp;TEXT([2]RequestList!$A1563,"0000")</f>
        <v>REQ0000</v>
      </c>
      <c r="P1562" s="7">
        <f>[2]RequestList!$J1563</f>
        <v>0</v>
      </c>
      <c r="Q1562" s="65">
        <f>SUMIF(日報!$R:$R,TEXT(YEAR($Q$2),"0000")&amp;TEXT(MONTH($Q$2),"00")&amp;$O1562,日報!$L:$L)</f>
        <v>0</v>
      </c>
      <c r="R1562" s="65">
        <f ca="1">SUMIF(日報!$J:$J,$O1562,日報!$L:$L)</f>
        <v>0</v>
      </c>
    </row>
    <row r="1563" spans="15:18" x14ac:dyDescent="0.15">
      <c r="O1563" s="7" t="str">
        <f>"REQ"&amp;TEXT([2]RequestList!$A1564,"0000")</f>
        <v>REQ0000</v>
      </c>
      <c r="P1563" s="7">
        <f>[2]RequestList!$J1564</f>
        <v>0</v>
      </c>
      <c r="Q1563" s="65">
        <f>SUMIF(日報!$R:$R,TEXT(YEAR($Q$2),"0000")&amp;TEXT(MONTH($Q$2),"00")&amp;$O1563,日報!$L:$L)</f>
        <v>0</v>
      </c>
      <c r="R1563" s="65">
        <f ca="1">SUMIF(日報!$J:$J,$O1563,日報!$L:$L)</f>
        <v>0</v>
      </c>
    </row>
    <row r="1564" spans="15:18" x14ac:dyDescent="0.15">
      <c r="O1564" s="7" t="str">
        <f>"REQ"&amp;TEXT([2]RequestList!$A1565,"0000")</f>
        <v>REQ0000</v>
      </c>
      <c r="P1564" s="7">
        <f>[2]RequestList!$J1565</f>
        <v>0</v>
      </c>
      <c r="Q1564" s="65">
        <f>SUMIF(日報!$R:$R,TEXT(YEAR($Q$2),"0000")&amp;TEXT(MONTH($Q$2),"00")&amp;$O1564,日報!$L:$L)</f>
        <v>0</v>
      </c>
      <c r="R1564" s="65">
        <f ca="1">SUMIF(日報!$J:$J,$O1564,日報!$L:$L)</f>
        <v>0</v>
      </c>
    </row>
    <row r="1565" spans="15:18" x14ac:dyDescent="0.15">
      <c r="O1565" s="7" t="str">
        <f>"REQ"&amp;TEXT([2]RequestList!$A1566,"0000")</f>
        <v>REQ0000</v>
      </c>
      <c r="P1565" s="7">
        <f>[2]RequestList!$J1566</f>
        <v>0</v>
      </c>
      <c r="Q1565" s="65">
        <f>SUMIF(日報!$R:$R,TEXT(YEAR($Q$2),"0000")&amp;TEXT(MONTH($Q$2),"00")&amp;$O1565,日報!$L:$L)</f>
        <v>0</v>
      </c>
      <c r="R1565" s="65">
        <f ca="1">SUMIF(日報!$J:$J,$O1565,日報!$L:$L)</f>
        <v>0</v>
      </c>
    </row>
    <row r="1566" spans="15:18" x14ac:dyDescent="0.15">
      <c r="O1566" s="7" t="str">
        <f>"REQ"&amp;TEXT([2]RequestList!$A1567,"0000")</f>
        <v>REQ0000</v>
      </c>
      <c r="P1566" s="7">
        <f>[2]RequestList!$J1567</f>
        <v>0</v>
      </c>
      <c r="Q1566" s="65">
        <f>SUMIF(日報!$R:$R,TEXT(YEAR($Q$2),"0000")&amp;TEXT(MONTH($Q$2),"00")&amp;$O1566,日報!$L:$L)</f>
        <v>0</v>
      </c>
      <c r="R1566" s="65">
        <f ca="1">SUMIF(日報!$J:$J,$O1566,日報!$L:$L)</f>
        <v>0</v>
      </c>
    </row>
    <row r="1567" spans="15:18" x14ac:dyDescent="0.15">
      <c r="O1567" s="7" t="str">
        <f>"REQ"&amp;TEXT([2]RequestList!$A1568,"0000")</f>
        <v>REQ0000</v>
      </c>
      <c r="P1567" s="7">
        <f>[2]RequestList!$J1568</f>
        <v>0</v>
      </c>
      <c r="Q1567" s="65">
        <f>SUMIF(日報!$R:$R,TEXT(YEAR($Q$2),"0000")&amp;TEXT(MONTH($Q$2),"00")&amp;$O1567,日報!$L:$L)</f>
        <v>0</v>
      </c>
      <c r="R1567" s="65">
        <f ca="1">SUMIF(日報!$J:$J,$O1567,日報!$L:$L)</f>
        <v>0</v>
      </c>
    </row>
    <row r="1568" spans="15:18" x14ac:dyDescent="0.15">
      <c r="O1568" s="7" t="str">
        <f>"REQ"&amp;TEXT([2]RequestList!$A1569,"0000")</f>
        <v>REQ0000</v>
      </c>
      <c r="P1568" s="7">
        <f>[2]RequestList!$J1569</f>
        <v>0</v>
      </c>
      <c r="Q1568" s="65">
        <f>SUMIF(日報!$R:$R,TEXT(YEAR($Q$2),"0000")&amp;TEXT(MONTH($Q$2),"00")&amp;$O1568,日報!$L:$L)</f>
        <v>0</v>
      </c>
      <c r="R1568" s="65">
        <f ca="1">SUMIF(日報!$J:$J,$O1568,日報!$L:$L)</f>
        <v>0</v>
      </c>
    </row>
    <row r="1569" spans="15:18" x14ac:dyDescent="0.15">
      <c r="O1569" s="7" t="str">
        <f>"REQ"&amp;TEXT([2]RequestList!$A1570,"0000")</f>
        <v>REQ0000</v>
      </c>
      <c r="P1569" s="7">
        <f>[2]RequestList!$J1570</f>
        <v>0</v>
      </c>
      <c r="Q1569" s="65">
        <f>SUMIF(日報!$R:$R,TEXT(YEAR($Q$2),"0000")&amp;TEXT(MONTH($Q$2),"00")&amp;$O1569,日報!$L:$L)</f>
        <v>0</v>
      </c>
      <c r="R1569" s="65">
        <f ca="1">SUMIF(日報!$J:$J,$O1569,日報!$L:$L)</f>
        <v>0</v>
      </c>
    </row>
    <row r="1570" spans="15:18" x14ac:dyDescent="0.15">
      <c r="O1570" s="7" t="str">
        <f>"REQ"&amp;TEXT([2]RequestList!$A1571,"0000")</f>
        <v>REQ0000</v>
      </c>
      <c r="P1570" s="7">
        <f>[2]RequestList!$J1571</f>
        <v>0</v>
      </c>
      <c r="Q1570" s="65">
        <f>SUMIF(日報!$R:$R,TEXT(YEAR($Q$2),"0000")&amp;TEXT(MONTH($Q$2),"00")&amp;$O1570,日報!$L:$L)</f>
        <v>0</v>
      </c>
      <c r="R1570" s="65">
        <f ca="1">SUMIF(日報!$J:$J,$O1570,日報!$L:$L)</f>
        <v>0</v>
      </c>
    </row>
    <row r="1571" spans="15:18" x14ac:dyDescent="0.15">
      <c r="O1571" s="7" t="str">
        <f>"REQ"&amp;TEXT([2]RequestList!$A1572,"0000")</f>
        <v>REQ0000</v>
      </c>
      <c r="P1571" s="7">
        <f>[2]RequestList!$J1572</f>
        <v>0</v>
      </c>
      <c r="Q1571" s="65">
        <f>SUMIF(日報!$R:$R,TEXT(YEAR($Q$2),"0000")&amp;TEXT(MONTH($Q$2),"00")&amp;$O1571,日報!$L:$L)</f>
        <v>0</v>
      </c>
      <c r="R1571" s="65">
        <f ca="1">SUMIF(日報!$J:$J,$O1571,日報!$L:$L)</f>
        <v>0</v>
      </c>
    </row>
    <row r="1572" spans="15:18" x14ac:dyDescent="0.15">
      <c r="O1572" s="7" t="str">
        <f>"REQ"&amp;TEXT([2]RequestList!$A1573,"0000")</f>
        <v>REQ0000</v>
      </c>
      <c r="P1572" s="7">
        <f>[2]RequestList!$J1573</f>
        <v>0</v>
      </c>
      <c r="Q1572" s="65">
        <f>SUMIF(日報!$R:$R,TEXT(YEAR($Q$2),"0000")&amp;TEXT(MONTH($Q$2),"00")&amp;$O1572,日報!$L:$L)</f>
        <v>0</v>
      </c>
      <c r="R1572" s="65">
        <f ca="1">SUMIF(日報!$J:$J,$O1572,日報!$L:$L)</f>
        <v>0</v>
      </c>
    </row>
    <row r="1573" spans="15:18" x14ac:dyDescent="0.15">
      <c r="O1573" s="7" t="str">
        <f>"REQ"&amp;TEXT([2]RequestList!$A1574,"0000")</f>
        <v>REQ0000</v>
      </c>
      <c r="P1573" s="7">
        <f>[2]RequestList!$J1574</f>
        <v>0</v>
      </c>
      <c r="Q1573" s="65">
        <f>SUMIF(日報!$R:$R,TEXT(YEAR($Q$2),"0000")&amp;TEXT(MONTH($Q$2),"00")&amp;$O1573,日報!$L:$L)</f>
        <v>0</v>
      </c>
      <c r="R1573" s="65">
        <f ca="1">SUMIF(日報!$J:$J,$O1573,日報!$L:$L)</f>
        <v>0</v>
      </c>
    </row>
    <row r="1574" spans="15:18" x14ac:dyDescent="0.15">
      <c r="O1574" s="7" t="str">
        <f>"REQ"&amp;TEXT([2]RequestList!$A1575,"0000")</f>
        <v>REQ0000</v>
      </c>
      <c r="P1574" s="7">
        <f>[2]RequestList!$J1575</f>
        <v>0</v>
      </c>
      <c r="Q1574" s="65">
        <f>SUMIF(日報!$R:$R,TEXT(YEAR($Q$2),"0000")&amp;TEXT(MONTH($Q$2),"00")&amp;$O1574,日報!$L:$L)</f>
        <v>0</v>
      </c>
      <c r="R1574" s="65">
        <f ca="1">SUMIF(日報!$J:$J,$O1574,日報!$L:$L)</f>
        <v>0</v>
      </c>
    </row>
    <row r="1575" spans="15:18" x14ac:dyDescent="0.15">
      <c r="O1575" s="7" t="str">
        <f>"REQ"&amp;TEXT([2]RequestList!$A1576,"0000")</f>
        <v>REQ0000</v>
      </c>
      <c r="P1575" s="7">
        <f>[2]RequestList!$J1576</f>
        <v>0</v>
      </c>
      <c r="Q1575" s="65">
        <f>SUMIF(日報!$R:$R,TEXT(YEAR($Q$2),"0000")&amp;TEXT(MONTH($Q$2),"00")&amp;$O1575,日報!$L:$L)</f>
        <v>0</v>
      </c>
      <c r="R1575" s="65">
        <f ca="1">SUMIF(日報!$J:$J,$O1575,日報!$L:$L)</f>
        <v>0</v>
      </c>
    </row>
    <row r="1576" spans="15:18" x14ac:dyDescent="0.15">
      <c r="O1576" s="7" t="str">
        <f>"REQ"&amp;TEXT([2]RequestList!$A1577,"0000")</f>
        <v>REQ0000</v>
      </c>
      <c r="P1576" s="7">
        <f>[2]RequestList!$J1577</f>
        <v>0</v>
      </c>
      <c r="Q1576" s="65">
        <f>SUMIF(日報!$R:$R,TEXT(YEAR($Q$2),"0000")&amp;TEXT(MONTH($Q$2),"00")&amp;$O1576,日報!$L:$L)</f>
        <v>0</v>
      </c>
      <c r="R1576" s="65">
        <f ca="1">SUMIF(日報!$J:$J,$O1576,日報!$L:$L)</f>
        <v>0</v>
      </c>
    </row>
    <row r="1577" spans="15:18" x14ac:dyDescent="0.15">
      <c r="O1577" s="7" t="str">
        <f>"REQ"&amp;TEXT([2]RequestList!$A1578,"0000")</f>
        <v>REQ0000</v>
      </c>
      <c r="P1577" s="7">
        <f>[2]RequestList!$J1578</f>
        <v>0</v>
      </c>
      <c r="Q1577" s="65">
        <f>SUMIF(日報!$R:$R,TEXT(YEAR($Q$2),"0000")&amp;TEXT(MONTH($Q$2),"00")&amp;$O1577,日報!$L:$L)</f>
        <v>0</v>
      </c>
      <c r="R1577" s="65">
        <f ca="1">SUMIF(日報!$J:$J,$O1577,日報!$L:$L)</f>
        <v>0</v>
      </c>
    </row>
    <row r="1578" spans="15:18" x14ac:dyDescent="0.15">
      <c r="O1578" s="7" t="str">
        <f>"REQ"&amp;TEXT([2]RequestList!$A1579,"0000")</f>
        <v>REQ0000</v>
      </c>
      <c r="P1578" s="7">
        <f>[2]RequestList!$J1579</f>
        <v>0</v>
      </c>
      <c r="Q1578" s="65">
        <f>SUMIF(日報!$R:$R,TEXT(YEAR($Q$2),"0000")&amp;TEXT(MONTH($Q$2),"00")&amp;$O1578,日報!$L:$L)</f>
        <v>0</v>
      </c>
      <c r="R1578" s="65">
        <f ca="1">SUMIF(日報!$J:$J,$O1578,日報!$L:$L)</f>
        <v>0</v>
      </c>
    </row>
    <row r="1579" spans="15:18" x14ac:dyDescent="0.15">
      <c r="O1579" s="7" t="str">
        <f>"REQ"&amp;TEXT([2]RequestList!$A1580,"0000")</f>
        <v>REQ0000</v>
      </c>
      <c r="P1579" s="7">
        <f>[2]RequestList!$J1580</f>
        <v>0</v>
      </c>
      <c r="Q1579" s="65">
        <f>SUMIF(日報!$R:$R,TEXT(YEAR($Q$2),"0000")&amp;TEXT(MONTH($Q$2),"00")&amp;$O1579,日報!$L:$L)</f>
        <v>0</v>
      </c>
      <c r="R1579" s="65">
        <f ca="1">SUMIF(日報!$J:$J,$O1579,日報!$L:$L)</f>
        <v>0</v>
      </c>
    </row>
    <row r="1580" spans="15:18" x14ac:dyDescent="0.15">
      <c r="O1580" s="7" t="str">
        <f>"REQ"&amp;TEXT([2]RequestList!$A1581,"0000")</f>
        <v>REQ0000</v>
      </c>
      <c r="P1580" s="7">
        <f>[2]RequestList!$J1581</f>
        <v>0</v>
      </c>
      <c r="Q1580" s="65">
        <f>SUMIF(日報!$R:$R,TEXT(YEAR($Q$2),"0000")&amp;TEXT(MONTH($Q$2),"00")&amp;$O1580,日報!$L:$L)</f>
        <v>0</v>
      </c>
      <c r="R1580" s="65">
        <f ca="1">SUMIF(日報!$J:$J,$O1580,日報!$L:$L)</f>
        <v>0</v>
      </c>
    </row>
    <row r="1581" spans="15:18" x14ac:dyDescent="0.15">
      <c r="O1581" s="7" t="str">
        <f>"REQ"&amp;TEXT([2]RequestList!$A1582,"0000")</f>
        <v>REQ0000</v>
      </c>
      <c r="P1581" s="7">
        <f>[2]RequestList!$J1582</f>
        <v>0</v>
      </c>
      <c r="Q1581" s="65">
        <f>SUMIF(日報!$R:$R,TEXT(YEAR($Q$2),"0000")&amp;TEXT(MONTH($Q$2),"00")&amp;$O1581,日報!$L:$L)</f>
        <v>0</v>
      </c>
      <c r="R1581" s="65">
        <f ca="1">SUMIF(日報!$J:$J,$O1581,日報!$L:$L)</f>
        <v>0</v>
      </c>
    </row>
    <row r="1582" spans="15:18" x14ac:dyDescent="0.15">
      <c r="O1582" s="7" t="str">
        <f>"REQ"&amp;TEXT([2]RequestList!$A1583,"0000")</f>
        <v>REQ0000</v>
      </c>
      <c r="P1582" s="7">
        <f>[2]RequestList!$J1583</f>
        <v>0</v>
      </c>
      <c r="Q1582" s="65">
        <f>SUMIF(日報!$R:$R,TEXT(YEAR($Q$2),"0000")&amp;TEXT(MONTH($Q$2),"00")&amp;$O1582,日報!$L:$L)</f>
        <v>0</v>
      </c>
      <c r="R1582" s="65">
        <f ca="1">SUMIF(日報!$J:$J,$O1582,日報!$L:$L)</f>
        <v>0</v>
      </c>
    </row>
    <row r="1583" spans="15:18" x14ac:dyDescent="0.15">
      <c r="O1583" s="7" t="str">
        <f>"REQ"&amp;TEXT([2]RequestList!$A1584,"0000")</f>
        <v>REQ0000</v>
      </c>
      <c r="P1583" s="7">
        <f>[2]RequestList!$J1584</f>
        <v>0</v>
      </c>
      <c r="Q1583" s="65">
        <f>SUMIF(日報!$R:$R,TEXT(YEAR($Q$2),"0000")&amp;TEXT(MONTH($Q$2),"00")&amp;$O1583,日報!$L:$L)</f>
        <v>0</v>
      </c>
      <c r="R1583" s="65">
        <f ca="1">SUMIF(日報!$J:$J,$O1583,日報!$L:$L)</f>
        <v>0</v>
      </c>
    </row>
    <row r="1584" spans="15:18" x14ac:dyDescent="0.15">
      <c r="O1584" s="7" t="str">
        <f>"REQ"&amp;TEXT([2]RequestList!$A1585,"0000")</f>
        <v>REQ0000</v>
      </c>
      <c r="P1584" s="7">
        <f>[2]RequestList!$J1585</f>
        <v>0</v>
      </c>
      <c r="Q1584" s="65">
        <f>SUMIF(日報!$R:$R,TEXT(YEAR($Q$2),"0000")&amp;TEXT(MONTH($Q$2),"00")&amp;$O1584,日報!$L:$L)</f>
        <v>0</v>
      </c>
      <c r="R1584" s="65">
        <f ca="1">SUMIF(日報!$J:$J,$O1584,日報!$L:$L)</f>
        <v>0</v>
      </c>
    </row>
    <row r="1585" spans="15:18" x14ac:dyDescent="0.15">
      <c r="O1585" s="7" t="str">
        <f>"REQ"&amp;TEXT([2]RequestList!$A1586,"0000")</f>
        <v>REQ0000</v>
      </c>
      <c r="P1585" s="7">
        <f>[2]RequestList!$J1586</f>
        <v>0</v>
      </c>
      <c r="Q1585" s="65">
        <f>SUMIF(日報!$R:$R,TEXT(YEAR($Q$2),"0000")&amp;TEXT(MONTH($Q$2),"00")&amp;$O1585,日報!$L:$L)</f>
        <v>0</v>
      </c>
      <c r="R1585" s="65">
        <f ca="1">SUMIF(日報!$J:$J,$O1585,日報!$L:$L)</f>
        <v>0</v>
      </c>
    </row>
    <row r="1586" spans="15:18" x14ac:dyDescent="0.15">
      <c r="O1586" s="7" t="str">
        <f>"REQ"&amp;TEXT([2]RequestList!$A1587,"0000")</f>
        <v>REQ0000</v>
      </c>
      <c r="P1586" s="7">
        <f>[2]RequestList!$J1587</f>
        <v>0</v>
      </c>
      <c r="Q1586" s="65">
        <f>SUMIF(日報!$R:$R,TEXT(YEAR($Q$2),"0000")&amp;TEXT(MONTH($Q$2),"00")&amp;$O1586,日報!$L:$L)</f>
        <v>0</v>
      </c>
      <c r="R1586" s="65">
        <f ca="1">SUMIF(日報!$J:$J,$O1586,日報!$L:$L)</f>
        <v>0</v>
      </c>
    </row>
    <row r="1587" spans="15:18" x14ac:dyDescent="0.15">
      <c r="O1587" s="7" t="str">
        <f>"REQ"&amp;TEXT([2]RequestList!$A1588,"0000")</f>
        <v>REQ0000</v>
      </c>
      <c r="P1587" s="7">
        <f>[2]RequestList!$J1588</f>
        <v>0</v>
      </c>
      <c r="Q1587" s="65">
        <f>SUMIF(日報!$R:$R,TEXT(YEAR($Q$2),"0000")&amp;TEXT(MONTH($Q$2),"00")&amp;$O1587,日報!$L:$L)</f>
        <v>0</v>
      </c>
      <c r="R1587" s="65">
        <f ca="1">SUMIF(日報!$J:$J,$O1587,日報!$L:$L)</f>
        <v>0</v>
      </c>
    </row>
    <row r="1588" spans="15:18" x14ac:dyDescent="0.15">
      <c r="O1588" s="7" t="str">
        <f>"REQ"&amp;TEXT([2]RequestList!$A1589,"0000")</f>
        <v>REQ0000</v>
      </c>
      <c r="P1588" s="7">
        <f>[2]RequestList!$J1589</f>
        <v>0</v>
      </c>
      <c r="Q1588" s="65">
        <f>SUMIF(日報!$R:$R,TEXT(YEAR($Q$2),"0000")&amp;TEXT(MONTH($Q$2),"00")&amp;$O1588,日報!$L:$L)</f>
        <v>0</v>
      </c>
      <c r="R1588" s="65">
        <f ca="1">SUMIF(日報!$J:$J,$O1588,日報!$L:$L)</f>
        <v>0</v>
      </c>
    </row>
    <row r="1589" spans="15:18" x14ac:dyDescent="0.15">
      <c r="O1589" s="7" t="str">
        <f>"REQ"&amp;TEXT([2]RequestList!$A1590,"0000")</f>
        <v>REQ0000</v>
      </c>
      <c r="P1589" s="7">
        <f>[2]RequestList!$J1590</f>
        <v>0</v>
      </c>
      <c r="Q1589" s="65">
        <f>SUMIF(日報!$R:$R,TEXT(YEAR($Q$2),"0000")&amp;TEXT(MONTH($Q$2),"00")&amp;$O1589,日報!$L:$L)</f>
        <v>0</v>
      </c>
      <c r="R1589" s="65">
        <f ca="1">SUMIF(日報!$J:$J,$O1589,日報!$L:$L)</f>
        <v>0</v>
      </c>
    </row>
    <row r="1590" spans="15:18" x14ac:dyDescent="0.15">
      <c r="O1590" s="7" t="str">
        <f>"REQ"&amp;TEXT([2]RequestList!$A1591,"0000")</f>
        <v>REQ0000</v>
      </c>
      <c r="P1590" s="7">
        <f>[2]RequestList!$J1591</f>
        <v>0</v>
      </c>
      <c r="Q1590" s="65">
        <f>SUMIF(日報!$R:$R,TEXT(YEAR($Q$2),"0000")&amp;TEXT(MONTH($Q$2),"00")&amp;$O1590,日報!$L:$L)</f>
        <v>0</v>
      </c>
      <c r="R1590" s="65">
        <f ca="1">SUMIF(日報!$J:$J,$O1590,日報!$L:$L)</f>
        <v>0</v>
      </c>
    </row>
    <row r="1591" spans="15:18" x14ac:dyDescent="0.15">
      <c r="O1591" s="7" t="str">
        <f>"REQ"&amp;TEXT([2]RequestList!$A1592,"0000")</f>
        <v>REQ0000</v>
      </c>
      <c r="P1591" s="7">
        <f>[2]RequestList!$J1592</f>
        <v>0</v>
      </c>
      <c r="Q1591" s="65">
        <f>SUMIF(日報!$R:$R,TEXT(YEAR($Q$2),"0000")&amp;TEXT(MONTH($Q$2),"00")&amp;$O1591,日報!$L:$L)</f>
        <v>0</v>
      </c>
      <c r="R1591" s="65">
        <f ca="1">SUMIF(日報!$J:$J,$O1591,日報!$L:$L)</f>
        <v>0</v>
      </c>
    </row>
    <row r="1592" spans="15:18" x14ac:dyDescent="0.15">
      <c r="O1592" s="7" t="str">
        <f>"REQ"&amp;TEXT([2]RequestList!$A1593,"0000")</f>
        <v>REQ0000</v>
      </c>
      <c r="P1592" s="7">
        <f>[2]RequestList!$J1593</f>
        <v>0</v>
      </c>
      <c r="Q1592" s="65">
        <f>SUMIF(日報!$R:$R,TEXT(YEAR($Q$2),"0000")&amp;TEXT(MONTH($Q$2),"00")&amp;$O1592,日報!$L:$L)</f>
        <v>0</v>
      </c>
      <c r="R1592" s="65">
        <f ca="1">SUMIF(日報!$J:$J,$O1592,日報!$L:$L)</f>
        <v>0</v>
      </c>
    </row>
    <row r="1593" spans="15:18" x14ac:dyDescent="0.15">
      <c r="O1593" s="7" t="str">
        <f>"REQ"&amp;TEXT([2]RequestList!$A1594,"0000")</f>
        <v>REQ0000</v>
      </c>
      <c r="P1593" s="7">
        <f>[2]RequestList!$J1594</f>
        <v>0</v>
      </c>
      <c r="Q1593" s="65">
        <f>SUMIF(日報!$R:$R,TEXT(YEAR($Q$2),"0000")&amp;TEXT(MONTH($Q$2),"00")&amp;$O1593,日報!$L:$L)</f>
        <v>0</v>
      </c>
      <c r="R1593" s="65">
        <f ca="1">SUMIF(日報!$J:$J,$O1593,日報!$L:$L)</f>
        <v>0</v>
      </c>
    </row>
    <row r="1594" spans="15:18" x14ac:dyDescent="0.15">
      <c r="O1594" s="7" t="str">
        <f>"REQ"&amp;TEXT([2]RequestList!$A1595,"0000")</f>
        <v>REQ0000</v>
      </c>
      <c r="P1594" s="7">
        <f>[2]RequestList!$J1595</f>
        <v>0</v>
      </c>
      <c r="Q1594" s="65">
        <f>SUMIF(日報!$R:$R,TEXT(YEAR($Q$2),"0000")&amp;TEXT(MONTH($Q$2),"00")&amp;$O1594,日報!$L:$L)</f>
        <v>0</v>
      </c>
      <c r="R1594" s="65">
        <f ca="1">SUMIF(日報!$J:$J,$O1594,日報!$L:$L)</f>
        <v>0</v>
      </c>
    </row>
    <row r="1595" spans="15:18" x14ac:dyDescent="0.15">
      <c r="O1595" s="7" t="str">
        <f>"REQ"&amp;TEXT([2]RequestList!$A1596,"0000")</f>
        <v>REQ0000</v>
      </c>
      <c r="P1595" s="7">
        <f>[2]RequestList!$J1596</f>
        <v>0</v>
      </c>
      <c r="Q1595" s="65">
        <f>SUMIF(日報!$R:$R,TEXT(YEAR($Q$2),"0000")&amp;TEXT(MONTH($Q$2),"00")&amp;$O1595,日報!$L:$L)</f>
        <v>0</v>
      </c>
      <c r="R1595" s="65">
        <f ca="1">SUMIF(日報!$J:$J,$O1595,日報!$L:$L)</f>
        <v>0</v>
      </c>
    </row>
    <row r="1596" spans="15:18" x14ac:dyDescent="0.15">
      <c r="O1596" s="7" t="str">
        <f>"REQ"&amp;TEXT([2]RequestList!$A1597,"0000")</f>
        <v>REQ0000</v>
      </c>
      <c r="P1596" s="7">
        <f>[2]RequestList!$J1597</f>
        <v>0</v>
      </c>
      <c r="Q1596" s="65">
        <f>SUMIF(日報!$R:$R,TEXT(YEAR($Q$2),"0000")&amp;TEXT(MONTH($Q$2),"00")&amp;$O1596,日報!$L:$L)</f>
        <v>0</v>
      </c>
      <c r="R1596" s="65">
        <f ca="1">SUMIF(日報!$J:$J,$O1596,日報!$L:$L)</f>
        <v>0</v>
      </c>
    </row>
    <row r="1597" spans="15:18" x14ac:dyDescent="0.15">
      <c r="O1597" s="7" t="str">
        <f>"REQ"&amp;TEXT([2]RequestList!$A1598,"0000")</f>
        <v>REQ0000</v>
      </c>
      <c r="P1597" s="7">
        <f>[2]RequestList!$J1598</f>
        <v>0</v>
      </c>
      <c r="Q1597" s="65">
        <f>SUMIF(日報!$R:$R,TEXT(YEAR($Q$2),"0000")&amp;TEXT(MONTH($Q$2),"00")&amp;$O1597,日報!$L:$L)</f>
        <v>0</v>
      </c>
      <c r="R1597" s="65">
        <f ca="1">SUMIF(日報!$J:$J,$O1597,日報!$L:$L)</f>
        <v>0</v>
      </c>
    </row>
    <row r="1598" spans="15:18" x14ac:dyDescent="0.15">
      <c r="O1598" s="7" t="str">
        <f>"REQ"&amp;TEXT([2]RequestList!$A1599,"0000")</f>
        <v>REQ0000</v>
      </c>
      <c r="P1598" s="7">
        <f>[2]RequestList!$J1599</f>
        <v>0</v>
      </c>
      <c r="Q1598" s="65">
        <f>SUMIF(日報!$R:$R,TEXT(YEAR($Q$2),"0000")&amp;TEXT(MONTH($Q$2),"00")&amp;$O1598,日報!$L:$L)</f>
        <v>0</v>
      </c>
      <c r="R1598" s="65">
        <f ca="1">SUMIF(日報!$J:$J,$O1598,日報!$L:$L)</f>
        <v>0</v>
      </c>
    </row>
    <row r="1599" spans="15:18" x14ac:dyDescent="0.15">
      <c r="O1599" s="7" t="str">
        <f>"REQ"&amp;TEXT([2]RequestList!$A1600,"0000")</f>
        <v>REQ0000</v>
      </c>
      <c r="P1599" s="7">
        <f>[2]RequestList!$J1600</f>
        <v>0</v>
      </c>
      <c r="Q1599" s="65">
        <f>SUMIF(日報!$R:$R,TEXT(YEAR($Q$2),"0000")&amp;TEXT(MONTH($Q$2),"00")&amp;$O1599,日報!$L:$L)</f>
        <v>0</v>
      </c>
      <c r="R1599" s="65">
        <f ca="1">SUMIF(日報!$J:$J,$O1599,日報!$L:$L)</f>
        <v>0</v>
      </c>
    </row>
    <row r="1600" spans="15:18" x14ac:dyDescent="0.15">
      <c r="O1600" s="7" t="str">
        <f>"REQ"&amp;TEXT([2]RequestList!$A1601,"0000")</f>
        <v>REQ0000</v>
      </c>
      <c r="P1600" s="7">
        <f>[2]RequestList!$J1601</f>
        <v>0</v>
      </c>
      <c r="Q1600" s="65">
        <f>SUMIF(日報!$R:$R,TEXT(YEAR($Q$2),"0000")&amp;TEXT(MONTH($Q$2),"00")&amp;$O1600,日報!$L:$L)</f>
        <v>0</v>
      </c>
      <c r="R1600" s="65">
        <f ca="1">SUMIF(日報!$J:$J,$O1600,日報!$L:$L)</f>
        <v>0</v>
      </c>
    </row>
    <row r="1601" spans="15:18" x14ac:dyDescent="0.15">
      <c r="O1601" s="7" t="str">
        <f>"REQ"&amp;TEXT([2]RequestList!$A1602,"0000")</f>
        <v>REQ0000</v>
      </c>
      <c r="P1601" s="7">
        <f>[2]RequestList!$J1602</f>
        <v>0</v>
      </c>
      <c r="Q1601" s="65">
        <f>SUMIF(日報!$R:$R,TEXT(YEAR($Q$2),"0000")&amp;TEXT(MONTH($Q$2),"00")&amp;$O1601,日報!$L:$L)</f>
        <v>0</v>
      </c>
      <c r="R1601" s="65">
        <f ca="1">SUMIF(日報!$J:$J,$O1601,日報!$L:$L)</f>
        <v>0</v>
      </c>
    </row>
    <row r="1602" spans="15:18" x14ac:dyDescent="0.15">
      <c r="O1602" s="7" t="str">
        <f>"REQ"&amp;TEXT([2]RequestList!$A1603,"0000")</f>
        <v>REQ0000</v>
      </c>
      <c r="P1602" s="7">
        <f>[2]RequestList!$J1603</f>
        <v>0</v>
      </c>
      <c r="Q1602" s="65">
        <f>SUMIF(日報!$R:$R,TEXT(YEAR($Q$2),"0000")&amp;TEXT(MONTH($Q$2),"00")&amp;$O1602,日報!$L:$L)</f>
        <v>0</v>
      </c>
      <c r="R1602" s="65">
        <f ca="1">SUMIF(日報!$J:$J,$O1602,日報!$L:$L)</f>
        <v>0</v>
      </c>
    </row>
    <row r="1603" spans="15:18" x14ac:dyDescent="0.15">
      <c r="O1603" s="7" t="str">
        <f>"REQ"&amp;TEXT([2]RequestList!$A1604,"0000")</f>
        <v>REQ0000</v>
      </c>
      <c r="P1603" s="7">
        <f>[2]RequestList!$J1604</f>
        <v>0</v>
      </c>
      <c r="Q1603" s="65">
        <f>SUMIF(日報!$R:$R,TEXT(YEAR($Q$2),"0000")&amp;TEXT(MONTH($Q$2),"00")&amp;$O1603,日報!$L:$L)</f>
        <v>0</v>
      </c>
      <c r="R1603" s="65">
        <f ca="1">SUMIF(日報!$J:$J,$O1603,日報!$L:$L)</f>
        <v>0</v>
      </c>
    </row>
    <row r="1604" spans="15:18" x14ac:dyDescent="0.15">
      <c r="O1604" s="7" t="str">
        <f>"REQ"&amp;TEXT([2]RequestList!$A1605,"0000")</f>
        <v>REQ0000</v>
      </c>
      <c r="P1604" s="7">
        <f>[2]RequestList!$J1605</f>
        <v>0</v>
      </c>
      <c r="Q1604" s="65">
        <f>SUMIF(日報!$R:$R,TEXT(YEAR($Q$2),"0000")&amp;TEXT(MONTH($Q$2),"00")&amp;$O1604,日報!$L:$L)</f>
        <v>0</v>
      </c>
      <c r="R1604" s="65">
        <f ca="1">SUMIF(日報!$J:$J,$O1604,日報!$L:$L)</f>
        <v>0</v>
      </c>
    </row>
    <row r="1605" spans="15:18" x14ac:dyDescent="0.15">
      <c r="O1605" s="7" t="str">
        <f>"REQ"&amp;TEXT([2]RequestList!$A1606,"0000")</f>
        <v>REQ0000</v>
      </c>
      <c r="P1605" s="7">
        <f>[2]RequestList!$J1606</f>
        <v>0</v>
      </c>
      <c r="Q1605" s="65">
        <f>SUMIF(日報!$R:$R,TEXT(YEAR($Q$2),"0000")&amp;TEXT(MONTH($Q$2),"00")&amp;$O1605,日報!$L:$L)</f>
        <v>0</v>
      </c>
      <c r="R1605" s="65">
        <f ca="1">SUMIF(日報!$J:$J,$O1605,日報!$L:$L)</f>
        <v>0</v>
      </c>
    </row>
    <row r="1606" spans="15:18" x14ac:dyDescent="0.15">
      <c r="O1606" s="7" t="str">
        <f>"REQ"&amp;TEXT([2]RequestList!$A1607,"0000")</f>
        <v>REQ0000</v>
      </c>
      <c r="P1606" s="7">
        <f>[2]RequestList!$J1607</f>
        <v>0</v>
      </c>
      <c r="Q1606" s="65">
        <f>SUMIF(日報!$R:$R,TEXT(YEAR($Q$2),"0000")&amp;TEXT(MONTH($Q$2),"00")&amp;$O1606,日報!$L:$L)</f>
        <v>0</v>
      </c>
      <c r="R1606" s="65">
        <f ca="1">SUMIF(日報!$J:$J,$O1606,日報!$L:$L)</f>
        <v>0</v>
      </c>
    </row>
    <row r="1607" spans="15:18" x14ac:dyDescent="0.15">
      <c r="O1607" s="7" t="str">
        <f>"REQ"&amp;TEXT([2]RequestList!$A1608,"0000")</f>
        <v>REQ0000</v>
      </c>
      <c r="P1607" s="7">
        <f>[2]RequestList!$J1608</f>
        <v>0</v>
      </c>
      <c r="Q1607" s="65">
        <f>SUMIF(日報!$R:$R,TEXT(YEAR($Q$2),"0000")&amp;TEXT(MONTH($Q$2),"00")&amp;$O1607,日報!$L:$L)</f>
        <v>0</v>
      </c>
      <c r="R1607" s="65">
        <f ca="1">SUMIF(日報!$J:$J,$O1607,日報!$L:$L)</f>
        <v>0</v>
      </c>
    </row>
    <row r="1608" spans="15:18" x14ac:dyDescent="0.15">
      <c r="O1608" s="7" t="str">
        <f>"REQ"&amp;TEXT([2]RequestList!$A1609,"0000")</f>
        <v>REQ0000</v>
      </c>
      <c r="P1608" s="7">
        <f>[2]RequestList!$J1609</f>
        <v>0</v>
      </c>
      <c r="Q1608" s="65">
        <f>SUMIF(日報!$R:$R,TEXT(YEAR($Q$2),"0000")&amp;TEXT(MONTH($Q$2),"00")&amp;$O1608,日報!$L:$L)</f>
        <v>0</v>
      </c>
      <c r="R1608" s="65">
        <f ca="1">SUMIF(日報!$J:$J,$O1608,日報!$L:$L)</f>
        <v>0</v>
      </c>
    </row>
    <row r="1609" spans="15:18" x14ac:dyDescent="0.15">
      <c r="O1609" s="7" t="str">
        <f>"REQ"&amp;TEXT([2]RequestList!$A1610,"0000")</f>
        <v>REQ0000</v>
      </c>
      <c r="P1609" s="7">
        <f>[2]RequestList!$J1610</f>
        <v>0</v>
      </c>
      <c r="Q1609" s="65">
        <f>SUMIF(日報!$R:$R,TEXT(YEAR($Q$2),"0000")&amp;TEXT(MONTH($Q$2),"00")&amp;$O1609,日報!$L:$L)</f>
        <v>0</v>
      </c>
      <c r="R1609" s="65">
        <f ca="1">SUMIF(日報!$J:$J,$O1609,日報!$L:$L)</f>
        <v>0</v>
      </c>
    </row>
    <row r="1610" spans="15:18" x14ac:dyDescent="0.15">
      <c r="O1610" s="7" t="str">
        <f>"REQ"&amp;TEXT([2]RequestList!$A1611,"0000")</f>
        <v>REQ0000</v>
      </c>
      <c r="P1610" s="7">
        <f>[2]RequestList!$J1611</f>
        <v>0</v>
      </c>
      <c r="Q1610" s="65">
        <f>SUMIF(日報!$R:$R,TEXT(YEAR($Q$2),"0000")&amp;TEXT(MONTH($Q$2),"00")&amp;$O1610,日報!$L:$L)</f>
        <v>0</v>
      </c>
      <c r="R1610" s="65">
        <f ca="1">SUMIF(日報!$J:$J,$O1610,日報!$L:$L)</f>
        <v>0</v>
      </c>
    </row>
    <row r="1611" spans="15:18" x14ac:dyDescent="0.15">
      <c r="O1611" s="7" t="str">
        <f>"REQ"&amp;TEXT([2]RequestList!$A1612,"0000")</f>
        <v>REQ0000</v>
      </c>
      <c r="P1611" s="7">
        <f>[2]RequestList!$J1612</f>
        <v>0</v>
      </c>
      <c r="Q1611" s="65">
        <f>SUMIF(日報!$R:$R,TEXT(YEAR($Q$2),"0000")&amp;TEXT(MONTH($Q$2),"00")&amp;$O1611,日報!$L:$L)</f>
        <v>0</v>
      </c>
      <c r="R1611" s="65">
        <f ca="1">SUMIF(日報!$J:$J,$O1611,日報!$L:$L)</f>
        <v>0</v>
      </c>
    </row>
    <row r="1612" spans="15:18" x14ac:dyDescent="0.15">
      <c r="O1612" s="7" t="str">
        <f>"REQ"&amp;TEXT([2]RequestList!$A1613,"0000")</f>
        <v>REQ0000</v>
      </c>
      <c r="P1612" s="7">
        <f>[2]RequestList!$J1613</f>
        <v>0</v>
      </c>
      <c r="Q1612" s="65">
        <f>SUMIF(日報!$R:$R,TEXT(YEAR($Q$2),"0000")&amp;TEXT(MONTH($Q$2),"00")&amp;$O1612,日報!$L:$L)</f>
        <v>0</v>
      </c>
      <c r="R1612" s="65">
        <f ca="1">SUMIF(日報!$J:$J,$O1612,日報!$L:$L)</f>
        <v>0</v>
      </c>
    </row>
    <row r="1613" spans="15:18" x14ac:dyDescent="0.15">
      <c r="O1613" s="7" t="str">
        <f>"REQ"&amp;TEXT([2]RequestList!$A1614,"0000")</f>
        <v>REQ0000</v>
      </c>
      <c r="P1613" s="7">
        <f>[2]RequestList!$J1614</f>
        <v>0</v>
      </c>
      <c r="Q1613" s="65">
        <f>SUMIF(日報!$R:$R,TEXT(YEAR($Q$2),"0000")&amp;TEXT(MONTH($Q$2),"00")&amp;$O1613,日報!$L:$L)</f>
        <v>0</v>
      </c>
      <c r="R1613" s="65">
        <f ca="1">SUMIF(日報!$J:$J,$O1613,日報!$L:$L)</f>
        <v>0</v>
      </c>
    </row>
    <row r="1614" spans="15:18" x14ac:dyDescent="0.15">
      <c r="O1614" s="7" t="str">
        <f>"REQ"&amp;TEXT([2]RequestList!$A1615,"0000")</f>
        <v>REQ0000</v>
      </c>
      <c r="P1614" s="7">
        <f>[2]RequestList!$J1615</f>
        <v>0</v>
      </c>
      <c r="Q1614" s="65">
        <f>SUMIF(日報!$R:$R,TEXT(YEAR($Q$2),"0000")&amp;TEXT(MONTH($Q$2),"00")&amp;$O1614,日報!$L:$L)</f>
        <v>0</v>
      </c>
      <c r="R1614" s="65">
        <f ca="1">SUMIF(日報!$J:$J,$O1614,日報!$L:$L)</f>
        <v>0</v>
      </c>
    </row>
    <row r="1615" spans="15:18" x14ac:dyDescent="0.15">
      <c r="O1615" s="7" t="str">
        <f>"REQ"&amp;TEXT([2]RequestList!$A1616,"0000")</f>
        <v>REQ0000</v>
      </c>
      <c r="P1615" s="7">
        <f>[2]RequestList!$J1616</f>
        <v>0</v>
      </c>
      <c r="Q1615" s="65">
        <f>SUMIF(日報!$R:$R,TEXT(YEAR($Q$2),"0000")&amp;TEXT(MONTH($Q$2),"00")&amp;$O1615,日報!$L:$L)</f>
        <v>0</v>
      </c>
      <c r="R1615" s="65">
        <f ca="1">SUMIF(日報!$J:$J,$O1615,日報!$L:$L)</f>
        <v>0</v>
      </c>
    </row>
    <row r="1616" spans="15:18" x14ac:dyDescent="0.15">
      <c r="O1616" s="7" t="str">
        <f>"REQ"&amp;TEXT([2]RequestList!$A1617,"0000")</f>
        <v>REQ0000</v>
      </c>
      <c r="P1616" s="7">
        <f>[2]RequestList!$J1617</f>
        <v>0</v>
      </c>
      <c r="Q1616" s="65">
        <f>SUMIF(日報!$R:$R,TEXT(YEAR($Q$2),"0000")&amp;TEXT(MONTH($Q$2),"00")&amp;$O1616,日報!$L:$L)</f>
        <v>0</v>
      </c>
      <c r="R1616" s="65">
        <f ca="1">SUMIF(日報!$J:$J,$O1616,日報!$L:$L)</f>
        <v>0</v>
      </c>
    </row>
    <row r="1617" spans="15:18" x14ac:dyDescent="0.15">
      <c r="O1617" s="7" t="str">
        <f>"REQ"&amp;TEXT([2]RequestList!$A1618,"0000")</f>
        <v>REQ0000</v>
      </c>
      <c r="P1617" s="7">
        <f>[2]RequestList!$J1618</f>
        <v>0</v>
      </c>
      <c r="Q1617" s="65">
        <f>SUMIF(日報!$R:$R,TEXT(YEAR($Q$2),"0000")&amp;TEXT(MONTH($Q$2),"00")&amp;$O1617,日報!$L:$L)</f>
        <v>0</v>
      </c>
      <c r="R1617" s="65">
        <f ca="1">SUMIF(日報!$J:$J,$O1617,日報!$L:$L)</f>
        <v>0</v>
      </c>
    </row>
    <row r="1618" spans="15:18" x14ac:dyDescent="0.15">
      <c r="O1618" s="7" t="str">
        <f>"REQ"&amp;TEXT([2]RequestList!$A1619,"0000")</f>
        <v>REQ0000</v>
      </c>
      <c r="P1618" s="7">
        <f>[2]RequestList!$J1619</f>
        <v>0</v>
      </c>
      <c r="Q1618" s="65">
        <f>SUMIF(日報!$R:$R,TEXT(YEAR($Q$2),"0000")&amp;TEXT(MONTH($Q$2),"00")&amp;$O1618,日報!$L:$L)</f>
        <v>0</v>
      </c>
      <c r="R1618" s="65">
        <f ca="1">SUMIF(日報!$J:$J,$O1618,日報!$L:$L)</f>
        <v>0</v>
      </c>
    </row>
    <row r="1619" spans="15:18" x14ac:dyDescent="0.15">
      <c r="O1619" s="7" t="str">
        <f>"REQ"&amp;TEXT([2]RequestList!$A1620,"0000")</f>
        <v>REQ0000</v>
      </c>
      <c r="P1619" s="7">
        <f>[2]RequestList!$J1620</f>
        <v>0</v>
      </c>
      <c r="Q1619" s="65">
        <f>SUMIF(日報!$R:$R,TEXT(YEAR($Q$2),"0000")&amp;TEXT(MONTH($Q$2),"00")&amp;$O1619,日報!$L:$L)</f>
        <v>0</v>
      </c>
      <c r="R1619" s="65">
        <f ca="1">SUMIF(日報!$J:$J,$O1619,日報!$L:$L)</f>
        <v>0</v>
      </c>
    </row>
    <row r="1620" spans="15:18" x14ac:dyDescent="0.15">
      <c r="O1620" s="7" t="str">
        <f>"REQ"&amp;TEXT([2]RequestList!$A1621,"0000")</f>
        <v>REQ0000</v>
      </c>
      <c r="P1620" s="7">
        <f>[2]RequestList!$J1621</f>
        <v>0</v>
      </c>
      <c r="Q1620" s="65">
        <f>SUMIF(日報!$R:$R,TEXT(YEAR($Q$2),"0000")&amp;TEXT(MONTH($Q$2),"00")&amp;$O1620,日報!$L:$L)</f>
        <v>0</v>
      </c>
      <c r="R1620" s="65">
        <f ca="1">SUMIF(日報!$J:$J,$O1620,日報!$L:$L)</f>
        <v>0</v>
      </c>
    </row>
    <row r="1621" spans="15:18" x14ac:dyDescent="0.15">
      <c r="O1621" s="7" t="str">
        <f>"REQ"&amp;TEXT([2]RequestList!$A1622,"0000")</f>
        <v>REQ0000</v>
      </c>
      <c r="P1621" s="7">
        <f>[2]RequestList!$J1622</f>
        <v>0</v>
      </c>
      <c r="Q1621" s="65">
        <f>SUMIF(日報!$R:$R,TEXT(YEAR($Q$2),"0000")&amp;TEXT(MONTH($Q$2),"00")&amp;$O1621,日報!$L:$L)</f>
        <v>0</v>
      </c>
      <c r="R1621" s="65">
        <f ca="1">SUMIF(日報!$J:$J,$O1621,日報!$L:$L)</f>
        <v>0</v>
      </c>
    </row>
    <row r="1622" spans="15:18" x14ac:dyDescent="0.15">
      <c r="O1622" s="7" t="str">
        <f>"REQ"&amp;TEXT([2]RequestList!$A1623,"0000")</f>
        <v>REQ0000</v>
      </c>
      <c r="P1622" s="7">
        <f>[2]RequestList!$J1623</f>
        <v>0</v>
      </c>
      <c r="Q1622" s="65">
        <f>SUMIF(日報!$R:$R,TEXT(YEAR($Q$2),"0000")&amp;TEXT(MONTH($Q$2),"00")&amp;$O1622,日報!$L:$L)</f>
        <v>0</v>
      </c>
      <c r="R1622" s="65">
        <f ca="1">SUMIF(日報!$J:$J,$O1622,日報!$L:$L)</f>
        <v>0</v>
      </c>
    </row>
    <row r="1623" spans="15:18" x14ac:dyDescent="0.15">
      <c r="O1623" s="7" t="str">
        <f>"REQ"&amp;TEXT([2]RequestList!$A1624,"0000")</f>
        <v>REQ0000</v>
      </c>
      <c r="P1623" s="7">
        <f>[2]RequestList!$J1624</f>
        <v>0</v>
      </c>
      <c r="Q1623" s="65">
        <f>SUMIF(日報!$R:$R,TEXT(YEAR($Q$2),"0000")&amp;TEXT(MONTH($Q$2),"00")&amp;$O1623,日報!$L:$L)</f>
        <v>0</v>
      </c>
      <c r="R1623" s="65">
        <f ca="1">SUMIF(日報!$J:$J,$O1623,日報!$L:$L)</f>
        <v>0</v>
      </c>
    </row>
    <row r="1624" spans="15:18" x14ac:dyDescent="0.15">
      <c r="O1624" s="7" t="str">
        <f>"REQ"&amp;TEXT([2]RequestList!$A1625,"0000")</f>
        <v>REQ0000</v>
      </c>
      <c r="P1624" s="7">
        <f>[2]RequestList!$J1625</f>
        <v>0</v>
      </c>
      <c r="Q1624" s="65">
        <f>SUMIF(日報!$R:$R,TEXT(YEAR($Q$2),"0000")&amp;TEXT(MONTH($Q$2),"00")&amp;$O1624,日報!$L:$L)</f>
        <v>0</v>
      </c>
      <c r="R1624" s="65">
        <f ca="1">SUMIF(日報!$J:$J,$O1624,日報!$L:$L)</f>
        <v>0</v>
      </c>
    </row>
    <row r="1625" spans="15:18" x14ac:dyDescent="0.15">
      <c r="O1625" s="7" t="str">
        <f>"REQ"&amp;TEXT([2]RequestList!$A1626,"0000")</f>
        <v>REQ0000</v>
      </c>
      <c r="P1625" s="7">
        <f>[2]RequestList!$J1626</f>
        <v>0</v>
      </c>
      <c r="Q1625" s="65">
        <f>SUMIF(日報!$R:$R,TEXT(YEAR($Q$2),"0000")&amp;TEXT(MONTH($Q$2),"00")&amp;$O1625,日報!$L:$L)</f>
        <v>0</v>
      </c>
      <c r="R1625" s="65">
        <f ca="1">SUMIF(日報!$J:$J,$O1625,日報!$L:$L)</f>
        <v>0</v>
      </c>
    </row>
    <row r="1626" spans="15:18" x14ac:dyDescent="0.15">
      <c r="O1626" s="7" t="str">
        <f>"REQ"&amp;TEXT([2]RequestList!$A1627,"0000")</f>
        <v>REQ0000</v>
      </c>
      <c r="P1626" s="7">
        <f>[2]RequestList!$J1627</f>
        <v>0</v>
      </c>
      <c r="Q1626" s="65">
        <f>SUMIF(日報!$R:$R,TEXT(YEAR($Q$2),"0000")&amp;TEXT(MONTH($Q$2),"00")&amp;$O1626,日報!$L:$L)</f>
        <v>0</v>
      </c>
      <c r="R1626" s="65">
        <f ca="1">SUMIF(日報!$J:$J,$O1626,日報!$L:$L)</f>
        <v>0</v>
      </c>
    </row>
    <row r="1627" spans="15:18" x14ac:dyDescent="0.15">
      <c r="O1627" s="7" t="str">
        <f>"REQ"&amp;TEXT([2]RequestList!$A1628,"0000")</f>
        <v>REQ0000</v>
      </c>
      <c r="P1627" s="7">
        <f>[2]RequestList!$J1628</f>
        <v>0</v>
      </c>
      <c r="Q1627" s="65">
        <f>SUMIF(日報!$R:$R,TEXT(YEAR($Q$2),"0000")&amp;TEXT(MONTH($Q$2),"00")&amp;$O1627,日報!$L:$L)</f>
        <v>0</v>
      </c>
      <c r="R1627" s="65">
        <f ca="1">SUMIF(日報!$J:$J,$O1627,日報!$L:$L)</f>
        <v>0</v>
      </c>
    </row>
    <row r="1628" spans="15:18" x14ac:dyDescent="0.15">
      <c r="O1628" s="7" t="str">
        <f>"REQ"&amp;TEXT([2]RequestList!$A1629,"0000")</f>
        <v>REQ0000</v>
      </c>
      <c r="P1628" s="7">
        <f>[2]RequestList!$J1629</f>
        <v>0</v>
      </c>
      <c r="Q1628" s="65">
        <f>SUMIF(日報!$R:$R,TEXT(YEAR($Q$2),"0000")&amp;TEXT(MONTH($Q$2),"00")&amp;$O1628,日報!$L:$L)</f>
        <v>0</v>
      </c>
      <c r="R1628" s="65">
        <f ca="1">SUMIF(日報!$J:$J,$O1628,日報!$L:$L)</f>
        <v>0</v>
      </c>
    </row>
    <row r="1629" spans="15:18" x14ac:dyDescent="0.15">
      <c r="O1629" s="7" t="str">
        <f>"REQ"&amp;TEXT([2]RequestList!$A1630,"0000")</f>
        <v>REQ0000</v>
      </c>
      <c r="P1629" s="7">
        <f>[2]RequestList!$J1630</f>
        <v>0</v>
      </c>
      <c r="Q1629" s="65">
        <f>SUMIF(日報!$R:$R,TEXT(YEAR($Q$2),"0000")&amp;TEXT(MONTH($Q$2),"00")&amp;$O1629,日報!$L:$L)</f>
        <v>0</v>
      </c>
      <c r="R1629" s="65">
        <f ca="1">SUMIF(日報!$J:$J,$O1629,日報!$L:$L)</f>
        <v>0</v>
      </c>
    </row>
    <row r="1630" spans="15:18" x14ac:dyDescent="0.15">
      <c r="O1630" s="7" t="str">
        <f>"REQ"&amp;TEXT([2]RequestList!$A1631,"0000")</f>
        <v>REQ0000</v>
      </c>
      <c r="P1630" s="7">
        <f>[2]RequestList!$J1631</f>
        <v>0</v>
      </c>
      <c r="Q1630" s="65">
        <f>SUMIF(日報!$R:$R,TEXT(YEAR($Q$2),"0000")&amp;TEXT(MONTH($Q$2),"00")&amp;$O1630,日報!$L:$L)</f>
        <v>0</v>
      </c>
      <c r="R1630" s="65">
        <f ca="1">SUMIF(日報!$J:$J,$O1630,日報!$L:$L)</f>
        <v>0</v>
      </c>
    </row>
    <row r="1631" spans="15:18" x14ac:dyDescent="0.15">
      <c r="O1631" s="7" t="str">
        <f>"REQ"&amp;TEXT([2]RequestList!$A1632,"0000")</f>
        <v>REQ0000</v>
      </c>
      <c r="P1631" s="7">
        <f>[2]RequestList!$J1632</f>
        <v>0</v>
      </c>
      <c r="Q1631" s="65">
        <f>SUMIF(日報!$R:$R,TEXT(YEAR($Q$2),"0000")&amp;TEXT(MONTH($Q$2),"00")&amp;$O1631,日報!$L:$L)</f>
        <v>0</v>
      </c>
      <c r="R1631" s="65">
        <f ca="1">SUMIF(日報!$J:$J,$O1631,日報!$L:$L)</f>
        <v>0</v>
      </c>
    </row>
    <row r="1632" spans="15:18" x14ac:dyDescent="0.15">
      <c r="O1632" s="7" t="str">
        <f>"REQ"&amp;TEXT([2]RequestList!$A1633,"0000")</f>
        <v>REQ0000</v>
      </c>
      <c r="P1632" s="7">
        <f>[2]RequestList!$J1633</f>
        <v>0</v>
      </c>
      <c r="Q1632" s="65">
        <f>SUMIF(日報!$R:$R,TEXT(YEAR($Q$2),"0000")&amp;TEXT(MONTH($Q$2),"00")&amp;$O1632,日報!$L:$L)</f>
        <v>0</v>
      </c>
      <c r="R1632" s="65">
        <f ca="1">SUMIF(日報!$J:$J,$O1632,日報!$L:$L)</f>
        <v>0</v>
      </c>
    </row>
    <row r="1633" spans="15:18" x14ac:dyDescent="0.15">
      <c r="O1633" s="7" t="str">
        <f>"REQ"&amp;TEXT([2]RequestList!$A1634,"0000")</f>
        <v>REQ0000</v>
      </c>
      <c r="P1633" s="7">
        <f>[2]RequestList!$J1634</f>
        <v>0</v>
      </c>
      <c r="Q1633" s="65">
        <f>SUMIF(日報!$R:$R,TEXT(YEAR($Q$2),"0000")&amp;TEXT(MONTH($Q$2),"00")&amp;$O1633,日報!$L:$L)</f>
        <v>0</v>
      </c>
      <c r="R1633" s="65">
        <f ca="1">SUMIF(日報!$J:$J,$O1633,日報!$L:$L)</f>
        <v>0</v>
      </c>
    </row>
    <row r="1634" spans="15:18" x14ac:dyDescent="0.15">
      <c r="O1634" s="7" t="str">
        <f>"REQ"&amp;TEXT([2]RequestList!$A1635,"0000")</f>
        <v>REQ0000</v>
      </c>
      <c r="P1634" s="7">
        <f>[2]RequestList!$J1635</f>
        <v>0</v>
      </c>
      <c r="Q1634" s="65">
        <f>SUMIF(日報!$R:$R,TEXT(YEAR($Q$2),"0000")&amp;TEXT(MONTH($Q$2),"00")&amp;$O1634,日報!$L:$L)</f>
        <v>0</v>
      </c>
      <c r="R1634" s="65">
        <f ca="1">SUMIF(日報!$J:$J,$O1634,日報!$L:$L)</f>
        <v>0</v>
      </c>
    </row>
    <row r="1635" spans="15:18" x14ac:dyDescent="0.15">
      <c r="O1635" s="7" t="str">
        <f>"REQ"&amp;TEXT([2]RequestList!$A1636,"0000")</f>
        <v>REQ0000</v>
      </c>
      <c r="P1635" s="7">
        <f>[2]RequestList!$J1636</f>
        <v>0</v>
      </c>
      <c r="Q1635" s="65">
        <f>SUMIF(日報!$R:$R,TEXT(YEAR($Q$2),"0000")&amp;TEXT(MONTH($Q$2),"00")&amp;$O1635,日報!$L:$L)</f>
        <v>0</v>
      </c>
      <c r="R1635" s="65">
        <f ca="1">SUMIF(日報!$J:$J,$O1635,日報!$L:$L)</f>
        <v>0</v>
      </c>
    </row>
    <row r="1636" spans="15:18" x14ac:dyDescent="0.15">
      <c r="O1636" s="7" t="str">
        <f>"REQ"&amp;TEXT([2]RequestList!$A1637,"0000")</f>
        <v>REQ0000</v>
      </c>
      <c r="P1636" s="7">
        <f>[2]RequestList!$J1637</f>
        <v>0</v>
      </c>
      <c r="Q1636" s="65">
        <f>SUMIF(日報!$R:$R,TEXT(YEAR($Q$2),"0000")&amp;TEXT(MONTH($Q$2),"00")&amp;$O1636,日報!$L:$L)</f>
        <v>0</v>
      </c>
      <c r="R1636" s="65">
        <f ca="1">SUMIF(日報!$J:$J,$O1636,日報!$L:$L)</f>
        <v>0</v>
      </c>
    </row>
    <row r="1637" spans="15:18" x14ac:dyDescent="0.15">
      <c r="O1637" s="7" t="str">
        <f>"REQ"&amp;TEXT([2]RequestList!$A1638,"0000")</f>
        <v>REQ0000</v>
      </c>
      <c r="P1637" s="7">
        <f>[2]RequestList!$J1638</f>
        <v>0</v>
      </c>
      <c r="Q1637" s="65">
        <f>SUMIF(日報!$R:$R,TEXT(YEAR($Q$2),"0000")&amp;TEXT(MONTH($Q$2),"00")&amp;$O1637,日報!$L:$L)</f>
        <v>0</v>
      </c>
      <c r="R1637" s="65">
        <f ca="1">SUMIF(日報!$J:$J,$O1637,日報!$L:$L)</f>
        <v>0</v>
      </c>
    </row>
    <row r="1638" spans="15:18" x14ac:dyDescent="0.15">
      <c r="O1638" s="7" t="str">
        <f>"REQ"&amp;TEXT([2]RequestList!$A1639,"0000")</f>
        <v>REQ0000</v>
      </c>
      <c r="P1638" s="7">
        <f>[2]RequestList!$J1639</f>
        <v>0</v>
      </c>
      <c r="Q1638" s="65">
        <f>SUMIF(日報!$R:$R,TEXT(YEAR($Q$2),"0000")&amp;TEXT(MONTH($Q$2),"00")&amp;$O1638,日報!$L:$L)</f>
        <v>0</v>
      </c>
      <c r="R1638" s="65">
        <f ca="1">SUMIF(日報!$J:$J,$O1638,日報!$L:$L)</f>
        <v>0</v>
      </c>
    </row>
    <row r="1639" spans="15:18" x14ac:dyDescent="0.15">
      <c r="O1639" s="7" t="str">
        <f>"REQ"&amp;TEXT([2]RequestList!$A1640,"0000")</f>
        <v>REQ0000</v>
      </c>
      <c r="P1639" s="7">
        <f>[2]RequestList!$J1640</f>
        <v>0</v>
      </c>
      <c r="Q1639" s="65">
        <f>SUMIF(日報!$R:$R,TEXT(YEAR($Q$2),"0000")&amp;TEXT(MONTH($Q$2),"00")&amp;$O1639,日報!$L:$L)</f>
        <v>0</v>
      </c>
      <c r="R1639" s="65">
        <f ca="1">SUMIF(日報!$J:$J,$O1639,日報!$L:$L)</f>
        <v>0</v>
      </c>
    </row>
    <row r="1640" spans="15:18" x14ac:dyDescent="0.15">
      <c r="O1640" s="7" t="str">
        <f>"REQ"&amp;TEXT([2]RequestList!$A1641,"0000")</f>
        <v>REQ0000</v>
      </c>
      <c r="P1640" s="7">
        <f>[2]RequestList!$J1641</f>
        <v>0</v>
      </c>
      <c r="Q1640" s="65">
        <f>SUMIF(日報!$R:$R,TEXT(YEAR($Q$2),"0000")&amp;TEXT(MONTH($Q$2),"00")&amp;$O1640,日報!$L:$L)</f>
        <v>0</v>
      </c>
      <c r="R1640" s="65">
        <f ca="1">SUMIF(日報!$J:$J,$O1640,日報!$L:$L)</f>
        <v>0</v>
      </c>
    </row>
    <row r="1641" spans="15:18" x14ac:dyDescent="0.15">
      <c r="O1641" s="7" t="str">
        <f>"REQ"&amp;TEXT([2]RequestList!$A1642,"0000")</f>
        <v>REQ0000</v>
      </c>
      <c r="P1641" s="7">
        <f>[2]RequestList!$J1642</f>
        <v>0</v>
      </c>
      <c r="Q1641" s="65">
        <f>SUMIF(日報!$R:$R,TEXT(YEAR($Q$2),"0000")&amp;TEXT(MONTH($Q$2),"00")&amp;$O1641,日報!$L:$L)</f>
        <v>0</v>
      </c>
      <c r="R1641" s="65">
        <f ca="1">SUMIF(日報!$J:$J,$O1641,日報!$L:$L)</f>
        <v>0</v>
      </c>
    </row>
    <row r="1642" spans="15:18" x14ac:dyDescent="0.15">
      <c r="O1642" s="7" t="str">
        <f>"REQ"&amp;TEXT([2]RequestList!$A1643,"0000")</f>
        <v>REQ0000</v>
      </c>
      <c r="P1642" s="7">
        <f>[2]RequestList!$J1643</f>
        <v>0</v>
      </c>
      <c r="Q1642" s="65">
        <f>SUMIF(日報!$R:$R,TEXT(YEAR($Q$2),"0000")&amp;TEXT(MONTH($Q$2),"00")&amp;$O1642,日報!$L:$L)</f>
        <v>0</v>
      </c>
      <c r="R1642" s="65">
        <f ca="1">SUMIF(日報!$J:$J,$O1642,日報!$L:$L)</f>
        <v>0</v>
      </c>
    </row>
    <row r="1643" spans="15:18" x14ac:dyDescent="0.15">
      <c r="O1643" s="7" t="str">
        <f>"REQ"&amp;TEXT([2]RequestList!$A1644,"0000")</f>
        <v>REQ0000</v>
      </c>
      <c r="P1643" s="7">
        <f>[2]RequestList!$J1644</f>
        <v>0</v>
      </c>
      <c r="Q1643" s="65">
        <f>SUMIF(日報!$R:$R,TEXT(YEAR($Q$2),"0000")&amp;TEXT(MONTH($Q$2),"00")&amp;$O1643,日報!$L:$L)</f>
        <v>0</v>
      </c>
      <c r="R1643" s="65">
        <f ca="1">SUMIF(日報!$J:$J,$O1643,日報!$L:$L)</f>
        <v>0</v>
      </c>
    </row>
    <row r="1644" spans="15:18" x14ac:dyDescent="0.15">
      <c r="O1644" s="7" t="str">
        <f>"REQ"&amp;TEXT([2]RequestList!$A1645,"0000")</f>
        <v>REQ0000</v>
      </c>
      <c r="P1644" s="7">
        <f>[2]RequestList!$J1645</f>
        <v>0</v>
      </c>
      <c r="Q1644" s="65">
        <f>SUMIF(日報!$R:$R,TEXT(YEAR($Q$2),"0000")&amp;TEXT(MONTH($Q$2),"00")&amp;$O1644,日報!$L:$L)</f>
        <v>0</v>
      </c>
      <c r="R1644" s="65">
        <f ca="1">SUMIF(日報!$J:$J,$O1644,日報!$L:$L)</f>
        <v>0</v>
      </c>
    </row>
    <row r="1645" spans="15:18" x14ac:dyDescent="0.15">
      <c r="O1645" s="7" t="str">
        <f>"REQ"&amp;TEXT([2]RequestList!$A1646,"0000")</f>
        <v>REQ0000</v>
      </c>
      <c r="P1645" s="7">
        <f>[2]RequestList!$J1646</f>
        <v>0</v>
      </c>
      <c r="Q1645" s="65">
        <f>SUMIF(日報!$R:$R,TEXT(YEAR($Q$2),"0000")&amp;TEXT(MONTH($Q$2),"00")&amp;$O1645,日報!$L:$L)</f>
        <v>0</v>
      </c>
      <c r="R1645" s="65">
        <f ca="1">SUMIF(日報!$J:$J,$O1645,日報!$L:$L)</f>
        <v>0</v>
      </c>
    </row>
    <row r="1646" spans="15:18" x14ac:dyDescent="0.15">
      <c r="O1646" s="7" t="str">
        <f>"REQ"&amp;TEXT([2]RequestList!$A1647,"0000")</f>
        <v>REQ0000</v>
      </c>
      <c r="P1646" s="7">
        <f>[2]RequestList!$J1647</f>
        <v>0</v>
      </c>
      <c r="Q1646" s="65">
        <f>SUMIF(日報!$R:$R,TEXT(YEAR($Q$2),"0000")&amp;TEXT(MONTH($Q$2),"00")&amp;$O1646,日報!$L:$L)</f>
        <v>0</v>
      </c>
      <c r="R1646" s="65">
        <f ca="1">SUMIF(日報!$J:$J,$O1646,日報!$L:$L)</f>
        <v>0</v>
      </c>
    </row>
    <row r="1647" spans="15:18" x14ac:dyDescent="0.15">
      <c r="O1647" s="7" t="str">
        <f>"REQ"&amp;TEXT([2]RequestList!$A1648,"0000")</f>
        <v>REQ0000</v>
      </c>
      <c r="P1647" s="7">
        <f>[2]RequestList!$J1648</f>
        <v>0</v>
      </c>
      <c r="Q1647" s="65">
        <f>SUMIF(日報!$R:$R,TEXT(YEAR($Q$2),"0000")&amp;TEXT(MONTH($Q$2),"00")&amp;$O1647,日報!$L:$L)</f>
        <v>0</v>
      </c>
      <c r="R1647" s="65">
        <f ca="1">SUMIF(日報!$J:$J,$O1647,日報!$L:$L)</f>
        <v>0</v>
      </c>
    </row>
    <row r="1648" spans="15:18" x14ac:dyDescent="0.15">
      <c r="O1648" s="7" t="str">
        <f>"REQ"&amp;TEXT([2]RequestList!$A1649,"0000")</f>
        <v>REQ0000</v>
      </c>
      <c r="P1648" s="7">
        <f>[2]RequestList!$J1649</f>
        <v>0</v>
      </c>
      <c r="Q1648" s="65">
        <f>SUMIF(日報!$R:$R,TEXT(YEAR($Q$2),"0000")&amp;TEXT(MONTH($Q$2),"00")&amp;$O1648,日報!$L:$L)</f>
        <v>0</v>
      </c>
      <c r="R1648" s="65">
        <f ca="1">SUMIF(日報!$J:$J,$O1648,日報!$L:$L)</f>
        <v>0</v>
      </c>
    </row>
    <row r="1649" spans="15:18" x14ac:dyDescent="0.15">
      <c r="O1649" s="7" t="str">
        <f>"REQ"&amp;TEXT([2]RequestList!$A1650,"0000")</f>
        <v>REQ0000</v>
      </c>
      <c r="P1649" s="7">
        <f>[2]RequestList!$J1650</f>
        <v>0</v>
      </c>
      <c r="Q1649" s="65">
        <f>SUMIF(日報!$R:$R,TEXT(YEAR($Q$2),"0000")&amp;TEXT(MONTH($Q$2),"00")&amp;$O1649,日報!$L:$L)</f>
        <v>0</v>
      </c>
      <c r="R1649" s="65">
        <f ca="1">SUMIF(日報!$J:$J,$O1649,日報!$L:$L)</f>
        <v>0</v>
      </c>
    </row>
    <row r="1650" spans="15:18" x14ac:dyDescent="0.15">
      <c r="O1650" s="7" t="str">
        <f>"REQ"&amp;TEXT([2]RequestList!$A1651,"0000")</f>
        <v>REQ0000</v>
      </c>
      <c r="P1650" s="7">
        <f>[2]RequestList!$J1651</f>
        <v>0</v>
      </c>
      <c r="Q1650" s="65">
        <f>SUMIF(日報!$R:$R,TEXT(YEAR($Q$2),"0000")&amp;TEXT(MONTH($Q$2),"00")&amp;$O1650,日報!$L:$L)</f>
        <v>0</v>
      </c>
      <c r="R1650" s="65">
        <f ca="1">SUMIF(日報!$J:$J,$O1650,日報!$L:$L)</f>
        <v>0</v>
      </c>
    </row>
    <row r="1651" spans="15:18" x14ac:dyDescent="0.15">
      <c r="O1651" s="7" t="str">
        <f>"REQ"&amp;TEXT([2]RequestList!$A1652,"0000")</f>
        <v>REQ0000</v>
      </c>
      <c r="P1651" s="7">
        <f>[2]RequestList!$J1652</f>
        <v>0</v>
      </c>
      <c r="Q1651" s="65">
        <f>SUMIF(日報!$R:$R,TEXT(YEAR($Q$2),"0000")&amp;TEXT(MONTH($Q$2),"00")&amp;$O1651,日報!$L:$L)</f>
        <v>0</v>
      </c>
      <c r="R1651" s="65">
        <f ca="1">SUMIF(日報!$J:$J,$O1651,日報!$L:$L)</f>
        <v>0</v>
      </c>
    </row>
    <row r="1652" spans="15:18" x14ac:dyDescent="0.15">
      <c r="O1652" s="7" t="str">
        <f>"REQ"&amp;TEXT([2]RequestList!$A1653,"0000")</f>
        <v>REQ0000</v>
      </c>
      <c r="P1652" s="7">
        <f>[2]RequestList!$J1653</f>
        <v>0</v>
      </c>
      <c r="Q1652" s="65">
        <f>SUMIF(日報!$R:$R,TEXT(YEAR($Q$2),"0000")&amp;TEXT(MONTH($Q$2),"00")&amp;$O1652,日報!$L:$L)</f>
        <v>0</v>
      </c>
      <c r="R1652" s="65">
        <f ca="1">SUMIF(日報!$J:$J,$O1652,日報!$L:$L)</f>
        <v>0</v>
      </c>
    </row>
    <row r="1653" spans="15:18" x14ac:dyDescent="0.15">
      <c r="O1653" s="7" t="str">
        <f>"REQ"&amp;TEXT([2]RequestList!$A1654,"0000")</f>
        <v>REQ0000</v>
      </c>
      <c r="P1653" s="7">
        <f>[2]RequestList!$J1654</f>
        <v>0</v>
      </c>
      <c r="Q1653" s="65">
        <f>SUMIF(日報!$R:$R,TEXT(YEAR($Q$2),"0000")&amp;TEXT(MONTH($Q$2),"00")&amp;$O1653,日報!$L:$L)</f>
        <v>0</v>
      </c>
      <c r="R1653" s="65">
        <f ca="1">SUMIF(日報!$J:$J,$O1653,日報!$L:$L)</f>
        <v>0</v>
      </c>
    </row>
    <row r="1654" spans="15:18" x14ac:dyDescent="0.15">
      <c r="O1654" s="7" t="str">
        <f>"REQ"&amp;TEXT([2]RequestList!$A1655,"0000")</f>
        <v>REQ0000</v>
      </c>
      <c r="P1654" s="7">
        <f>[2]RequestList!$J1655</f>
        <v>0</v>
      </c>
      <c r="Q1654" s="65">
        <f>SUMIF(日報!$R:$R,TEXT(YEAR($Q$2),"0000")&amp;TEXT(MONTH($Q$2),"00")&amp;$O1654,日報!$L:$L)</f>
        <v>0</v>
      </c>
      <c r="R1654" s="65">
        <f ca="1">SUMIF(日報!$J:$J,$O1654,日報!$L:$L)</f>
        <v>0</v>
      </c>
    </row>
    <row r="1655" spans="15:18" x14ac:dyDescent="0.15">
      <c r="O1655" s="7" t="str">
        <f>"REQ"&amp;TEXT([2]RequestList!$A1656,"0000")</f>
        <v>REQ0000</v>
      </c>
      <c r="P1655" s="7">
        <f>[2]RequestList!$J1656</f>
        <v>0</v>
      </c>
      <c r="Q1655" s="65">
        <f>SUMIF(日報!$R:$R,TEXT(YEAR($Q$2),"0000")&amp;TEXT(MONTH($Q$2),"00")&amp;$O1655,日報!$L:$L)</f>
        <v>0</v>
      </c>
      <c r="R1655" s="65">
        <f ca="1">SUMIF(日報!$J:$J,$O1655,日報!$L:$L)</f>
        <v>0</v>
      </c>
    </row>
    <row r="1656" spans="15:18" x14ac:dyDescent="0.15">
      <c r="O1656" s="7" t="str">
        <f>"REQ"&amp;TEXT([2]RequestList!$A1657,"0000")</f>
        <v>REQ0000</v>
      </c>
      <c r="P1656" s="7">
        <f>[2]RequestList!$J1657</f>
        <v>0</v>
      </c>
      <c r="Q1656" s="65">
        <f>SUMIF(日報!$R:$R,TEXT(YEAR($Q$2),"0000")&amp;TEXT(MONTH($Q$2),"00")&amp;$O1656,日報!$L:$L)</f>
        <v>0</v>
      </c>
      <c r="R1656" s="65">
        <f ca="1">SUMIF(日報!$J:$J,$O1656,日報!$L:$L)</f>
        <v>0</v>
      </c>
    </row>
    <row r="1657" spans="15:18" x14ac:dyDescent="0.15">
      <c r="O1657" s="7" t="str">
        <f>"REQ"&amp;TEXT([2]RequestList!$A1658,"0000")</f>
        <v>REQ0000</v>
      </c>
      <c r="P1657" s="7">
        <f>[2]RequestList!$J1658</f>
        <v>0</v>
      </c>
      <c r="Q1657" s="65">
        <f>SUMIF(日報!$R:$R,TEXT(YEAR($Q$2),"0000")&amp;TEXT(MONTH($Q$2),"00")&amp;$O1657,日報!$L:$L)</f>
        <v>0</v>
      </c>
      <c r="R1657" s="65">
        <f ca="1">SUMIF(日報!$J:$J,$O1657,日報!$L:$L)</f>
        <v>0</v>
      </c>
    </row>
    <row r="1658" spans="15:18" x14ac:dyDescent="0.15">
      <c r="O1658" s="7" t="str">
        <f>"REQ"&amp;TEXT([2]RequestList!$A1659,"0000")</f>
        <v>REQ0000</v>
      </c>
      <c r="P1658" s="7">
        <f>[2]RequestList!$J1659</f>
        <v>0</v>
      </c>
      <c r="Q1658" s="65">
        <f>SUMIF(日報!$R:$R,TEXT(YEAR($Q$2),"0000")&amp;TEXT(MONTH($Q$2),"00")&amp;$O1658,日報!$L:$L)</f>
        <v>0</v>
      </c>
      <c r="R1658" s="65">
        <f ca="1">SUMIF(日報!$J:$J,$O1658,日報!$L:$L)</f>
        <v>0</v>
      </c>
    </row>
    <row r="1659" spans="15:18" x14ac:dyDescent="0.15">
      <c r="O1659" s="7" t="str">
        <f>"REQ"&amp;TEXT([2]RequestList!$A1660,"0000")</f>
        <v>REQ0000</v>
      </c>
      <c r="P1659" s="7">
        <f>[2]RequestList!$J1660</f>
        <v>0</v>
      </c>
      <c r="Q1659" s="65">
        <f>SUMIF(日報!$R:$R,TEXT(YEAR($Q$2),"0000")&amp;TEXT(MONTH($Q$2),"00")&amp;$O1659,日報!$L:$L)</f>
        <v>0</v>
      </c>
      <c r="R1659" s="65">
        <f ca="1">SUMIF(日報!$J:$J,$O1659,日報!$L:$L)</f>
        <v>0</v>
      </c>
    </row>
    <row r="1660" spans="15:18" x14ac:dyDescent="0.15">
      <c r="O1660" s="7" t="str">
        <f>"REQ"&amp;TEXT([2]RequestList!$A1661,"0000")</f>
        <v>REQ0000</v>
      </c>
      <c r="P1660" s="7">
        <f>[2]RequestList!$J1661</f>
        <v>0</v>
      </c>
      <c r="Q1660" s="65">
        <f>SUMIF(日報!$R:$R,TEXT(YEAR($Q$2),"0000")&amp;TEXT(MONTH($Q$2),"00")&amp;$O1660,日報!$L:$L)</f>
        <v>0</v>
      </c>
      <c r="R1660" s="65">
        <f ca="1">SUMIF(日報!$J:$J,$O1660,日報!$L:$L)</f>
        <v>0</v>
      </c>
    </row>
    <row r="1661" spans="15:18" x14ac:dyDescent="0.15">
      <c r="O1661" s="7" t="str">
        <f>"REQ"&amp;TEXT([2]RequestList!$A1662,"0000")</f>
        <v>REQ0000</v>
      </c>
      <c r="P1661" s="7">
        <f>[2]RequestList!$J1662</f>
        <v>0</v>
      </c>
      <c r="Q1661" s="65">
        <f>SUMIF(日報!$R:$R,TEXT(YEAR($Q$2),"0000")&amp;TEXT(MONTH($Q$2),"00")&amp;$O1661,日報!$L:$L)</f>
        <v>0</v>
      </c>
      <c r="R1661" s="65">
        <f ca="1">SUMIF(日報!$J:$J,$O1661,日報!$L:$L)</f>
        <v>0</v>
      </c>
    </row>
    <row r="1662" spans="15:18" x14ac:dyDescent="0.15">
      <c r="O1662" s="7" t="str">
        <f>"REQ"&amp;TEXT([2]RequestList!$A1663,"0000")</f>
        <v>REQ0000</v>
      </c>
      <c r="P1662" s="7">
        <f>[2]RequestList!$J1663</f>
        <v>0</v>
      </c>
      <c r="Q1662" s="65">
        <f>SUMIF(日報!$R:$R,TEXT(YEAR($Q$2),"0000")&amp;TEXT(MONTH($Q$2),"00")&amp;$O1662,日報!$L:$L)</f>
        <v>0</v>
      </c>
      <c r="R1662" s="65">
        <f ca="1">SUMIF(日報!$J:$J,$O1662,日報!$L:$L)</f>
        <v>0</v>
      </c>
    </row>
    <row r="1663" spans="15:18" x14ac:dyDescent="0.15">
      <c r="O1663" s="7" t="str">
        <f>"REQ"&amp;TEXT([2]RequestList!$A1664,"0000")</f>
        <v>REQ0000</v>
      </c>
      <c r="P1663" s="7">
        <f>[2]RequestList!$J1664</f>
        <v>0</v>
      </c>
      <c r="Q1663" s="65">
        <f>SUMIF(日報!$R:$R,TEXT(YEAR($Q$2),"0000")&amp;TEXT(MONTH($Q$2),"00")&amp;$O1663,日報!$L:$L)</f>
        <v>0</v>
      </c>
      <c r="R1663" s="65">
        <f ca="1">SUMIF(日報!$J:$J,$O1663,日報!$L:$L)</f>
        <v>0</v>
      </c>
    </row>
    <row r="1664" spans="15:18" x14ac:dyDescent="0.15">
      <c r="O1664" s="7" t="str">
        <f>"REQ"&amp;TEXT([2]RequestList!$A1665,"0000")</f>
        <v>REQ0000</v>
      </c>
      <c r="P1664" s="7">
        <f>[2]RequestList!$J1665</f>
        <v>0</v>
      </c>
      <c r="Q1664" s="65">
        <f>SUMIF(日報!$R:$R,TEXT(YEAR($Q$2),"0000")&amp;TEXT(MONTH($Q$2),"00")&amp;$O1664,日報!$L:$L)</f>
        <v>0</v>
      </c>
      <c r="R1664" s="65">
        <f ca="1">SUMIF(日報!$J:$J,$O1664,日報!$L:$L)</f>
        <v>0</v>
      </c>
    </row>
    <row r="1665" spans="15:18" x14ac:dyDescent="0.15">
      <c r="O1665" s="7" t="str">
        <f>"REQ"&amp;TEXT([2]RequestList!$A1666,"0000")</f>
        <v>REQ0000</v>
      </c>
      <c r="P1665" s="7">
        <f>[2]RequestList!$J1666</f>
        <v>0</v>
      </c>
      <c r="Q1665" s="65">
        <f>SUMIF(日報!$R:$R,TEXT(YEAR($Q$2),"0000")&amp;TEXT(MONTH($Q$2),"00")&amp;$O1665,日報!$L:$L)</f>
        <v>0</v>
      </c>
      <c r="R1665" s="65">
        <f ca="1">SUMIF(日報!$J:$J,$O1665,日報!$L:$L)</f>
        <v>0</v>
      </c>
    </row>
    <row r="1666" spans="15:18" x14ac:dyDescent="0.15">
      <c r="O1666" s="7" t="str">
        <f>"REQ"&amp;TEXT([2]RequestList!$A1667,"0000")</f>
        <v>REQ0000</v>
      </c>
      <c r="P1666" s="7">
        <f>[2]RequestList!$J1667</f>
        <v>0</v>
      </c>
      <c r="Q1666" s="65">
        <f>SUMIF(日報!$R:$R,TEXT(YEAR($Q$2),"0000")&amp;TEXT(MONTH($Q$2),"00")&amp;$O1666,日報!$L:$L)</f>
        <v>0</v>
      </c>
      <c r="R1666" s="65">
        <f ca="1">SUMIF(日報!$J:$J,$O1666,日報!$L:$L)</f>
        <v>0</v>
      </c>
    </row>
    <row r="1667" spans="15:18" x14ac:dyDescent="0.15">
      <c r="O1667" s="7" t="str">
        <f>"REQ"&amp;TEXT([2]RequestList!$A1668,"0000")</f>
        <v>REQ0000</v>
      </c>
      <c r="P1667" s="7">
        <f>[2]RequestList!$J1668</f>
        <v>0</v>
      </c>
      <c r="Q1667" s="65">
        <f>SUMIF(日報!$R:$R,TEXT(YEAR($Q$2),"0000")&amp;TEXT(MONTH($Q$2),"00")&amp;$O1667,日報!$L:$L)</f>
        <v>0</v>
      </c>
      <c r="R1667" s="65">
        <f ca="1">SUMIF(日報!$J:$J,$O1667,日報!$L:$L)</f>
        <v>0</v>
      </c>
    </row>
    <row r="1668" spans="15:18" x14ac:dyDescent="0.15">
      <c r="O1668" s="7" t="str">
        <f>"REQ"&amp;TEXT([2]RequestList!$A1669,"0000")</f>
        <v>REQ0000</v>
      </c>
      <c r="P1668" s="7">
        <f>[2]RequestList!$J1669</f>
        <v>0</v>
      </c>
      <c r="Q1668" s="65">
        <f>SUMIF(日報!$R:$R,TEXT(YEAR($Q$2),"0000")&amp;TEXT(MONTH($Q$2),"00")&amp;$O1668,日報!$L:$L)</f>
        <v>0</v>
      </c>
      <c r="R1668" s="65">
        <f ca="1">SUMIF(日報!$J:$J,$O1668,日報!$L:$L)</f>
        <v>0</v>
      </c>
    </row>
    <row r="1669" spans="15:18" x14ac:dyDescent="0.15">
      <c r="O1669" s="7" t="str">
        <f>"REQ"&amp;TEXT([2]RequestList!$A1670,"0000")</f>
        <v>REQ0000</v>
      </c>
      <c r="P1669" s="7">
        <f>[2]RequestList!$J1670</f>
        <v>0</v>
      </c>
      <c r="Q1669" s="65">
        <f>SUMIF(日報!$R:$R,TEXT(YEAR($Q$2),"0000")&amp;TEXT(MONTH($Q$2),"00")&amp;$O1669,日報!$L:$L)</f>
        <v>0</v>
      </c>
      <c r="R1669" s="65">
        <f ca="1">SUMIF(日報!$J:$J,$O1669,日報!$L:$L)</f>
        <v>0</v>
      </c>
    </row>
    <row r="1670" spans="15:18" x14ac:dyDescent="0.15">
      <c r="O1670" s="7" t="str">
        <f>"REQ"&amp;TEXT([2]RequestList!$A1671,"0000")</f>
        <v>REQ0000</v>
      </c>
      <c r="P1670" s="7">
        <f>[2]RequestList!$J1671</f>
        <v>0</v>
      </c>
      <c r="Q1670" s="65">
        <f>SUMIF(日報!$R:$R,TEXT(YEAR($Q$2),"0000")&amp;TEXT(MONTH($Q$2),"00")&amp;$O1670,日報!$L:$L)</f>
        <v>0</v>
      </c>
      <c r="R1670" s="65">
        <f ca="1">SUMIF(日報!$J:$J,$O1670,日報!$L:$L)</f>
        <v>0</v>
      </c>
    </row>
    <row r="1671" spans="15:18" x14ac:dyDescent="0.15">
      <c r="O1671" s="7" t="str">
        <f>"REQ"&amp;TEXT([2]RequestList!$A1672,"0000")</f>
        <v>REQ0000</v>
      </c>
      <c r="P1671" s="7">
        <f>[2]RequestList!$J1672</f>
        <v>0</v>
      </c>
      <c r="Q1671" s="65">
        <f>SUMIF(日報!$R:$R,TEXT(YEAR($Q$2),"0000")&amp;TEXT(MONTH($Q$2),"00")&amp;$O1671,日報!$L:$L)</f>
        <v>0</v>
      </c>
      <c r="R1671" s="65">
        <f ca="1">SUMIF(日報!$J:$J,$O1671,日報!$L:$L)</f>
        <v>0</v>
      </c>
    </row>
    <row r="1672" spans="15:18" x14ac:dyDescent="0.15">
      <c r="O1672" s="7" t="str">
        <f>"REQ"&amp;TEXT([2]RequestList!$A1673,"0000")</f>
        <v>REQ0000</v>
      </c>
      <c r="P1672" s="7">
        <f>[2]RequestList!$J1673</f>
        <v>0</v>
      </c>
      <c r="Q1672" s="65">
        <f>SUMIF(日報!$R:$R,TEXT(YEAR($Q$2),"0000")&amp;TEXT(MONTH($Q$2),"00")&amp;$O1672,日報!$L:$L)</f>
        <v>0</v>
      </c>
      <c r="R1672" s="65">
        <f ca="1">SUMIF(日報!$J:$J,$O1672,日報!$L:$L)</f>
        <v>0</v>
      </c>
    </row>
    <row r="1673" spans="15:18" x14ac:dyDescent="0.15">
      <c r="O1673" s="7" t="str">
        <f>"REQ"&amp;TEXT([2]RequestList!$A1674,"0000")</f>
        <v>REQ0000</v>
      </c>
      <c r="P1673" s="7">
        <f>[2]RequestList!$J1674</f>
        <v>0</v>
      </c>
      <c r="Q1673" s="65">
        <f>SUMIF(日報!$R:$R,TEXT(YEAR($Q$2),"0000")&amp;TEXT(MONTH($Q$2),"00")&amp;$O1673,日報!$L:$L)</f>
        <v>0</v>
      </c>
      <c r="R1673" s="65">
        <f ca="1">SUMIF(日報!$J:$J,$O1673,日報!$L:$L)</f>
        <v>0</v>
      </c>
    </row>
    <row r="1674" spans="15:18" x14ac:dyDescent="0.15">
      <c r="O1674" s="7" t="str">
        <f>"REQ"&amp;TEXT([2]RequestList!$A1675,"0000")</f>
        <v>REQ0000</v>
      </c>
      <c r="P1674" s="7">
        <f>[2]RequestList!$J1675</f>
        <v>0</v>
      </c>
      <c r="Q1674" s="65">
        <f>SUMIF(日報!$R:$R,TEXT(YEAR($Q$2),"0000")&amp;TEXT(MONTH($Q$2),"00")&amp;$O1674,日報!$L:$L)</f>
        <v>0</v>
      </c>
      <c r="R1674" s="65">
        <f ca="1">SUMIF(日報!$J:$J,$O1674,日報!$L:$L)</f>
        <v>0</v>
      </c>
    </row>
    <row r="1675" spans="15:18" x14ac:dyDescent="0.15">
      <c r="O1675" s="7" t="str">
        <f>"REQ"&amp;TEXT([2]RequestList!$A1676,"0000")</f>
        <v>REQ0000</v>
      </c>
      <c r="P1675" s="7">
        <f>[2]RequestList!$J1676</f>
        <v>0</v>
      </c>
      <c r="Q1675" s="65">
        <f>SUMIF(日報!$R:$R,TEXT(YEAR($Q$2),"0000")&amp;TEXT(MONTH($Q$2),"00")&amp;$O1675,日報!$L:$L)</f>
        <v>0</v>
      </c>
      <c r="R1675" s="65">
        <f ca="1">SUMIF(日報!$J:$J,$O1675,日報!$L:$L)</f>
        <v>0</v>
      </c>
    </row>
    <row r="1676" spans="15:18" x14ac:dyDescent="0.15">
      <c r="O1676" s="7" t="str">
        <f>"REQ"&amp;TEXT([2]RequestList!$A1677,"0000")</f>
        <v>REQ0000</v>
      </c>
      <c r="P1676" s="7">
        <f>[2]RequestList!$J1677</f>
        <v>0</v>
      </c>
      <c r="Q1676" s="65">
        <f>SUMIF(日報!$R:$R,TEXT(YEAR($Q$2),"0000")&amp;TEXT(MONTH($Q$2),"00")&amp;$O1676,日報!$L:$L)</f>
        <v>0</v>
      </c>
      <c r="R1676" s="65">
        <f ca="1">SUMIF(日報!$J:$J,$O1676,日報!$L:$L)</f>
        <v>0</v>
      </c>
    </row>
    <row r="1677" spans="15:18" x14ac:dyDescent="0.15">
      <c r="O1677" s="7" t="str">
        <f>"REQ"&amp;TEXT([2]RequestList!$A1678,"0000")</f>
        <v>REQ0000</v>
      </c>
      <c r="P1677" s="7">
        <f>[2]RequestList!$J1678</f>
        <v>0</v>
      </c>
      <c r="Q1677" s="65">
        <f>SUMIF(日報!$R:$R,TEXT(YEAR($Q$2),"0000")&amp;TEXT(MONTH($Q$2),"00")&amp;$O1677,日報!$L:$L)</f>
        <v>0</v>
      </c>
      <c r="R1677" s="65">
        <f ca="1">SUMIF(日報!$J:$J,$O1677,日報!$L:$L)</f>
        <v>0</v>
      </c>
    </row>
    <row r="1678" spans="15:18" x14ac:dyDescent="0.15">
      <c r="O1678" s="7" t="str">
        <f>"REQ"&amp;TEXT([2]RequestList!$A1679,"0000")</f>
        <v>REQ0000</v>
      </c>
      <c r="P1678" s="7">
        <f>[2]RequestList!$J1679</f>
        <v>0</v>
      </c>
      <c r="Q1678" s="65">
        <f>SUMIF(日報!$R:$R,TEXT(YEAR($Q$2),"0000")&amp;TEXT(MONTH($Q$2),"00")&amp;$O1678,日報!$L:$L)</f>
        <v>0</v>
      </c>
      <c r="R1678" s="65">
        <f ca="1">SUMIF(日報!$J:$J,$O1678,日報!$L:$L)</f>
        <v>0</v>
      </c>
    </row>
    <row r="1679" spans="15:18" x14ac:dyDescent="0.15">
      <c r="O1679" s="7" t="str">
        <f>"REQ"&amp;TEXT([2]RequestList!$A1680,"0000")</f>
        <v>REQ0000</v>
      </c>
      <c r="P1679" s="7">
        <f>[2]RequestList!$J1680</f>
        <v>0</v>
      </c>
      <c r="Q1679" s="65">
        <f>SUMIF(日報!$R:$R,TEXT(YEAR($Q$2),"0000")&amp;TEXT(MONTH($Q$2),"00")&amp;$O1679,日報!$L:$L)</f>
        <v>0</v>
      </c>
      <c r="R1679" s="65">
        <f ca="1">SUMIF(日報!$J:$J,$O1679,日報!$L:$L)</f>
        <v>0</v>
      </c>
    </row>
    <row r="1680" spans="15:18" x14ac:dyDescent="0.15">
      <c r="O1680" s="7" t="str">
        <f>"REQ"&amp;TEXT([2]RequestList!$A1681,"0000")</f>
        <v>REQ0000</v>
      </c>
      <c r="P1680" s="7">
        <f>[2]RequestList!$J1681</f>
        <v>0</v>
      </c>
      <c r="Q1680" s="65">
        <f>SUMIF(日報!$R:$R,TEXT(YEAR($Q$2),"0000")&amp;TEXT(MONTH($Q$2),"00")&amp;$O1680,日報!$L:$L)</f>
        <v>0</v>
      </c>
      <c r="R1680" s="65">
        <f ca="1">SUMIF(日報!$J:$J,$O1680,日報!$L:$L)</f>
        <v>0</v>
      </c>
    </row>
    <row r="1681" spans="15:18" x14ac:dyDescent="0.15">
      <c r="O1681" s="7" t="str">
        <f>"REQ"&amp;TEXT([2]RequestList!$A1682,"0000")</f>
        <v>REQ0000</v>
      </c>
      <c r="P1681" s="7">
        <f>[2]RequestList!$J1682</f>
        <v>0</v>
      </c>
      <c r="Q1681" s="65">
        <f>SUMIF(日報!$R:$R,TEXT(YEAR($Q$2),"0000")&amp;TEXT(MONTH($Q$2),"00")&amp;$O1681,日報!$L:$L)</f>
        <v>0</v>
      </c>
      <c r="R1681" s="65">
        <f ca="1">SUMIF(日報!$J:$J,$O1681,日報!$L:$L)</f>
        <v>0</v>
      </c>
    </row>
    <row r="1682" spans="15:18" x14ac:dyDescent="0.15">
      <c r="O1682" s="7" t="str">
        <f>"REQ"&amp;TEXT([2]RequestList!$A1683,"0000")</f>
        <v>REQ0000</v>
      </c>
      <c r="P1682" s="7">
        <f>[2]RequestList!$J1683</f>
        <v>0</v>
      </c>
      <c r="Q1682" s="65">
        <f>SUMIF(日報!$R:$R,TEXT(YEAR($Q$2),"0000")&amp;TEXT(MONTH($Q$2),"00")&amp;$O1682,日報!$L:$L)</f>
        <v>0</v>
      </c>
      <c r="R1682" s="65">
        <f ca="1">SUMIF(日報!$J:$J,$O1682,日報!$L:$L)</f>
        <v>0</v>
      </c>
    </row>
    <row r="1683" spans="15:18" x14ac:dyDescent="0.15">
      <c r="O1683" s="7" t="str">
        <f>"REQ"&amp;TEXT([2]RequestList!$A1684,"0000")</f>
        <v>REQ0000</v>
      </c>
      <c r="P1683" s="7">
        <f>[2]RequestList!$J1684</f>
        <v>0</v>
      </c>
      <c r="Q1683" s="65">
        <f>SUMIF(日報!$R:$R,TEXT(YEAR($Q$2),"0000")&amp;TEXT(MONTH($Q$2),"00")&amp;$O1683,日報!$L:$L)</f>
        <v>0</v>
      </c>
      <c r="R1683" s="65">
        <f ca="1">SUMIF(日報!$J:$J,$O1683,日報!$L:$L)</f>
        <v>0</v>
      </c>
    </row>
    <row r="1684" spans="15:18" x14ac:dyDescent="0.15">
      <c r="O1684" s="7" t="str">
        <f>"REQ"&amp;TEXT([2]RequestList!$A1685,"0000")</f>
        <v>REQ0000</v>
      </c>
      <c r="P1684" s="7">
        <f>[2]RequestList!$J1685</f>
        <v>0</v>
      </c>
      <c r="Q1684" s="65">
        <f>SUMIF(日報!$R:$R,TEXT(YEAR($Q$2),"0000")&amp;TEXT(MONTH($Q$2),"00")&amp;$O1684,日報!$L:$L)</f>
        <v>0</v>
      </c>
      <c r="R1684" s="65">
        <f ca="1">SUMIF(日報!$J:$J,$O1684,日報!$L:$L)</f>
        <v>0</v>
      </c>
    </row>
    <row r="1685" spans="15:18" x14ac:dyDescent="0.15">
      <c r="O1685" s="7" t="str">
        <f>"REQ"&amp;TEXT([2]RequestList!$A1686,"0000")</f>
        <v>REQ0000</v>
      </c>
      <c r="P1685" s="7">
        <f>[2]RequestList!$J1686</f>
        <v>0</v>
      </c>
      <c r="Q1685" s="65">
        <f>SUMIF(日報!$R:$R,TEXT(YEAR($Q$2),"0000")&amp;TEXT(MONTH($Q$2),"00")&amp;$O1685,日報!$L:$L)</f>
        <v>0</v>
      </c>
      <c r="R1685" s="65">
        <f ca="1">SUMIF(日報!$J:$J,$O1685,日報!$L:$L)</f>
        <v>0</v>
      </c>
    </row>
    <row r="1686" spans="15:18" x14ac:dyDescent="0.15">
      <c r="O1686" s="7" t="str">
        <f>"REQ"&amp;TEXT([2]RequestList!$A1687,"0000")</f>
        <v>REQ0000</v>
      </c>
      <c r="P1686" s="7">
        <f>[2]RequestList!$J1687</f>
        <v>0</v>
      </c>
      <c r="Q1686" s="65">
        <f>SUMIF(日報!$R:$R,TEXT(YEAR($Q$2),"0000")&amp;TEXT(MONTH($Q$2),"00")&amp;$O1686,日報!$L:$L)</f>
        <v>0</v>
      </c>
      <c r="R1686" s="65">
        <f ca="1">SUMIF(日報!$J:$J,$O1686,日報!$L:$L)</f>
        <v>0</v>
      </c>
    </row>
    <row r="1687" spans="15:18" x14ac:dyDescent="0.15">
      <c r="O1687" s="7" t="str">
        <f>"REQ"&amp;TEXT([2]RequestList!$A1688,"0000")</f>
        <v>REQ0000</v>
      </c>
      <c r="P1687" s="7">
        <f>[2]RequestList!$J1688</f>
        <v>0</v>
      </c>
      <c r="Q1687" s="65">
        <f>SUMIF(日報!$R:$R,TEXT(YEAR($Q$2),"0000")&amp;TEXT(MONTH($Q$2),"00")&amp;$O1687,日報!$L:$L)</f>
        <v>0</v>
      </c>
      <c r="R1687" s="65">
        <f ca="1">SUMIF(日報!$J:$J,$O1687,日報!$L:$L)</f>
        <v>0</v>
      </c>
    </row>
    <row r="1688" spans="15:18" x14ac:dyDescent="0.15">
      <c r="O1688" s="7" t="str">
        <f>"REQ"&amp;TEXT([2]RequestList!$A1689,"0000")</f>
        <v>REQ0000</v>
      </c>
      <c r="P1688" s="7">
        <f>[2]RequestList!$J1689</f>
        <v>0</v>
      </c>
      <c r="Q1688" s="65">
        <f>SUMIF(日報!$R:$R,TEXT(YEAR($Q$2),"0000")&amp;TEXT(MONTH($Q$2),"00")&amp;$O1688,日報!$L:$L)</f>
        <v>0</v>
      </c>
      <c r="R1688" s="65">
        <f ca="1">SUMIF(日報!$J:$J,$O1688,日報!$L:$L)</f>
        <v>0</v>
      </c>
    </row>
    <row r="1689" spans="15:18" x14ac:dyDescent="0.15">
      <c r="O1689" s="7" t="str">
        <f>"REQ"&amp;TEXT([2]RequestList!$A1690,"0000")</f>
        <v>REQ0000</v>
      </c>
      <c r="P1689" s="7">
        <f>[2]RequestList!$J1690</f>
        <v>0</v>
      </c>
      <c r="Q1689" s="65">
        <f>SUMIF(日報!$R:$R,TEXT(YEAR($Q$2),"0000")&amp;TEXT(MONTH($Q$2),"00")&amp;$O1689,日報!$L:$L)</f>
        <v>0</v>
      </c>
      <c r="R1689" s="65">
        <f ca="1">SUMIF(日報!$J:$J,$O1689,日報!$L:$L)</f>
        <v>0</v>
      </c>
    </row>
    <row r="1690" spans="15:18" x14ac:dyDescent="0.15">
      <c r="O1690" s="7" t="str">
        <f>"REQ"&amp;TEXT([2]RequestList!$A1691,"0000")</f>
        <v>REQ0000</v>
      </c>
      <c r="P1690" s="7">
        <f>[2]RequestList!$J1691</f>
        <v>0</v>
      </c>
      <c r="Q1690" s="65">
        <f>SUMIF(日報!$R:$R,TEXT(YEAR($Q$2),"0000")&amp;TEXT(MONTH($Q$2),"00")&amp;$O1690,日報!$L:$L)</f>
        <v>0</v>
      </c>
      <c r="R1690" s="65">
        <f ca="1">SUMIF(日報!$J:$J,$O1690,日報!$L:$L)</f>
        <v>0</v>
      </c>
    </row>
    <row r="1691" spans="15:18" x14ac:dyDescent="0.15">
      <c r="O1691" s="7" t="str">
        <f>"REQ"&amp;TEXT([2]RequestList!$A1692,"0000")</f>
        <v>REQ0000</v>
      </c>
      <c r="P1691" s="7">
        <f>[2]RequestList!$J1692</f>
        <v>0</v>
      </c>
      <c r="Q1691" s="65">
        <f>SUMIF(日報!$R:$R,TEXT(YEAR($Q$2),"0000")&amp;TEXT(MONTH($Q$2),"00")&amp;$O1691,日報!$L:$L)</f>
        <v>0</v>
      </c>
      <c r="R1691" s="65">
        <f ca="1">SUMIF(日報!$J:$J,$O1691,日報!$L:$L)</f>
        <v>0</v>
      </c>
    </row>
    <row r="1692" spans="15:18" x14ac:dyDescent="0.15">
      <c r="O1692" s="7" t="str">
        <f>"REQ"&amp;TEXT([2]RequestList!$A1693,"0000")</f>
        <v>REQ0000</v>
      </c>
      <c r="P1692" s="7">
        <f>[2]RequestList!$J1693</f>
        <v>0</v>
      </c>
      <c r="Q1692" s="65">
        <f>SUMIF(日報!$R:$R,TEXT(YEAR($Q$2),"0000")&amp;TEXT(MONTH($Q$2),"00")&amp;$O1692,日報!$L:$L)</f>
        <v>0</v>
      </c>
      <c r="R1692" s="65">
        <f ca="1">SUMIF(日報!$J:$J,$O1692,日報!$L:$L)</f>
        <v>0</v>
      </c>
    </row>
    <row r="1693" spans="15:18" x14ac:dyDescent="0.15">
      <c r="O1693" s="7" t="str">
        <f>"REQ"&amp;TEXT([2]RequestList!$A1694,"0000")</f>
        <v>REQ0000</v>
      </c>
      <c r="P1693" s="7">
        <f>[2]RequestList!$J1694</f>
        <v>0</v>
      </c>
      <c r="Q1693" s="65">
        <f>SUMIF(日報!$R:$R,TEXT(YEAR($Q$2),"0000")&amp;TEXT(MONTH($Q$2),"00")&amp;$O1693,日報!$L:$L)</f>
        <v>0</v>
      </c>
      <c r="R1693" s="65">
        <f ca="1">SUMIF(日報!$J:$J,$O1693,日報!$L:$L)</f>
        <v>0</v>
      </c>
    </row>
    <row r="1694" spans="15:18" x14ac:dyDescent="0.15">
      <c r="O1694" s="7" t="str">
        <f>"REQ"&amp;TEXT([2]RequestList!$A1695,"0000")</f>
        <v>REQ0000</v>
      </c>
      <c r="P1694" s="7">
        <f>[2]RequestList!$J1695</f>
        <v>0</v>
      </c>
      <c r="Q1694" s="65">
        <f>SUMIF(日報!$R:$R,TEXT(YEAR($Q$2),"0000")&amp;TEXT(MONTH($Q$2),"00")&amp;$O1694,日報!$L:$L)</f>
        <v>0</v>
      </c>
      <c r="R1694" s="65">
        <f ca="1">SUMIF(日報!$J:$J,$O1694,日報!$L:$L)</f>
        <v>0</v>
      </c>
    </row>
    <row r="1695" spans="15:18" x14ac:dyDescent="0.15">
      <c r="O1695" s="7" t="str">
        <f>"REQ"&amp;TEXT([2]RequestList!$A1696,"0000")</f>
        <v>REQ0000</v>
      </c>
      <c r="P1695" s="7">
        <f>[2]RequestList!$J1696</f>
        <v>0</v>
      </c>
      <c r="Q1695" s="65">
        <f>SUMIF(日報!$R:$R,TEXT(YEAR($Q$2),"0000")&amp;TEXT(MONTH($Q$2),"00")&amp;$O1695,日報!$L:$L)</f>
        <v>0</v>
      </c>
      <c r="R1695" s="65">
        <f ca="1">SUMIF(日報!$J:$J,$O1695,日報!$L:$L)</f>
        <v>0</v>
      </c>
    </row>
    <row r="1696" spans="15:18" x14ac:dyDescent="0.15">
      <c r="O1696" s="7" t="str">
        <f>"REQ"&amp;TEXT([2]RequestList!$A1697,"0000")</f>
        <v>REQ0000</v>
      </c>
      <c r="P1696" s="7">
        <f>[2]RequestList!$J1697</f>
        <v>0</v>
      </c>
      <c r="Q1696" s="65">
        <f>SUMIF(日報!$R:$R,TEXT(YEAR($Q$2),"0000")&amp;TEXT(MONTH($Q$2),"00")&amp;$O1696,日報!$L:$L)</f>
        <v>0</v>
      </c>
      <c r="R1696" s="65">
        <f ca="1">SUMIF(日報!$J:$J,$O1696,日報!$L:$L)</f>
        <v>0</v>
      </c>
    </row>
    <row r="1697" spans="15:18" x14ac:dyDescent="0.15">
      <c r="O1697" s="7" t="str">
        <f>"REQ"&amp;TEXT([2]RequestList!$A1698,"0000")</f>
        <v>REQ0000</v>
      </c>
      <c r="P1697" s="7">
        <f>[2]RequestList!$J1698</f>
        <v>0</v>
      </c>
      <c r="Q1697" s="65">
        <f>SUMIF(日報!$R:$R,TEXT(YEAR($Q$2),"0000")&amp;TEXT(MONTH($Q$2),"00")&amp;$O1697,日報!$L:$L)</f>
        <v>0</v>
      </c>
      <c r="R1697" s="65">
        <f ca="1">SUMIF(日報!$J:$J,$O1697,日報!$L:$L)</f>
        <v>0</v>
      </c>
    </row>
    <row r="1698" spans="15:18" x14ac:dyDescent="0.15">
      <c r="O1698" s="7" t="str">
        <f>"REQ"&amp;TEXT([2]RequestList!$A1699,"0000")</f>
        <v>REQ0000</v>
      </c>
      <c r="P1698" s="7">
        <f>[2]RequestList!$J1699</f>
        <v>0</v>
      </c>
      <c r="Q1698" s="65">
        <f>SUMIF(日報!$R:$R,TEXT(YEAR($Q$2),"0000")&amp;TEXT(MONTH($Q$2),"00")&amp;$O1698,日報!$L:$L)</f>
        <v>0</v>
      </c>
      <c r="R1698" s="65">
        <f ca="1">SUMIF(日報!$J:$J,$O1698,日報!$L:$L)</f>
        <v>0</v>
      </c>
    </row>
    <row r="1699" spans="15:18" x14ac:dyDescent="0.15">
      <c r="O1699" s="7" t="str">
        <f>"REQ"&amp;TEXT([2]RequestList!$A1700,"0000")</f>
        <v>REQ0000</v>
      </c>
      <c r="P1699" s="7">
        <f>[2]RequestList!$J1700</f>
        <v>0</v>
      </c>
      <c r="Q1699" s="65">
        <f>SUMIF(日報!$R:$R,TEXT(YEAR($Q$2),"0000")&amp;TEXT(MONTH($Q$2),"00")&amp;$O1699,日報!$L:$L)</f>
        <v>0</v>
      </c>
      <c r="R1699" s="65">
        <f ca="1">SUMIF(日報!$J:$J,$O1699,日報!$L:$L)</f>
        <v>0</v>
      </c>
    </row>
    <row r="1700" spans="15:18" x14ac:dyDescent="0.15">
      <c r="O1700" s="7" t="str">
        <f>"REQ"&amp;TEXT([2]RequestList!$A1701,"0000")</f>
        <v>REQ0000</v>
      </c>
      <c r="P1700" s="7">
        <f>[2]RequestList!$J1701</f>
        <v>0</v>
      </c>
      <c r="Q1700" s="65">
        <f>SUMIF(日報!$R:$R,TEXT(YEAR($Q$2),"0000")&amp;TEXT(MONTH($Q$2),"00")&amp;$O1700,日報!$L:$L)</f>
        <v>0</v>
      </c>
      <c r="R1700" s="65">
        <f ca="1">SUMIF(日報!$J:$J,$O1700,日報!$L:$L)</f>
        <v>0</v>
      </c>
    </row>
    <row r="1701" spans="15:18" x14ac:dyDescent="0.15">
      <c r="O1701" s="7" t="str">
        <f>"REQ"&amp;TEXT([2]RequestList!$A1702,"0000")</f>
        <v>REQ0000</v>
      </c>
      <c r="P1701" s="7">
        <f>[2]RequestList!$J1702</f>
        <v>0</v>
      </c>
      <c r="Q1701" s="65">
        <f>SUMIF(日報!$R:$R,TEXT(YEAR($Q$2),"0000")&amp;TEXT(MONTH($Q$2),"00")&amp;$O1701,日報!$L:$L)</f>
        <v>0</v>
      </c>
      <c r="R1701" s="65">
        <f ca="1">SUMIF(日報!$J:$J,$O1701,日報!$L:$L)</f>
        <v>0</v>
      </c>
    </row>
    <row r="1702" spans="15:18" x14ac:dyDescent="0.15">
      <c r="O1702" s="7" t="str">
        <f>"REQ"&amp;TEXT([2]RequestList!$A1703,"0000")</f>
        <v>REQ0000</v>
      </c>
      <c r="P1702" s="7">
        <f>[2]RequestList!$J1703</f>
        <v>0</v>
      </c>
      <c r="Q1702" s="65">
        <f>SUMIF(日報!$R:$R,TEXT(YEAR($Q$2),"0000")&amp;TEXT(MONTH($Q$2),"00")&amp;$O1702,日報!$L:$L)</f>
        <v>0</v>
      </c>
      <c r="R1702" s="65">
        <f ca="1">SUMIF(日報!$J:$J,$O1702,日報!$L:$L)</f>
        <v>0</v>
      </c>
    </row>
    <row r="1703" spans="15:18" x14ac:dyDescent="0.15">
      <c r="O1703" s="7" t="str">
        <f>"REQ"&amp;TEXT([2]RequestList!$A1704,"0000")</f>
        <v>REQ0000</v>
      </c>
      <c r="P1703" s="7">
        <f>[2]RequestList!$J1704</f>
        <v>0</v>
      </c>
      <c r="Q1703" s="65">
        <f>SUMIF(日報!$R:$R,TEXT(YEAR($Q$2),"0000")&amp;TEXT(MONTH($Q$2),"00")&amp;$O1703,日報!$L:$L)</f>
        <v>0</v>
      </c>
      <c r="R1703" s="65">
        <f ca="1">SUMIF(日報!$J:$J,$O1703,日報!$L:$L)</f>
        <v>0</v>
      </c>
    </row>
    <row r="1704" spans="15:18" x14ac:dyDescent="0.15">
      <c r="O1704" s="7" t="str">
        <f>"REQ"&amp;TEXT([2]RequestList!$A1705,"0000")</f>
        <v>REQ0000</v>
      </c>
      <c r="P1704" s="7">
        <f>[2]RequestList!$J1705</f>
        <v>0</v>
      </c>
      <c r="Q1704" s="65">
        <f>SUMIF(日報!$R:$R,TEXT(YEAR($Q$2),"0000")&amp;TEXT(MONTH($Q$2),"00")&amp;$O1704,日報!$L:$L)</f>
        <v>0</v>
      </c>
      <c r="R1704" s="65">
        <f ca="1">SUMIF(日報!$J:$J,$O1704,日報!$L:$L)</f>
        <v>0</v>
      </c>
    </row>
    <row r="1705" spans="15:18" x14ac:dyDescent="0.15">
      <c r="O1705" s="7" t="str">
        <f>"REQ"&amp;TEXT([2]RequestList!$A1706,"0000")</f>
        <v>REQ0000</v>
      </c>
      <c r="P1705" s="7">
        <f>[2]RequestList!$J1706</f>
        <v>0</v>
      </c>
      <c r="Q1705" s="65">
        <f>SUMIF(日報!$R:$R,TEXT(YEAR($Q$2),"0000")&amp;TEXT(MONTH($Q$2),"00")&amp;$O1705,日報!$L:$L)</f>
        <v>0</v>
      </c>
      <c r="R1705" s="65">
        <f ca="1">SUMIF(日報!$J:$J,$O1705,日報!$L:$L)</f>
        <v>0</v>
      </c>
    </row>
    <row r="1706" spans="15:18" x14ac:dyDescent="0.15">
      <c r="O1706" s="7" t="str">
        <f>"REQ"&amp;TEXT([2]RequestList!$A1707,"0000")</f>
        <v>REQ0000</v>
      </c>
      <c r="P1706" s="7">
        <f>[2]RequestList!$J1707</f>
        <v>0</v>
      </c>
      <c r="Q1706" s="65">
        <f>SUMIF(日報!$R:$R,TEXT(YEAR($Q$2),"0000")&amp;TEXT(MONTH($Q$2),"00")&amp;$O1706,日報!$L:$L)</f>
        <v>0</v>
      </c>
      <c r="R1706" s="65">
        <f ca="1">SUMIF(日報!$J:$J,$O1706,日報!$L:$L)</f>
        <v>0</v>
      </c>
    </row>
    <row r="1707" spans="15:18" x14ac:dyDescent="0.15">
      <c r="O1707" s="7" t="str">
        <f>"REQ"&amp;TEXT([2]RequestList!$A1708,"0000")</f>
        <v>REQ0000</v>
      </c>
      <c r="P1707" s="7">
        <f>[2]RequestList!$J1708</f>
        <v>0</v>
      </c>
      <c r="Q1707" s="65">
        <f>SUMIF(日報!$R:$R,TEXT(YEAR($Q$2),"0000")&amp;TEXT(MONTH($Q$2),"00")&amp;$O1707,日報!$L:$L)</f>
        <v>0</v>
      </c>
      <c r="R1707" s="65">
        <f ca="1">SUMIF(日報!$J:$J,$O1707,日報!$L:$L)</f>
        <v>0</v>
      </c>
    </row>
    <row r="1708" spans="15:18" x14ac:dyDescent="0.15">
      <c r="O1708" s="7" t="str">
        <f>"REQ"&amp;TEXT([2]RequestList!$A1709,"0000")</f>
        <v>REQ0000</v>
      </c>
      <c r="P1708" s="7">
        <f>[2]RequestList!$J1709</f>
        <v>0</v>
      </c>
      <c r="Q1708" s="65">
        <f>SUMIF(日報!$R:$R,TEXT(YEAR($Q$2),"0000")&amp;TEXT(MONTH($Q$2),"00")&amp;$O1708,日報!$L:$L)</f>
        <v>0</v>
      </c>
      <c r="R1708" s="65">
        <f ca="1">SUMIF(日報!$J:$J,$O1708,日報!$L:$L)</f>
        <v>0</v>
      </c>
    </row>
    <row r="1709" spans="15:18" x14ac:dyDescent="0.15">
      <c r="O1709" s="7" t="str">
        <f>"REQ"&amp;TEXT([2]RequestList!$A1710,"0000")</f>
        <v>REQ0000</v>
      </c>
      <c r="P1709" s="7">
        <f>[2]RequestList!$J1710</f>
        <v>0</v>
      </c>
      <c r="Q1709" s="65">
        <f>SUMIF(日報!$R:$R,TEXT(YEAR($Q$2),"0000")&amp;TEXT(MONTH($Q$2),"00")&amp;$O1709,日報!$L:$L)</f>
        <v>0</v>
      </c>
      <c r="R1709" s="65">
        <f ca="1">SUMIF(日報!$J:$J,$O1709,日報!$L:$L)</f>
        <v>0</v>
      </c>
    </row>
    <row r="1710" spans="15:18" x14ac:dyDescent="0.15">
      <c r="O1710" s="7" t="str">
        <f>"REQ"&amp;TEXT([2]RequestList!$A1711,"0000")</f>
        <v>REQ0000</v>
      </c>
      <c r="P1710" s="7">
        <f>[2]RequestList!$J1711</f>
        <v>0</v>
      </c>
      <c r="Q1710" s="65">
        <f>SUMIF(日報!$R:$R,TEXT(YEAR($Q$2),"0000")&amp;TEXT(MONTH($Q$2),"00")&amp;$O1710,日報!$L:$L)</f>
        <v>0</v>
      </c>
      <c r="R1710" s="65">
        <f ca="1">SUMIF(日報!$J:$J,$O1710,日報!$L:$L)</f>
        <v>0</v>
      </c>
    </row>
    <row r="1711" spans="15:18" x14ac:dyDescent="0.15">
      <c r="O1711" s="7" t="str">
        <f>"REQ"&amp;TEXT([2]RequestList!$A1712,"0000")</f>
        <v>REQ0000</v>
      </c>
      <c r="P1711" s="7">
        <f>[2]RequestList!$J1712</f>
        <v>0</v>
      </c>
      <c r="Q1711" s="65">
        <f>SUMIF(日報!$R:$R,TEXT(YEAR($Q$2),"0000")&amp;TEXT(MONTH($Q$2),"00")&amp;$O1711,日報!$L:$L)</f>
        <v>0</v>
      </c>
      <c r="R1711" s="65">
        <f ca="1">SUMIF(日報!$J:$J,$O1711,日報!$L:$L)</f>
        <v>0</v>
      </c>
    </row>
    <row r="1712" spans="15:18" x14ac:dyDescent="0.15">
      <c r="O1712" s="7" t="str">
        <f>"REQ"&amp;TEXT([2]RequestList!$A1713,"0000")</f>
        <v>REQ0000</v>
      </c>
      <c r="P1712" s="7">
        <f>[2]RequestList!$J1713</f>
        <v>0</v>
      </c>
      <c r="Q1712" s="65">
        <f>SUMIF(日報!$R:$R,TEXT(YEAR($Q$2),"0000")&amp;TEXT(MONTH($Q$2),"00")&amp;$O1712,日報!$L:$L)</f>
        <v>0</v>
      </c>
      <c r="R1712" s="65">
        <f ca="1">SUMIF(日報!$J:$J,$O1712,日報!$L:$L)</f>
        <v>0</v>
      </c>
    </row>
    <row r="1713" spans="15:18" x14ac:dyDescent="0.15">
      <c r="O1713" s="7" t="str">
        <f>"REQ"&amp;TEXT([2]RequestList!$A1714,"0000")</f>
        <v>REQ0000</v>
      </c>
      <c r="P1713" s="7">
        <f>[2]RequestList!$J1714</f>
        <v>0</v>
      </c>
      <c r="Q1713" s="65">
        <f>SUMIF(日報!$R:$R,TEXT(YEAR($Q$2),"0000")&amp;TEXT(MONTH($Q$2),"00")&amp;$O1713,日報!$L:$L)</f>
        <v>0</v>
      </c>
      <c r="R1713" s="65">
        <f ca="1">SUMIF(日報!$J:$J,$O1713,日報!$L:$L)</f>
        <v>0</v>
      </c>
    </row>
    <row r="1714" spans="15:18" x14ac:dyDescent="0.15">
      <c r="O1714" s="7" t="str">
        <f>"REQ"&amp;TEXT([2]RequestList!$A1715,"0000")</f>
        <v>REQ0000</v>
      </c>
      <c r="P1714" s="7">
        <f>[2]RequestList!$J1715</f>
        <v>0</v>
      </c>
      <c r="Q1714" s="65">
        <f>SUMIF(日報!$R:$R,TEXT(YEAR($Q$2),"0000")&amp;TEXT(MONTH($Q$2),"00")&amp;$O1714,日報!$L:$L)</f>
        <v>0</v>
      </c>
      <c r="R1714" s="65">
        <f ca="1">SUMIF(日報!$J:$J,$O1714,日報!$L:$L)</f>
        <v>0</v>
      </c>
    </row>
    <row r="1715" spans="15:18" x14ac:dyDescent="0.15">
      <c r="O1715" s="7" t="str">
        <f>"REQ"&amp;TEXT([2]RequestList!$A1716,"0000")</f>
        <v>REQ0000</v>
      </c>
      <c r="P1715" s="7">
        <f>[2]RequestList!$J1716</f>
        <v>0</v>
      </c>
      <c r="Q1715" s="65">
        <f>SUMIF(日報!$R:$R,TEXT(YEAR($Q$2),"0000")&amp;TEXT(MONTH($Q$2),"00")&amp;$O1715,日報!$L:$L)</f>
        <v>0</v>
      </c>
      <c r="R1715" s="65">
        <f ca="1">SUMIF(日報!$J:$J,$O1715,日報!$L:$L)</f>
        <v>0</v>
      </c>
    </row>
    <row r="1716" spans="15:18" x14ac:dyDescent="0.15">
      <c r="O1716" s="7" t="str">
        <f>"REQ"&amp;TEXT([2]RequestList!$A1717,"0000")</f>
        <v>REQ0000</v>
      </c>
      <c r="P1716" s="7">
        <f>[2]RequestList!$J1717</f>
        <v>0</v>
      </c>
      <c r="Q1716" s="65">
        <f>SUMIF(日報!$R:$R,TEXT(YEAR($Q$2),"0000")&amp;TEXT(MONTH($Q$2),"00")&amp;$O1716,日報!$L:$L)</f>
        <v>0</v>
      </c>
      <c r="R1716" s="65">
        <f ca="1">SUMIF(日報!$J:$J,$O1716,日報!$L:$L)</f>
        <v>0</v>
      </c>
    </row>
    <row r="1717" spans="15:18" x14ac:dyDescent="0.15">
      <c r="O1717" s="7" t="str">
        <f>"REQ"&amp;TEXT([2]RequestList!$A1718,"0000")</f>
        <v>REQ0000</v>
      </c>
      <c r="P1717" s="7">
        <f>[2]RequestList!$J1718</f>
        <v>0</v>
      </c>
      <c r="Q1717" s="65">
        <f>SUMIF(日報!$R:$R,TEXT(YEAR($Q$2),"0000")&amp;TEXT(MONTH($Q$2),"00")&amp;$O1717,日報!$L:$L)</f>
        <v>0</v>
      </c>
      <c r="R1717" s="65">
        <f ca="1">SUMIF(日報!$J:$J,$O1717,日報!$L:$L)</f>
        <v>0</v>
      </c>
    </row>
    <row r="1718" spans="15:18" x14ac:dyDescent="0.15">
      <c r="O1718" s="7" t="str">
        <f>"REQ"&amp;TEXT([2]RequestList!$A1719,"0000")</f>
        <v>REQ0000</v>
      </c>
      <c r="P1718" s="7">
        <f>[2]RequestList!$J1719</f>
        <v>0</v>
      </c>
      <c r="Q1718" s="65">
        <f>SUMIF(日報!$R:$R,TEXT(YEAR($Q$2),"0000")&amp;TEXT(MONTH($Q$2),"00")&amp;$O1718,日報!$L:$L)</f>
        <v>0</v>
      </c>
      <c r="R1718" s="65">
        <f ca="1">SUMIF(日報!$J:$J,$O1718,日報!$L:$L)</f>
        <v>0</v>
      </c>
    </row>
    <row r="1719" spans="15:18" x14ac:dyDescent="0.15">
      <c r="O1719" s="7" t="str">
        <f>"REQ"&amp;TEXT([2]RequestList!$A1720,"0000")</f>
        <v>REQ0000</v>
      </c>
      <c r="P1719" s="7">
        <f>[2]RequestList!$J1720</f>
        <v>0</v>
      </c>
      <c r="Q1719" s="65">
        <f>SUMIF(日報!$R:$R,TEXT(YEAR($Q$2),"0000")&amp;TEXT(MONTH($Q$2),"00")&amp;$O1719,日報!$L:$L)</f>
        <v>0</v>
      </c>
      <c r="R1719" s="65">
        <f ca="1">SUMIF(日報!$J:$J,$O1719,日報!$L:$L)</f>
        <v>0</v>
      </c>
    </row>
    <row r="1720" spans="15:18" x14ac:dyDescent="0.15">
      <c r="O1720" s="7" t="str">
        <f>"REQ"&amp;TEXT([2]RequestList!$A1721,"0000")</f>
        <v>REQ0000</v>
      </c>
      <c r="P1720" s="7">
        <f>[2]RequestList!$J1721</f>
        <v>0</v>
      </c>
      <c r="Q1720" s="65">
        <f>SUMIF(日報!$R:$R,TEXT(YEAR($Q$2),"0000")&amp;TEXT(MONTH($Q$2),"00")&amp;$O1720,日報!$L:$L)</f>
        <v>0</v>
      </c>
      <c r="R1720" s="65">
        <f ca="1">SUMIF(日報!$J:$J,$O1720,日報!$L:$L)</f>
        <v>0</v>
      </c>
    </row>
    <row r="1721" spans="15:18" x14ac:dyDescent="0.15">
      <c r="O1721" s="7" t="str">
        <f>"REQ"&amp;TEXT([2]RequestList!$A1722,"0000")</f>
        <v>REQ0000</v>
      </c>
      <c r="P1721" s="7">
        <f>[2]RequestList!$J1722</f>
        <v>0</v>
      </c>
      <c r="Q1721" s="65">
        <f>SUMIF(日報!$R:$R,TEXT(YEAR($Q$2),"0000")&amp;TEXT(MONTH($Q$2),"00")&amp;$O1721,日報!$L:$L)</f>
        <v>0</v>
      </c>
      <c r="R1721" s="65">
        <f ca="1">SUMIF(日報!$J:$J,$O1721,日報!$L:$L)</f>
        <v>0</v>
      </c>
    </row>
    <row r="1722" spans="15:18" x14ac:dyDescent="0.15">
      <c r="O1722" s="7" t="str">
        <f>"REQ"&amp;TEXT([2]RequestList!$A1723,"0000")</f>
        <v>REQ0000</v>
      </c>
      <c r="P1722" s="7">
        <f>[2]RequestList!$J1723</f>
        <v>0</v>
      </c>
      <c r="Q1722" s="65">
        <f>SUMIF(日報!$R:$R,TEXT(YEAR($Q$2),"0000")&amp;TEXT(MONTH($Q$2),"00")&amp;$O1722,日報!$L:$L)</f>
        <v>0</v>
      </c>
      <c r="R1722" s="65">
        <f ca="1">SUMIF(日報!$J:$J,$O1722,日報!$L:$L)</f>
        <v>0</v>
      </c>
    </row>
    <row r="1723" spans="15:18" x14ac:dyDescent="0.15">
      <c r="O1723" s="7" t="str">
        <f>"REQ"&amp;TEXT([2]RequestList!$A1724,"0000")</f>
        <v>REQ0000</v>
      </c>
      <c r="P1723" s="7">
        <f>[2]RequestList!$J1724</f>
        <v>0</v>
      </c>
      <c r="Q1723" s="65">
        <f>SUMIF(日報!$R:$R,TEXT(YEAR($Q$2),"0000")&amp;TEXT(MONTH($Q$2),"00")&amp;$O1723,日報!$L:$L)</f>
        <v>0</v>
      </c>
      <c r="R1723" s="65">
        <f ca="1">SUMIF(日報!$J:$J,$O1723,日報!$L:$L)</f>
        <v>0</v>
      </c>
    </row>
    <row r="1724" spans="15:18" x14ac:dyDescent="0.15">
      <c r="O1724" s="7" t="str">
        <f>"REQ"&amp;TEXT([2]RequestList!$A1725,"0000")</f>
        <v>REQ0000</v>
      </c>
      <c r="P1724" s="7">
        <f>[2]RequestList!$J1725</f>
        <v>0</v>
      </c>
      <c r="Q1724" s="65">
        <f>SUMIF(日報!$R:$R,TEXT(YEAR($Q$2),"0000")&amp;TEXT(MONTH($Q$2),"00")&amp;$O1724,日報!$L:$L)</f>
        <v>0</v>
      </c>
      <c r="R1724" s="65">
        <f ca="1">SUMIF(日報!$J:$J,$O1724,日報!$L:$L)</f>
        <v>0</v>
      </c>
    </row>
    <row r="1725" spans="15:18" x14ac:dyDescent="0.15">
      <c r="O1725" s="7" t="str">
        <f>"REQ"&amp;TEXT([2]RequestList!$A1726,"0000")</f>
        <v>REQ0000</v>
      </c>
      <c r="P1725" s="7">
        <f>[2]RequestList!$J1726</f>
        <v>0</v>
      </c>
      <c r="Q1725" s="65">
        <f>SUMIF(日報!$R:$R,TEXT(YEAR($Q$2),"0000")&amp;TEXT(MONTH($Q$2),"00")&amp;$O1725,日報!$L:$L)</f>
        <v>0</v>
      </c>
      <c r="R1725" s="65">
        <f ca="1">SUMIF(日報!$J:$J,$O1725,日報!$L:$L)</f>
        <v>0</v>
      </c>
    </row>
    <row r="1726" spans="15:18" x14ac:dyDescent="0.15">
      <c r="O1726" s="7" t="str">
        <f>"REQ"&amp;TEXT([2]RequestList!$A1727,"0000")</f>
        <v>REQ0000</v>
      </c>
      <c r="P1726" s="7">
        <f>[2]RequestList!$J1727</f>
        <v>0</v>
      </c>
      <c r="Q1726" s="65">
        <f>SUMIF(日報!$R:$R,TEXT(YEAR($Q$2),"0000")&amp;TEXT(MONTH($Q$2),"00")&amp;$O1726,日報!$L:$L)</f>
        <v>0</v>
      </c>
      <c r="R1726" s="65">
        <f ca="1">SUMIF(日報!$J:$J,$O1726,日報!$L:$L)</f>
        <v>0</v>
      </c>
    </row>
    <row r="1727" spans="15:18" x14ac:dyDescent="0.15">
      <c r="O1727" s="7" t="str">
        <f>"REQ"&amp;TEXT([2]RequestList!$A1728,"0000")</f>
        <v>REQ0000</v>
      </c>
      <c r="P1727" s="7">
        <f>[2]RequestList!$J1728</f>
        <v>0</v>
      </c>
      <c r="Q1727" s="65">
        <f>SUMIF(日報!$R:$R,TEXT(YEAR($Q$2),"0000")&amp;TEXT(MONTH($Q$2),"00")&amp;$O1727,日報!$L:$L)</f>
        <v>0</v>
      </c>
      <c r="R1727" s="65">
        <f ca="1">SUMIF(日報!$J:$J,$O1727,日報!$L:$L)</f>
        <v>0</v>
      </c>
    </row>
    <row r="1728" spans="15:18" x14ac:dyDescent="0.15">
      <c r="O1728" s="7" t="str">
        <f>"REQ"&amp;TEXT([2]RequestList!$A1729,"0000")</f>
        <v>REQ0000</v>
      </c>
      <c r="P1728" s="7">
        <f>[2]RequestList!$J1729</f>
        <v>0</v>
      </c>
      <c r="Q1728" s="65">
        <f>SUMIF(日報!$R:$R,TEXT(YEAR($Q$2),"0000")&amp;TEXT(MONTH($Q$2),"00")&amp;$O1728,日報!$L:$L)</f>
        <v>0</v>
      </c>
      <c r="R1728" s="65">
        <f ca="1">SUMIF(日報!$J:$J,$O1728,日報!$L:$L)</f>
        <v>0</v>
      </c>
    </row>
    <row r="1729" spans="15:18" x14ac:dyDescent="0.15">
      <c r="O1729" s="7" t="str">
        <f>"REQ"&amp;TEXT([2]RequestList!$A1730,"0000")</f>
        <v>REQ0000</v>
      </c>
      <c r="P1729" s="7">
        <f>[2]RequestList!$J1730</f>
        <v>0</v>
      </c>
      <c r="Q1729" s="65">
        <f>SUMIF(日報!$R:$R,TEXT(YEAR($Q$2),"0000")&amp;TEXT(MONTH($Q$2),"00")&amp;$O1729,日報!$L:$L)</f>
        <v>0</v>
      </c>
      <c r="R1729" s="65">
        <f ca="1">SUMIF(日報!$J:$J,$O1729,日報!$L:$L)</f>
        <v>0</v>
      </c>
    </row>
    <row r="1730" spans="15:18" x14ac:dyDescent="0.15">
      <c r="O1730" s="7" t="str">
        <f>"REQ"&amp;TEXT([2]RequestList!$A1731,"0000")</f>
        <v>REQ0000</v>
      </c>
      <c r="P1730" s="7">
        <f>[2]RequestList!$J1731</f>
        <v>0</v>
      </c>
      <c r="Q1730" s="65">
        <f>SUMIF(日報!$R:$R,TEXT(YEAR($Q$2),"0000")&amp;TEXT(MONTH($Q$2),"00")&amp;$O1730,日報!$L:$L)</f>
        <v>0</v>
      </c>
      <c r="R1730" s="65">
        <f ca="1">SUMIF(日報!$J:$J,$O1730,日報!$L:$L)</f>
        <v>0</v>
      </c>
    </row>
    <row r="1731" spans="15:18" x14ac:dyDescent="0.15">
      <c r="O1731" s="7" t="str">
        <f>"REQ"&amp;TEXT([2]RequestList!$A1732,"0000")</f>
        <v>REQ0000</v>
      </c>
      <c r="P1731" s="7">
        <f>[2]RequestList!$J1732</f>
        <v>0</v>
      </c>
      <c r="Q1731" s="65">
        <f>SUMIF(日報!$R:$R,TEXT(YEAR($Q$2),"0000")&amp;TEXT(MONTH($Q$2),"00")&amp;$O1731,日報!$L:$L)</f>
        <v>0</v>
      </c>
      <c r="R1731" s="65">
        <f ca="1">SUMIF(日報!$J:$J,$O1731,日報!$L:$L)</f>
        <v>0</v>
      </c>
    </row>
    <row r="1732" spans="15:18" x14ac:dyDescent="0.15">
      <c r="O1732" s="7" t="str">
        <f>"REQ"&amp;TEXT([2]RequestList!$A1733,"0000")</f>
        <v>REQ0000</v>
      </c>
      <c r="P1732" s="7">
        <f>[2]RequestList!$J1733</f>
        <v>0</v>
      </c>
      <c r="Q1732" s="65">
        <f>SUMIF(日報!$R:$R,TEXT(YEAR($Q$2),"0000")&amp;TEXT(MONTH($Q$2),"00")&amp;$O1732,日報!$L:$L)</f>
        <v>0</v>
      </c>
      <c r="R1732" s="65">
        <f ca="1">SUMIF(日報!$J:$J,$O1732,日報!$L:$L)</f>
        <v>0</v>
      </c>
    </row>
    <row r="1733" spans="15:18" x14ac:dyDescent="0.15">
      <c r="O1733" s="7" t="str">
        <f>"REQ"&amp;TEXT([2]RequestList!$A1734,"0000")</f>
        <v>REQ0000</v>
      </c>
      <c r="P1733" s="7">
        <f>[2]RequestList!$J1734</f>
        <v>0</v>
      </c>
      <c r="Q1733" s="65">
        <f>SUMIF(日報!$R:$R,TEXT(YEAR($Q$2),"0000")&amp;TEXT(MONTH($Q$2),"00")&amp;$O1733,日報!$L:$L)</f>
        <v>0</v>
      </c>
      <c r="R1733" s="65">
        <f ca="1">SUMIF(日報!$J:$J,$O1733,日報!$L:$L)</f>
        <v>0</v>
      </c>
    </row>
    <row r="1734" spans="15:18" x14ac:dyDescent="0.15">
      <c r="O1734" s="7" t="str">
        <f>"REQ"&amp;TEXT([2]RequestList!$A1735,"0000")</f>
        <v>REQ0000</v>
      </c>
      <c r="P1734" s="7">
        <f>[2]RequestList!$J1735</f>
        <v>0</v>
      </c>
      <c r="Q1734" s="65">
        <f>SUMIF(日報!$R:$R,TEXT(YEAR($Q$2),"0000")&amp;TEXT(MONTH($Q$2),"00")&amp;$O1734,日報!$L:$L)</f>
        <v>0</v>
      </c>
      <c r="R1734" s="65">
        <f ca="1">SUMIF(日報!$J:$J,$O1734,日報!$L:$L)</f>
        <v>0</v>
      </c>
    </row>
    <row r="1735" spans="15:18" x14ac:dyDescent="0.15">
      <c r="O1735" s="7" t="str">
        <f>"REQ"&amp;TEXT([2]RequestList!$A1736,"0000")</f>
        <v>REQ0000</v>
      </c>
      <c r="P1735" s="7">
        <f>[2]RequestList!$J1736</f>
        <v>0</v>
      </c>
      <c r="Q1735" s="65">
        <f>SUMIF(日報!$R:$R,TEXT(YEAR($Q$2),"0000")&amp;TEXT(MONTH($Q$2),"00")&amp;$O1735,日報!$L:$L)</f>
        <v>0</v>
      </c>
      <c r="R1735" s="65">
        <f ca="1">SUMIF(日報!$J:$J,$O1735,日報!$L:$L)</f>
        <v>0</v>
      </c>
    </row>
    <row r="1736" spans="15:18" x14ac:dyDescent="0.15">
      <c r="O1736" s="7" t="str">
        <f>"REQ"&amp;TEXT([2]RequestList!$A1737,"0000")</f>
        <v>REQ0000</v>
      </c>
      <c r="P1736" s="7">
        <f>[2]RequestList!$J1737</f>
        <v>0</v>
      </c>
      <c r="Q1736" s="65">
        <f>SUMIF(日報!$R:$R,TEXT(YEAR($Q$2),"0000")&amp;TEXT(MONTH($Q$2),"00")&amp;$O1736,日報!$L:$L)</f>
        <v>0</v>
      </c>
      <c r="R1736" s="65">
        <f ca="1">SUMIF(日報!$J:$J,$O1736,日報!$L:$L)</f>
        <v>0</v>
      </c>
    </row>
    <row r="1737" spans="15:18" x14ac:dyDescent="0.15">
      <c r="O1737" s="7" t="str">
        <f>"REQ"&amp;TEXT([2]RequestList!$A1738,"0000")</f>
        <v>REQ0000</v>
      </c>
      <c r="P1737" s="7">
        <f>[2]RequestList!$J1738</f>
        <v>0</v>
      </c>
      <c r="Q1737" s="65">
        <f>SUMIF(日報!$R:$R,TEXT(YEAR($Q$2),"0000")&amp;TEXT(MONTH($Q$2),"00")&amp;$O1737,日報!$L:$L)</f>
        <v>0</v>
      </c>
      <c r="R1737" s="65">
        <f ca="1">SUMIF(日報!$J:$J,$O1737,日報!$L:$L)</f>
        <v>0</v>
      </c>
    </row>
    <row r="1738" spans="15:18" x14ac:dyDescent="0.15">
      <c r="O1738" s="7" t="str">
        <f>"REQ"&amp;TEXT([2]RequestList!$A1739,"0000")</f>
        <v>REQ0000</v>
      </c>
      <c r="P1738" s="7">
        <f>[2]RequestList!$J1739</f>
        <v>0</v>
      </c>
      <c r="Q1738" s="65">
        <f>SUMIF(日報!$R:$R,TEXT(YEAR($Q$2),"0000")&amp;TEXT(MONTH($Q$2),"00")&amp;$O1738,日報!$L:$L)</f>
        <v>0</v>
      </c>
      <c r="R1738" s="65">
        <f ca="1">SUMIF(日報!$J:$J,$O1738,日報!$L:$L)</f>
        <v>0</v>
      </c>
    </row>
    <row r="1739" spans="15:18" x14ac:dyDescent="0.15">
      <c r="O1739" s="7" t="str">
        <f>"REQ"&amp;TEXT([2]RequestList!$A1740,"0000")</f>
        <v>REQ0000</v>
      </c>
      <c r="P1739" s="7">
        <f>[2]RequestList!$J1740</f>
        <v>0</v>
      </c>
      <c r="Q1739" s="65">
        <f>SUMIF(日報!$R:$R,TEXT(YEAR($Q$2),"0000")&amp;TEXT(MONTH($Q$2),"00")&amp;$O1739,日報!$L:$L)</f>
        <v>0</v>
      </c>
      <c r="R1739" s="65">
        <f ca="1">SUMIF(日報!$J:$J,$O1739,日報!$L:$L)</f>
        <v>0</v>
      </c>
    </row>
    <row r="1740" spans="15:18" x14ac:dyDescent="0.15">
      <c r="O1740" s="7" t="str">
        <f>"REQ"&amp;TEXT([2]RequestList!$A1741,"0000")</f>
        <v>REQ0000</v>
      </c>
      <c r="P1740" s="7">
        <f>[2]RequestList!$J1741</f>
        <v>0</v>
      </c>
      <c r="Q1740" s="65">
        <f>SUMIF(日報!$R:$R,TEXT(YEAR($Q$2),"0000")&amp;TEXT(MONTH($Q$2),"00")&amp;$O1740,日報!$L:$L)</f>
        <v>0</v>
      </c>
      <c r="R1740" s="65">
        <f ca="1">SUMIF(日報!$J:$J,$O1740,日報!$L:$L)</f>
        <v>0</v>
      </c>
    </row>
    <row r="1741" spans="15:18" x14ac:dyDescent="0.15">
      <c r="O1741" s="7" t="str">
        <f>"REQ"&amp;TEXT([2]RequestList!$A1742,"0000")</f>
        <v>REQ0000</v>
      </c>
      <c r="P1741" s="7">
        <f>[2]RequestList!$J1742</f>
        <v>0</v>
      </c>
      <c r="Q1741" s="65">
        <f>SUMIF(日報!$R:$R,TEXT(YEAR($Q$2),"0000")&amp;TEXT(MONTH($Q$2),"00")&amp;$O1741,日報!$L:$L)</f>
        <v>0</v>
      </c>
      <c r="R1741" s="65">
        <f ca="1">SUMIF(日報!$J:$J,$O1741,日報!$L:$L)</f>
        <v>0</v>
      </c>
    </row>
    <row r="1742" spans="15:18" x14ac:dyDescent="0.15">
      <c r="O1742" s="7" t="str">
        <f>"REQ"&amp;TEXT([2]RequestList!$A1743,"0000")</f>
        <v>REQ0000</v>
      </c>
      <c r="P1742" s="7">
        <f>[2]RequestList!$J1743</f>
        <v>0</v>
      </c>
      <c r="Q1742" s="65">
        <f>SUMIF(日報!$R:$R,TEXT(YEAR($Q$2),"0000")&amp;TEXT(MONTH($Q$2),"00")&amp;$O1742,日報!$L:$L)</f>
        <v>0</v>
      </c>
      <c r="R1742" s="65">
        <f ca="1">SUMIF(日報!$J:$J,$O1742,日報!$L:$L)</f>
        <v>0</v>
      </c>
    </row>
    <row r="1743" spans="15:18" x14ac:dyDescent="0.15">
      <c r="O1743" s="7" t="str">
        <f>"REQ"&amp;TEXT([2]RequestList!$A1744,"0000")</f>
        <v>REQ0000</v>
      </c>
      <c r="P1743" s="7">
        <f>[2]RequestList!$J1744</f>
        <v>0</v>
      </c>
      <c r="Q1743" s="65">
        <f>SUMIF(日報!$R:$R,TEXT(YEAR($Q$2),"0000")&amp;TEXT(MONTH($Q$2),"00")&amp;$O1743,日報!$L:$L)</f>
        <v>0</v>
      </c>
      <c r="R1743" s="65">
        <f ca="1">SUMIF(日報!$J:$J,$O1743,日報!$L:$L)</f>
        <v>0</v>
      </c>
    </row>
    <row r="1744" spans="15:18" x14ac:dyDescent="0.15">
      <c r="O1744" s="7" t="str">
        <f>"REQ"&amp;TEXT([2]RequestList!$A1745,"0000")</f>
        <v>REQ0000</v>
      </c>
      <c r="P1744" s="7">
        <f>[2]RequestList!$J1745</f>
        <v>0</v>
      </c>
      <c r="Q1744" s="65">
        <f>SUMIF(日報!$R:$R,TEXT(YEAR($Q$2),"0000")&amp;TEXT(MONTH($Q$2),"00")&amp;$O1744,日報!$L:$L)</f>
        <v>0</v>
      </c>
      <c r="R1744" s="65">
        <f ca="1">SUMIF(日報!$J:$J,$O1744,日報!$L:$L)</f>
        <v>0</v>
      </c>
    </row>
    <row r="1745" spans="15:18" x14ac:dyDescent="0.15">
      <c r="O1745" s="7" t="str">
        <f>"REQ"&amp;TEXT([2]RequestList!$A1746,"0000")</f>
        <v>REQ0000</v>
      </c>
      <c r="P1745" s="7">
        <f>[2]RequestList!$J1746</f>
        <v>0</v>
      </c>
      <c r="Q1745" s="65">
        <f>SUMIF(日報!$R:$R,TEXT(YEAR($Q$2),"0000")&amp;TEXT(MONTH($Q$2),"00")&amp;$O1745,日報!$L:$L)</f>
        <v>0</v>
      </c>
      <c r="R1745" s="65">
        <f ca="1">SUMIF(日報!$J:$J,$O1745,日報!$L:$L)</f>
        <v>0</v>
      </c>
    </row>
    <row r="1746" spans="15:18" x14ac:dyDescent="0.15">
      <c r="O1746" s="7" t="str">
        <f>"REQ"&amp;TEXT([2]RequestList!$A1747,"0000")</f>
        <v>REQ0000</v>
      </c>
      <c r="P1746" s="7">
        <f>[2]RequestList!$J1747</f>
        <v>0</v>
      </c>
      <c r="Q1746" s="65">
        <f>SUMIF(日報!$R:$R,TEXT(YEAR($Q$2),"0000")&amp;TEXT(MONTH($Q$2),"00")&amp;$O1746,日報!$L:$L)</f>
        <v>0</v>
      </c>
      <c r="R1746" s="65">
        <f ca="1">SUMIF(日報!$J:$J,$O1746,日報!$L:$L)</f>
        <v>0</v>
      </c>
    </row>
    <row r="1747" spans="15:18" x14ac:dyDescent="0.15">
      <c r="O1747" s="7" t="str">
        <f>"REQ"&amp;TEXT([2]RequestList!$A1748,"0000")</f>
        <v>REQ0000</v>
      </c>
      <c r="P1747" s="7">
        <f>[2]RequestList!$J1748</f>
        <v>0</v>
      </c>
      <c r="Q1747" s="65">
        <f>SUMIF(日報!$R:$R,TEXT(YEAR($Q$2),"0000")&amp;TEXT(MONTH($Q$2),"00")&amp;$O1747,日報!$L:$L)</f>
        <v>0</v>
      </c>
      <c r="R1747" s="65">
        <f ca="1">SUMIF(日報!$J:$J,$O1747,日報!$L:$L)</f>
        <v>0</v>
      </c>
    </row>
    <row r="1748" spans="15:18" x14ac:dyDescent="0.15">
      <c r="O1748" s="7" t="str">
        <f>"REQ"&amp;TEXT([2]RequestList!$A1749,"0000")</f>
        <v>REQ0000</v>
      </c>
      <c r="P1748" s="7">
        <f>[2]RequestList!$J1749</f>
        <v>0</v>
      </c>
      <c r="Q1748" s="65">
        <f>SUMIF(日報!$R:$R,TEXT(YEAR($Q$2),"0000")&amp;TEXT(MONTH($Q$2),"00")&amp;$O1748,日報!$L:$L)</f>
        <v>0</v>
      </c>
      <c r="R1748" s="65">
        <f ca="1">SUMIF(日報!$J:$J,$O1748,日報!$L:$L)</f>
        <v>0</v>
      </c>
    </row>
    <row r="1749" spans="15:18" x14ac:dyDescent="0.15">
      <c r="O1749" s="7" t="str">
        <f>"REQ"&amp;TEXT([2]RequestList!$A1750,"0000")</f>
        <v>REQ0000</v>
      </c>
      <c r="P1749" s="7">
        <f>[2]RequestList!$J1750</f>
        <v>0</v>
      </c>
      <c r="Q1749" s="65">
        <f>SUMIF(日報!$R:$R,TEXT(YEAR($Q$2),"0000")&amp;TEXT(MONTH($Q$2),"00")&amp;$O1749,日報!$L:$L)</f>
        <v>0</v>
      </c>
      <c r="R1749" s="65">
        <f ca="1">SUMIF(日報!$J:$J,$O1749,日報!$L:$L)</f>
        <v>0</v>
      </c>
    </row>
    <row r="1750" spans="15:18" x14ac:dyDescent="0.15">
      <c r="O1750" s="7" t="str">
        <f>"REQ"&amp;TEXT([2]RequestList!$A1751,"0000")</f>
        <v>REQ0000</v>
      </c>
      <c r="P1750" s="7">
        <f>[2]RequestList!$J1751</f>
        <v>0</v>
      </c>
      <c r="Q1750" s="65">
        <f>SUMIF(日報!$R:$R,TEXT(YEAR($Q$2),"0000")&amp;TEXT(MONTH($Q$2),"00")&amp;$O1750,日報!$L:$L)</f>
        <v>0</v>
      </c>
      <c r="R1750" s="65">
        <f ca="1">SUMIF(日報!$J:$J,$O1750,日報!$L:$L)</f>
        <v>0</v>
      </c>
    </row>
    <row r="1751" spans="15:18" x14ac:dyDescent="0.15">
      <c r="O1751" s="7" t="str">
        <f>"REQ"&amp;TEXT([2]RequestList!$A1752,"0000")</f>
        <v>REQ0000</v>
      </c>
      <c r="P1751" s="7">
        <f>[2]RequestList!$J1752</f>
        <v>0</v>
      </c>
      <c r="Q1751" s="65">
        <f>SUMIF(日報!$R:$R,TEXT(YEAR($Q$2),"0000")&amp;TEXT(MONTH($Q$2),"00")&amp;$O1751,日報!$L:$L)</f>
        <v>0</v>
      </c>
      <c r="R1751" s="65">
        <f ca="1">SUMIF(日報!$J:$J,$O1751,日報!$L:$L)</f>
        <v>0</v>
      </c>
    </row>
    <row r="1752" spans="15:18" x14ac:dyDescent="0.15">
      <c r="O1752" s="7" t="str">
        <f>"REQ"&amp;TEXT([2]RequestList!$A1753,"0000")</f>
        <v>REQ0000</v>
      </c>
      <c r="P1752" s="7">
        <f>[2]RequestList!$J1753</f>
        <v>0</v>
      </c>
      <c r="Q1752" s="65">
        <f>SUMIF(日報!$R:$R,TEXT(YEAR($Q$2),"0000")&amp;TEXT(MONTH($Q$2),"00")&amp;$O1752,日報!$L:$L)</f>
        <v>0</v>
      </c>
      <c r="R1752" s="65">
        <f ca="1">SUMIF(日報!$J:$J,$O1752,日報!$L:$L)</f>
        <v>0</v>
      </c>
    </row>
    <row r="1753" spans="15:18" x14ac:dyDescent="0.15">
      <c r="O1753" s="7" t="str">
        <f>"REQ"&amp;TEXT([2]RequestList!$A1754,"0000")</f>
        <v>REQ0000</v>
      </c>
      <c r="P1753" s="7">
        <f>[2]RequestList!$J1754</f>
        <v>0</v>
      </c>
      <c r="Q1753" s="65">
        <f>SUMIF(日報!$R:$R,TEXT(YEAR($Q$2),"0000")&amp;TEXT(MONTH($Q$2),"00")&amp;$O1753,日報!$L:$L)</f>
        <v>0</v>
      </c>
      <c r="R1753" s="65">
        <f ca="1">SUMIF(日報!$J:$J,$O1753,日報!$L:$L)</f>
        <v>0</v>
      </c>
    </row>
    <row r="1754" spans="15:18" x14ac:dyDescent="0.15">
      <c r="O1754" s="7" t="str">
        <f>"REQ"&amp;TEXT([2]RequestList!$A1755,"0000")</f>
        <v>REQ0000</v>
      </c>
      <c r="P1754" s="7">
        <f>[2]RequestList!$J1755</f>
        <v>0</v>
      </c>
      <c r="Q1754" s="65">
        <f>SUMIF(日報!$R:$R,TEXT(YEAR($Q$2),"0000")&amp;TEXT(MONTH($Q$2),"00")&amp;$O1754,日報!$L:$L)</f>
        <v>0</v>
      </c>
      <c r="R1754" s="65">
        <f ca="1">SUMIF(日報!$J:$J,$O1754,日報!$L:$L)</f>
        <v>0</v>
      </c>
    </row>
    <row r="1755" spans="15:18" x14ac:dyDescent="0.15">
      <c r="O1755" s="7" t="str">
        <f>"REQ"&amp;TEXT([2]RequestList!$A1756,"0000")</f>
        <v>REQ0000</v>
      </c>
      <c r="P1755" s="7">
        <f>[2]RequestList!$J1756</f>
        <v>0</v>
      </c>
      <c r="Q1755" s="65">
        <f>SUMIF(日報!$R:$R,TEXT(YEAR($Q$2),"0000")&amp;TEXT(MONTH($Q$2),"00")&amp;$O1755,日報!$L:$L)</f>
        <v>0</v>
      </c>
      <c r="R1755" s="65">
        <f ca="1">SUMIF(日報!$J:$J,$O1755,日報!$L:$L)</f>
        <v>0</v>
      </c>
    </row>
    <row r="1756" spans="15:18" x14ac:dyDescent="0.15">
      <c r="O1756" s="7" t="str">
        <f>"REQ"&amp;TEXT([2]RequestList!$A1757,"0000")</f>
        <v>REQ0000</v>
      </c>
      <c r="P1756" s="7">
        <f>[2]RequestList!$J1757</f>
        <v>0</v>
      </c>
      <c r="Q1756" s="65">
        <f>SUMIF(日報!$R:$R,TEXT(YEAR($Q$2),"0000")&amp;TEXT(MONTH($Q$2),"00")&amp;$O1756,日報!$L:$L)</f>
        <v>0</v>
      </c>
      <c r="R1756" s="65">
        <f ca="1">SUMIF(日報!$J:$J,$O1756,日報!$L:$L)</f>
        <v>0</v>
      </c>
    </row>
    <row r="1757" spans="15:18" x14ac:dyDescent="0.15">
      <c r="O1757" s="7" t="str">
        <f>"REQ"&amp;TEXT([2]RequestList!$A1758,"0000")</f>
        <v>REQ0000</v>
      </c>
      <c r="P1757" s="7">
        <f>[2]RequestList!$J1758</f>
        <v>0</v>
      </c>
      <c r="Q1757" s="65">
        <f>SUMIF(日報!$R:$R,TEXT(YEAR($Q$2),"0000")&amp;TEXT(MONTH($Q$2),"00")&amp;$O1757,日報!$L:$L)</f>
        <v>0</v>
      </c>
      <c r="R1757" s="65">
        <f ca="1">SUMIF(日報!$J:$J,$O1757,日報!$L:$L)</f>
        <v>0</v>
      </c>
    </row>
    <row r="1758" spans="15:18" x14ac:dyDescent="0.15">
      <c r="O1758" s="7" t="str">
        <f>"REQ"&amp;TEXT([2]RequestList!$A1759,"0000")</f>
        <v>REQ0000</v>
      </c>
      <c r="P1758" s="7">
        <f>[2]RequestList!$J1759</f>
        <v>0</v>
      </c>
      <c r="Q1758" s="65">
        <f>SUMIF(日報!$R:$R,TEXT(YEAR($Q$2),"0000")&amp;TEXT(MONTH($Q$2),"00")&amp;$O1758,日報!$L:$L)</f>
        <v>0</v>
      </c>
      <c r="R1758" s="65">
        <f ca="1">SUMIF(日報!$J:$J,$O1758,日報!$L:$L)</f>
        <v>0</v>
      </c>
    </row>
    <row r="1759" spans="15:18" x14ac:dyDescent="0.15">
      <c r="O1759" s="7" t="str">
        <f>"REQ"&amp;TEXT([2]RequestList!$A1760,"0000")</f>
        <v>REQ0000</v>
      </c>
      <c r="P1759" s="7">
        <f>[2]RequestList!$J1760</f>
        <v>0</v>
      </c>
      <c r="Q1759" s="65">
        <f>SUMIF(日報!$R:$R,TEXT(YEAR($Q$2),"0000")&amp;TEXT(MONTH($Q$2),"00")&amp;$O1759,日報!$L:$L)</f>
        <v>0</v>
      </c>
      <c r="R1759" s="65">
        <f ca="1">SUMIF(日報!$J:$J,$O1759,日報!$L:$L)</f>
        <v>0</v>
      </c>
    </row>
    <row r="1760" spans="15:18" x14ac:dyDescent="0.15">
      <c r="O1760" s="7" t="str">
        <f>"REQ"&amp;TEXT([2]RequestList!$A1761,"0000")</f>
        <v>REQ0000</v>
      </c>
      <c r="P1760" s="7">
        <f>[2]RequestList!$J1761</f>
        <v>0</v>
      </c>
      <c r="Q1760" s="65">
        <f>SUMIF(日報!$R:$R,TEXT(YEAR($Q$2),"0000")&amp;TEXT(MONTH($Q$2),"00")&amp;$O1760,日報!$L:$L)</f>
        <v>0</v>
      </c>
      <c r="R1760" s="65">
        <f ca="1">SUMIF(日報!$J:$J,$O1760,日報!$L:$L)</f>
        <v>0</v>
      </c>
    </row>
    <row r="1761" spans="15:18" x14ac:dyDescent="0.15">
      <c r="O1761" s="7" t="str">
        <f>"REQ"&amp;TEXT([2]RequestList!$A1762,"0000")</f>
        <v>REQ0000</v>
      </c>
      <c r="P1761" s="7">
        <f>[2]RequestList!$J1762</f>
        <v>0</v>
      </c>
      <c r="Q1761" s="65">
        <f>SUMIF(日報!$R:$R,TEXT(YEAR($Q$2),"0000")&amp;TEXT(MONTH($Q$2),"00")&amp;$O1761,日報!$L:$L)</f>
        <v>0</v>
      </c>
      <c r="R1761" s="65">
        <f ca="1">SUMIF(日報!$J:$J,$O1761,日報!$L:$L)</f>
        <v>0</v>
      </c>
    </row>
    <row r="1762" spans="15:18" x14ac:dyDescent="0.15">
      <c r="O1762" s="7" t="str">
        <f>"REQ"&amp;TEXT([2]RequestList!$A1763,"0000")</f>
        <v>REQ0000</v>
      </c>
      <c r="P1762" s="7">
        <f>[2]RequestList!$J1763</f>
        <v>0</v>
      </c>
      <c r="Q1762" s="65">
        <f>SUMIF(日報!$R:$R,TEXT(YEAR($Q$2),"0000")&amp;TEXT(MONTH($Q$2),"00")&amp;$O1762,日報!$L:$L)</f>
        <v>0</v>
      </c>
      <c r="R1762" s="65">
        <f ca="1">SUMIF(日報!$J:$J,$O1762,日報!$L:$L)</f>
        <v>0</v>
      </c>
    </row>
    <row r="1763" spans="15:18" x14ac:dyDescent="0.15">
      <c r="O1763" s="7" t="str">
        <f>"REQ"&amp;TEXT([2]RequestList!$A1764,"0000")</f>
        <v>REQ0000</v>
      </c>
      <c r="P1763" s="7">
        <f>[2]RequestList!$J1764</f>
        <v>0</v>
      </c>
      <c r="Q1763" s="65">
        <f>SUMIF(日報!$R:$R,TEXT(YEAR($Q$2),"0000")&amp;TEXT(MONTH($Q$2),"00")&amp;$O1763,日報!$L:$L)</f>
        <v>0</v>
      </c>
      <c r="R1763" s="65">
        <f ca="1">SUMIF(日報!$J:$J,$O1763,日報!$L:$L)</f>
        <v>0</v>
      </c>
    </row>
    <row r="1764" spans="15:18" x14ac:dyDescent="0.15">
      <c r="O1764" s="7" t="str">
        <f>"REQ"&amp;TEXT([2]RequestList!$A1765,"0000")</f>
        <v>REQ0000</v>
      </c>
      <c r="P1764" s="7">
        <f>[2]RequestList!$J1765</f>
        <v>0</v>
      </c>
      <c r="Q1764" s="65">
        <f>SUMIF(日報!$R:$R,TEXT(YEAR($Q$2),"0000")&amp;TEXT(MONTH($Q$2),"00")&amp;$O1764,日報!$L:$L)</f>
        <v>0</v>
      </c>
      <c r="R1764" s="65">
        <f ca="1">SUMIF(日報!$J:$J,$O1764,日報!$L:$L)</f>
        <v>0</v>
      </c>
    </row>
    <row r="1765" spans="15:18" x14ac:dyDescent="0.15">
      <c r="O1765" s="7" t="str">
        <f>"REQ"&amp;TEXT([2]RequestList!$A1766,"0000")</f>
        <v>REQ0000</v>
      </c>
      <c r="P1765" s="7">
        <f>[2]RequestList!$J1766</f>
        <v>0</v>
      </c>
      <c r="Q1765" s="65">
        <f>SUMIF(日報!$R:$R,TEXT(YEAR($Q$2),"0000")&amp;TEXT(MONTH($Q$2),"00")&amp;$O1765,日報!$L:$L)</f>
        <v>0</v>
      </c>
      <c r="R1765" s="65">
        <f ca="1">SUMIF(日報!$J:$J,$O1765,日報!$L:$L)</f>
        <v>0</v>
      </c>
    </row>
    <row r="1766" spans="15:18" x14ac:dyDescent="0.15">
      <c r="O1766" s="7" t="str">
        <f>"REQ"&amp;TEXT([2]RequestList!$A1767,"0000")</f>
        <v>REQ0000</v>
      </c>
      <c r="P1766" s="7">
        <f>[2]RequestList!$J1767</f>
        <v>0</v>
      </c>
      <c r="Q1766" s="65">
        <f>SUMIF(日報!$R:$R,TEXT(YEAR($Q$2),"0000")&amp;TEXT(MONTH($Q$2),"00")&amp;$O1766,日報!$L:$L)</f>
        <v>0</v>
      </c>
      <c r="R1766" s="65">
        <f ca="1">SUMIF(日報!$J:$J,$O1766,日報!$L:$L)</f>
        <v>0</v>
      </c>
    </row>
    <row r="1767" spans="15:18" x14ac:dyDescent="0.15">
      <c r="O1767" s="7" t="str">
        <f>"REQ"&amp;TEXT([2]RequestList!$A1768,"0000")</f>
        <v>REQ0000</v>
      </c>
      <c r="P1767" s="7">
        <f>[2]RequestList!$J1768</f>
        <v>0</v>
      </c>
      <c r="Q1767" s="65">
        <f>SUMIF(日報!$R:$R,TEXT(YEAR($Q$2),"0000")&amp;TEXT(MONTH($Q$2),"00")&amp;$O1767,日報!$L:$L)</f>
        <v>0</v>
      </c>
      <c r="R1767" s="65">
        <f ca="1">SUMIF(日報!$J:$J,$O1767,日報!$L:$L)</f>
        <v>0</v>
      </c>
    </row>
    <row r="1768" spans="15:18" x14ac:dyDescent="0.15">
      <c r="O1768" s="7" t="str">
        <f>"REQ"&amp;TEXT([2]RequestList!$A1769,"0000")</f>
        <v>REQ0000</v>
      </c>
      <c r="P1768" s="7">
        <f>[2]RequestList!$J1769</f>
        <v>0</v>
      </c>
      <c r="Q1768" s="65">
        <f>SUMIF(日報!$R:$R,TEXT(YEAR($Q$2),"0000")&amp;TEXT(MONTH($Q$2),"00")&amp;$O1768,日報!$L:$L)</f>
        <v>0</v>
      </c>
      <c r="R1768" s="65">
        <f ca="1">SUMIF(日報!$J:$J,$O1768,日報!$L:$L)</f>
        <v>0</v>
      </c>
    </row>
    <row r="1769" spans="15:18" x14ac:dyDescent="0.15">
      <c r="O1769" s="7" t="str">
        <f>"REQ"&amp;TEXT([2]RequestList!$A1770,"0000")</f>
        <v>REQ0000</v>
      </c>
      <c r="P1769" s="7">
        <f>[2]RequestList!$J1770</f>
        <v>0</v>
      </c>
      <c r="Q1769" s="65">
        <f>SUMIF(日報!$R:$R,TEXT(YEAR($Q$2),"0000")&amp;TEXT(MONTH($Q$2),"00")&amp;$O1769,日報!$L:$L)</f>
        <v>0</v>
      </c>
      <c r="R1769" s="65">
        <f ca="1">SUMIF(日報!$J:$J,$O1769,日報!$L:$L)</f>
        <v>0</v>
      </c>
    </row>
    <row r="1770" spans="15:18" x14ac:dyDescent="0.15">
      <c r="O1770" s="7" t="str">
        <f>"REQ"&amp;TEXT([2]RequestList!$A1771,"0000")</f>
        <v>REQ0000</v>
      </c>
      <c r="P1770" s="7">
        <f>[2]RequestList!$J1771</f>
        <v>0</v>
      </c>
      <c r="Q1770" s="65">
        <f>SUMIF(日報!$R:$R,TEXT(YEAR($Q$2),"0000")&amp;TEXT(MONTH($Q$2),"00")&amp;$O1770,日報!$L:$L)</f>
        <v>0</v>
      </c>
      <c r="R1770" s="65">
        <f ca="1">SUMIF(日報!$J:$J,$O1770,日報!$L:$L)</f>
        <v>0</v>
      </c>
    </row>
    <row r="1771" spans="15:18" x14ac:dyDescent="0.15">
      <c r="O1771" s="7" t="str">
        <f>"REQ"&amp;TEXT([2]RequestList!$A1772,"0000")</f>
        <v>REQ0000</v>
      </c>
      <c r="P1771" s="7">
        <f>[2]RequestList!$J1772</f>
        <v>0</v>
      </c>
      <c r="Q1771" s="65">
        <f>SUMIF(日報!$R:$R,TEXT(YEAR($Q$2),"0000")&amp;TEXT(MONTH($Q$2),"00")&amp;$O1771,日報!$L:$L)</f>
        <v>0</v>
      </c>
      <c r="R1771" s="65">
        <f ca="1">SUMIF(日報!$J:$J,$O1771,日報!$L:$L)</f>
        <v>0</v>
      </c>
    </row>
    <row r="1772" spans="15:18" x14ac:dyDescent="0.15">
      <c r="O1772" s="7" t="str">
        <f>"REQ"&amp;TEXT([2]RequestList!$A1773,"0000")</f>
        <v>REQ0000</v>
      </c>
      <c r="P1772" s="7">
        <f>[2]RequestList!$J1773</f>
        <v>0</v>
      </c>
      <c r="Q1772" s="65">
        <f>SUMIF(日報!$R:$R,TEXT(YEAR($Q$2),"0000")&amp;TEXT(MONTH($Q$2),"00")&amp;$O1772,日報!$L:$L)</f>
        <v>0</v>
      </c>
      <c r="R1772" s="65">
        <f ca="1">SUMIF(日報!$J:$J,$O1772,日報!$L:$L)</f>
        <v>0</v>
      </c>
    </row>
    <row r="1773" spans="15:18" x14ac:dyDescent="0.15">
      <c r="O1773" s="7" t="str">
        <f>"REQ"&amp;TEXT([2]RequestList!$A1774,"0000")</f>
        <v>REQ0000</v>
      </c>
      <c r="P1773" s="7">
        <f>[2]RequestList!$J1774</f>
        <v>0</v>
      </c>
      <c r="Q1773" s="65">
        <f>SUMIF(日報!$R:$R,TEXT(YEAR($Q$2),"0000")&amp;TEXT(MONTH($Q$2),"00")&amp;$O1773,日報!$L:$L)</f>
        <v>0</v>
      </c>
      <c r="R1773" s="65">
        <f ca="1">SUMIF(日報!$J:$J,$O1773,日報!$L:$L)</f>
        <v>0</v>
      </c>
    </row>
    <row r="1774" spans="15:18" x14ac:dyDescent="0.15">
      <c r="O1774" s="7" t="str">
        <f>"REQ"&amp;TEXT([2]RequestList!$A1775,"0000")</f>
        <v>REQ0000</v>
      </c>
      <c r="P1774" s="7">
        <f>[2]RequestList!$J1775</f>
        <v>0</v>
      </c>
      <c r="Q1774" s="65">
        <f>SUMIF(日報!$R:$R,TEXT(YEAR($Q$2),"0000")&amp;TEXT(MONTH($Q$2),"00")&amp;$O1774,日報!$L:$L)</f>
        <v>0</v>
      </c>
      <c r="R1774" s="65">
        <f ca="1">SUMIF(日報!$J:$J,$O1774,日報!$L:$L)</f>
        <v>0</v>
      </c>
    </row>
    <row r="1775" spans="15:18" x14ac:dyDescent="0.15">
      <c r="O1775" s="7" t="str">
        <f>"REQ"&amp;TEXT([2]RequestList!$A1776,"0000")</f>
        <v>REQ0000</v>
      </c>
      <c r="P1775" s="7">
        <f>[2]RequestList!$J1776</f>
        <v>0</v>
      </c>
      <c r="Q1775" s="65">
        <f>SUMIF(日報!$R:$R,TEXT(YEAR($Q$2),"0000")&amp;TEXT(MONTH($Q$2),"00")&amp;$O1775,日報!$L:$L)</f>
        <v>0</v>
      </c>
      <c r="R1775" s="65">
        <f ca="1">SUMIF(日報!$J:$J,$O1775,日報!$L:$L)</f>
        <v>0</v>
      </c>
    </row>
    <row r="1776" spans="15:18" x14ac:dyDescent="0.15">
      <c r="O1776" s="7" t="str">
        <f>"REQ"&amp;TEXT([2]RequestList!$A1777,"0000")</f>
        <v>REQ0000</v>
      </c>
      <c r="P1776" s="7">
        <f>[2]RequestList!$J1777</f>
        <v>0</v>
      </c>
      <c r="Q1776" s="65">
        <f>SUMIF(日報!$R:$R,TEXT(YEAR($Q$2),"0000")&amp;TEXT(MONTH($Q$2),"00")&amp;$O1776,日報!$L:$L)</f>
        <v>0</v>
      </c>
      <c r="R1776" s="65">
        <f ca="1">SUMIF(日報!$J:$J,$O1776,日報!$L:$L)</f>
        <v>0</v>
      </c>
    </row>
    <row r="1777" spans="15:18" x14ac:dyDescent="0.15">
      <c r="O1777" s="7" t="str">
        <f>"REQ"&amp;TEXT([2]RequestList!$A1778,"0000")</f>
        <v>REQ0000</v>
      </c>
      <c r="P1777" s="7">
        <f>[2]RequestList!$J1778</f>
        <v>0</v>
      </c>
      <c r="Q1777" s="65">
        <f>SUMIF(日報!$R:$R,TEXT(YEAR($Q$2),"0000")&amp;TEXT(MONTH($Q$2),"00")&amp;$O1777,日報!$L:$L)</f>
        <v>0</v>
      </c>
      <c r="R1777" s="65">
        <f ca="1">SUMIF(日報!$J:$J,$O1777,日報!$L:$L)</f>
        <v>0</v>
      </c>
    </row>
    <row r="1778" spans="15:18" x14ac:dyDescent="0.15">
      <c r="O1778" s="7" t="str">
        <f>"REQ"&amp;TEXT([2]RequestList!$A1779,"0000")</f>
        <v>REQ0000</v>
      </c>
      <c r="P1778" s="7">
        <f>[2]RequestList!$J1779</f>
        <v>0</v>
      </c>
      <c r="Q1778" s="65">
        <f>SUMIF(日報!$R:$R,TEXT(YEAR($Q$2),"0000")&amp;TEXT(MONTH($Q$2),"00")&amp;$O1778,日報!$L:$L)</f>
        <v>0</v>
      </c>
      <c r="R1778" s="65">
        <f ca="1">SUMIF(日報!$J:$J,$O1778,日報!$L:$L)</f>
        <v>0</v>
      </c>
    </row>
    <row r="1779" spans="15:18" x14ac:dyDescent="0.15">
      <c r="O1779" s="7" t="str">
        <f>"REQ"&amp;TEXT([2]RequestList!$A1780,"0000")</f>
        <v>REQ0000</v>
      </c>
      <c r="P1779" s="7">
        <f>[2]RequestList!$J1780</f>
        <v>0</v>
      </c>
      <c r="Q1779" s="65">
        <f>SUMIF(日報!$R:$R,TEXT(YEAR($Q$2),"0000")&amp;TEXT(MONTH($Q$2),"00")&amp;$O1779,日報!$L:$L)</f>
        <v>0</v>
      </c>
      <c r="R1779" s="65">
        <f ca="1">SUMIF(日報!$J:$J,$O1779,日報!$L:$L)</f>
        <v>0</v>
      </c>
    </row>
    <row r="1780" spans="15:18" x14ac:dyDescent="0.15">
      <c r="O1780" s="7" t="str">
        <f>"REQ"&amp;TEXT([2]RequestList!$A1781,"0000")</f>
        <v>REQ0000</v>
      </c>
      <c r="P1780" s="7">
        <f>[2]RequestList!$J1781</f>
        <v>0</v>
      </c>
      <c r="Q1780" s="65">
        <f>SUMIF(日報!$R:$R,TEXT(YEAR($Q$2),"0000")&amp;TEXT(MONTH($Q$2),"00")&amp;$O1780,日報!$L:$L)</f>
        <v>0</v>
      </c>
      <c r="R1780" s="65">
        <f ca="1">SUMIF(日報!$J:$J,$O1780,日報!$L:$L)</f>
        <v>0</v>
      </c>
    </row>
    <row r="1781" spans="15:18" x14ac:dyDescent="0.15">
      <c r="O1781" s="7" t="str">
        <f>"REQ"&amp;TEXT([2]RequestList!$A1782,"0000")</f>
        <v>REQ0000</v>
      </c>
      <c r="P1781" s="7">
        <f>[2]RequestList!$J1782</f>
        <v>0</v>
      </c>
      <c r="Q1781" s="65">
        <f>SUMIF(日報!$R:$R,TEXT(YEAR($Q$2),"0000")&amp;TEXT(MONTH($Q$2),"00")&amp;$O1781,日報!$L:$L)</f>
        <v>0</v>
      </c>
      <c r="R1781" s="65">
        <f ca="1">SUMIF(日報!$J:$J,$O1781,日報!$L:$L)</f>
        <v>0</v>
      </c>
    </row>
    <row r="1782" spans="15:18" x14ac:dyDescent="0.15">
      <c r="O1782" s="7" t="str">
        <f>"REQ"&amp;TEXT([2]RequestList!$A1783,"0000")</f>
        <v>REQ0000</v>
      </c>
      <c r="P1782" s="7">
        <f>[2]RequestList!$J1783</f>
        <v>0</v>
      </c>
      <c r="Q1782" s="65">
        <f>SUMIF(日報!$R:$R,TEXT(YEAR($Q$2),"0000")&amp;TEXT(MONTH($Q$2),"00")&amp;$O1782,日報!$L:$L)</f>
        <v>0</v>
      </c>
      <c r="R1782" s="65">
        <f ca="1">SUMIF(日報!$J:$J,$O1782,日報!$L:$L)</f>
        <v>0</v>
      </c>
    </row>
    <row r="1783" spans="15:18" x14ac:dyDescent="0.15">
      <c r="O1783" s="7" t="str">
        <f>"REQ"&amp;TEXT([2]RequestList!$A1784,"0000")</f>
        <v>REQ0000</v>
      </c>
      <c r="P1783" s="7">
        <f>[2]RequestList!$J1784</f>
        <v>0</v>
      </c>
      <c r="Q1783" s="65">
        <f>SUMIF(日報!$R:$R,TEXT(YEAR($Q$2),"0000")&amp;TEXT(MONTH($Q$2),"00")&amp;$O1783,日報!$L:$L)</f>
        <v>0</v>
      </c>
      <c r="R1783" s="65">
        <f ca="1">SUMIF(日報!$J:$J,$O1783,日報!$L:$L)</f>
        <v>0</v>
      </c>
    </row>
    <row r="1784" spans="15:18" x14ac:dyDescent="0.15">
      <c r="O1784" s="7" t="str">
        <f>"REQ"&amp;TEXT([2]RequestList!$A1785,"0000")</f>
        <v>REQ0000</v>
      </c>
      <c r="P1784" s="7">
        <f>[2]RequestList!$J1785</f>
        <v>0</v>
      </c>
      <c r="Q1784" s="65">
        <f>SUMIF(日報!$R:$R,TEXT(YEAR($Q$2),"0000")&amp;TEXT(MONTH($Q$2),"00")&amp;$O1784,日報!$L:$L)</f>
        <v>0</v>
      </c>
      <c r="R1784" s="65">
        <f ca="1">SUMIF(日報!$J:$J,$O1784,日報!$L:$L)</f>
        <v>0</v>
      </c>
    </row>
    <row r="1785" spans="15:18" x14ac:dyDescent="0.15">
      <c r="O1785" s="7" t="str">
        <f>"REQ"&amp;TEXT([2]RequestList!$A1786,"0000")</f>
        <v>REQ0000</v>
      </c>
      <c r="P1785" s="7">
        <f>[2]RequestList!$J1786</f>
        <v>0</v>
      </c>
      <c r="Q1785" s="65">
        <f>SUMIF(日報!$R:$R,TEXT(YEAR($Q$2),"0000")&amp;TEXT(MONTH($Q$2),"00")&amp;$O1785,日報!$L:$L)</f>
        <v>0</v>
      </c>
      <c r="R1785" s="65">
        <f ca="1">SUMIF(日報!$J:$J,$O1785,日報!$L:$L)</f>
        <v>0</v>
      </c>
    </row>
    <row r="1786" spans="15:18" x14ac:dyDescent="0.15">
      <c r="O1786" s="7" t="str">
        <f>"REQ"&amp;TEXT([2]RequestList!$A1787,"0000")</f>
        <v>REQ0000</v>
      </c>
      <c r="P1786" s="7">
        <f>[2]RequestList!$J1787</f>
        <v>0</v>
      </c>
      <c r="Q1786" s="65">
        <f>SUMIF(日報!$R:$R,TEXT(YEAR($Q$2),"0000")&amp;TEXT(MONTH($Q$2),"00")&amp;$O1786,日報!$L:$L)</f>
        <v>0</v>
      </c>
      <c r="R1786" s="65">
        <f ca="1">SUMIF(日報!$J:$J,$O1786,日報!$L:$L)</f>
        <v>0</v>
      </c>
    </row>
    <row r="1787" spans="15:18" x14ac:dyDescent="0.15">
      <c r="O1787" s="7" t="str">
        <f>"REQ"&amp;TEXT([2]RequestList!$A1788,"0000")</f>
        <v>REQ0000</v>
      </c>
      <c r="P1787" s="7">
        <f>[2]RequestList!$J1788</f>
        <v>0</v>
      </c>
      <c r="Q1787" s="65">
        <f>SUMIF(日報!$R:$R,TEXT(YEAR($Q$2),"0000")&amp;TEXT(MONTH($Q$2),"00")&amp;$O1787,日報!$L:$L)</f>
        <v>0</v>
      </c>
      <c r="R1787" s="65">
        <f ca="1">SUMIF(日報!$J:$J,$O1787,日報!$L:$L)</f>
        <v>0</v>
      </c>
    </row>
    <row r="1788" spans="15:18" x14ac:dyDescent="0.15">
      <c r="O1788" s="7" t="str">
        <f>"REQ"&amp;TEXT([2]RequestList!$A1789,"0000")</f>
        <v>REQ0000</v>
      </c>
      <c r="P1788" s="7">
        <f>[2]RequestList!$J1789</f>
        <v>0</v>
      </c>
      <c r="Q1788" s="65">
        <f>SUMIF(日報!$R:$R,TEXT(YEAR($Q$2),"0000")&amp;TEXT(MONTH($Q$2),"00")&amp;$O1788,日報!$L:$L)</f>
        <v>0</v>
      </c>
      <c r="R1788" s="65">
        <f ca="1">SUMIF(日報!$J:$J,$O1788,日報!$L:$L)</f>
        <v>0</v>
      </c>
    </row>
    <row r="1789" spans="15:18" x14ac:dyDescent="0.15">
      <c r="O1789" s="7" t="str">
        <f>"REQ"&amp;TEXT([2]RequestList!$A1790,"0000")</f>
        <v>REQ0000</v>
      </c>
      <c r="P1789" s="7">
        <f>[2]RequestList!$J1790</f>
        <v>0</v>
      </c>
      <c r="Q1789" s="65">
        <f>SUMIF(日報!$R:$R,TEXT(YEAR($Q$2),"0000")&amp;TEXT(MONTH($Q$2),"00")&amp;$O1789,日報!$L:$L)</f>
        <v>0</v>
      </c>
      <c r="R1789" s="65">
        <f ca="1">SUMIF(日報!$J:$J,$O1789,日報!$L:$L)</f>
        <v>0</v>
      </c>
    </row>
    <row r="1790" spans="15:18" x14ac:dyDescent="0.15">
      <c r="O1790" s="7" t="str">
        <f>"REQ"&amp;TEXT([2]RequestList!$A1791,"0000")</f>
        <v>REQ0000</v>
      </c>
      <c r="P1790" s="7">
        <f>[2]RequestList!$J1791</f>
        <v>0</v>
      </c>
      <c r="Q1790" s="65">
        <f>SUMIF(日報!$R:$R,TEXT(YEAR($Q$2),"0000")&amp;TEXT(MONTH($Q$2),"00")&amp;$O1790,日報!$L:$L)</f>
        <v>0</v>
      </c>
      <c r="R1790" s="65">
        <f ca="1">SUMIF(日報!$J:$J,$O1790,日報!$L:$L)</f>
        <v>0</v>
      </c>
    </row>
    <row r="1791" spans="15:18" x14ac:dyDescent="0.15">
      <c r="O1791" s="7" t="str">
        <f>"REQ"&amp;TEXT([2]RequestList!$A1792,"0000")</f>
        <v>REQ0000</v>
      </c>
      <c r="P1791" s="7">
        <f>[2]RequestList!$J1792</f>
        <v>0</v>
      </c>
      <c r="Q1791" s="65">
        <f>SUMIF(日報!$R:$R,TEXT(YEAR($Q$2),"0000")&amp;TEXT(MONTH($Q$2),"00")&amp;$O1791,日報!$L:$L)</f>
        <v>0</v>
      </c>
      <c r="R1791" s="65">
        <f ca="1">SUMIF(日報!$J:$J,$O1791,日報!$L:$L)</f>
        <v>0</v>
      </c>
    </row>
    <row r="1792" spans="15:18" x14ac:dyDescent="0.15">
      <c r="O1792" s="7" t="str">
        <f>"REQ"&amp;TEXT([2]RequestList!$A1793,"0000")</f>
        <v>REQ0000</v>
      </c>
      <c r="P1792" s="7">
        <f>[2]RequestList!$J1793</f>
        <v>0</v>
      </c>
      <c r="Q1792" s="65">
        <f>SUMIF(日報!$R:$R,TEXT(YEAR($Q$2),"0000")&amp;TEXT(MONTH($Q$2),"00")&amp;$O1792,日報!$L:$L)</f>
        <v>0</v>
      </c>
      <c r="R1792" s="65">
        <f ca="1">SUMIF(日報!$J:$J,$O1792,日報!$L:$L)</f>
        <v>0</v>
      </c>
    </row>
    <row r="1793" spans="15:18" x14ac:dyDescent="0.15">
      <c r="O1793" s="7" t="str">
        <f>"REQ"&amp;TEXT([2]RequestList!$A1794,"0000")</f>
        <v>REQ0000</v>
      </c>
      <c r="P1793" s="7">
        <f>[2]RequestList!$J1794</f>
        <v>0</v>
      </c>
      <c r="Q1793" s="65">
        <f>SUMIF(日報!$R:$R,TEXT(YEAR($Q$2),"0000")&amp;TEXT(MONTH($Q$2),"00")&amp;$O1793,日報!$L:$L)</f>
        <v>0</v>
      </c>
      <c r="R1793" s="65">
        <f ca="1">SUMIF(日報!$J:$J,$O1793,日報!$L:$L)</f>
        <v>0</v>
      </c>
    </row>
    <row r="1794" spans="15:18" x14ac:dyDescent="0.15">
      <c r="O1794" s="7" t="str">
        <f>"REQ"&amp;TEXT([2]RequestList!$A1795,"0000")</f>
        <v>REQ0000</v>
      </c>
      <c r="P1794" s="7">
        <f>[2]RequestList!$J1795</f>
        <v>0</v>
      </c>
      <c r="Q1794" s="65">
        <f>SUMIF(日報!$R:$R,TEXT(YEAR($Q$2),"0000")&amp;TEXT(MONTH($Q$2),"00")&amp;$O1794,日報!$L:$L)</f>
        <v>0</v>
      </c>
      <c r="R1794" s="65">
        <f ca="1">SUMIF(日報!$J:$J,$O1794,日報!$L:$L)</f>
        <v>0</v>
      </c>
    </row>
    <row r="1795" spans="15:18" x14ac:dyDescent="0.15">
      <c r="O1795" s="7" t="str">
        <f>"REQ"&amp;TEXT([2]RequestList!$A1796,"0000")</f>
        <v>REQ0000</v>
      </c>
      <c r="P1795" s="7">
        <f>[2]RequestList!$J1796</f>
        <v>0</v>
      </c>
      <c r="Q1795" s="65">
        <f>SUMIF(日報!$R:$R,TEXT(YEAR($Q$2),"0000")&amp;TEXT(MONTH($Q$2),"00")&amp;$O1795,日報!$L:$L)</f>
        <v>0</v>
      </c>
      <c r="R1795" s="65">
        <f ca="1">SUMIF(日報!$J:$J,$O1795,日報!$L:$L)</f>
        <v>0</v>
      </c>
    </row>
    <row r="1796" spans="15:18" x14ac:dyDescent="0.15">
      <c r="O1796" s="7" t="str">
        <f>"REQ"&amp;TEXT([2]RequestList!$A1797,"0000")</f>
        <v>REQ0000</v>
      </c>
      <c r="P1796" s="7">
        <f>[2]RequestList!$J1797</f>
        <v>0</v>
      </c>
      <c r="Q1796" s="65">
        <f>SUMIF(日報!$R:$R,TEXT(YEAR($Q$2),"0000")&amp;TEXT(MONTH($Q$2),"00")&amp;$O1796,日報!$L:$L)</f>
        <v>0</v>
      </c>
      <c r="R1796" s="65">
        <f ca="1">SUMIF(日報!$J:$J,$O1796,日報!$L:$L)</f>
        <v>0</v>
      </c>
    </row>
    <row r="1797" spans="15:18" x14ac:dyDescent="0.15">
      <c r="O1797" s="7" t="str">
        <f>"REQ"&amp;TEXT([2]RequestList!$A1798,"0000")</f>
        <v>REQ0000</v>
      </c>
      <c r="P1797" s="7">
        <f>[2]RequestList!$J1798</f>
        <v>0</v>
      </c>
      <c r="Q1797" s="65">
        <f>SUMIF(日報!$R:$R,TEXT(YEAR($Q$2),"0000")&amp;TEXT(MONTH($Q$2),"00")&amp;$O1797,日報!$L:$L)</f>
        <v>0</v>
      </c>
      <c r="R1797" s="65">
        <f ca="1">SUMIF(日報!$J:$J,$O1797,日報!$L:$L)</f>
        <v>0</v>
      </c>
    </row>
    <row r="1798" spans="15:18" x14ac:dyDescent="0.15">
      <c r="O1798" s="7" t="str">
        <f>"REQ"&amp;TEXT([2]RequestList!$A1799,"0000")</f>
        <v>REQ0000</v>
      </c>
      <c r="P1798" s="7">
        <f>[2]RequestList!$J1799</f>
        <v>0</v>
      </c>
      <c r="Q1798" s="65">
        <f>SUMIF(日報!$R:$R,TEXT(YEAR($Q$2),"0000")&amp;TEXT(MONTH($Q$2),"00")&amp;$O1798,日報!$L:$L)</f>
        <v>0</v>
      </c>
      <c r="R1798" s="65">
        <f ca="1">SUMIF(日報!$J:$J,$O1798,日報!$L:$L)</f>
        <v>0</v>
      </c>
    </row>
    <row r="1799" spans="15:18" x14ac:dyDescent="0.15">
      <c r="O1799" s="7" t="str">
        <f>"REQ"&amp;TEXT([2]RequestList!$A1800,"0000")</f>
        <v>REQ0000</v>
      </c>
      <c r="P1799" s="7">
        <f>[2]RequestList!$J1800</f>
        <v>0</v>
      </c>
      <c r="Q1799" s="65">
        <f>SUMIF(日報!$R:$R,TEXT(YEAR($Q$2),"0000")&amp;TEXT(MONTH($Q$2),"00")&amp;$O1799,日報!$L:$L)</f>
        <v>0</v>
      </c>
      <c r="R1799" s="65">
        <f ca="1">SUMIF(日報!$J:$J,$O1799,日報!$L:$L)</f>
        <v>0</v>
      </c>
    </row>
    <row r="1800" spans="15:18" x14ac:dyDescent="0.15">
      <c r="O1800" s="7" t="str">
        <f>"REQ"&amp;TEXT([2]RequestList!$A1801,"0000")</f>
        <v>REQ0000</v>
      </c>
      <c r="P1800" s="7">
        <f>[2]RequestList!$J1801</f>
        <v>0</v>
      </c>
      <c r="Q1800" s="65">
        <f>SUMIF(日報!$R:$R,TEXT(YEAR($Q$2),"0000")&amp;TEXT(MONTH($Q$2),"00")&amp;$O1800,日報!$L:$L)</f>
        <v>0</v>
      </c>
      <c r="R1800" s="65">
        <f ca="1">SUMIF(日報!$J:$J,$O1800,日報!$L:$L)</f>
        <v>0</v>
      </c>
    </row>
    <row r="1801" spans="15:18" x14ac:dyDescent="0.15">
      <c r="O1801" s="7" t="str">
        <f>"REQ"&amp;TEXT([2]RequestList!$A1802,"0000")</f>
        <v>REQ0000</v>
      </c>
      <c r="P1801" s="7">
        <f>[2]RequestList!$J1802</f>
        <v>0</v>
      </c>
      <c r="Q1801" s="65">
        <f>SUMIF(日報!$R:$R,TEXT(YEAR($Q$2),"0000")&amp;TEXT(MONTH($Q$2),"00")&amp;$O1801,日報!$L:$L)</f>
        <v>0</v>
      </c>
      <c r="R1801" s="65">
        <f ca="1">SUMIF(日報!$J:$J,$O1801,日報!$L:$L)</f>
        <v>0</v>
      </c>
    </row>
    <row r="1802" spans="15:18" x14ac:dyDescent="0.15">
      <c r="O1802" s="7" t="str">
        <f>"REQ"&amp;TEXT([2]RequestList!$A1803,"0000")</f>
        <v>REQ0000</v>
      </c>
      <c r="P1802" s="7">
        <f>[2]RequestList!$J1803</f>
        <v>0</v>
      </c>
      <c r="Q1802" s="65">
        <f>SUMIF(日報!$R:$R,TEXT(YEAR($Q$2),"0000")&amp;TEXT(MONTH($Q$2),"00")&amp;$O1802,日報!$L:$L)</f>
        <v>0</v>
      </c>
      <c r="R1802" s="65">
        <f ca="1">SUMIF(日報!$J:$J,$O1802,日報!$L:$L)</f>
        <v>0</v>
      </c>
    </row>
    <row r="1803" spans="15:18" x14ac:dyDescent="0.15">
      <c r="O1803" s="7" t="str">
        <f>"REQ"&amp;TEXT([2]RequestList!$A1804,"0000")</f>
        <v>REQ0000</v>
      </c>
      <c r="P1803" s="7">
        <f>[2]RequestList!$J1804</f>
        <v>0</v>
      </c>
      <c r="Q1803" s="65">
        <f>SUMIF(日報!$R:$R,TEXT(YEAR($Q$2),"0000")&amp;TEXT(MONTH($Q$2),"00")&amp;$O1803,日報!$L:$L)</f>
        <v>0</v>
      </c>
      <c r="R1803" s="65">
        <f ca="1">SUMIF(日報!$J:$J,$O1803,日報!$L:$L)</f>
        <v>0</v>
      </c>
    </row>
    <row r="1804" spans="15:18" x14ac:dyDescent="0.15">
      <c r="O1804" s="7" t="str">
        <f>"REQ"&amp;TEXT([2]RequestList!$A1805,"0000")</f>
        <v>REQ0000</v>
      </c>
      <c r="P1804" s="7">
        <f>[2]RequestList!$J1805</f>
        <v>0</v>
      </c>
      <c r="Q1804" s="65">
        <f>SUMIF(日報!$R:$R,TEXT(YEAR($Q$2),"0000")&amp;TEXT(MONTH($Q$2),"00")&amp;$O1804,日報!$L:$L)</f>
        <v>0</v>
      </c>
      <c r="R1804" s="65">
        <f ca="1">SUMIF(日報!$J:$J,$O1804,日報!$L:$L)</f>
        <v>0</v>
      </c>
    </row>
    <row r="1805" spans="15:18" x14ac:dyDescent="0.15">
      <c r="O1805" s="7" t="str">
        <f>"REQ"&amp;TEXT([2]RequestList!$A1806,"0000")</f>
        <v>REQ0000</v>
      </c>
      <c r="P1805" s="7">
        <f>[2]RequestList!$J1806</f>
        <v>0</v>
      </c>
      <c r="Q1805" s="65">
        <f>SUMIF(日報!$R:$R,TEXT(YEAR($Q$2),"0000")&amp;TEXT(MONTH($Q$2),"00")&amp;$O1805,日報!$L:$L)</f>
        <v>0</v>
      </c>
      <c r="R1805" s="65">
        <f ca="1">SUMIF(日報!$J:$J,$O1805,日報!$L:$L)</f>
        <v>0</v>
      </c>
    </row>
    <row r="1806" spans="15:18" x14ac:dyDescent="0.15">
      <c r="O1806" s="7" t="str">
        <f>"REQ"&amp;TEXT([2]RequestList!$A1807,"0000")</f>
        <v>REQ0000</v>
      </c>
      <c r="P1806" s="7">
        <f>[2]RequestList!$J1807</f>
        <v>0</v>
      </c>
      <c r="Q1806" s="65">
        <f>SUMIF(日報!$R:$R,TEXT(YEAR($Q$2),"0000")&amp;TEXT(MONTH($Q$2),"00")&amp;$O1806,日報!$L:$L)</f>
        <v>0</v>
      </c>
      <c r="R1806" s="65">
        <f ca="1">SUMIF(日報!$J:$J,$O1806,日報!$L:$L)</f>
        <v>0</v>
      </c>
    </row>
    <row r="1807" spans="15:18" x14ac:dyDescent="0.15">
      <c r="O1807" s="7" t="str">
        <f>"REQ"&amp;TEXT([2]RequestList!$A1808,"0000")</f>
        <v>REQ0000</v>
      </c>
      <c r="P1807" s="7">
        <f>[2]RequestList!$J1808</f>
        <v>0</v>
      </c>
      <c r="Q1807" s="65">
        <f>SUMIF(日報!$R:$R,TEXT(YEAR($Q$2),"0000")&amp;TEXT(MONTH($Q$2),"00")&amp;$O1807,日報!$L:$L)</f>
        <v>0</v>
      </c>
      <c r="R1807" s="65">
        <f ca="1">SUMIF(日報!$J:$J,$O1807,日報!$L:$L)</f>
        <v>0</v>
      </c>
    </row>
    <row r="1808" spans="15:18" x14ac:dyDescent="0.15">
      <c r="O1808" s="7" t="str">
        <f>"REQ"&amp;TEXT([2]RequestList!$A1809,"0000")</f>
        <v>REQ0000</v>
      </c>
      <c r="P1808" s="7">
        <f>[2]RequestList!$J1809</f>
        <v>0</v>
      </c>
      <c r="Q1808" s="65">
        <f>SUMIF(日報!$R:$R,TEXT(YEAR($Q$2),"0000")&amp;TEXT(MONTH($Q$2),"00")&amp;$O1808,日報!$L:$L)</f>
        <v>0</v>
      </c>
      <c r="R1808" s="65">
        <f ca="1">SUMIF(日報!$J:$J,$O1808,日報!$L:$L)</f>
        <v>0</v>
      </c>
    </row>
    <row r="1809" spans="15:18" x14ac:dyDescent="0.15">
      <c r="O1809" s="7" t="str">
        <f>"REQ"&amp;TEXT([2]RequestList!$A1810,"0000")</f>
        <v>REQ0000</v>
      </c>
      <c r="P1809" s="7">
        <f>[2]RequestList!$J1810</f>
        <v>0</v>
      </c>
      <c r="Q1809" s="65">
        <f>SUMIF(日報!$R:$R,TEXT(YEAR($Q$2),"0000")&amp;TEXT(MONTH($Q$2),"00")&amp;$O1809,日報!$L:$L)</f>
        <v>0</v>
      </c>
      <c r="R1809" s="65">
        <f ca="1">SUMIF(日報!$J:$J,$O1809,日報!$L:$L)</f>
        <v>0</v>
      </c>
    </row>
    <row r="1810" spans="15:18" x14ac:dyDescent="0.15">
      <c r="O1810" s="7" t="str">
        <f>"REQ"&amp;TEXT([2]RequestList!$A1811,"0000")</f>
        <v>REQ0000</v>
      </c>
      <c r="P1810" s="7">
        <f>[2]RequestList!$J1811</f>
        <v>0</v>
      </c>
      <c r="Q1810" s="65">
        <f>SUMIF(日報!$R:$R,TEXT(YEAR($Q$2),"0000")&amp;TEXT(MONTH($Q$2),"00")&amp;$O1810,日報!$L:$L)</f>
        <v>0</v>
      </c>
      <c r="R1810" s="65">
        <f ca="1">SUMIF(日報!$J:$J,$O1810,日報!$L:$L)</f>
        <v>0</v>
      </c>
    </row>
    <row r="1811" spans="15:18" x14ac:dyDescent="0.15">
      <c r="O1811" s="7" t="str">
        <f>"REQ"&amp;TEXT([2]RequestList!$A1812,"0000")</f>
        <v>REQ0000</v>
      </c>
      <c r="P1811" s="7">
        <f>[2]RequestList!$J1812</f>
        <v>0</v>
      </c>
      <c r="Q1811" s="65">
        <f>SUMIF(日報!$R:$R,TEXT(YEAR($Q$2),"0000")&amp;TEXT(MONTH($Q$2),"00")&amp;$O1811,日報!$L:$L)</f>
        <v>0</v>
      </c>
      <c r="R1811" s="65">
        <f ca="1">SUMIF(日報!$J:$J,$O1811,日報!$L:$L)</f>
        <v>0</v>
      </c>
    </row>
    <row r="1812" spans="15:18" x14ac:dyDescent="0.15">
      <c r="O1812" s="7" t="str">
        <f>"REQ"&amp;TEXT([2]RequestList!$A1813,"0000")</f>
        <v>REQ0000</v>
      </c>
      <c r="P1812" s="7">
        <f>[2]RequestList!$J1813</f>
        <v>0</v>
      </c>
      <c r="Q1812" s="65">
        <f>SUMIF(日報!$R:$R,TEXT(YEAR($Q$2),"0000")&amp;TEXT(MONTH($Q$2),"00")&amp;$O1812,日報!$L:$L)</f>
        <v>0</v>
      </c>
      <c r="R1812" s="65">
        <f ca="1">SUMIF(日報!$J:$J,$O1812,日報!$L:$L)</f>
        <v>0</v>
      </c>
    </row>
    <row r="1813" spans="15:18" x14ac:dyDescent="0.15">
      <c r="O1813" s="7" t="str">
        <f>"REQ"&amp;TEXT([2]RequestList!$A1814,"0000")</f>
        <v>REQ0000</v>
      </c>
      <c r="P1813" s="7">
        <f>[2]RequestList!$J1814</f>
        <v>0</v>
      </c>
      <c r="Q1813" s="65">
        <f>SUMIF(日報!$R:$R,TEXT(YEAR($Q$2),"0000")&amp;TEXT(MONTH($Q$2),"00")&amp;$O1813,日報!$L:$L)</f>
        <v>0</v>
      </c>
      <c r="R1813" s="65">
        <f ca="1">SUMIF(日報!$J:$J,$O1813,日報!$L:$L)</f>
        <v>0</v>
      </c>
    </row>
    <row r="1814" spans="15:18" x14ac:dyDescent="0.15">
      <c r="O1814" s="7" t="str">
        <f>"REQ"&amp;TEXT([2]RequestList!$A1815,"0000")</f>
        <v>REQ0000</v>
      </c>
      <c r="P1814" s="7">
        <f>[2]RequestList!$J1815</f>
        <v>0</v>
      </c>
      <c r="Q1814" s="65">
        <f>SUMIF(日報!$R:$R,TEXT(YEAR($Q$2),"0000")&amp;TEXT(MONTH($Q$2),"00")&amp;$O1814,日報!$L:$L)</f>
        <v>0</v>
      </c>
      <c r="R1814" s="65">
        <f ca="1">SUMIF(日報!$J:$J,$O1814,日報!$L:$L)</f>
        <v>0</v>
      </c>
    </row>
    <row r="1815" spans="15:18" x14ac:dyDescent="0.15">
      <c r="O1815" s="7" t="str">
        <f>"REQ"&amp;TEXT([2]RequestList!$A1816,"0000")</f>
        <v>REQ0000</v>
      </c>
      <c r="P1815" s="7">
        <f>[2]RequestList!$J1816</f>
        <v>0</v>
      </c>
      <c r="Q1815" s="65">
        <f>SUMIF(日報!$R:$R,TEXT(YEAR($Q$2),"0000")&amp;TEXT(MONTH($Q$2),"00")&amp;$O1815,日報!$L:$L)</f>
        <v>0</v>
      </c>
      <c r="R1815" s="65">
        <f ca="1">SUMIF(日報!$J:$J,$O1815,日報!$L:$L)</f>
        <v>0</v>
      </c>
    </row>
    <row r="1816" spans="15:18" x14ac:dyDescent="0.15">
      <c r="O1816" s="7" t="str">
        <f>"REQ"&amp;TEXT([2]RequestList!$A1817,"0000")</f>
        <v>REQ0000</v>
      </c>
      <c r="P1816" s="7">
        <f>[2]RequestList!$J1817</f>
        <v>0</v>
      </c>
      <c r="Q1816" s="65">
        <f>SUMIF(日報!$R:$R,TEXT(YEAR($Q$2),"0000")&amp;TEXT(MONTH($Q$2),"00")&amp;$O1816,日報!$L:$L)</f>
        <v>0</v>
      </c>
      <c r="R1816" s="65">
        <f ca="1">SUMIF(日報!$J:$J,$O1816,日報!$L:$L)</f>
        <v>0</v>
      </c>
    </row>
    <row r="1817" spans="15:18" x14ac:dyDescent="0.15">
      <c r="O1817" s="7" t="str">
        <f>"REQ"&amp;TEXT([2]RequestList!$A1818,"0000")</f>
        <v>REQ0000</v>
      </c>
      <c r="P1817" s="7">
        <f>[2]RequestList!$J1818</f>
        <v>0</v>
      </c>
      <c r="Q1817" s="65">
        <f>SUMIF(日報!$R:$R,TEXT(YEAR($Q$2),"0000")&amp;TEXT(MONTH($Q$2),"00")&amp;$O1817,日報!$L:$L)</f>
        <v>0</v>
      </c>
      <c r="R1817" s="65">
        <f ca="1">SUMIF(日報!$J:$J,$O1817,日報!$L:$L)</f>
        <v>0</v>
      </c>
    </row>
    <row r="1818" spans="15:18" x14ac:dyDescent="0.15">
      <c r="O1818" s="7" t="str">
        <f>"REQ"&amp;TEXT([2]RequestList!$A1819,"0000")</f>
        <v>REQ0000</v>
      </c>
      <c r="P1818" s="7">
        <f>[2]RequestList!$J1819</f>
        <v>0</v>
      </c>
      <c r="Q1818" s="65">
        <f>SUMIF(日報!$R:$R,TEXT(YEAR($Q$2),"0000")&amp;TEXT(MONTH($Q$2),"00")&amp;$O1818,日報!$L:$L)</f>
        <v>0</v>
      </c>
      <c r="R1818" s="65">
        <f ca="1">SUMIF(日報!$J:$J,$O1818,日報!$L:$L)</f>
        <v>0</v>
      </c>
    </row>
    <row r="1819" spans="15:18" x14ac:dyDescent="0.15">
      <c r="O1819" s="7" t="str">
        <f>"REQ"&amp;TEXT([2]RequestList!$A1820,"0000")</f>
        <v>REQ0000</v>
      </c>
      <c r="P1819" s="7">
        <f>[2]RequestList!$J1820</f>
        <v>0</v>
      </c>
      <c r="Q1819" s="65">
        <f>SUMIF(日報!$R:$R,TEXT(YEAR($Q$2),"0000")&amp;TEXT(MONTH($Q$2),"00")&amp;$O1819,日報!$L:$L)</f>
        <v>0</v>
      </c>
      <c r="R1819" s="65">
        <f ca="1">SUMIF(日報!$J:$J,$O1819,日報!$L:$L)</f>
        <v>0</v>
      </c>
    </row>
    <row r="1820" spans="15:18" x14ac:dyDescent="0.15">
      <c r="O1820" s="7" t="str">
        <f>"REQ"&amp;TEXT([2]RequestList!$A1821,"0000")</f>
        <v>REQ0000</v>
      </c>
      <c r="P1820" s="7">
        <f>[2]RequestList!$J1821</f>
        <v>0</v>
      </c>
      <c r="Q1820" s="65">
        <f>SUMIF(日報!$R:$R,TEXT(YEAR($Q$2),"0000")&amp;TEXT(MONTH($Q$2),"00")&amp;$O1820,日報!$L:$L)</f>
        <v>0</v>
      </c>
      <c r="R1820" s="65">
        <f ca="1">SUMIF(日報!$J:$J,$O1820,日報!$L:$L)</f>
        <v>0</v>
      </c>
    </row>
    <row r="1821" spans="15:18" x14ac:dyDescent="0.15">
      <c r="O1821" s="7" t="str">
        <f>"REQ"&amp;TEXT([2]RequestList!$A1822,"0000")</f>
        <v>REQ0000</v>
      </c>
      <c r="P1821" s="7">
        <f>[2]RequestList!$J1822</f>
        <v>0</v>
      </c>
      <c r="Q1821" s="65">
        <f>SUMIF(日報!$R:$R,TEXT(YEAR($Q$2),"0000")&amp;TEXT(MONTH($Q$2),"00")&amp;$O1821,日報!$L:$L)</f>
        <v>0</v>
      </c>
      <c r="R1821" s="65">
        <f ca="1">SUMIF(日報!$J:$J,$O1821,日報!$L:$L)</f>
        <v>0</v>
      </c>
    </row>
    <row r="1822" spans="15:18" x14ac:dyDescent="0.15">
      <c r="O1822" s="7" t="str">
        <f>"REQ"&amp;TEXT([2]RequestList!$A1823,"0000")</f>
        <v>REQ0000</v>
      </c>
      <c r="P1822" s="7">
        <f>[2]RequestList!$J1823</f>
        <v>0</v>
      </c>
      <c r="Q1822" s="65">
        <f>SUMIF(日報!$R:$R,TEXT(YEAR($Q$2),"0000")&amp;TEXT(MONTH($Q$2),"00")&amp;$O1822,日報!$L:$L)</f>
        <v>0</v>
      </c>
      <c r="R1822" s="65">
        <f ca="1">SUMIF(日報!$J:$J,$O1822,日報!$L:$L)</f>
        <v>0</v>
      </c>
    </row>
    <row r="1823" spans="15:18" x14ac:dyDescent="0.15">
      <c r="O1823" s="7" t="str">
        <f>"REQ"&amp;TEXT([2]RequestList!$A1824,"0000")</f>
        <v>REQ0000</v>
      </c>
      <c r="P1823" s="7">
        <f>[2]RequestList!$J1824</f>
        <v>0</v>
      </c>
      <c r="Q1823" s="65">
        <f>SUMIF(日報!$R:$R,TEXT(YEAR($Q$2),"0000")&amp;TEXT(MONTH($Q$2),"00")&amp;$O1823,日報!$L:$L)</f>
        <v>0</v>
      </c>
      <c r="R1823" s="65">
        <f ca="1">SUMIF(日報!$J:$J,$O1823,日報!$L:$L)</f>
        <v>0</v>
      </c>
    </row>
    <row r="1824" spans="15:18" x14ac:dyDescent="0.15">
      <c r="O1824" s="7" t="str">
        <f>"REQ"&amp;TEXT([2]RequestList!$A1825,"0000")</f>
        <v>REQ0000</v>
      </c>
      <c r="P1824" s="7">
        <f>[2]RequestList!$J1825</f>
        <v>0</v>
      </c>
      <c r="Q1824" s="65">
        <f>SUMIF(日報!$R:$R,TEXT(YEAR($Q$2),"0000")&amp;TEXT(MONTH($Q$2),"00")&amp;$O1824,日報!$L:$L)</f>
        <v>0</v>
      </c>
      <c r="R1824" s="65">
        <f ca="1">SUMIF(日報!$J:$J,$O1824,日報!$L:$L)</f>
        <v>0</v>
      </c>
    </row>
    <row r="1825" spans="15:18" x14ac:dyDescent="0.15">
      <c r="O1825" s="7" t="str">
        <f>"REQ"&amp;TEXT([2]RequestList!$A1826,"0000")</f>
        <v>REQ0000</v>
      </c>
      <c r="P1825" s="7">
        <f>[2]RequestList!$J1826</f>
        <v>0</v>
      </c>
      <c r="Q1825" s="65">
        <f>SUMIF(日報!$R:$R,TEXT(YEAR($Q$2),"0000")&amp;TEXT(MONTH($Q$2),"00")&amp;$O1825,日報!$L:$L)</f>
        <v>0</v>
      </c>
      <c r="R1825" s="65">
        <f ca="1">SUMIF(日報!$J:$J,$O1825,日報!$L:$L)</f>
        <v>0</v>
      </c>
    </row>
    <row r="1826" spans="15:18" x14ac:dyDescent="0.15">
      <c r="O1826" s="7" t="str">
        <f>"REQ"&amp;TEXT([2]RequestList!$A1827,"0000")</f>
        <v>REQ0000</v>
      </c>
      <c r="P1826" s="7">
        <f>[2]RequestList!$J1827</f>
        <v>0</v>
      </c>
      <c r="Q1826" s="65">
        <f>SUMIF(日報!$R:$R,TEXT(YEAR($Q$2),"0000")&amp;TEXT(MONTH($Q$2),"00")&amp;$O1826,日報!$L:$L)</f>
        <v>0</v>
      </c>
      <c r="R1826" s="65">
        <f ca="1">SUMIF(日報!$J:$J,$O1826,日報!$L:$L)</f>
        <v>0</v>
      </c>
    </row>
    <row r="1827" spans="15:18" x14ac:dyDescent="0.15">
      <c r="O1827" s="7" t="str">
        <f>"REQ"&amp;TEXT([2]RequestList!$A1828,"0000")</f>
        <v>REQ0000</v>
      </c>
      <c r="P1827" s="7">
        <f>[2]RequestList!$J1828</f>
        <v>0</v>
      </c>
      <c r="Q1827" s="65">
        <f>SUMIF(日報!$R:$R,TEXT(YEAR($Q$2),"0000")&amp;TEXT(MONTH($Q$2),"00")&amp;$O1827,日報!$L:$L)</f>
        <v>0</v>
      </c>
      <c r="R1827" s="65">
        <f ca="1">SUMIF(日報!$J:$J,$O1827,日報!$L:$L)</f>
        <v>0</v>
      </c>
    </row>
    <row r="1828" spans="15:18" x14ac:dyDescent="0.15">
      <c r="O1828" s="7" t="str">
        <f>"REQ"&amp;TEXT([2]RequestList!$A1829,"0000")</f>
        <v>REQ0000</v>
      </c>
      <c r="P1828" s="7">
        <f>[2]RequestList!$J1829</f>
        <v>0</v>
      </c>
      <c r="Q1828" s="65">
        <f>SUMIF(日報!$R:$R,TEXT(YEAR($Q$2),"0000")&amp;TEXT(MONTH($Q$2),"00")&amp;$O1828,日報!$L:$L)</f>
        <v>0</v>
      </c>
      <c r="R1828" s="65">
        <f ca="1">SUMIF(日報!$J:$J,$O1828,日報!$L:$L)</f>
        <v>0</v>
      </c>
    </row>
    <row r="1829" spans="15:18" x14ac:dyDescent="0.15">
      <c r="O1829" s="7" t="str">
        <f>"REQ"&amp;TEXT([2]RequestList!$A1830,"0000")</f>
        <v>REQ0000</v>
      </c>
      <c r="P1829" s="7">
        <f>[2]RequestList!$J1830</f>
        <v>0</v>
      </c>
      <c r="Q1829" s="65">
        <f>SUMIF(日報!$R:$R,TEXT(YEAR($Q$2),"0000")&amp;TEXT(MONTH($Q$2),"00")&amp;$O1829,日報!$L:$L)</f>
        <v>0</v>
      </c>
      <c r="R1829" s="65">
        <f ca="1">SUMIF(日報!$J:$J,$O1829,日報!$L:$L)</f>
        <v>0</v>
      </c>
    </row>
    <row r="1830" spans="15:18" x14ac:dyDescent="0.15">
      <c r="O1830" s="7" t="str">
        <f>"REQ"&amp;TEXT([2]RequestList!$A1831,"0000")</f>
        <v>REQ0000</v>
      </c>
      <c r="P1830" s="7">
        <f>[2]RequestList!$J1831</f>
        <v>0</v>
      </c>
      <c r="Q1830" s="65">
        <f>SUMIF(日報!$R:$R,TEXT(YEAR($Q$2),"0000")&amp;TEXT(MONTH($Q$2),"00")&amp;$O1830,日報!$L:$L)</f>
        <v>0</v>
      </c>
      <c r="R1830" s="65">
        <f ca="1">SUMIF(日報!$J:$J,$O1830,日報!$L:$L)</f>
        <v>0</v>
      </c>
    </row>
    <row r="1831" spans="15:18" x14ac:dyDescent="0.15">
      <c r="O1831" s="7" t="str">
        <f>"REQ"&amp;TEXT([2]RequestList!$A1832,"0000")</f>
        <v>REQ0000</v>
      </c>
      <c r="P1831" s="7">
        <f>[2]RequestList!$J1832</f>
        <v>0</v>
      </c>
      <c r="Q1831" s="65">
        <f>SUMIF(日報!$R:$R,TEXT(YEAR($Q$2),"0000")&amp;TEXT(MONTH($Q$2),"00")&amp;$O1831,日報!$L:$L)</f>
        <v>0</v>
      </c>
      <c r="R1831" s="65">
        <f ca="1">SUMIF(日報!$J:$J,$O1831,日報!$L:$L)</f>
        <v>0</v>
      </c>
    </row>
    <row r="1832" spans="15:18" x14ac:dyDescent="0.15">
      <c r="O1832" s="7" t="str">
        <f>"REQ"&amp;TEXT([2]RequestList!$A1833,"0000")</f>
        <v>REQ0000</v>
      </c>
      <c r="P1832" s="7">
        <f>[2]RequestList!$J1833</f>
        <v>0</v>
      </c>
      <c r="Q1832" s="65">
        <f>SUMIF(日報!$R:$R,TEXT(YEAR($Q$2),"0000")&amp;TEXT(MONTH($Q$2),"00")&amp;$O1832,日報!$L:$L)</f>
        <v>0</v>
      </c>
      <c r="R1832" s="65">
        <f ca="1">SUMIF(日報!$J:$J,$O1832,日報!$L:$L)</f>
        <v>0</v>
      </c>
    </row>
    <row r="1833" spans="15:18" x14ac:dyDescent="0.15">
      <c r="O1833" s="7" t="str">
        <f>"REQ"&amp;TEXT([2]RequestList!$A1834,"0000")</f>
        <v>REQ0000</v>
      </c>
      <c r="P1833" s="7">
        <f>[2]RequestList!$J1834</f>
        <v>0</v>
      </c>
      <c r="Q1833" s="65">
        <f>SUMIF(日報!$R:$R,TEXT(YEAR($Q$2),"0000")&amp;TEXT(MONTH($Q$2),"00")&amp;$O1833,日報!$L:$L)</f>
        <v>0</v>
      </c>
      <c r="R1833" s="65">
        <f ca="1">SUMIF(日報!$J:$J,$O1833,日報!$L:$L)</f>
        <v>0</v>
      </c>
    </row>
    <row r="1834" spans="15:18" x14ac:dyDescent="0.15">
      <c r="O1834" s="7" t="str">
        <f>"REQ"&amp;TEXT([2]RequestList!$A1835,"0000")</f>
        <v>REQ0000</v>
      </c>
      <c r="P1834" s="7">
        <f>[2]RequestList!$J1835</f>
        <v>0</v>
      </c>
      <c r="Q1834" s="65">
        <f>SUMIF(日報!$R:$R,TEXT(YEAR($Q$2),"0000")&amp;TEXT(MONTH($Q$2),"00")&amp;$O1834,日報!$L:$L)</f>
        <v>0</v>
      </c>
      <c r="R1834" s="65">
        <f ca="1">SUMIF(日報!$J:$J,$O1834,日報!$L:$L)</f>
        <v>0</v>
      </c>
    </row>
    <row r="1835" spans="15:18" x14ac:dyDescent="0.15">
      <c r="O1835" s="7" t="str">
        <f>"REQ"&amp;TEXT([2]RequestList!$A1836,"0000")</f>
        <v>REQ0000</v>
      </c>
      <c r="P1835" s="7">
        <f>[2]RequestList!$J1836</f>
        <v>0</v>
      </c>
      <c r="Q1835" s="65">
        <f>SUMIF(日報!$R:$R,TEXT(YEAR($Q$2),"0000")&amp;TEXT(MONTH($Q$2),"00")&amp;$O1835,日報!$L:$L)</f>
        <v>0</v>
      </c>
      <c r="R1835" s="65">
        <f ca="1">SUMIF(日報!$J:$J,$O1835,日報!$L:$L)</f>
        <v>0</v>
      </c>
    </row>
    <row r="1836" spans="15:18" x14ac:dyDescent="0.15">
      <c r="O1836" s="7" t="str">
        <f>"REQ"&amp;TEXT([2]RequestList!$A1837,"0000")</f>
        <v>REQ0000</v>
      </c>
      <c r="P1836" s="7">
        <f>[2]RequestList!$J1837</f>
        <v>0</v>
      </c>
      <c r="Q1836" s="65">
        <f>SUMIF(日報!$R:$R,TEXT(YEAR($Q$2),"0000")&amp;TEXT(MONTH($Q$2),"00")&amp;$O1836,日報!$L:$L)</f>
        <v>0</v>
      </c>
      <c r="R1836" s="65">
        <f ca="1">SUMIF(日報!$J:$J,$O1836,日報!$L:$L)</f>
        <v>0</v>
      </c>
    </row>
    <row r="1837" spans="15:18" x14ac:dyDescent="0.15">
      <c r="O1837" s="7" t="str">
        <f>"REQ"&amp;TEXT([2]RequestList!$A1838,"0000")</f>
        <v>REQ0000</v>
      </c>
      <c r="P1837" s="7">
        <f>[2]RequestList!$J1838</f>
        <v>0</v>
      </c>
      <c r="Q1837" s="65">
        <f>SUMIF(日報!$R:$R,TEXT(YEAR($Q$2),"0000")&amp;TEXT(MONTH($Q$2),"00")&amp;$O1837,日報!$L:$L)</f>
        <v>0</v>
      </c>
      <c r="R1837" s="65">
        <f ca="1">SUMIF(日報!$J:$J,$O1837,日報!$L:$L)</f>
        <v>0</v>
      </c>
    </row>
    <row r="1838" spans="15:18" x14ac:dyDescent="0.15">
      <c r="O1838" s="7" t="str">
        <f>"REQ"&amp;TEXT([2]RequestList!$A1839,"0000")</f>
        <v>REQ0000</v>
      </c>
      <c r="P1838" s="7">
        <f>[2]RequestList!$J1839</f>
        <v>0</v>
      </c>
      <c r="Q1838" s="65">
        <f>SUMIF(日報!$R:$R,TEXT(YEAR($Q$2),"0000")&amp;TEXT(MONTH($Q$2),"00")&amp;$O1838,日報!$L:$L)</f>
        <v>0</v>
      </c>
      <c r="R1838" s="65">
        <f ca="1">SUMIF(日報!$J:$J,$O1838,日報!$L:$L)</f>
        <v>0</v>
      </c>
    </row>
    <row r="1839" spans="15:18" x14ac:dyDescent="0.15">
      <c r="O1839" s="7" t="str">
        <f>"REQ"&amp;TEXT([2]RequestList!$A1840,"0000")</f>
        <v>REQ0000</v>
      </c>
      <c r="P1839" s="7">
        <f>[2]RequestList!$J1840</f>
        <v>0</v>
      </c>
      <c r="Q1839" s="65">
        <f>SUMIF(日報!$R:$R,TEXT(YEAR($Q$2),"0000")&amp;TEXT(MONTH($Q$2),"00")&amp;$O1839,日報!$L:$L)</f>
        <v>0</v>
      </c>
      <c r="R1839" s="65">
        <f ca="1">SUMIF(日報!$J:$J,$O1839,日報!$L:$L)</f>
        <v>0</v>
      </c>
    </row>
    <row r="1840" spans="15:18" x14ac:dyDescent="0.15">
      <c r="O1840" s="7" t="str">
        <f>"REQ"&amp;TEXT([2]RequestList!$A1841,"0000")</f>
        <v>REQ0000</v>
      </c>
      <c r="P1840" s="7">
        <f>[2]RequestList!$J1841</f>
        <v>0</v>
      </c>
      <c r="Q1840" s="65">
        <f>SUMIF(日報!$R:$R,TEXT(YEAR($Q$2),"0000")&amp;TEXT(MONTH($Q$2),"00")&amp;$O1840,日報!$L:$L)</f>
        <v>0</v>
      </c>
      <c r="R1840" s="65">
        <f ca="1">SUMIF(日報!$J:$J,$O1840,日報!$L:$L)</f>
        <v>0</v>
      </c>
    </row>
    <row r="1841" spans="15:18" x14ac:dyDescent="0.15">
      <c r="O1841" s="7" t="str">
        <f>"REQ"&amp;TEXT([2]RequestList!$A1842,"0000")</f>
        <v>REQ0000</v>
      </c>
      <c r="P1841" s="7">
        <f>[2]RequestList!$J1842</f>
        <v>0</v>
      </c>
      <c r="Q1841" s="65">
        <f>SUMIF(日報!$R:$R,TEXT(YEAR($Q$2),"0000")&amp;TEXT(MONTH($Q$2),"00")&amp;$O1841,日報!$L:$L)</f>
        <v>0</v>
      </c>
      <c r="R1841" s="65">
        <f ca="1">SUMIF(日報!$J:$J,$O1841,日報!$L:$L)</f>
        <v>0</v>
      </c>
    </row>
    <row r="1842" spans="15:18" x14ac:dyDescent="0.15">
      <c r="O1842" s="7" t="str">
        <f>"REQ"&amp;TEXT([2]RequestList!$A1843,"0000")</f>
        <v>REQ0000</v>
      </c>
      <c r="P1842" s="7">
        <f>[2]RequestList!$J1843</f>
        <v>0</v>
      </c>
      <c r="Q1842" s="65">
        <f>SUMIF(日報!$R:$R,TEXT(YEAR($Q$2),"0000")&amp;TEXT(MONTH($Q$2),"00")&amp;$O1842,日報!$L:$L)</f>
        <v>0</v>
      </c>
      <c r="R1842" s="65">
        <f ca="1">SUMIF(日報!$J:$J,$O1842,日報!$L:$L)</f>
        <v>0</v>
      </c>
    </row>
    <row r="1843" spans="15:18" x14ac:dyDescent="0.15">
      <c r="O1843" s="7" t="str">
        <f>"REQ"&amp;TEXT([2]RequestList!$A1844,"0000")</f>
        <v>REQ0000</v>
      </c>
      <c r="P1843" s="7">
        <f>[2]RequestList!$J1844</f>
        <v>0</v>
      </c>
      <c r="Q1843" s="65">
        <f>SUMIF(日報!$R:$R,TEXT(YEAR($Q$2),"0000")&amp;TEXT(MONTH($Q$2),"00")&amp;$O1843,日報!$L:$L)</f>
        <v>0</v>
      </c>
      <c r="R1843" s="65">
        <f ca="1">SUMIF(日報!$J:$J,$O1843,日報!$L:$L)</f>
        <v>0</v>
      </c>
    </row>
    <row r="1844" spans="15:18" x14ac:dyDescent="0.15">
      <c r="O1844" s="7" t="str">
        <f>"REQ"&amp;TEXT([2]RequestList!$A1845,"0000")</f>
        <v>REQ0000</v>
      </c>
      <c r="P1844" s="7">
        <f>[2]RequestList!$J1845</f>
        <v>0</v>
      </c>
      <c r="Q1844" s="65">
        <f>SUMIF(日報!$R:$R,TEXT(YEAR($Q$2),"0000")&amp;TEXT(MONTH($Q$2),"00")&amp;$O1844,日報!$L:$L)</f>
        <v>0</v>
      </c>
      <c r="R1844" s="65">
        <f ca="1">SUMIF(日報!$J:$J,$O1844,日報!$L:$L)</f>
        <v>0</v>
      </c>
    </row>
    <row r="1845" spans="15:18" x14ac:dyDescent="0.15">
      <c r="O1845" s="7" t="str">
        <f>"REQ"&amp;TEXT([2]RequestList!$A1846,"0000")</f>
        <v>REQ0000</v>
      </c>
      <c r="P1845" s="7">
        <f>[2]RequestList!$J1846</f>
        <v>0</v>
      </c>
      <c r="Q1845" s="65">
        <f>SUMIF(日報!$R:$R,TEXT(YEAR($Q$2),"0000")&amp;TEXT(MONTH($Q$2),"00")&amp;$O1845,日報!$L:$L)</f>
        <v>0</v>
      </c>
      <c r="R1845" s="65">
        <f ca="1">SUMIF(日報!$J:$J,$O1845,日報!$L:$L)</f>
        <v>0</v>
      </c>
    </row>
    <row r="1846" spans="15:18" x14ac:dyDescent="0.15">
      <c r="O1846" s="7" t="str">
        <f>"REQ"&amp;TEXT([2]RequestList!$A1847,"0000")</f>
        <v>REQ0000</v>
      </c>
      <c r="P1846" s="7">
        <f>[2]RequestList!$J1847</f>
        <v>0</v>
      </c>
      <c r="Q1846" s="65">
        <f>SUMIF(日報!$R:$R,TEXT(YEAR($Q$2),"0000")&amp;TEXT(MONTH($Q$2),"00")&amp;$O1846,日報!$L:$L)</f>
        <v>0</v>
      </c>
      <c r="R1846" s="65">
        <f ca="1">SUMIF(日報!$J:$J,$O1846,日報!$L:$L)</f>
        <v>0</v>
      </c>
    </row>
    <row r="1847" spans="15:18" x14ac:dyDescent="0.15">
      <c r="O1847" s="7" t="str">
        <f>"REQ"&amp;TEXT([2]RequestList!$A1848,"0000")</f>
        <v>REQ0000</v>
      </c>
      <c r="P1847" s="7">
        <f>[2]RequestList!$J1848</f>
        <v>0</v>
      </c>
      <c r="Q1847" s="65">
        <f>SUMIF(日報!$R:$R,TEXT(YEAR($Q$2),"0000")&amp;TEXT(MONTH($Q$2),"00")&amp;$O1847,日報!$L:$L)</f>
        <v>0</v>
      </c>
      <c r="R1847" s="65">
        <f ca="1">SUMIF(日報!$J:$J,$O1847,日報!$L:$L)</f>
        <v>0</v>
      </c>
    </row>
    <row r="1848" spans="15:18" x14ac:dyDescent="0.15">
      <c r="O1848" s="7" t="str">
        <f>"REQ"&amp;TEXT([2]RequestList!$A1849,"0000")</f>
        <v>REQ0000</v>
      </c>
      <c r="P1848" s="7">
        <f>[2]RequestList!$J1849</f>
        <v>0</v>
      </c>
      <c r="Q1848" s="65">
        <f>SUMIF(日報!$R:$R,TEXT(YEAR($Q$2),"0000")&amp;TEXT(MONTH($Q$2),"00")&amp;$O1848,日報!$L:$L)</f>
        <v>0</v>
      </c>
      <c r="R1848" s="65">
        <f ca="1">SUMIF(日報!$J:$J,$O1848,日報!$L:$L)</f>
        <v>0</v>
      </c>
    </row>
    <row r="1849" spans="15:18" x14ac:dyDescent="0.15">
      <c r="O1849" s="7" t="str">
        <f>"REQ"&amp;TEXT([2]RequestList!$A1850,"0000")</f>
        <v>REQ0000</v>
      </c>
      <c r="P1849" s="7">
        <f>[2]RequestList!$J1850</f>
        <v>0</v>
      </c>
      <c r="Q1849" s="65">
        <f>SUMIF(日報!$R:$R,TEXT(YEAR($Q$2),"0000")&amp;TEXT(MONTH($Q$2),"00")&amp;$O1849,日報!$L:$L)</f>
        <v>0</v>
      </c>
      <c r="R1849" s="65">
        <f ca="1">SUMIF(日報!$J:$J,$O1849,日報!$L:$L)</f>
        <v>0</v>
      </c>
    </row>
    <row r="1850" spans="15:18" x14ac:dyDescent="0.15">
      <c r="O1850" s="7" t="str">
        <f>"REQ"&amp;TEXT([2]RequestList!$A1851,"0000")</f>
        <v>REQ0000</v>
      </c>
      <c r="P1850" s="7">
        <f>[2]RequestList!$J1851</f>
        <v>0</v>
      </c>
      <c r="Q1850" s="65">
        <f>SUMIF(日報!$R:$R,TEXT(YEAR($Q$2),"0000")&amp;TEXT(MONTH($Q$2),"00")&amp;$O1850,日報!$L:$L)</f>
        <v>0</v>
      </c>
      <c r="R1850" s="65">
        <f ca="1">SUMIF(日報!$J:$J,$O1850,日報!$L:$L)</f>
        <v>0</v>
      </c>
    </row>
    <row r="1851" spans="15:18" x14ac:dyDescent="0.15">
      <c r="O1851" s="7" t="str">
        <f>"REQ"&amp;TEXT([2]RequestList!$A1852,"0000")</f>
        <v>REQ0000</v>
      </c>
      <c r="P1851" s="7">
        <f>[2]RequestList!$J1852</f>
        <v>0</v>
      </c>
      <c r="Q1851" s="65">
        <f>SUMIF(日報!$R:$R,TEXT(YEAR($Q$2),"0000")&amp;TEXT(MONTH($Q$2),"00")&amp;$O1851,日報!$L:$L)</f>
        <v>0</v>
      </c>
      <c r="R1851" s="65">
        <f ca="1">SUMIF(日報!$J:$J,$O1851,日報!$L:$L)</f>
        <v>0</v>
      </c>
    </row>
    <row r="1852" spans="15:18" x14ac:dyDescent="0.15">
      <c r="O1852" s="7" t="str">
        <f>"REQ"&amp;TEXT([2]RequestList!$A1853,"0000")</f>
        <v>REQ0000</v>
      </c>
      <c r="P1852" s="7">
        <f>[2]RequestList!$J1853</f>
        <v>0</v>
      </c>
      <c r="Q1852" s="65">
        <f>SUMIF(日報!$R:$R,TEXT(YEAR($Q$2),"0000")&amp;TEXT(MONTH($Q$2),"00")&amp;$O1852,日報!$L:$L)</f>
        <v>0</v>
      </c>
      <c r="R1852" s="65">
        <f ca="1">SUMIF(日報!$J:$J,$O1852,日報!$L:$L)</f>
        <v>0</v>
      </c>
    </row>
    <row r="1853" spans="15:18" x14ac:dyDescent="0.15">
      <c r="O1853" s="7" t="str">
        <f>"REQ"&amp;TEXT([2]RequestList!$A1854,"0000")</f>
        <v>REQ0000</v>
      </c>
      <c r="P1853" s="7">
        <f>[2]RequestList!$J1854</f>
        <v>0</v>
      </c>
      <c r="Q1853" s="65">
        <f>SUMIF(日報!$R:$R,TEXT(YEAR($Q$2),"0000")&amp;TEXT(MONTH($Q$2),"00")&amp;$O1853,日報!$L:$L)</f>
        <v>0</v>
      </c>
      <c r="R1853" s="65">
        <f ca="1">SUMIF(日報!$J:$J,$O1853,日報!$L:$L)</f>
        <v>0</v>
      </c>
    </row>
    <row r="1854" spans="15:18" x14ac:dyDescent="0.15">
      <c r="O1854" s="7" t="str">
        <f>"REQ"&amp;TEXT([2]RequestList!$A1855,"0000")</f>
        <v>REQ0000</v>
      </c>
      <c r="P1854" s="7">
        <f>[2]RequestList!$J1855</f>
        <v>0</v>
      </c>
      <c r="Q1854" s="65">
        <f>SUMIF(日報!$R:$R,TEXT(YEAR($Q$2),"0000")&amp;TEXT(MONTH($Q$2),"00")&amp;$O1854,日報!$L:$L)</f>
        <v>0</v>
      </c>
      <c r="R1854" s="65">
        <f ca="1">SUMIF(日報!$J:$J,$O1854,日報!$L:$L)</f>
        <v>0</v>
      </c>
    </row>
    <row r="1855" spans="15:18" x14ac:dyDescent="0.15">
      <c r="O1855" s="7" t="str">
        <f>"REQ"&amp;TEXT([2]RequestList!$A1856,"0000")</f>
        <v>REQ0000</v>
      </c>
      <c r="P1855" s="7">
        <f>[2]RequestList!$J1856</f>
        <v>0</v>
      </c>
      <c r="Q1855" s="65">
        <f>SUMIF(日報!$R:$R,TEXT(YEAR($Q$2),"0000")&amp;TEXT(MONTH($Q$2),"00")&amp;$O1855,日報!$L:$L)</f>
        <v>0</v>
      </c>
      <c r="R1855" s="65">
        <f ca="1">SUMIF(日報!$J:$J,$O1855,日報!$L:$L)</f>
        <v>0</v>
      </c>
    </row>
    <row r="1856" spans="15:18" x14ac:dyDescent="0.15">
      <c r="O1856" s="7" t="str">
        <f>"REQ"&amp;TEXT([2]RequestList!$A1857,"0000")</f>
        <v>REQ0000</v>
      </c>
      <c r="P1856" s="7">
        <f>[2]RequestList!$J1857</f>
        <v>0</v>
      </c>
      <c r="Q1856" s="65">
        <f>SUMIF(日報!$R:$R,TEXT(YEAR($Q$2),"0000")&amp;TEXT(MONTH($Q$2),"00")&amp;$O1856,日報!$L:$L)</f>
        <v>0</v>
      </c>
      <c r="R1856" s="65">
        <f ca="1">SUMIF(日報!$J:$J,$O1856,日報!$L:$L)</f>
        <v>0</v>
      </c>
    </row>
    <row r="1857" spans="15:18" x14ac:dyDescent="0.15">
      <c r="O1857" s="7" t="str">
        <f>"REQ"&amp;TEXT([2]RequestList!$A1858,"0000")</f>
        <v>REQ0000</v>
      </c>
      <c r="P1857" s="7">
        <f>[2]RequestList!$J1858</f>
        <v>0</v>
      </c>
      <c r="Q1857" s="65">
        <f>SUMIF(日報!$R:$R,TEXT(YEAR($Q$2),"0000")&amp;TEXT(MONTH($Q$2),"00")&amp;$O1857,日報!$L:$L)</f>
        <v>0</v>
      </c>
      <c r="R1857" s="65">
        <f ca="1">SUMIF(日報!$J:$J,$O1857,日報!$L:$L)</f>
        <v>0</v>
      </c>
    </row>
    <row r="1858" spans="15:18" x14ac:dyDescent="0.15">
      <c r="O1858" s="7" t="str">
        <f>"REQ"&amp;TEXT([2]RequestList!$A1859,"0000")</f>
        <v>REQ0000</v>
      </c>
      <c r="P1858" s="7">
        <f>[2]RequestList!$J1859</f>
        <v>0</v>
      </c>
      <c r="Q1858" s="65">
        <f>SUMIF(日報!$R:$R,TEXT(YEAR($Q$2),"0000")&amp;TEXT(MONTH($Q$2),"00")&amp;$O1858,日報!$L:$L)</f>
        <v>0</v>
      </c>
      <c r="R1858" s="65">
        <f ca="1">SUMIF(日報!$J:$J,$O1858,日報!$L:$L)</f>
        <v>0</v>
      </c>
    </row>
    <row r="1859" spans="15:18" x14ac:dyDescent="0.15">
      <c r="O1859" s="7" t="str">
        <f>"REQ"&amp;TEXT([2]RequestList!$A1860,"0000")</f>
        <v>REQ0000</v>
      </c>
      <c r="P1859" s="7">
        <f>[2]RequestList!$J1860</f>
        <v>0</v>
      </c>
      <c r="Q1859" s="65">
        <f>SUMIF(日報!$R:$R,TEXT(YEAR($Q$2),"0000")&amp;TEXT(MONTH($Q$2),"00")&amp;$O1859,日報!$L:$L)</f>
        <v>0</v>
      </c>
      <c r="R1859" s="65">
        <f ca="1">SUMIF(日報!$J:$J,$O1859,日報!$L:$L)</f>
        <v>0</v>
      </c>
    </row>
    <row r="1860" spans="15:18" x14ac:dyDescent="0.15">
      <c r="O1860" s="7" t="str">
        <f>"REQ"&amp;TEXT([2]RequestList!$A1861,"0000")</f>
        <v>REQ0000</v>
      </c>
      <c r="P1860" s="7">
        <f>[2]RequestList!$J1861</f>
        <v>0</v>
      </c>
      <c r="Q1860" s="65">
        <f>SUMIF(日報!$R:$R,TEXT(YEAR($Q$2),"0000")&amp;TEXT(MONTH($Q$2),"00")&amp;$O1860,日報!$L:$L)</f>
        <v>0</v>
      </c>
      <c r="R1860" s="65">
        <f ca="1">SUMIF(日報!$J:$J,$O1860,日報!$L:$L)</f>
        <v>0</v>
      </c>
    </row>
    <row r="1861" spans="15:18" x14ac:dyDescent="0.15">
      <c r="O1861" s="7" t="str">
        <f>"REQ"&amp;TEXT([2]RequestList!$A1862,"0000")</f>
        <v>REQ0000</v>
      </c>
      <c r="P1861" s="7">
        <f>[2]RequestList!$J1862</f>
        <v>0</v>
      </c>
      <c r="Q1861" s="65">
        <f>SUMIF(日報!$R:$R,TEXT(YEAR($Q$2),"0000")&amp;TEXT(MONTH($Q$2),"00")&amp;$O1861,日報!$L:$L)</f>
        <v>0</v>
      </c>
      <c r="R1861" s="65">
        <f ca="1">SUMIF(日報!$J:$J,$O1861,日報!$L:$L)</f>
        <v>0</v>
      </c>
    </row>
    <row r="1862" spans="15:18" x14ac:dyDescent="0.15">
      <c r="O1862" s="7" t="str">
        <f>"REQ"&amp;TEXT([2]RequestList!$A1863,"0000")</f>
        <v>REQ0000</v>
      </c>
      <c r="P1862" s="7">
        <f>[2]RequestList!$J1863</f>
        <v>0</v>
      </c>
      <c r="Q1862" s="65">
        <f>SUMIF(日報!$R:$R,TEXT(YEAR($Q$2),"0000")&amp;TEXT(MONTH($Q$2),"00")&amp;$O1862,日報!$L:$L)</f>
        <v>0</v>
      </c>
      <c r="R1862" s="65">
        <f ca="1">SUMIF(日報!$J:$J,$O1862,日報!$L:$L)</f>
        <v>0</v>
      </c>
    </row>
    <row r="1863" spans="15:18" x14ac:dyDescent="0.15">
      <c r="O1863" s="7" t="str">
        <f>"REQ"&amp;TEXT([2]RequestList!$A1864,"0000")</f>
        <v>REQ0000</v>
      </c>
      <c r="P1863" s="7">
        <f>[2]RequestList!$J1864</f>
        <v>0</v>
      </c>
      <c r="Q1863" s="65">
        <f>SUMIF(日報!$R:$R,TEXT(YEAR($Q$2),"0000")&amp;TEXT(MONTH($Q$2),"00")&amp;$O1863,日報!$L:$L)</f>
        <v>0</v>
      </c>
      <c r="R1863" s="65">
        <f ca="1">SUMIF(日報!$J:$J,$O1863,日報!$L:$L)</f>
        <v>0</v>
      </c>
    </row>
    <row r="1864" spans="15:18" x14ac:dyDescent="0.15">
      <c r="O1864" s="7" t="str">
        <f>"REQ"&amp;TEXT([2]RequestList!$A1865,"0000")</f>
        <v>REQ0000</v>
      </c>
      <c r="P1864" s="7">
        <f>[2]RequestList!$J1865</f>
        <v>0</v>
      </c>
      <c r="Q1864" s="65">
        <f>SUMIF(日報!$R:$R,TEXT(YEAR($Q$2),"0000")&amp;TEXT(MONTH($Q$2),"00")&amp;$O1864,日報!$L:$L)</f>
        <v>0</v>
      </c>
      <c r="R1864" s="65">
        <f ca="1">SUMIF(日報!$J:$J,$O1864,日報!$L:$L)</f>
        <v>0</v>
      </c>
    </row>
    <row r="1865" spans="15:18" x14ac:dyDescent="0.15">
      <c r="O1865" s="7" t="str">
        <f>"REQ"&amp;TEXT([2]RequestList!$A1866,"0000")</f>
        <v>REQ0000</v>
      </c>
      <c r="P1865" s="7">
        <f>[2]RequestList!$J1866</f>
        <v>0</v>
      </c>
      <c r="Q1865" s="65">
        <f>SUMIF(日報!$R:$R,TEXT(YEAR($Q$2),"0000")&amp;TEXT(MONTH($Q$2),"00")&amp;$O1865,日報!$L:$L)</f>
        <v>0</v>
      </c>
      <c r="R1865" s="65">
        <f ca="1">SUMIF(日報!$J:$J,$O1865,日報!$L:$L)</f>
        <v>0</v>
      </c>
    </row>
    <row r="1866" spans="15:18" x14ac:dyDescent="0.15">
      <c r="O1866" s="7" t="str">
        <f>"REQ"&amp;TEXT([2]RequestList!$A1867,"0000")</f>
        <v>REQ0000</v>
      </c>
      <c r="P1866" s="7">
        <f>[2]RequestList!$J1867</f>
        <v>0</v>
      </c>
      <c r="Q1866" s="65">
        <f>SUMIF(日報!$R:$R,TEXT(YEAR($Q$2),"0000")&amp;TEXT(MONTH($Q$2),"00")&amp;$O1866,日報!$L:$L)</f>
        <v>0</v>
      </c>
      <c r="R1866" s="65">
        <f ca="1">SUMIF(日報!$J:$J,$O1866,日報!$L:$L)</f>
        <v>0</v>
      </c>
    </row>
    <row r="1867" spans="15:18" x14ac:dyDescent="0.15">
      <c r="O1867" s="7" t="str">
        <f>"REQ"&amp;TEXT([2]RequestList!$A1868,"0000")</f>
        <v>REQ0000</v>
      </c>
      <c r="P1867" s="7">
        <f>[2]RequestList!$J1868</f>
        <v>0</v>
      </c>
      <c r="Q1867" s="65">
        <f>SUMIF(日報!$R:$R,TEXT(YEAR($Q$2),"0000")&amp;TEXT(MONTH($Q$2),"00")&amp;$O1867,日報!$L:$L)</f>
        <v>0</v>
      </c>
      <c r="R1867" s="65">
        <f ca="1">SUMIF(日報!$J:$J,$O1867,日報!$L:$L)</f>
        <v>0</v>
      </c>
    </row>
    <row r="1868" spans="15:18" x14ac:dyDescent="0.15">
      <c r="O1868" s="7" t="str">
        <f>"REQ"&amp;TEXT([2]RequestList!$A1869,"0000")</f>
        <v>REQ0000</v>
      </c>
      <c r="P1868" s="7">
        <f>[2]RequestList!$J1869</f>
        <v>0</v>
      </c>
      <c r="Q1868" s="65">
        <f>SUMIF(日報!$R:$R,TEXT(YEAR($Q$2),"0000")&amp;TEXT(MONTH($Q$2),"00")&amp;$O1868,日報!$L:$L)</f>
        <v>0</v>
      </c>
      <c r="R1868" s="65">
        <f ca="1">SUMIF(日報!$J:$J,$O1868,日報!$L:$L)</f>
        <v>0</v>
      </c>
    </row>
    <row r="1869" spans="15:18" x14ac:dyDescent="0.15">
      <c r="O1869" s="7" t="str">
        <f>"REQ"&amp;TEXT([2]RequestList!$A1870,"0000")</f>
        <v>REQ0000</v>
      </c>
      <c r="P1869" s="7">
        <f>[2]RequestList!$J1870</f>
        <v>0</v>
      </c>
      <c r="Q1869" s="65">
        <f>SUMIF(日報!$R:$R,TEXT(YEAR($Q$2),"0000")&amp;TEXT(MONTH($Q$2),"00")&amp;$O1869,日報!$L:$L)</f>
        <v>0</v>
      </c>
      <c r="R1869" s="65">
        <f ca="1">SUMIF(日報!$J:$J,$O1869,日報!$L:$L)</f>
        <v>0</v>
      </c>
    </row>
    <row r="1870" spans="15:18" x14ac:dyDescent="0.15">
      <c r="O1870" s="7" t="str">
        <f>"REQ"&amp;TEXT([2]RequestList!$A1871,"0000")</f>
        <v>REQ0000</v>
      </c>
      <c r="P1870" s="7">
        <f>[2]RequestList!$J1871</f>
        <v>0</v>
      </c>
      <c r="Q1870" s="65">
        <f>SUMIF(日報!$R:$R,TEXT(YEAR($Q$2),"0000")&amp;TEXT(MONTH($Q$2),"00")&amp;$O1870,日報!$L:$L)</f>
        <v>0</v>
      </c>
      <c r="R1870" s="65">
        <f ca="1">SUMIF(日報!$J:$J,$O1870,日報!$L:$L)</f>
        <v>0</v>
      </c>
    </row>
    <row r="1871" spans="15:18" x14ac:dyDescent="0.15">
      <c r="O1871" s="7" t="str">
        <f>"REQ"&amp;TEXT([2]RequestList!$A1872,"0000")</f>
        <v>REQ0000</v>
      </c>
      <c r="P1871" s="7">
        <f>[2]RequestList!$J1872</f>
        <v>0</v>
      </c>
      <c r="Q1871" s="65">
        <f>SUMIF(日報!$R:$R,TEXT(YEAR($Q$2),"0000")&amp;TEXT(MONTH($Q$2),"00")&amp;$O1871,日報!$L:$L)</f>
        <v>0</v>
      </c>
      <c r="R1871" s="65">
        <f ca="1">SUMIF(日報!$J:$J,$O1871,日報!$L:$L)</f>
        <v>0</v>
      </c>
    </row>
    <row r="1872" spans="15:18" x14ac:dyDescent="0.15">
      <c r="O1872" s="7" t="str">
        <f>"REQ"&amp;TEXT([2]RequestList!$A1873,"0000")</f>
        <v>REQ0000</v>
      </c>
      <c r="P1872" s="7">
        <f>[2]RequestList!$J1873</f>
        <v>0</v>
      </c>
      <c r="Q1872" s="65">
        <f>SUMIF(日報!$R:$R,TEXT(YEAR($Q$2),"0000")&amp;TEXT(MONTH($Q$2),"00")&amp;$O1872,日報!$L:$L)</f>
        <v>0</v>
      </c>
      <c r="R1872" s="65">
        <f ca="1">SUMIF(日報!$J:$J,$O1872,日報!$L:$L)</f>
        <v>0</v>
      </c>
    </row>
    <row r="1873" spans="15:18" x14ac:dyDescent="0.15">
      <c r="O1873" s="7" t="str">
        <f>"REQ"&amp;TEXT([2]RequestList!$A1874,"0000")</f>
        <v>REQ0000</v>
      </c>
      <c r="P1873" s="7">
        <f>[2]RequestList!$J1874</f>
        <v>0</v>
      </c>
      <c r="Q1873" s="65">
        <f>SUMIF(日報!$R:$R,TEXT(YEAR($Q$2),"0000")&amp;TEXT(MONTH($Q$2),"00")&amp;$O1873,日報!$L:$L)</f>
        <v>0</v>
      </c>
      <c r="R1873" s="65">
        <f ca="1">SUMIF(日報!$J:$J,$O1873,日報!$L:$L)</f>
        <v>0</v>
      </c>
    </row>
    <row r="1874" spans="15:18" x14ac:dyDescent="0.15">
      <c r="O1874" s="7" t="str">
        <f>"REQ"&amp;TEXT([2]RequestList!$A1875,"0000")</f>
        <v>REQ0000</v>
      </c>
      <c r="P1874" s="7">
        <f>[2]RequestList!$J1875</f>
        <v>0</v>
      </c>
      <c r="Q1874" s="65">
        <f>SUMIF(日報!$R:$R,TEXT(YEAR($Q$2),"0000")&amp;TEXT(MONTH($Q$2),"00")&amp;$O1874,日報!$L:$L)</f>
        <v>0</v>
      </c>
      <c r="R1874" s="65">
        <f ca="1">SUMIF(日報!$J:$J,$O1874,日報!$L:$L)</f>
        <v>0</v>
      </c>
    </row>
    <row r="1875" spans="15:18" x14ac:dyDescent="0.15">
      <c r="O1875" s="7" t="str">
        <f>"REQ"&amp;TEXT([2]RequestList!$A1876,"0000")</f>
        <v>REQ0000</v>
      </c>
      <c r="P1875" s="7">
        <f>[2]RequestList!$J1876</f>
        <v>0</v>
      </c>
      <c r="Q1875" s="65">
        <f>SUMIF(日報!$R:$R,TEXT(YEAR($Q$2),"0000")&amp;TEXT(MONTH($Q$2),"00")&amp;$O1875,日報!$L:$L)</f>
        <v>0</v>
      </c>
      <c r="R1875" s="65">
        <f ca="1">SUMIF(日報!$J:$J,$O1875,日報!$L:$L)</f>
        <v>0</v>
      </c>
    </row>
    <row r="1876" spans="15:18" x14ac:dyDescent="0.15">
      <c r="O1876" s="7" t="str">
        <f>"REQ"&amp;TEXT([2]RequestList!$A1877,"0000")</f>
        <v>REQ0000</v>
      </c>
      <c r="P1876" s="7">
        <f>[2]RequestList!$J1877</f>
        <v>0</v>
      </c>
      <c r="Q1876" s="65">
        <f>SUMIF(日報!$R:$R,TEXT(YEAR($Q$2),"0000")&amp;TEXT(MONTH($Q$2),"00")&amp;$O1876,日報!$L:$L)</f>
        <v>0</v>
      </c>
      <c r="R1876" s="65">
        <f ca="1">SUMIF(日報!$J:$J,$O1876,日報!$L:$L)</f>
        <v>0</v>
      </c>
    </row>
    <row r="1877" spans="15:18" x14ac:dyDescent="0.15">
      <c r="O1877" s="7" t="str">
        <f>"REQ"&amp;TEXT([2]RequestList!$A1878,"0000")</f>
        <v>REQ0000</v>
      </c>
      <c r="P1877" s="7">
        <f>[2]RequestList!$J1878</f>
        <v>0</v>
      </c>
      <c r="Q1877" s="65">
        <f>SUMIF(日報!$R:$R,TEXT(YEAR($Q$2),"0000")&amp;TEXT(MONTH($Q$2),"00")&amp;$O1877,日報!$L:$L)</f>
        <v>0</v>
      </c>
      <c r="R1877" s="65">
        <f ca="1">SUMIF(日報!$J:$J,$O1877,日報!$L:$L)</f>
        <v>0</v>
      </c>
    </row>
    <row r="1878" spans="15:18" x14ac:dyDescent="0.15">
      <c r="O1878" s="7" t="str">
        <f>"REQ"&amp;TEXT([2]RequestList!$A1879,"0000")</f>
        <v>REQ0000</v>
      </c>
      <c r="P1878" s="7">
        <f>[2]RequestList!$J1879</f>
        <v>0</v>
      </c>
      <c r="Q1878" s="65">
        <f>SUMIF(日報!$R:$R,TEXT(YEAR($Q$2),"0000")&amp;TEXT(MONTH($Q$2),"00")&amp;$O1878,日報!$L:$L)</f>
        <v>0</v>
      </c>
      <c r="R1878" s="65">
        <f ca="1">SUMIF(日報!$J:$J,$O1878,日報!$L:$L)</f>
        <v>0</v>
      </c>
    </row>
    <row r="1879" spans="15:18" x14ac:dyDescent="0.15">
      <c r="O1879" s="7" t="str">
        <f>"REQ"&amp;TEXT([2]RequestList!$A1880,"0000")</f>
        <v>REQ0000</v>
      </c>
      <c r="P1879" s="7">
        <f>[2]RequestList!$J1880</f>
        <v>0</v>
      </c>
      <c r="Q1879" s="65">
        <f>SUMIF(日報!$R:$R,TEXT(YEAR($Q$2),"0000")&amp;TEXT(MONTH($Q$2),"00")&amp;$O1879,日報!$L:$L)</f>
        <v>0</v>
      </c>
      <c r="R1879" s="65">
        <f ca="1">SUMIF(日報!$J:$J,$O1879,日報!$L:$L)</f>
        <v>0</v>
      </c>
    </row>
    <row r="1880" spans="15:18" x14ac:dyDescent="0.15">
      <c r="O1880" s="7" t="str">
        <f>"REQ"&amp;TEXT([2]RequestList!$A1881,"0000")</f>
        <v>REQ0000</v>
      </c>
      <c r="P1880" s="7">
        <f>[2]RequestList!$J1881</f>
        <v>0</v>
      </c>
      <c r="Q1880" s="65">
        <f>SUMIF(日報!$R:$R,TEXT(YEAR($Q$2),"0000")&amp;TEXT(MONTH($Q$2),"00")&amp;$O1880,日報!$L:$L)</f>
        <v>0</v>
      </c>
      <c r="R1880" s="65">
        <f ca="1">SUMIF(日報!$J:$J,$O1880,日報!$L:$L)</f>
        <v>0</v>
      </c>
    </row>
    <row r="1881" spans="15:18" x14ac:dyDescent="0.15">
      <c r="O1881" s="7" t="str">
        <f>"REQ"&amp;TEXT([2]RequestList!$A1882,"0000")</f>
        <v>REQ0000</v>
      </c>
      <c r="P1881" s="7">
        <f>[2]RequestList!$J1882</f>
        <v>0</v>
      </c>
      <c r="Q1881" s="65">
        <f>SUMIF(日報!$R:$R,TEXT(YEAR($Q$2),"0000")&amp;TEXT(MONTH($Q$2),"00")&amp;$O1881,日報!$L:$L)</f>
        <v>0</v>
      </c>
      <c r="R1881" s="65">
        <f ca="1">SUMIF(日報!$J:$J,$O1881,日報!$L:$L)</f>
        <v>0</v>
      </c>
    </row>
    <row r="1882" spans="15:18" x14ac:dyDescent="0.15">
      <c r="O1882" s="7" t="str">
        <f>"REQ"&amp;TEXT([2]RequestList!$A1883,"0000")</f>
        <v>REQ0000</v>
      </c>
      <c r="P1882" s="7">
        <f>[2]RequestList!$J1883</f>
        <v>0</v>
      </c>
      <c r="Q1882" s="65">
        <f>SUMIF(日報!$R:$R,TEXT(YEAR($Q$2),"0000")&amp;TEXT(MONTH($Q$2),"00")&amp;$O1882,日報!$L:$L)</f>
        <v>0</v>
      </c>
      <c r="R1882" s="65">
        <f ca="1">SUMIF(日報!$J:$J,$O1882,日報!$L:$L)</f>
        <v>0</v>
      </c>
    </row>
    <row r="1883" spans="15:18" x14ac:dyDescent="0.15">
      <c r="O1883" s="7" t="str">
        <f>"REQ"&amp;TEXT([2]RequestList!$A1884,"0000")</f>
        <v>REQ0000</v>
      </c>
      <c r="P1883" s="7">
        <f>[2]RequestList!$J1884</f>
        <v>0</v>
      </c>
      <c r="Q1883" s="65">
        <f>SUMIF(日報!$R:$R,TEXT(YEAR($Q$2),"0000")&amp;TEXT(MONTH($Q$2),"00")&amp;$O1883,日報!$L:$L)</f>
        <v>0</v>
      </c>
      <c r="R1883" s="65">
        <f ca="1">SUMIF(日報!$J:$J,$O1883,日報!$L:$L)</f>
        <v>0</v>
      </c>
    </row>
    <row r="1884" spans="15:18" x14ac:dyDescent="0.15">
      <c r="O1884" s="7" t="str">
        <f>"REQ"&amp;TEXT([2]RequestList!$A1885,"0000")</f>
        <v>REQ0000</v>
      </c>
      <c r="P1884" s="7">
        <f>[2]RequestList!$J1885</f>
        <v>0</v>
      </c>
      <c r="Q1884" s="65">
        <f>SUMIF(日報!$R:$R,TEXT(YEAR($Q$2),"0000")&amp;TEXT(MONTH($Q$2),"00")&amp;$O1884,日報!$L:$L)</f>
        <v>0</v>
      </c>
      <c r="R1884" s="65">
        <f ca="1">SUMIF(日報!$J:$J,$O1884,日報!$L:$L)</f>
        <v>0</v>
      </c>
    </row>
    <row r="1885" spans="15:18" x14ac:dyDescent="0.15">
      <c r="O1885" s="7" t="str">
        <f>"REQ"&amp;TEXT([2]RequestList!$A1886,"0000")</f>
        <v>REQ0000</v>
      </c>
      <c r="P1885" s="7">
        <f>[2]RequestList!$J1886</f>
        <v>0</v>
      </c>
      <c r="Q1885" s="65">
        <f>SUMIF(日報!$R:$R,TEXT(YEAR($Q$2),"0000")&amp;TEXT(MONTH($Q$2),"00")&amp;$O1885,日報!$L:$L)</f>
        <v>0</v>
      </c>
      <c r="R1885" s="65">
        <f ca="1">SUMIF(日報!$J:$J,$O1885,日報!$L:$L)</f>
        <v>0</v>
      </c>
    </row>
    <row r="1886" spans="15:18" x14ac:dyDescent="0.15">
      <c r="O1886" s="7" t="str">
        <f>"REQ"&amp;TEXT([2]RequestList!$A1887,"0000")</f>
        <v>REQ0000</v>
      </c>
      <c r="P1886" s="7">
        <f>[2]RequestList!$J1887</f>
        <v>0</v>
      </c>
      <c r="Q1886" s="65">
        <f>SUMIF(日報!$R:$R,TEXT(YEAR($Q$2),"0000")&amp;TEXT(MONTH($Q$2),"00")&amp;$O1886,日報!$L:$L)</f>
        <v>0</v>
      </c>
      <c r="R1886" s="65">
        <f ca="1">SUMIF(日報!$J:$J,$O1886,日報!$L:$L)</f>
        <v>0</v>
      </c>
    </row>
    <row r="1887" spans="15:18" x14ac:dyDescent="0.15">
      <c r="O1887" s="7" t="str">
        <f>"REQ"&amp;TEXT([2]RequestList!$A1888,"0000")</f>
        <v>REQ0000</v>
      </c>
      <c r="P1887" s="7">
        <f>[2]RequestList!$J1888</f>
        <v>0</v>
      </c>
      <c r="Q1887" s="65">
        <f>SUMIF(日報!$R:$R,TEXT(YEAR($Q$2),"0000")&amp;TEXT(MONTH($Q$2),"00")&amp;$O1887,日報!$L:$L)</f>
        <v>0</v>
      </c>
      <c r="R1887" s="65">
        <f ca="1">SUMIF(日報!$J:$J,$O1887,日報!$L:$L)</f>
        <v>0</v>
      </c>
    </row>
    <row r="1888" spans="15:18" x14ac:dyDescent="0.15">
      <c r="O1888" s="7" t="str">
        <f>"REQ"&amp;TEXT([2]RequestList!$A1889,"0000")</f>
        <v>REQ0000</v>
      </c>
      <c r="P1888" s="7">
        <f>[2]RequestList!$J1889</f>
        <v>0</v>
      </c>
      <c r="Q1888" s="65">
        <f>SUMIF(日報!$R:$R,TEXT(YEAR($Q$2),"0000")&amp;TEXT(MONTH($Q$2),"00")&amp;$O1888,日報!$L:$L)</f>
        <v>0</v>
      </c>
      <c r="R1888" s="65">
        <f ca="1">SUMIF(日報!$J:$J,$O1888,日報!$L:$L)</f>
        <v>0</v>
      </c>
    </row>
    <row r="1889" spans="15:18" x14ac:dyDescent="0.15">
      <c r="O1889" s="7" t="str">
        <f>"REQ"&amp;TEXT([2]RequestList!$A1890,"0000")</f>
        <v>REQ0000</v>
      </c>
      <c r="P1889" s="7">
        <f>[2]RequestList!$J1890</f>
        <v>0</v>
      </c>
      <c r="Q1889" s="65">
        <f>SUMIF(日報!$R:$R,TEXT(YEAR($Q$2),"0000")&amp;TEXT(MONTH($Q$2),"00")&amp;$O1889,日報!$L:$L)</f>
        <v>0</v>
      </c>
      <c r="R1889" s="65">
        <f ca="1">SUMIF(日報!$J:$J,$O1889,日報!$L:$L)</f>
        <v>0</v>
      </c>
    </row>
    <row r="1890" spans="15:18" x14ac:dyDescent="0.15">
      <c r="O1890" s="7" t="str">
        <f>"REQ"&amp;TEXT([2]RequestList!$A1891,"0000")</f>
        <v>REQ0000</v>
      </c>
      <c r="P1890" s="7">
        <f>[2]RequestList!$J1891</f>
        <v>0</v>
      </c>
      <c r="Q1890" s="65">
        <f>SUMIF(日報!$R:$R,TEXT(YEAR($Q$2),"0000")&amp;TEXT(MONTH($Q$2),"00")&amp;$O1890,日報!$L:$L)</f>
        <v>0</v>
      </c>
      <c r="R1890" s="65">
        <f ca="1">SUMIF(日報!$J:$J,$O1890,日報!$L:$L)</f>
        <v>0</v>
      </c>
    </row>
    <row r="1891" spans="15:18" x14ac:dyDescent="0.15">
      <c r="O1891" s="7" t="str">
        <f>"REQ"&amp;TEXT([2]RequestList!$A1892,"0000")</f>
        <v>REQ0000</v>
      </c>
      <c r="P1891" s="7">
        <f>[2]RequestList!$J1892</f>
        <v>0</v>
      </c>
      <c r="Q1891" s="65">
        <f>SUMIF(日報!$R:$R,TEXT(YEAR($Q$2),"0000")&amp;TEXT(MONTH($Q$2),"00")&amp;$O1891,日報!$L:$L)</f>
        <v>0</v>
      </c>
      <c r="R1891" s="65">
        <f ca="1">SUMIF(日報!$J:$J,$O1891,日報!$L:$L)</f>
        <v>0</v>
      </c>
    </row>
    <row r="1892" spans="15:18" x14ac:dyDescent="0.15">
      <c r="O1892" s="7" t="str">
        <f>"REQ"&amp;TEXT([2]RequestList!$A1893,"0000")</f>
        <v>REQ0000</v>
      </c>
      <c r="P1892" s="7">
        <f>[2]RequestList!$J1893</f>
        <v>0</v>
      </c>
      <c r="Q1892" s="65">
        <f>SUMIF(日報!$R:$R,TEXT(YEAR($Q$2),"0000")&amp;TEXT(MONTH($Q$2),"00")&amp;$O1892,日報!$L:$L)</f>
        <v>0</v>
      </c>
      <c r="R1892" s="65">
        <f ca="1">SUMIF(日報!$J:$J,$O1892,日報!$L:$L)</f>
        <v>0</v>
      </c>
    </row>
    <row r="1893" spans="15:18" x14ac:dyDescent="0.15">
      <c r="O1893" s="7" t="str">
        <f>"REQ"&amp;TEXT([2]RequestList!$A1894,"0000")</f>
        <v>REQ0000</v>
      </c>
      <c r="P1893" s="7">
        <f>[2]RequestList!$J1894</f>
        <v>0</v>
      </c>
      <c r="Q1893" s="65">
        <f>SUMIF(日報!$R:$R,TEXT(YEAR($Q$2),"0000")&amp;TEXT(MONTH($Q$2),"00")&amp;$O1893,日報!$L:$L)</f>
        <v>0</v>
      </c>
      <c r="R1893" s="65">
        <f ca="1">SUMIF(日報!$J:$J,$O1893,日報!$L:$L)</f>
        <v>0</v>
      </c>
    </row>
    <row r="1894" spans="15:18" x14ac:dyDescent="0.15">
      <c r="O1894" s="7" t="str">
        <f>"REQ"&amp;TEXT([2]RequestList!$A1895,"0000")</f>
        <v>REQ0000</v>
      </c>
      <c r="P1894" s="7">
        <f>[2]RequestList!$J1895</f>
        <v>0</v>
      </c>
      <c r="Q1894" s="65">
        <f>SUMIF(日報!$R:$R,TEXT(YEAR($Q$2),"0000")&amp;TEXT(MONTH($Q$2),"00")&amp;$O1894,日報!$L:$L)</f>
        <v>0</v>
      </c>
      <c r="R1894" s="65">
        <f ca="1">SUMIF(日報!$J:$J,$O1894,日報!$L:$L)</f>
        <v>0</v>
      </c>
    </row>
    <row r="1895" spans="15:18" x14ac:dyDescent="0.15">
      <c r="O1895" s="7" t="str">
        <f>"REQ"&amp;TEXT([2]RequestList!$A1896,"0000")</f>
        <v>REQ0000</v>
      </c>
      <c r="P1895" s="7">
        <f>[2]RequestList!$J1896</f>
        <v>0</v>
      </c>
      <c r="Q1895" s="65">
        <f>SUMIF(日報!$R:$R,TEXT(YEAR($Q$2),"0000")&amp;TEXT(MONTH($Q$2),"00")&amp;$O1895,日報!$L:$L)</f>
        <v>0</v>
      </c>
      <c r="R1895" s="65">
        <f ca="1">SUMIF(日報!$J:$J,$O1895,日報!$L:$L)</f>
        <v>0</v>
      </c>
    </row>
    <row r="1896" spans="15:18" x14ac:dyDescent="0.15">
      <c r="O1896" s="7" t="str">
        <f>"REQ"&amp;TEXT([2]RequestList!$A1897,"0000")</f>
        <v>REQ0000</v>
      </c>
      <c r="P1896" s="7">
        <f>[2]RequestList!$J1897</f>
        <v>0</v>
      </c>
      <c r="Q1896" s="65">
        <f>SUMIF(日報!$R:$R,TEXT(YEAR($Q$2),"0000")&amp;TEXT(MONTH($Q$2),"00")&amp;$O1896,日報!$L:$L)</f>
        <v>0</v>
      </c>
      <c r="R1896" s="65">
        <f ca="1">SUMIF(日報!$J:$J,$O1896,日報!$L:$L)</f>
        <v>0</v>
      </c>
    </row>
    <row r="1897" spans="15:18" x14ac:dyDescent="0.15">
      <c r="O1897" s="7" t="str">
        <f>"REQ"&amp;TEXT([2]RequestList!$A1898,"0000")</f>
        <v>REQ0000</v>
      </c>
      <c r="P1897" s="7">
        <f>[2]RequestList!$J1898</f>
        <v>0</v>
      </c>
      <c r="Q1897" s="65">
        <f>SUMIF(日報!$R:$R,TEXT(YEAR($Q$2),"0000")&amp;TEXT(MONTH($Q$2),"00")&amp;$O1897,日報!$L:$L)</f>
        <v>0</v>
      </c>
      <c r="R1897" s="65">
        <f ca="1">SUMIF(日報!$J:$J,$O1897,日報!$L:$L)</f>
        <v>0</v>
      </c>
    </row>
    <row r="1898" spans="15:18" x14ac:dyDescent="0.15">
      <c r="O1898" s="7" t="str">
        <f>"REQ"&amp;TEXT([2]RequestList!$A1899,"0000")</f>
        <v>REQ0000</v>
      </c>
      <c r="P1898" s="7">
        <f>[2]RequestList!$J1899</f>
        <v>0</v>
      </c>
      <c r="Q1898" s="65">
        <f>SUMIF(日報!$R:$R,TEXT(YEAR($Q$2),"0000")&amp;TEXT(MONTH($Q$2),"00")&amp;$O1898,日報!$L:$L)</f>
        <v>0</v>
      </c>
      <c r="R1898" s="65">
        <f ca="1">SUMIF(日報!$J:$J,$O1898,日報!$L:$L)</f>
        <v>0</v>
      </c>
    </row>
    <row r="1899" spans="15:18" x14ac:dyDescent="0.15">
      <c r="O1899" s="7" t="str">
        <f>"REQ"&amp;TEXT([2]RequestList!$A1900,"0000")</f>
        <v>REQ0000</v>
      </c>
      <c r="P1899" s="7">
        <f>[2]RequestList!$J1900</f>
        <v>0</v>
      </c>
      <c r="Q1899" s="65">
        <f>SUMIF(日報!$R:$R,TEXT(YEAR($Q$2),"0000")&amp;TEXT(MONTH($Q$2),"00")&amp;$O1899,日報!$L:$L)</f>
        <v>0</v>
      </c>
      <c r="R1899" s="65">
        <f ca="1">SUMIF(日報!$J:$J,$O1899,日報!$L:$L)</f>
        <v>0</v>
      </c>
    </row>
    <row r="1900" spans="15:18" x14ac:dyDescent="0.15">
      <c r="O1900" s="7" t="str">
        <f>"REQ"&amp;TEXT([2]RequestList!$A1901,"0000")</f>
        <v>REQ0000</v>
      </c>
      <c r="P1900" s="7">
        <f>[2]RequestList!$J1901</f>
        <v>0</v>
      </c>
      <c r="Q1900" s="65">
        <f>SUMIF(日報!$R:$R,TEXT(YEAR($Q$2),"0000")&amp;TEXT(MONTH($Q$2),"00")&amp;$O1900,日報!$L:$L)</f>
        <v>0</v>
      </c>
      <c r="R1900" s="65">
        <f ca="1">SUMIF(日報!$J:$J,$O1900,日報!$L:$L)</f>
        <v>0</v>
      </c>
    </row>
    <row r="1901" spans="15:18" x14ac:dyDescent="0.15">
      <c r="O1901" s="7" t="str">
        <f>"REQ"&amp;TEXT([2]RequestList!$A1902,"0000")</f>
        <v>REQ0000</v>
      </c>
      <c r="P1901" s="7">
        <f>[2]RequestList!$J1902</f>
        <v>0</v>
      </c>
      <c r="Q1901" s="65">
        <f>SUMIF(日報!$R:$R,TEXT(YEAR($Q$2),"0000")&amp;TEXT(MONTH($Q$2),"00")&amp;$O1901,日報!$L:$L)</f>
        <v>0</v>
      </c>
      <c r="R1901" s="65">
        <f ca="1">SUMIF(日報!$J:$J,$O1901,日報!$L:$L)</f>
        <v>0</v>
      </c>
    </row>
    <row r="1902" spans="15:18" x14ac:dyDescent="0.15">
      <c r="O1902" s="7" t="str">
        <f>"REQ"&amp;TEXT([2]RequestList!$A1903,"0000")</f>
        <v>REQ0000</v>
      </c>
      <c r="P1902" s="7">
        <f>[2]RequestList!$J1903</f>
        <v>0</v>
      </c>
      <c r="Q1902" s="65">
        <f>SUMIF(日報!$R:$R,TEXT(YEAR($Q$2),"0000")&amp;TEXT(MONTH($Q$2),"00")&amp;$O1902,日報!$L:$L)</f>
        <v>0</v>
      </c>
      <c r="R1902" s="65">
        <f ca="1">SUMIF(日報!$J:$J,$O1902,日報!$L:$L)</f>
        <v>0</v>
      </c>
    </row>
    <row r="1903" spans="15:18" x14ac:dyDescent="0.15">
      <c r="O1903" s="7" t="str">
        <f>"REQ"&amp;TEXT([2]RequestList!$A1904,"0000")</f>
        <v>REQ0000</v>
      </c>
      <c r="P1903" s="7">
        <f>[2]RequestList!$J1904</f>
        <v>0</v>
      </c>
      <c r="Q1903" s="65">
        <f>SUMIF(日報!$R:$R,TEXT(YEAR($Q$2),"0000")&amp;TEXT(MONTH($Q$2),"00")&amp;$O1903,日報!$L:$L)</f>
        <v>0</v>
      </c>
      <c r="R1903" s="65">
        <f ca="1">SUMIF(日報!$J:$J,$O1903,日報!$L:$L)</f>
        <v>0</v>
      </c>
    </row>
    <row r="1904" spans="15:18" x14ac:dyDescent="0.15">
      <c r="O1904" s="7" t="str">
        <f>"REQ"&amp;TEXT([2]RequestList!$A1905,"0000")</f>
        <v>REQ0000</v>
      </c>
      <c r="P1904" s="7">
        <f>[2]RequestList!$J1905</f>
        <v>0</v>
      </c>
      <c r="Q1904" s="65">
        <f>SUMIF(日報!$R:$R,TEXT(YEAR($Q$2),"0000")&amp;TEXT(MONTH($Q$2),"00")&amp;$O1904,日報!$L:$L)</f>
        <v>0</v>
      </c>
      <c r="R1904" s="65">
        <f ca="1">SUMIF(日報!$J:$J,$O1904,日報!$L:$L)</f>
        <v>0</v>
      </c>
    </row>
    <row r="1905" spans="15:18" x14ac:dyDescent="0.15">
      <c r="O1905" s="7" t="str">
        <f>"REQ"&amp;TEXT([2]RequestList!$A1906,"0000")</f>
        <v>REQ0000</v>
      </c>
      <c r="P1905" s="7">
        <f>[2]RequestList!$J1906</f>
        <v>0</v>
      </c>
      <c r="Q1905" s="65">
        <f>SUMIF(日報!$R:$R,TEXT(YEAR($Q$2),"0000")&amp;TEXT(MONTH($Q$2),"00")&amp;$O1905,日報!$L:$L)</f>
        <v>0</v>
      </c>
      <c r="R1905" s="65">
        <f ca="1">SUMIF(日報!$J:$J,$O1905,日報!$L:$L)</f>
        <v>0</v>
      </c>
    </row>
    <row r="1906" spans="15:18" x14ac:dyDescent="0.15">
      <c r="O1906" s="7" t="str">
        <f>"REQ"&amp;TEXT([2]RequestList!$A1907,"0000")</f>
        <v>REQ0000</v>
      </c>
      <c r="P1906" s="7">
        <f>[2]RequestList!$J1907</f>
        <v>0</v>
      </c>
      <c r="Q1906" s="65">
        <f>SUMIF(日報!$R:$R,TEXT(YEAR($Q$2),"0000")&amp;TEXT(MONTH($Q$2),"00")&amp;$O1906,日報!$L:$L)</f>
        <v>0</v>
      </c>
      <c r="R1906" s="65">
        <f ca="1">SUMIF(日報!$J:$J,$O1906,日報!$L:$L)</f>
        <v>0</v>
      </c>
    </row>
    <row r="1907" spans="15:18" x14ac:dyDescent="0.15">
      <c r="O1907" s="7" t="str">
        <f>"REQ"&amp;TEXT([2]RequestList!$A1908,"0000")</f>
        <v>REQ0000</v>
      </c>
      <c r="P1907" s="7">
        <f>[2]RequestList!$J1908</f>
        <v>0</v>
      </c>
      <c r="Q1907" s="65">
        <f>SUMIF(日報!$R:$R,TEXT(YEAR($Q$2),"0000")&amp;TEXT(MONTH($Q$2),"00")&amp;$O1907,日報!$L:$L)</f>
        <v>0</v>
      </c>
      <c r="R1907" s="65">
        <f ca="1">SUMIF(日報!$J:$J,$O1907,日報!$L:$L)</f>
        <v>0</v>
      </c>
    </row>
    <row r="1908" spans="15:18" x14ac:dyDescent="0.15">
      <c r="O1908" s="7" t="str">
        <f>"REQ"&amp;TEXT([2]RequestList!$A1909,"0000")</f>
        <v>REQ0000</v>
      </c>
      <c r="P1908" s="7">
        <f>[2]RequestList!$J1909</f>
        <v>0</v>
      </c>
      <c r="Q1908" s="65">
        <f>SUMIF(日報!$R:$R,TEXT(YEAR($Q$2),"0000")&amp;TEXT(MONTH($Q$2),"00")&amp;$O1908,日報!$L:$L)</f>
        <v>0</v>
      </c>
      <c r="R1908" s="65">
        <f ca="1">SUMIF(日報!$J:$J,$O1908,日報!$L:$L)</f>
        <v>0</v>
      </c>
    </row>
    <row r="1909" spans="15:18" x14ac:dyDescent="0.15">
      <c r="O1909" s="7" t="str">
        <f>"REQ"&amp;TEXT([2]RequestList!$A1910,"0000")</f>
        <v>REQ0000</v>
      </c>
      <c r="P1909" s="7">
        <f>[2]RequestList!$J1910</f>
        <v>0</v>
      </c>
      <c r="Q1909" s="65">
        <f>SUMIF(日報!$R:$R,TEXT(YEAR($Q$2),"0000")&amp;TEXT(MONTH($Q$2),"00")&amp;$O1909,日報!$L:$L)</f>
        <v>0</v>
      </c>
      <c r="R1909" s="65">
        <f ca="1">SUMIF(日報!$J:$J,$O1909,日報!$L:$L)</f>
        <v>0</v>
      </c>
    </row>
    <row r="1910" spans="15:18" x14ac:dyDescent="0.15">
      <c r="O1910" s="7" t="str">
        <f>"REQ"&amp;TEXT([2]RequestList!$A1911,"0000")</f>
        <v>REQ0000</v>
      </c>
      <c r="P1910" s="7">
        <f>[2]RequestList!$J1911</f>
        <v>0</v>
      </c>
      <c r="Q1910" s="65">
        <f>SUMIF(日報!$R:$R,TEXT(YEAR($Q$2),"0000")&amp;TEXT(MONTH($Q$2),"00")&amp;$O1910,日報!$L:$L)</f>
        <v>0</v>
      </c>
      <c r="R1910" s="65">
        <f ca="1">SUMIF(日報!$J:$J,$O1910,日報!$L:$L)</f>
        <v>0</v>
      </c>
    </row>
    <row r="1911" spans="15:18" x14ac:dyDescent="0.15">
      <c r="O1911" s="7" t="str">
        <f>"REQ"&amp;TEXT([2]RequestList!$A1912,"0000")</f>
        <v>REQ0000</v>
      </c>
      <c r="P1911" s="7">
        <f>[2]RequestList!$J1912</f>
        <v>0</v>
      </c>
      <c r="Q1911" s="65">
        <f>SUMIF(日報!$R:$R,TEXT(YEAR($Q$2),"0000")&amp;TEXT(MONTH($Q$2),"00")&amp;$O1911,日報!$L:$L)</f>
        <v>0</v>
      </c>
      <c r="R1911" s="65">
        <f ca="1">SUMIF(日報!$J:$J,$O1911,日報!$L:$L)</f>
        <v>0</v>
      </c>
    </row>
    <row r="1912" spans="15:18" x14ac:dyDescent="0.15">
      <c r="O1912" s="7" t="str">
        <f>"REQ"&amp;TEXT([2]RequestList!$A1913,"0000")</f>
        <v>REQ0000</v>
      </c>
      <c r="P1912" s="7">
        <f>[2]RequestList!$J1913</f>
        <v>0</v>
      </c>
      <c r="Q1912" s="65">
        <f>SUMIF(日報!$R:$R,TEXT(YEAR($Q$2),"0000")&amp;TEXT(MONTH($Q$2),"00")&amp;$O1912,日報!$L:$L)</f>
        <v>0</v>
      </c>
      <c r="R1912" s="65">
        <f ca="1">SUMIF(日報!$J:$J,$O1912,日報!$L:$L)</f>
        <v>0</v>
      </c>
    </row>
    <row r="1913" spans="15:18" x14ac:dyDescent="0.15">
      <c r="O1913" s="7" t="str">
        <f>"REQ"&amp;TEXT([2]RequestList!$A1914,"0000")</f>
        <v>REQ0000</v>
      </c>
      <c r="P1913" s="7">
        <f>[2]RequestList!$J1914</f>
        <v>0</v>
      </c>
      <c r="Q1913" s="65">
        <f>SUMIF(日報!$R:$R,TEXT(YEAR($Q$2),"0000")&amp;TEXT(MONTH($Q$2),"00")&amp;$O1913,日報!$L:$L)</f>
        <v>0</v>
      </c>
      <c r="R1913" s="65">
        <f ca="1">SUMIF(日報!$J:$J,$O1913,日報!$L:$L)</f>
        <v>0</v>
      </c>
    </row>
    <row r="1914" spans="15:18" x14ac:dyDescent="0.15">
      <c r="O1914" s="7" t="str">
        <f>"REQ"&amp;TEXT([2]RequestList!$A1915,"0000")</f>
        <v>REQ0000</v>
      </c>
      <c r="P1914" s="7">
        <f>[2]RequestList!$J1915</f>
        <v>0</v>
      </c>
      <c r="Q1914" s="65">
        <f>SUMIF(日報!$R:$R,TEXT(YEAR($Q$2),"0000")&amp;TEXT(MONTH($Q$2),"00")&amp;$O1914,日報!$L:$L)</f>
        <v>0</v>
      </c>
      <c r="R1914" s="65">
        <f ca="1">SUMIF(日報!$J:$J,$O1914,日報!$L:$L)</f>
        <v>0</v>
      </c>
    </row>
    <row r="1915" spans="15:18" x14ac:dyDescent="0.15">
      <c r="O1915" s="7" t="str">
        <f>"REQ"&amp;TEXT([2]RequestList!$A1916,"0000")</f>
        <v>REQ0000</v>
      </c>
      <c r="P1915" s="7">
        <f>[2]RequestList!$J1916</f>
        <v>0</v>
      </c>
      <c r="Q1915" s="65">
        <f>SUMIF(日報!$R:$R,TEXT(YEAR($Q$2),"0000")&amp;TEXT(MONTH($Q$2),"00")&amp;$O1915,日報!$L:$L)</f>
        <v>0</v>
      </c>
      <c r="R1915" s="65">
        <f ca="1">SUMIF(日報!$J:$J,$O1915,日報!$L:$L)</f>
        <v>0</v>
      </c>
    </row>
    <row r="1916" spans="15:18" x14ac:dyDescent="0.15">
      <c r="O1916" s="7" t="str">
        <f>"REQ"&amp;TEXT([2]RequestList!$A1917,"0000")</f>
        <v>REQ0000</v>
      </c>
      <c r="P1916" s="7">
        <f>[2]RequestList!$J1917</f>
        <v>0</v>
      </c>
      <c r="Q1916" s="65">
        <f>SUMIF(日報!$R:$R,TEXT(YEAR($Q$2),"0000")&amp;TEXT(MONTH($Q$2),"00")&amp;$O1916,日報!$L:$L)</f>
        <v>0</v>
      </c>
      <c r="R1916" s="65">
        <f ca="1">SUMIF(日報!$J:$J,$O1916,日報!$L:$L)</f>
        <v>0</v>
      </c>
    </row>
    <row r="1917" spans="15:18" x14ac:dyDescent="0.15">
      <c r="O1917" s="7" t="str">
        <f>"REQ"&amp;TEXT([2]RequestList!$A1918,"0000")</f>
        <v>REQ0000</v>
      </c>
      <c r="P1917" s="7">
        <f>[2]RequestList!$J1918</f>
        <v>0</v>
      </c>
      <c r="Q1917" s="65">
        <f>SUMIF(日報!$R:$R,TEXT(YEAR($Q$2),"0000")&amp;TEXT(MONTH($Q$2),"00")&amp;$O1917,日報!$L:$L)</f>
        <v>0</v>
      </c>
      <c r="R1917" s="65">
        <f ca="1">SUMIF(日報!$J:$J,$O1917,日報!$L:$L)</f>
        <v>0</v>
      </c>
    </row>
    <row r="1918" spans="15:18" x14ac:dyDescent="0.15">
      <c r="O1918" s="7" t="str">
        <f>"REQ"&amp;TEXT([2]RequestList!$A1919,"0000")</f>
        <v>REQ0000</v>
      </c>
      <c r="P1918" s="7">
        <f>[2]RequestList!$J1919</f>
        <v>0</v>
      </c>
      <c r="Q1918" s="65">
        <f>SUMIF(日報!$R:$R,TEXT(YEAR($Q$2),"0000")&amp;TEXT(MONTH($Q$2),"00")&amp;$O1918,日報!$L:$L)</f>
        <v>0</v>
      </c>
      <c r="R1918" s="65">
        <f ca="1">SUMIF(日報!$J:$J,$O1918,日報!$L:$L)</f>
        <v>0</v>
      </c>
    </row>
    <row r="1919" spans="15:18" x14ac:dyDescent="0.15">
      <c r="O1919" s="7" t="str">
        <f>"REQ"&amp;TEXT([2]RequestList!$A1920,"0000")</f>
        <v>REQ0000</v>
      </c>
      <c r="P1919" s="7">
        <f>[2]RequestList!$J1920</f>
        <v>0</v>
      </c>
      <c r="Q1919" s="65">
        <f>SUMIF(日報!$R:$R,TEXT(YEAR($Q$2),"0000")&amp;TEXT(MONTH($Q$2),"00")&amp;$O1919,日報!$L:$L)</f>
        <v>0</v>
      </c>
      <c r="R1919" s="65">
        <f ca="1">SUMIF(日報!$J:$J,$O1919,日報!$L:$L)</f>
        <v>0</v>
      </c>
    </row>
    <row r="1920" spans="15:18" x14ac:dyDescent="0.15">
      <c r="O1920" s="7" t="str">
        <f>"REQ"&amp;TEXT([2]RequestList!$A1921,"0000")</f>
        <v>REQ0000</v>
      </c>
      <c r="P1920" s="7">
        <f>[2]RequestList!$J1921</f>
        <v>0</v>
      </c>
      <c r="Q1920" s="65">
        <f>SUMIF(日報!$R:$R,TEXT(YEAR($Q$2),"0000")&amp;TEXT(MONTH($Q$2),"00")&amp;$O1920,日報!$L:$L)</f>
        <v>0</v>
      </c>
      <c r="R1920" s="65">
        <f ca="1">SUMIF(日報!$J:$J,$O1920,日報!$L:$L)</f>
        <v>0</v>
      </c>
    </row>
    <row r="1921" spans="15:18" x14ac:dyDescent="0.15">
      <c r="O1921" s="7" t="str">
        <f>"REQ"&amp;TEXT([2]RequestList!$A1922,"0000")</f>
        <v>REQ0000</v>
      </c>
      <c r="P1921" s="7">
        <f>[2]RequestList!$J1922</f>
        <v>0</v>
      </c>
      <c r="Q1921" s="65">
        <f>SUMIF(日報!$R:$R,TEXT(YEAR($Q$2),"0000")&amp;TEXT(MONTH($Q$2),"00")&amp;$O1921,日報!$L:$L)</f>
        <v>0</v>
      </c>
      <c r="R1921" s="65">
        <f ca="1">SUMIF(日報!$J:$J,$O1921,日報!$L:$L)</f>
        <v>0</v>
      </c>
    </row>
    <row r="1922" spans="15:18" x14ac:dyDescent="0.15">
      <c r="O1922" s="7" t="str">
        <f>"REQ"&amp;TEXT([2]RequestList!$A1923,"0000")</f>
        <v>REQ0000</v>
      </c>
      <c r="P1922" s="7">
        <f>[2]RequestList!$J1923</f>
        <v>0</v>
      </c>
      <c r="Q1922" s="65">
        <f>SUMIF(日報!$R:$R,TEXT(YEAR($Q$2),"0000")&amp;TEXT(MONTH($Q$2),"00")&amp;$O1922,日報!$L:$L)</f>
        <v>0</v>
      </c>
      <c r="R1922" s="65">
        <f ca="1">SUMIF(日報!$J:$J,$O1922,日報!$L:$L)</f>
        <v>0</v>
      </c>
    </row>
    <row r="1923" spans="15:18" x14ac:dyDescent="0.15">
      <c r="O1923" s="7" t="str">
        <f>"REQ"&amp;TEXT([2]RequestList!$A1924,"0000")</f>
        <v>REQ0000</v>
      </c>
      <c r="P1923" s="7">
        <f>[2]RequestList!$J1924</f>
        <v>0</v>
      </c>
      <c r="Q1923" s="65">
        <f>SUMIF(日報!$R:$R,TEXT(YEAR($Q$2),"0000")&amp;TEXT(MONTH($Q$2),"00")&amp;$O1923,日報!$L:$L)</f>
        <v>0</v>
      </c>
      <c r="R1923" s="65">
        <f ca="1">SUMIF(日報!$J:$J,$O1923,日報!$L:$L)</f>
        <v>0</v>
      </c>
    </row>
    <row r="1924" spans="15:18" x14ac:dyDescent="0.15">
      <c r="O1924" s="7" t="str">
        <f>"REQ"&amp;TEXT([2]RequestList!$A1925,"0000")</f>
        <v>REQ0000</v>
      </c>
      <c r="P1924" s="7">
        <f>[2]RequestList!$J1925</f>
        <v>0</v>
      </c>
      <c r="Q1924" s="65">
        <f>SUMIF(日報!$R:$R,TEXT(YEAR($Q$2),"0000")&amp;TEXT(MONTH($Q$2),"00")&amp;$O1924,日報!$L:$L)</f>
        <v>0</v>
      </c>
      <c r="R1924" s="65">
        <f ca="1">SUMIF(日報!$J:$J,$O1924,日報!$L:$L)</f>
        <v>0</v>
      </c>
    </row>
    <row r="1925" spans="15:18" x14ac:dyDescent="0.15">
      <c r="O1925" s="7" t="str">
        <f>"REQ"&amp;TEXT([2]RequestList!$A1926,"0000")</f>
        <v>REQ0000</v>
      </c>
      <c r="P1925" s="7">
        <f>[2]RequestList!$J1926</f>
        <v>0</v>
      </c>
      <c r="Q1925" s="65">
        <f>SUMIF(日報!$R:$R,TEXT(YEAR($Q$2),"0000")&amp;TEXT(MONTH($Q$2),"00")&amp;$O1925,日報!$L:$L)</f>
        <v>0</v>
      </c>
      <c r="R1925" s="65">
        <f ca="1">SUMIF(日報!$J:$J,$O1925,日報!$L:$L)</f>
        <v>0</v>
      </c>
    </row>
    <row r="1926" spans="15:18" x14ac:dyDescent="0.15">
      <c r="O1926" s="7" t="str">
        <f>"REQ"&amp;TEXT([2]RequestList!$A1927,"0000")</f>
        <v>REQ0000</v>
      </c>
      <c r="P1926" s="7">
        <f>[2]RequestList!$J1927</f>
        <v>0</v>
      </c>
      <c r="Q1926" s="65">
        <f>SUMIF(日報!$R:$R,TEXT(YEAR($Q$2),"0000")&amp;TEXT(MONTH($Q$2),"00")&amp;$O1926,日報!$L:$L)</f>
        <v>0</v>
      </c>
      <c r="R1926" s="65">
        <f ca="1">SUMIF(日報!$J:$J,$O1926,日報!$L:$L)</f>
        <v>0</v>
      </c>
    </row>
    <row r="1927" spans="15:18" x14ac:dyDescent="0.15">
      <c r="O1927" s="7" t="str">
        <f>"REQ"&amp;TEXT([2]RequestList!$A1928,"0000")</f>
        <v>REQ0000</v>
      </c>
      <c r="P1927" s="7">
        <f>[2]RequestList!$J1928</f>
        <v>0</v>
      </c>
      <c r="Q1927" s="65">
        <f>SUMIF(日報!$R:$R,TEXT(YEAR($Q$2),"0000")&amp;TEXT(MONTH($Q$2),"00")&amp;$O1927,日報!$L:$L)</f>
        <v>0</v>
      </c>
      <c r="R1927" s="65">
        <f ca="1">SUMIF(日報!$J:$J,$O1927,日報!$L:$L)</f>
        <v>0</v>
      </c>
    </row>
    <row r="1928" spans="15:18" x14ac:dyDescent="0.15">
      <c r="O1928" s="7" t="str">
        <f>"REQ"&amp;TEXT([2]RequestList!$A1929,"0000")</f>
        <v>REQ0000</v>
      </c>
      <c r="P1928" s="7">
        <f>[2]RequestList!$J1929</f>
        <v>0</v>
      </c>
      <c r="Q1928" s="65">
        <f>SUMIF(日報!$R:$R,TEXT(YEAR($Q$2),"0000")&amp;TEXT(MONTH($Q$2),"00")&amp;$O1928,日報!$L:$L)</f>
        <v>0</v>
      </c>
      <c r="R1928" s="65">
        <f ca="1">SUMIF(日報!$J:$J,$O1928,日報!$L:$L)</f>
        <v>0</v>
      </c>
    </row>
    <row r="1929" spans="15:18" x14ac:dyDescent="0.15">
      <c r="O1929" s="7" t="str">
        <f>"REQ"&amp;TEXT([2]RequestList!$A1930,"0000")</f>
        <v>REQ0000</v>
      </c>
      <c r="P1929" s="7">
        <f>[2]RequestList!$J1930</f>
        <v>0</v>
      </c>
      <c r="Q1929" s="65">
        <f>SUMIF(日報!$R:$R,TEXT(YEAR($Q$2),"0000")&amp;TEXT(MONTH($Q$2),"00")&amp;$O1929,日報!$L:$L)</f>
        <v>0</v>
      </c>
      <c r="R1929" s="65">
        <f ca="1">SUMIF(日報!$J:$J,$O1929,日報!$L:$L)</f>
        <v>0</v>
      </c>
    </row>
    <row r="1930" spans="15:18" x14ac:dyDescent="0.15">
      <c r="O1930" s="7" t="str">
        <f>"REQ"&amp;TEXT([2]RequestList!$A1931,"0000")</f>
        <v>REQ0000</v>
      </c>
      <c r="P1930" s="7">
        <f>[2]RequestList!$J1931</f>
        <v>0</v>
      </c>
      <c r="Q1930" s="65">
        <f>SUMIF(日報!$R:$R,TEXT(YEAR($Q$2),"0000")&amp;TEXT(MONTH($Q$2),"00")&amp;$O1930,日報!$L:$L)</f>
        <v>0</v>
      </c>
      <c r="R1930" s="65">
        <f ca="1">SUMIF(日報!$J:$J,$O1930,日報!$L:$L)</f>
        <v>0</v>
      </c>
    </row>
    <row r="1931" spans="15:18" x14ac:dyDescent="0.15">
      <c r="O1931" s="7" t="str">
        <f>"REQ"&amp;TEXT([2]RequestList!$A1932,"0000")</f>
        <v>REQ0000</v>
      </c>
      <c r="P1931" s="7">
        <f>[2]RequestList!$J1932</f>
        <v>0</v>
      </c>
      <c r="Q1931" s="65">
        <f>SUMIF(日報!$R:$R,TEXT(YEAR($Q$2),"0000")&amp;TEXT(MONTH($Q$2),"00")&amp;$O1931,日報!$L:$L)</f>
        <v>0</v>
      </c>
      <c r="R1931" s="65">
        <f ca="1">SUMIF(日報!$J:$J,$O1931,日報!$L:$L)</f>
        <v>0</v>
      </c>
    </row>
    <row r="1932" spans="15:18" x14ac:dyDescent="0.15">
      <c r="O1932" s="7" t="str">
        <f>"REQ"&amp;TEXT([2]RequestList!$A1933,"0000")</f>
        <v>REQ0000</v>
      </c>
      <c r="P1932" s="7">
        <f>[2]RequestList!$J1933</f>
        <v>0</v>
      </c>
      <c r="Q1932" s="65">
        <f>SUMIF(日報!$R:$R,TEXT(YEAR($Q$2),"0000")&amp;TEXT(MONTH($Q$2),"00")&amp;$O1932,日報!$L:$L)</f>
        <v>0</v>
      </c>
      <c r="R1932" s="65">
        <f ca="1">SUMIF(日報!$J:$J,$O1932,日報!$L:$L)</f>
        <v>0</v>
      </c>
    </row>
    <row r="1933" spans="15:18" x14ac:dyDescent="0.15">
      <c r="O1933" s="7" t="str">
        <f>"REQ"&amp;TEXT([2]RequestList!$A1934,"0000")</f>
        <v>REQ0000</v>
      </c>
      <c r="P1933" s="7">
        <f>[2]RequestList!$J1934</f>
        <v>0</v>
      </c>
      <c r="Q1933" s="65">
        <f>SUMIF(日報!$R:$R,TEXT(YEAR($Q$2),"0000")&amp;TEXT(MONTH($Q$2),"00")&amp;$O1933,日報!$L:$L)</f>
        <v>0</v>
      </c>
      <c r="R1933" s="65">
        <f ca="1">SUMIF(日報!$J:$J,$O1933,日報!$L:$L)</f>
        <v>0</v>
      </c>
    </row>
    <row r="1934" spans="15:18" x14ac:dyDescent="0.15">
      <c r="O1934" s="7" t="str">
        <f>"REQ"&amp;TEXT([2]RequestList!$A1935,"0000")</f>
        <v>REQ0000</v>
      </c>
      <c r="P1934" s="7">
        <f>[2]RequestList!$J1935</f>
        <v>0</v>
      </c>
      <c r="Q1934" s="65">
        <f>SUMIF(日報!$R:$R,TEXT(YEAR($Q$2),"0000")&amp;TEXT(MONTH($Q$2),"00")&amp;$O1934,日報!$L:$L)</f>
        <v>0</v>
      </c>
      <c r="R1934" s="65">
        <f ca="1">SUMIF(日報!$J:$J,$O1934,日報!$L:$L)</f>
        <v>0</v>
      </c>
    </row>
    <row r="1935" spans="15:18" x14ac:dyDescent="0.15">
      <c r="O1935" s="7" t="str">
        <f>"REQ"&amp;TEXT([2]RequestList!$A1936,"0000")</f>
        <v>REQ0000</v>
      </c>
      <c r="P1935" s="7">
        <f>[2]RequestList!$J1936</f>
        <v>0</v>
      </c>
      <c r="Q1935" s="65">
        <f>SUMIF(日報!$R:$R,TEXT(YEAR($Q$2),"0000")&amp;TEXT(MONTH($Q$2),"00")&amp;$O1935,日報!$L:$L)</f>
        <v>0</v>
      </c>
      <c r="R1935" s="65">
        <f ca="1">SUMIF(日報!$J:$J,$O1935,日報!$L:$L)</f>
        <v>0</v>
      </c>
    </row>
    <row r="1936" spans="15:18" x14ac:dyDescent="0.15">
      <c r="O1936" s="7" t="str">
        <f>"REQ"&amp;TEXT([2]RequestList!$A1937,"0000")</f>
        <v>REQ0000</v>
      </c>
      <c r="P1936" s="7">
        <f>[2]RequestList!$J1937</f>
        <v>0</v>
      </c>
      <c r="Q1936" s="65">
        <f>SUMIF(日報!$R:$R,TEXT(YEAR($Q$2),"0000")&amp;TEXT(MONTH($Q$2),"00")&amp;$O1936,日報!$L:$L)</f>
        <v>0</v>
      </c>
      <c r="R1936" s="65">
        <f ca="1">SUMIF(日報!$J:$J,$O1936,日報!$L:$L)</f>
        <v>0</v>
      </c>
    </row>
    <row r="1937" spans="15:18" x14ac:dyDescent="0.15">
      <c r="O1937" s="7" t="str">
        <f>"REQ"&amp;TEXT([2]RequestList!$A1938,"0000")</f>
        <v>REQ0000</v>
      </c>
      <c r="P1937" s="7">
        <f>[2]RequestList!$J1938</f>
        <v>0</v>
      </c>
      <c r="Q1937" s="65">
        <f>SUMIF(日報!$R:$R,TEXT(YEAR($Q$2),"0000")&amp;TEXT(MONTH($Q$2),"00")&amp;$O1937,日報!$L:$L)</f>
        <v>0</v>
      </c>
      <c r="R1937" s="65">
        <f ca="1">SUMIF(日報!$J:$J,$O1937,日報!$L:$L)</f>
        <v>0</v>
      </c>
    </row>
    <row r="1938" spans="15:18" x14ac:dyDescent="0.15">
      <c r="O1938" s="7" t="str">
        <f>"REQ"&amp;TEXT([2]RequestList!$A1939,"0000")</f>
        <v>REQ0000</v>
      </c>
      <c r="P1938" s="7">
        <f>[2]RequestList!$J1939</f>
        <v>0</v>
      </c>
      <c r="Q1938" s="65">
        <f>SUMIF(日報!$R:$R,TEXT(YEAR($Q$2),"0000")&amp;TEXT(MONTH($Q$2),"00")&amp;$O1938,日報!$L:$L)</f>
        <v>0</v>
      </c>
      <c r="R1938" s="65">
        <f ca="1">SUMIF(日報!$J:$J,$O1938,日報!$L:$L)</f>
        <v>0</v>
      </c>
    </row>
    <row r="1939" spans="15:18" x14ac:dyDescent="0.15">
      <c r="O1939" s="7" t="str">
        <f>"REQ"&amp;TEXT([2]RequestList!$A1940,"0000")</f>
        <v>REQ0000</v>
      </c>
      <c r="P1939" s="7">
        <f>[2]RequestList!$J1940</f>
        <v>0</v>
      </c>
      <c r="Q1939" s="65">
        <f>SUMIF(日報!$R:$R,TEXT(YEAR($Q$2),"0000")&amp;TEXT(MONTH($Q$2),"00")&amp;$O1939,日報!$L:$L)</f>
        <v>0</v>
      </c>
      <c r="R1939" s="65">
        <f ca="1">SUMIF(日報!$J:$J,$O1939,日報!$L:$L)</f>
        <v>0</v>
      </c>
    </row>
    <row r="1940" spans="15:18" x14ac:dyDescent="0.15">
      <c r="O1940" s="7" t="str">
        <f>"REQ"&amp;TEXT([2]RequestList!$A1941,"0000")</f>
        <v>REQ0000</v>
      </c>
      <c r="P1940" s="7">
        <f>[2]RequestList!$J1941</f>
        <v>0</v>
      </c>
      <c r="Q1940" s="65">
        <f>SUMIF(日報!$R:$R,TEXT(YEAR($Q$2),"0000")&amp;TEXT(MONTH($Q$2),"00")&amp;$O1940,日報!$L:$L)</f>
        <v>0</v>
      </c>
      <c r="R1940" s="65">
        <f ca="1">SUMIF(日報!$J:$J,$O1940,日報!$L:$L)</f>
        <v>0</v>
      </c>
    </row>
    <row r="1941" spans="15:18" x14ac:dyDescent="0.15">
      <c r="O1941" s="7" t="str">
        <f>"REQ"&amp;TEXT([2]RequestList!$A1942,"0000")</f>
        <v>REQ0000</v>
      </c>
      <c r="P1941" s="7">
        <f>[2]RequestList!$J1942</f>
        <v>0</v>
      </c>
      <c r="Q1941" s="65">
        <f>SUMIF(日報!$R:$R,TEXT(YEAR($Q$2),"0000")&amp;TEXT(MONTH($Q$2),"00")&amp;$O1941,日報!$L:$L)</f>
        <v>0</v>
      </c>
      <c r="R1941" s="65">
        <f ca="1">SUMIF(日報!$J:$J,$O1941,日報!$L:$L)</f>
        <v>0</v>
      </c>
    </row>
    <row r="1942" spans="15:18" x14ac:dyDescent="0.15">
      <c r="O1942" s="7" t="str">
        <f>"REQ"&amp;TEXT([2]RequestList!$A1943,"0000")</f>
        <v>REQ0000</v>
      </c>
      <c r="P1942" s="7">
        <f>[2]RequestList!$J1943</f>
        <v>0</v>
      </c>
      <c r="Q1942" s="65">
        <f>SUMIF(日報!$R:$R,TEXT(YEAR($Q$2),"0000")&amp;TEXT(MONTH($Q$2),"00")&amp;$O1942,日報!$L:$L)</f>
        <v>0</v>
      </c>
      <c r="R1942" s="65">
        <f ca="1">SUMIF(日報!$J:$J,$O1942,日報!$L:$L)</f>
        <v>0</v>
      </c>
    </row>
    <row r="1943" spans="15:18" x14ac:dyDescent="0.15">
      <c r="O1943" s="7" t="str">
        <f>"REQ"&amp;TEXT([2]RequestList!$A1944,"0000")</f>
        <v>REQ0000</v>
      </c>
      <c r="P1943" s="7">
        <f>[2]RequestList!$J1944</f>
        <v>0</v>
      </c>
      <c r="Q1943" s="65">
        <f>SUMIF(日報!$R:$R,TEXT(YEAR($Q$2),"0000")&amp;TEXT(MONTH($Q$2),"00")&amp;$O1943,日報!$L:$L)</f>
        <v>0</v>
      </c>
      <c r="R1943" s="65">
        <f ca="1">SUMIF(日報!$J:$J,$O1943,日報!$L:$L)</f>
        <v>0</v>
      </c>
    </row>
    <row r="1944" spans="15:18" x14ac:dyDescent="0.15">
      <c r="O1944" s="7" t="str">
        <f>"REQ"&amp;TEXT([2]RequestList!$A1945,"0000")</f>
        <v>REQ0000</v>
      </c>
      <c r="P1944" s="7">
        <f>[2]RequestList!$J1945</f>
        <v>0</v>
      </c>
      <c r="Q1944" s="65">
        <f>SUMIF(日報!$R:$R,TEXT(YEAR($Q$2),"0000")&amp;TEXT(MONTH($Q$2),"00")&amp;$O1944,日報!$L:$L)</f>
        <v>0</v>
      </c>
      <c r="R1944" s="65">
        <f ca="1">SUMIF(日報!$J:$J,$O1944,日報!$L:$L)</f>
        <v>0</v>
      </c>
    </row>
    <row r="1945" spans="15:18" x14ac:dyDescent="0.15">
      <c r="O1945" s="7" t="str">
        <f>"REQ"&amp;TEXT([2]RequestList!$A1946,"0000")</f>
        <v>REQ0000</v>
      </c>
      <c r="P1945" s="7">
        <f>[2]RequestList!$J1946</f>
        <v>0</v>
      </c>
      <c r="Q1945" s="65">
        <f>SUMIF(日報!$R:$R,TEXT(YEAR($Q$2),"0000")&amp;TEXT(MONTH($Q$2),"00")&amp;$O1945,日報!$L:$L)</f>
        <v>0</v>
      </c>
      <c r="R1945" s="65">
        <f ca="1">SUMIF(日報!$J:$J,$O1945,日報!$L:$L)</f>
        <v>0</v>
      </c>
    </row>
    <row r="1946" spans="15:18" x14ac:dyDescent="0.15">
      <c r="O1946" s="7" t="str">
        <f>"REQ"&amp;TEXT([2]RequestList!$A1947,"0000")</f>
        <v>REQ0000</v>
      </c>
      <c r="P1946" s="7">
        <f>[2]RequestList!$J1947</f>
        <v>0</v>
      </c>
      <c r="Q1946" s="65">
        <f>SUMIF(日報!$R:$R,TEXT(YEAR($Q$2),"0000")&amp;TEXT(MONTH($Q$2),"00")&amp;$O1946,日報!$L:$L)</f>
        <v>0</v>
      </c>
      <c r="R1946" s="65">
        <f ca="1">SUMIF(日報!$J:$J,$O1946,日報!$L:$L)</f>
        <v>0</v>
      </c>
    </row>
    <row r="1947" spans="15:18" x14ac:dyDescent="0.15">
      <c r="O1947" s="7" t="str">
        <f>"REQ"&amp;TEXT([2]RequestList!$A1948,"0000")</f>
        <v>REQ0000</v>
      </c>
      <c r="P1947" s="7">
        <f>[2]RequestList!$J1948</f>
        <v>0</v>
      </c>
      <c r="Q1947" s="65">
        <f>SUMIF(日報!$R:$R,TEXT(YEAR($Q$2),"0000")&amp;TEXT(MONTH($Q$2),"00")&amp;$O1947,日報!$L:$L)</f>
        <v>0</v>
      </c>
      <c r="R1947" s="65">
        <f ca="1">SUMIF(日報!$J:$J,$O1947,日報!$L:$L)</f>
        <v>0</v>
      </c>
    </row>
    <row r="1948" spans="15:18" x14ac:dyDescent="0.15">
      <c r="O1948" s="7" t="str">
        <f>"REQ"&amp;TEXT([2]RequestList!$A1949,"0000")</f>
        <v>REQ0000</v>
      </c>
      <c r="P1948" s="7">
        <f>[2]RequestList!$J1949</f>
        <v>0</v>
      </c>
      <c r="Q1948" s="65">
        <f>SUMIF(日報!$R:$R,TEXT(YEAR($Q$2),"0000")&amp;TEXT(MONTH($Q$2),"00")&amp;$O1948,日報!$L:$L)</f>
        <v>0</v>
      </c>
      <c r="R1948" s="65">
        <f ca="1">SUMIF(日報!$J:$J,$O1948,日報!$L:$L)</f>
        <v>0</v>
      </c>
    </row>
    <row r="1949" spans="15:18" x14ac:dyDescent="0.15">
      <c r="O1949" s="7" t="str">
        <f>"REQ"&amp;TEXT([2]RequestList!$A1950,"0000")</f>
        <v>REQ0000</v>
      </c>
      <c r="P1949" s="7">
        <f>[2]RequestList!$J1950</f>
        <v>0</v>
      </c>
      <c r="Q1949" s="65">
        <f>SUMIF(日報!$R:$R,TEXT(YEAR($Q$2),"0000")&amp;TEXT(MONTH($Q$2),"00")&amp;$O1949,日報!$L:$L)</f>
        <v>0</v>
      </c>
      <c r="R1949" s="65">
        <f ca="1">SUMIF(日報!$J:$J,$O1949,日報!$L:$L)</f>
        <v>0</v>
      </c>
    </row>
    <row r="1950" spans="15:18" x14ac:dyDescent="0.15">
      <c r="O1950" s="7" t="str">
        <f>"REQ"&amp;TEXT([2]RequestList!$A1951,"0000")</f>
        <v>REQ0000</v>
      </c>
      <c r="P1950" s="7">
        <f>[2]RequestList!$J1951</f>
        <v>0</v>
      </c>
      <c r="Q1950" s="65">
        <f>SUMIF(日報!$R:$R,TEXT(YEAR($Q$2),"0000")&amp;TEXT(MONTH($Q$2),"00")&amp;$O1950,日報!$L:$L)</f>
        <v>0</v>
      </c>
      <c r="R1950" s="65">
        <f ca="1">SUMIF(日報!$J:$J,$O1950,日報!$L:$L)</f>
        <v>0</v>
      </c>
    </row>
    <row r="1951" spans="15:18" x14ac:dyDescent="0.15">
      <c r="O1951" s="7" t="str">
        <f>"REQ"&amp;TEXT([2]RequestList!$A1952,"0000")</f>
        <v>REQ0000</v>
      </c>
      <c r="P1951" s="7">
        <f>[2]RequestList!$J1952</f>
        <v>0</v>
      </c>
      <c r="Q1951" s="65">
        <f>SUMIF(日報!$R:$R,TEXT(YEAR($Q$2),"0000")&amp;TEXT(MONTH($Q$2),"00")&amp;$O1951,日報!$L:$L)</f>
        <v>0</v>
      </c>
      <c r="R1951" s="65">
        <f ca="1">SUMIF(日報!$J:$J,$O1951,日報!$L:$L)</f>
        <v>0</v>
      </c>
    </row>
    <row r="1952" spans="15:18" x14ac:dyDescent="0.15">
      <c r="O1952" s="7" t="str">
        <f>"REQ"&amp;TEXT([2]RequestList!$A1953,"0000")</f>
        <v>REQ0000</v>
      </c>
      <c r="P1952" s="7">
        <f>[2]RequestList!$J1953</f>
        <v>0</v>
      </c>
      <c r="Q1952" s="65">
        <f>SUMIF(日報!$R:$R,TEXT(YEAR($Q$2),"0000")&amp;TEXT(MONTH($Q$2),"00")&amp;$O1952,日報!$L:$L)</f>
        <v>0</v>
      </c>
      <c r="R1952" s="65">
        <f ca="1">SUMIF(日報!$J:$J,$O1952,日報!$L:$L)</f>
        <v>0</v>
      </c>
    </row>
    <row r="1953" spans="15:18" x14ac:dyDescent="0.15">
      <c r="O1953" s="7" t="str">
        <f>"REQ"&amp;TEXT([2]RequestList!$A1954,"0000")</f>
        <v>REQ0000</v>
      </c>
      <c r="P1953" s="7">
        <f>[2]RequestList!$J1954</f>
        <v>0</v>
      </c>
      <c r="Q1953" s="65">
        <f>SUMIF(日報!$R:$R,TEXT(YEAR($Q$2),"0000")&amp;TEXT(MONTH($Q$2),"00")&amp;$O1953,日報!$L:$L)</f>
        <v>0</v>
      </c>
      <c r="R1953" s="65">
        <f ca="1">SUMIF(日報!$J:$J,$O1953,日報!$L:$L)</f>
        <v>0</v>
      </c>
    </row>
    <row r="1954" spans="15:18" x14ac:dyDescent="0.15">
      <c r="O1954" s="7" t="str">
        <f>"REQ"&amp;TEXT([2]RequestList!$A1955,"0000")</f>
        <v>REQ0000</v>
      </c>
      <c r="P1954" s="7">
        <f>[2]RequestList!$J1955</f>
        <v>0</v>
      </c>
      <c r="Q1954" s="65">
        <f>SUMIF(日報!$R:$R,TEXT(YEAR($Q$2),"0000")&amp;TEXT(MONTH($Q$2),"00")&amp;$O1954,日報!$L:$L)</f>
        <v>0</v>
      </c>
      <c r="R1954" s="65">
        <f ca="1">SUMIF(日報!$J:$J,$O1954,日報!$L:$L)</f>
        <v>0</v>
      </c>
    </row>
    <row r="1955" spans="15:18" x14ac:dyDescent="0.15">
      <c r="O1955" s="7" t="str">
        <f>"REQ"&amp;TEXT([2]RequestList!$A1956,"0000")</f>
        <v>REQ0000</v>
      </c>
      <c r="P1955" s="7">
        <f>[2]RequestList!$J1956</f>
        <v>0</v>
      </c>
      <c r="Q1955" s="65">
        <f>SUMIF(日報!$R:$R,TEXT(YEAR($Q$2),"0000")&amp;TEXT(MONTH($Q$2),"00")&amp;$O1955,日報!$L:$L)</f>
        <v>0</v>
      </c>
      <c r="R1955" s="65">
        <f ca="1">SUMIF(日報!$J:$J,$O1955,日報!$L:$L)</f>
        <v>0</v>
      </c>
    </row>
    <row r="1956" spans="15:18" x14ac:dyDescent="0.15">
      <c r="O1956" s="7" t="str">
        <f>"REQ"&amp;TEXT([2]RequestList!$A1957,"0000")</f>
        <v>REQ0000</v>
      </c>
      <c r="P1956" s="7">
        <f>[2]RequestList!$J1957</f>
        <v>0</v>
      </c>
      <c r="Q1956" s="65">
        <f>SUMIF(日報!$R:$R,TEXT(YEAR($Q$2),"0000")&amp;TEXT(MONTH($Q$2),"00")&amp;$O1956,日報!$L:$L)</f>
        <v>0</v>
      </c>
      <c r="R1956" s="65">
        <f ca="1">SUMIF(日報!$J:$J,$O1956,日報!$L:$L)</f>
        <v>0</v>
      </c>
    </row>
    <row r="1957" spans="15:18" x14ac:dyDescent="0.15">
      <c r="O1957" s="7" t="str">
        <f>"REQ"&amp;TEXT([2]RequestList!$A1958,"0000")</f>
        <v>REQ0000</v>
      </c>
      <c r="P1957" s="7">
        <f>[2]RequestList!$J1958</f>
        <v>0</v>
      </c>
      <c r="Q1957" s="65">
        <f>SUMIF(日報!$R:$R,TEXT(YEAR($Q$2),"0000")&amp;TEXT(MONTH($Q$2),"00")&amp;$O1957,日報!$L:$L)</f>
        <v>0</v>
      </c>
      <c r="R1957" s="65">
        <f ca="1">SUMIF(日報!$J:$J,$O1957,日報!$L:$L)</f>
        <v>0</v>
      </c>
    </row>
    <row r="1958" spans="15:18" x14ac:dyDescent="0.15">
      <c r="O1958" s="7" t="str">
        <f>"REQ"&amp;TEXT([2]RequestList!$A1959,"0000")</f>
        <v>REQ0000</v>
      </c>
      <c r="P1958" s="7">
        <f>[2]RequestList!$J1959</f>
        <v>0</v>
      </c>
      <c r="Q1958" s="65">
        <f>SUMIF(日報!$R:$R,TEXT(YEAR($Q$2),"0000")&amp;TEXT(MONTH($Q$2),"00")&amp;$O1958,日報!$L:$L)</f>
        <v>0</v>
      </c>
      <c r="R1958" s="65">
        <f ca="1">SUMIF(日報!$J:$J,$O1958,日報!$L:$L)</f>
        <v>0</v>
      </c>
    </row>
    <row r="1959" spans="15:18" x14ac:dyDescent="0.15">
      <c r="O1959" s="7" t="str">
        <f>"REQ"&amp;TEXT([2]RequestList!$A1960,"0000")</f>
        <v>REQ0000</v>
      </c>
      <c r="P1959" s="7">
        <f>[2]RequestList!$J1960</f>
        <v>0</v>
      </c>
      <c r="Q1959" s="65">
        <f>SUMIF(日報!$R:$R,TEXT(YEAR($Q$2),"0000")&amp;TEXT(MONTH($Q$2),"00")&amp;$O1959,日報!$L:$L)</f>
        <v>0</v>
      </c>
      <c r="R1959" s="65">
        <f ca="1">SUMIF(日報!$J:$J,$O1959,日報!$L:$L)</f>
        <v>0</v>
      </c>
    </row>
    <row r="1960" spans="15:18" x14ac:dyDescent="0.15">
      <c r="O1960" s="7" t="str">
        <f>"REQ"&amp;TEXT([2]RequestList!$A1961,"0000")</f>
        <v>REQ0000</v>
      </c>
      <c r="P1960" s="7">
        <f>[2]RequestList!$J1961</f>
        <v>0</v>
      </c>
      <c r="Q1960" s="65">
        <f>SUMIF(日報!$R:$R,TEXT(YEAR($Q$2),"0000")&amp;TEXT(MONTH($Q$2),"00")&amp;$O1960,日報!$L:$L)</f>
        <v>0</v>
      </c>
      <c r="R1960" s="65">
        <f ca="1">SUMIF(日報!$J:$J,$O1960,日報!$L:$L)</f>
        <v>0</v>
      </c>
    </row>
    <row r="1961" spans="15:18" x14ac:dyDescent="0.15">
      <c r="O1961" s="7" t="str">
        <f>"REQ"&amp;TEXT([2]RequestList!$A1962,"0000")</f>
        <v>REQ0000</v>
      </c>
      <c r="P1961" s="7">
        <f>[2]RequestList!$J1962</f>
        <v>0</v>
      </c>
      <c r="Q1961" s="65">
        <f>SUMIF(日報!$R:$R,TEXT(YEAR($Q$2),"0000")&amp;TEXT(MONTH($Q$2),"00")&amp;$O1961,日報!$L:$L)</f>
        <v>0</v>
      </c>
      <c r="R1961" s="65">
        <f ca="1">SUMIF(日報!$J:$J,$O1961,日報!$L:$L)</f>
        <v>0</v>
      </c>
    </row>
    <row r="1962" spans="15:18" x14ac:dyDescent="0.15">
      <c r="O1962" s="7" t="str">
        <f>"REQ"&amp;TEXT([2]RequestList!$A1963,"0000")</f>
        <v>REQ0000</v>
      </c>
      <c r="P1962" s="7">
        <f>[2]RequestList!$J1963</f>
        <v>0</v>
      </c>
      <c r="Q1962" s="65">
        <f>SUMIF(日報!$R:$R,TEXT(YEAR($Q$2),"0000")&amp;TEXT(MONTH($Q$2),"00")&amp;$O1962,日報!$L:$L)</f>
        <v>0</v>
      </c>
      <c r="R1962" s="65">
        <f ca="1">SUMIF(日報!$J:$J,$O1962,日報!$L:$L)</f>
        <v>0</v>
      </c>
    </row>
    <row r="1963" spans="15:18" x14ac:dyDescent="0.15">
      <c r="O1963" s="7" t="str">
        <f>"REQ"&amp;TEXT([2]RequestList!$A1964,"0000")</f>
        <v>REQ0000</v>
      </c>
      <c r="P1963" s="7">
        <f>[2]RequestList!$J1964</f>
        <v>0</v>
      </c>
      <c r="Q1963" s="65">
        <f>SUMIF(日報!$R:$R,TEXT(YEAR($Q$2),"0000")&amp;TEXT(MONTH($Q$2),"00")&amp;$O1963,日報!$L:$L)</f>
        <v>0</v>
      </c>
      <c r="R1963" s="65">
        <f ca="1">SUMIF(日報!$J:$J,$O1963,日報!$L:$L)</f>
        <v>0</v>
      </c>
    </row>
    <row r="1964" spans="15:18" x14ac:dyDescent="0.15">
      <c r="O1964" s="7" t="str">
        <f>"REQ"&amp;TEXT([2]RequestList!$A1965,"0000")</f>
        <v>REQ0000</v>
      </c>
      <c r="P1964" s="7">
        <f>[2]RequestList!$J1965</f>
        <v>0</v>
      </c>
      <c r="Q1964" s="65">
        <f>SUMIF(日報!$R:$R,TEXT(YEAR($Q$2),"0000")&amp;TEXT(MONTH($Q$2),"00")&amp;$O1964,日報!$L:$L)</f>
        <v>0</v>
      </c>
      <c r="R1964" s="65">
        <f ca="1">SUMIF(日報!$J:$J,$O1964,日報!$L:$L)</f>
        <v>0</v>
      </c>
    </row>
    <row r="1965" spans="15:18" x14ac:dyDescent="0.15">
      <c r="O1965" s="7" t="str">
        <f>"REQ"&amp;TEXT([2]RequestList!$A1966,"0000")</f>
        <v>REQ0000</v>
      </c>
      <c r="P1965" s="7">
        <f>[2]RequestList!$J1966</f>
        <v>0</v>
      </c>
      <c r="Q1965" s="65">
        <f>SUMIF(日報!$R:$R,TEXT(YEAR($Q$2),"0000")&amp;TEXT(MONTH($Q$2),"00")&amp;$O1965,日報!$L:$L)</f>
        <v>0</v>
      </c>
      <c r="R1965" s="65">
        <f ca="1">SUMIF(日報!$J:$J,$O1965,日報!$L:$L)</f>
        <v>0</v>
      </c>
    </row>
    <row r="1966" spans="15:18" x14ac:dyDescent="0.15">
      <c r="O1966" s="7" t="str">
        <f>"REQ"&amp;TEXT([2]RequestList!$A1967,"0000")</f>
        <v>REQ0000</v>
      </c>
      <c r="P1966" s="7">
        <f>[2]RequestList!$J1967</f>
        <v>0</v>
      </c>
      <c r="Q1966" s="65">
        <f>SUMIF(日報!$R:$R,TEXT(YEAR($Q$2),"0000")&amp;TEXT(MONTH($Q$2),"00")&amp;$O1966,日報!$L:$L)</f>
        <v>0</v>
      </c>
      <c r="R1966" s="65">
        <f ca="1">SUMIF(日報!$J:$J,$O1966,日報!$L:$L)</f>
        <v>0</v>
      </c>
    </row>
    <row r="1967" spans="15:18" x14ac:dyDescent="0.15">
      <c r="O1967" s="7" t="str">
        <f>"REQ"&amp;TEXT([2]RequestList!$A1968,"0000")</f>
        <v>REQ0000</v>
      </c>
      <c r="P1967" s="7">
        <f>[2]RequestList!$J1968</f>
        <v>0</v>
      </c>
      <c r="Q1967" s="65">
        <f>SUMIF(日報!$R:$R,TEXT(YEAR($Q$2),"0000")&amp;TEXT(MONTH($Q$2),"00")&amp;$O1967,日報!$L:$L)</f>
        <v>0</v>
      </c>
      <c r="R1967" s="65">
        <f ca="1">SUMIF(日報!$J:$J,$O1967,日報!$L:$L)</f>
        <v>0</v>
      </c>
    </row>
    <row r="1968" spans="15:18" x14ac:dyDescent="0.15">
      <c r="O1968" s="7" t="str">
        <f>"REQ"&amp;TEXT([2]RequestList!$A1969,"0000")</f>
        <v>REQ0000</v>
      </c>
      <c r="P1968" s="7">
        <f>[2]RequestList!$J1969</f>
        <v>0</v>
      </c>
      <c r="Q1968" s="65">
        <f>SUMIF(日報!$R:$R,TEXT(YEAR($Q$2),"0000")&amp;TEXT(MONTH($Q$2),"00")&amp;$O1968,日報!$L:$L)</f>
        <v>0</v>
      </c>
      <c r="R1968" s="65">
        <f ca="1">SUMIF(日報!$J:$J,$O1968,日報!$L:$L)</f>
        <v>0</v>
      </c>
    </row>
    <row r="1969" spans="15:18" x14ac:dyDescent="0.15">
      <c r="O1969" s="7" t="str">
        <f>"REQ"&amp;TEXT([2]RequestList!$A1970,"0000")</f>
        <v>REQ0000</v>
      </c>
      <c r="P1969" s="7">
        <f>[2]RequestList!$J1970</f>
        <v>0</v>
      </c>
      <c r="Q1969" s="65">
        <f>SUMIF(日報!$R:$R,TEXT(YEAR($Q$2),"0000")&amp;TEXT(MONTH($Q$2),"00")&amp;$O1969,日報!$L:$L)</f>
        <v>0</v>
      </c>
      <c r="R1969" s="65">
        <f ca="1">SUMIF(日報!$J:$J,$O1969,日報!$L:$L)</f>
        <v>0</v>
      </c>
    </row>
    <row r="1970" spans="15:18" x14ac:dyDescent="0.15">
      <c r="O1970" s="7" t="str">
        <f>"REQ"&amp;TEXT([2]RequestList!$A1971,"0000")</f>
        <v>REQ0000</v>
      </c>
      <c r="P1970" s="7">
        <f>[2]RequestList!$J1971</f>
        <v>0</v>
      </c>
      <c r="Q1970" s="65">
        <f>SUMIF(日報!$R:$R,TEXT(YEAR($Q$2),"0000")&amp;TEXT(MONTH($Q$2),"00")&amp;$O1970,日報!$L:$L)</f>
        <v>0</v>
      </c>
      <c r="R1970" s="65">
        <f ca="1">SUMIF(日報!$J:$J,$O1970,日報!$L:$L)</f>
        <v>0</v>
      </c>
    </row>
    <row r="1971" spans="15:18" x14ac:dyDescent="0.15">
      <c r="O1971" s="7" t="str">
        <f>"REQ"&amp;TEXT([2]RequestList!$A1972,"0000")</f>
        <v>REQ0000</v>
      </c>
      <c r="P1971" s="7">
        <f>[2]RequestList!$J1972</f>
        <v>0</v>
      </c>
      <c r="Q1971" s="65">
        <f>SUMIF(日報!$R:$R,TEXT(YEAR($Q$2),"0000")&amp;TEXT(MONTH($Q$2),"00")&amp;$O1971,日報!$L:$L)</f>
        <v>0</v>
      </c>
      <c r="R1971" s="65">
        <f ca="1">SUMIF(日報!$J:$J,$O1971,日報!$L:$L)</f>
        <v>0</v>
      </c>
    </row>
    <row r="1972" spans="15:18" x14ac:dyDescent="0.15">
      <c r="O1972" s="7" t="str">
        <f>"REQ"&amp;TEXT([2]RequestList!$A1973,"0000")</f>
        <v>REQ0000</v>
      </c>
      <c r="P1972" s="7">
        <f>[2]RequestList!$J1973</f>
        <v>0</v>
      </c>
      <c r="Q1972" s="65">
        <f>SUMIF(日報!$R:$R,TEXT(YEAR($Q$2),"0000")&amp;TEXT(MONTH($Q$2),"00")&amp;$O1972,日報!$L:$L)</f>
        <v>0</v>
      </c>
      <c r="R1972" s="65">
        <f ca="1">SUMIF(日報!$J:$J,$O1972,日報!$L:$L)</f>
        <v>0</v>
      </c>
    </row>
    <row r="1973" spans="15:18" x14ac:dyDescent="0.15">
      <c r="O1973" s="7" t="str">
        <f>"REQ"&amp;TEXT([2]RequestList!$A1974,"0000")</f>
        <v>REQ0000</v>
      </c>
      <c r="P1973" s="7">
        <f>[2]RequestList!$J1974</f>
        <v>0</v>
      </c>
      <c r="Q1973" s="65">
        <f>SUMIF(日報!$R:$R,TEXT(YEAR($Q$2),"0000")&amp;TEXT(MONTH($Q$2),"00")&amp;$O1973,日報!$L:$L)</f>
        <v>0</v>
      </c>
      <c r="R1973" s="65">
        <f ca="1">SUMIF(日報!$J:$J,$O1973,日報!$L:$L)</f>
        <v>0</v>
      </c>
    </row>
    <row r="1974" spans="15:18" x14ac:dyDescent="0.15">
      <c r="O1974" s="7" t="str">
        <f>"REQ"&amp;TEXT([2]RequestList!$A1975,"0000")</f>
        <v>REQ0000</v>
      </c>
      <c r="P1974" s="7">
        <f>[2]RequestList!$J1975</f>
        <v>0</v>
      </c>
      <c r="Q1974" s="65">
        <f>SUMIF(日報!$R:$R,TEXT(YEAR($Q$2),"0000")&amp;TEXT(MONTH($Q$2),"00")&amp;$O1974,日報!$L:$L)</f>
        <v>0</v>
      </c>
      <c r="R1974" s="65">
        <f ca="1">SUMIF(日報!$J:$J,$O1974,日報!$L:$L)</f>
        <v>0</v>
      </c>
    </row>
    <row r="1975" spans="15:18" x14ac:dyDescent="0.15">
      <c r="O1975" s="7" t="str">
        <f>"REQ"&amp;TEXT([2]RequestList!$A1976,"0000")</f>
        <v>REQ0000</v>
      </c>
      <c r="P1975" s="7">
        <f>[2]RequestList!$J1976</f>
        <v>0</v>
      </c>
      <c r="Q1975" s="65">
        <f>SUMIF(日報!$R:$R,TEXT(YEAR($Q$2),"0000")&amp;TEXT(MONTH($Q$2),"00")&amp;$O1975,日報!$L:$L)</f>
        <v>0</v>
      </c>
      <c r="R1975" s="65">
        <f ca="1">SUMIF(日報!$J:$J,$O1975,日報!$L:$L)</f>
        <v>0</v>
      </c>
    </row>
    <row r="1976" spans="15:18" x14ac:dyDescent="0.15">
      <c r="O1976" s="7" t="str">
        <f>"REQ"&amp;TEXT([2]RequestList!$A1977,"0000")</f>
        <v>REQ0000</v>
      </c>
      <c r="P1976" s="7">
        <f>[2]RequestList!$J1977</f>
        <v>0</v>
      </c>
      <c r="Q1976" s="65">
        <f>SUMIF(日報!$R:$R,TEXT(YEAR($Q$2),"0000")&amp;TEXT(MONTH($Q$2),"00")&amp;$O1976,日報!$L:$L)</f>
        <v>0</v>
      </c>
      <c r="R1976" s="65">
        <f ca="1">SUMIF(日報!$J:$J,$O1976,日報!$L:$L)</f>
        <v>0</v>
      </c>
    </row>
    <row r="1977" spans="15:18" x14ac:dyDescent="0.15">
      <c r="O1977" s="7" t="str">
        <f>"REQ"&amp;TEXT([2]RequestList!$A1978,"0000")</f>
        <v>REQ0000</v>
      </c>
      <c r="P1977" s="7">
        <f>[2]RequestList!$J1978</f>
        <v>0</v>
      </c>
      <c r="Q1977" s="65">
        <f>SUMIF(日報!$R:$R,TEXT(YEAR($Q$2),"0000")&amp;TEXT(MONTH($Q$2),"00")&amp;$O1977,日報!$L:$L)</f>
        <v>0</v>
      </c>
      <c r="R1977" s="65">
        <f ca="1">SUMIF(日報!$J:$J,$O1977,日報!$L:$L)</f>
        <v>0</v>
      </c>
    </row>
    <row r="1978" spans="15:18" x14ac:dyDescent="0.15">
      <c r="O1978" s="7" t="str">
        <f>"REQ"&amp;TEXT([2]RequestList!$A1979,"0000")</f>
        <v>REQ0000</v>
      </c>
      <c r="P1978" s="7">
        <f>[2]RequestList!$J1979</f>
        <v>0</v>
      </c>
      <c r="Q1978" s="65">
        <f>SUMIF(日報!$R:$R,TEXT(YEAR($Q$2),"0000")&amp;TEXT(MONTH($Q$2),"00")&amp;$O1978,日報!$L:$L)</f>
        <v>0</v>
      </c>
      <c r="R1978" s="65">
        <f ca="1">SUMIF(日報!$J:$J,$O1978,日報!$L:$L)</f>
        <v>0</v>
      </c>
    </row>
    <row r="1979" spans="15:18" x14ac:dyDescent="0.15">
      <c r="O1979" s="7" t="str">
        <f>"REQ"&amp;TEXT([2]RequestList!$A1980,"0000")</f>
        <v>REQ0000</v>
      </c>
      <c r="P1979" s="7">
        <f>[2]RequestList!$J1980</f>
        <v>0</v>
      </c>
      <c r="Q1979" s="65">
        <f>SUMIF(日報!$R:$R,TEXT(YEAR($Q$2),"0000")&amp;TEXT(MONTH($Q$2),"00")&amp;$O1979,日報!$L:$L)</f>
        <v>0</v>
      </c>
      <c r="R1979" s="65">
        <f ca="1">SUMIF(日報!$J:$J,$O1979,日報!$L:$L)</f>
        <v>0</v>
      </c>
    </row>
    <row r="1980" spans="15:18" x14ac:dyDescent="0.15">
      <c r="O1980" s="7" t="str">
        <f>"REQ"&amp;TEXT([2]RequestList!$A1981,"0000")</f>
        <v>REQ0000</v>
      </c>
      <c r="P1980" s="7">
        <f>[2]RequestList!$J1981</f>
        <v>0</v>
      </c>
      <c r="Q1980" s="65">
        <f>SUMIF(日報!$R:$R,TEXT(YEAR($Q$2),"0000")&amp;TEXT(MONTH($Q$2),"00")&amp;$O1980,日報!$L:$L)</f>
        <v>0</v>
      </c>
      <c r="R1980" s="65">
        <f ca="1">SUMIF(日報!$J:$J,$O1980,日報!$L:$L)</f>
        <v>0</v>
      </c>
    </row>
    <row r="1981" spans="15:18" x14ac:dyDescent="0.15">
      <c r="O1981" s="7" t="str">
        <f>"REQ"&amp;TEXT([2]RequestList!$A1982,"0000")</f>
        <v>REQ0000</v>
      </c>
      <c r="P1981" s="7">
        <f>[2]RequestList!$J1982</f>
        <v>0</v>
      </c>
      <c r="Q1981" s="65">
        <f>SUMIF(日報!$R:$R,TEXT(YEAR($Q$2),"0000")&amp;TEXT(MONTH($Q$2),"00")&amp;$O1981,日報!$L:$L)</f>
        <v>0</v>
      </c>
      <c r="R1981" s="65">
        <f ca="1">SUMIF(日報!$J:$J,$O1981,日報!$L:$L)</f>
        <v>0</v>
      </c>
    </row>
    <row r="1982" spans="15:18" x14ac:dyDescent="0.15">
      <c r="O1982" s="7" t="str">
        <f>"REQ"&amp;TEXT([2]RequestList!$A1983,"0000")</f>
        <v>REQ0000</v>
      </c>
      <c r="P1982" s="7">
        <f>[2]RequestList!$J1983</f>
        <v>0</v>
      </c>
      <c r="Q1982" s="65">
        <f>SUMIF(日報!$R:$R,TEXT(YEAR($Q$2),"0000")&amp;TEXT(MONTH($Q$2),"00")&amp;$O1982,日報!$L:$L)</f>
        <v>0</v>
      </c>
      <c r="R1982" s="65">
        <f ca="1">SUMIF(日報!$J:$J,$O1982,日報!$L:$L)</f>
        <v>0</v>
      </c>
    </row>
    <row r="1983" spans="15:18" x14ac:dyDescent="0.15">
      <c r="O1983" s="7" t="str">
        <f>"REQ"&amp;TEXT([2]RequestList!$A1984,"0000")</f>
        <v>REQ0000</v>
      </c>
      <c r="P1983" s="7">
        <f>[2]RequestList!$J1984</f>
        <v>0</v>
      </c>
      <c r="Q1983" s="65">
        <f>SUMIF(日報!$R:$R,TEXT(YEAR($Q$2),"0000")&amp;TEXT(MONTH($Q$2),"00")&amp;$O1983,日報!$L:$L)</f>
        <v>0</v>
      </c>
      <c r="R1983" s="65">
        <f ca="1">SUMIF(日報!$J:$J,$O1983,日報!$L:$L)</f>
        <v>0</v>
      </c>
    </row>
    <row r="1984" spans="15:18" x14ac:dyDescent="0.15">
      <c r="O1984" s="7" t="str">
        <f>"REQ"&amp;TEXT([2]RequestList!$A1985,"0000")</f>
        <v>REQ0000</v>
      </c>
      <c r="P1984" s="7">
        <f>[2]RequestList!$J1985</f>
        <v>0</v>
      </c>
      <c r="Q1984" s="65">
        <f>SUMIF(日報!$R:$R,TEXT(YEAR($Q$2),"0000")&amp;TEXT(MONTH($Q$2),"00")&amp;$O1984,日報!$L:$L)</f>
        <v>0</v>
      </c>
      <c r="R1984" s="65">
        <f ca="1">SUMIF(日報!$J:$J,$O1984,日報!$L:$L)</f>
        <v>0</v>
      </c>
    </row>
    <row r="1985" spans="15:18" x14ac:dyDescent="0.15">
      <c r="O1985" s="7" t="str">
        <f>"REQ"&amp;TEXT([2]RequestList!$A1986,"0000")</f>
        <v>REQ0000</v>
      </c>
      <c r="P1985" s="7">
        <f>[2]RequestList!$J1986</f>
        <v>0</v>
      </c>
      <c r="Q1985" s="65">
        <f>SUMIF(日報!$R:$R,TEXT(YEAR($Q$2),"0000")&amp;TEXT(MONTH($Q$2),"00")&amp;$O1985,日報!$L:$L)</f>
        <v>0</v>
      </c>
      <c r="R1985" s="65">
        <f ca="1">SUMIF(日報!$J:$J,$O1985,日報!$L:$L)</f>
        <v>0</v>
      </c>
    </row>
    <row r="1986" spans="15:18" x14ac:dyDescent="0.15">
      <c r="O1986" s="7" t="str">
        <f>"REQ"&amp;TEXT([2]RequestList!$A1987,"0000")</f>
        <v>REQ0000</v>
      </c>
      <c r="P1986" s="7">
        <f>[2]RequestList!$J1987</f>
        <v>0</v>
      </c>
      <c r="Q1986" s="65">
        <f>SUMIF(日報!$R:$R,TEXT(YEAR($Q$2),"0000")&amp;TEXT(MONTH($Q$2),"00")&amp;$O1986,日報!$L:$L)</f>
        <v>0</v>
      </c>
      <c r="R1986" s="65">
        <f ca="1">SUMIF(日報!$J:$J,$O1986,日報!$L:$L)</f>
        <v>0</v>
      </c>
    </row>
    <row r="1987" spans="15:18" x14ac:dyDescent="0.15">
      <c r="O1987" s="7" t="str">
        <f>"REQ"&amp;TEXT([2]RequestList!$A1988,"0000")</f>
        <v>REQ0000</v>
      </c>
      <c r="P1987" s="7">
        <f>[2]RequestList!$J1988</f>
        <v>0</v>
      </c>
      <c r="Q1987" s="65">
        <f>SUMIF(日報!$R:$R,TEXT(YEAR($Q$2),"0000")&amp;TEXT(MONTH($Q$2),"00")&amp;$O1987,日報!$L:$L)</f>
        <v>0</v>
      </c>
      <c r="R1987" s="65">
        <f ca="1">SUMIF(日報!$J:$J,$O1987,日報!$L:$L)</f>
        <v>0</v>
      </c>
    </row>
    <row r="1988" spans="15:18" x14ac:dyDescent="0.15">
      <c r="O1988" s="7" t="str">
        <f>"REQ"&amp;TEXT([2]RequestList!$A1989,"0000")</f>
        <v>REQ0000</v>
      </c>
      <c r="P1988" s="7">
        <f>[2]RequestList!$J1989</f>
        <v>0</v>
      </c>
      <c r="Q1988" s="65">
        <f>SUMIF(日報!$R:$R,TEXT(YEAR($Q$2),"0000")&amp;TEXT(MONTH($Q$2),"00")&amp;$O1988,日報!$L:$L)</f>
        <v>0</v>
      </c>
      <c r="R1988" s="65">
        <f ca="1">SUMIF(日報!$J:$J,$O1988,日報!$L:$L)</f>
        <v>0</v>
      </c>
    </row>
    <row r="1989" spans="15:18" x14ac:dyDescent="0.15">
      <c r="O1989" s="7" t="str">
        <f>"REQ"&amp;TEXT([2]RequestList!$A1990,"0000")</f>
        <v>REQ0000</v>
      </c>
      <c r="P1989" s="7">
        <f>[2]RequestList!$J1990</f>
        <v>0</v>
      </c>
      <c r="Q1989" s="65">
        <f>SUMIF(日報!$R:$R,TEXT(YEAR($Q$2),"0000")&amp;TEXT(MONTH($Q$2),"00")&amp;$O1989,日報!$L:$L)</f>
        <v>0</v>
      </c>
      <c r="R1989" s="65">
        <f ca="1">SUMIF(日報!$J:$J,$O1989,日報!$L:$L)</f>
        <v>0</v>
      </c>
    </row>
    <row r="1990" spans="15:18" x14ac:dyDescent="0.15">
      <c r="O1990" s="7" t="str">
        <f>"REQ"&amp;TEXT([2]RequestList!$A1991,"0000")</f>
        <v>REQ0000</v>
      </c>
      <c r="P1990" s="7">
        <f>[2]RequestList!$J1991</f>
        <v>0</v>
      </c>
      <c r="Q1990" s="65">
        <f>SUMIF(日報!$R:$R,TEXT(YEAR($Q$2),"0000")&amp;TEXT(MONTH($Q$2),"00")&amp;$O1990,日報!$L:$L)</f>
        <v>0</v>
      </c>
      <c r="R1990" s="65">
        <f ca="1">SUMIF(日報!$J:$J,$O1990,日報!$L:$L)</f>
        <v>0</v>
      </c>
    </row>
    <row r="1991" spans="15:18" x14ac:dyDescent="0.15">
      <c r="O1991" s="7" t="str">
        <f>"REQ"&amp;TEXT([2]RequestList!$A1992,"0000")</f>
        <v>REQ0000</v>
      </c>
      <c r="P1991" s="7">
        <f>[2]RequestList!$J1992</f>
        <v>0</v>
      </c>
      <c r="Q1991" s="65">
        <f>SUMIF(日報!$R:$R,TEXT(YEAR($Q$2),"0000")&amp;TEXT(MONTH($Q$2),"00")&amp;$O1991,日報!$L:$L)</f>
        <v>0</v>
      </c>
      <c r="R1991" s="65">
        <f ca="1">SUMIF(日報!$J:$J,$O1991,日報!$L:$L)</f>
        <v>0</v>
      </c>
    </row>
    <row r="1992" spans="15:18" x14ac:dyDescent="0.15">
      <c r="O1992" s="7" t="str">
        <f>"REQ"&amp;TEXT([2]RequestList!$A1993,"0000")</f>
        <v>REQ0000</v>
      </c>
      <c r="P1992" s="7">
        <f>[2]RequestList!$J1993</f>
        <v>0</v>
      </c>
      <c r="Q1992" s="65">
        <f>SUMIF(日報!$R:$R,TEXT(YEAR($Q$2),"0000")&amp;TEXT(MONTH($Q$2),"00")&amp;$O1992,日報!$L:$L)</f>
        <v>0</v>
      </c>
      <c r="R1992" s="65">
        <f ca="1">SUMIF(日報!$J:$J,$O1992,日報!$L:$L)</f>
        <v>0</v>
      </c>
    </row>
    <row r="1993" spans="15:18" x14ac:dyDescent="0.15">
      <c r="O1993" s="7" t="str">
        <f>"REQ"&amp;TEXT([2]RequestList!$A1994,"0000")</f>
        <v>REQ0000</v>
      </c>
      <c r="P1993" s="7">
        <f>[2]RequestList!$J1994</f>
        <v>0</v>
      </c>
      <c r="Q1993" s="65">
        <f>SUMIF(日報!$R:$R,TEXT(YEAR($Q$2),"0000")&amp;TEXT(MONTH($Q$2),"00")&amp;$O1993,日報!$L:$L)</f>
        <v>0</v>
      </c>
      <c r="R1993" s="65">
        <f ca="1">SUMIF(日報!$J:$J,$O1993,日報!$L:$L)</f>
        <v>0</v>
      </c>
    </row>
    <row r="1994" spans="15:18" x14ac:dyDescent="0.15">
      <c r="O1994" s="7" t="str">
        <f>"REQ"&amp;TEXT([2]RequestList!$A1995,"0000")</f>
        <v>REQ0000</v>
      </c>
      <c r="P1994" s="7">
        <f>[2]RequestList!$J1995</f>
        <v>0</v>
      </c>
      <c r="Q1994" s="65">
        <f>SUMIF(日報!$R:$R,TEXT(YEAR($Q$2),"0000")&amp;TEXT(MONTH($Q$2),"00")&amp;$O1994,日報!$L:$L)</f>
        <v>0</v>
      </c>
      <c r="R1994" s="65">
        <f ca="1">SUMIF(日報!$J:$J,$O1994,日報!$L:$L)</f>
        <v>0</v>
      </c>
    </row>
    <row r="1995" spans="15:18" x14ac:dyDescent="0.15">
      <c r="O1995" s="7" t="str">
        <f>"REQ"&amp;TEXT([2]RequestList!$A1996,"0000")</f>
        <v>REQ0000</v>
      </c>
      <c r="P1995" s="7">
        <f>[2]RequestList!$J1996</f>
        <v>0</v>
      </c>
      <c r="Q1995" s="65">
        <f>SUMIF(日報!$R:$R,TEXT(YEAR($Q$2),"0000")&amp;TEXT(MONTH($Q$2),"00")&amp;$O1995,日報!$L:$L)</f>
        <v>0</v>
      </c>
      <c r="R1995" s="65">
        <f ca="1">SUMIF(日報!$J:$J,$O1995,日報!$L:$L)</f>
        <v>0</v>
      </c>
    </row>
    <row r="1996" spans="15:18" x14ac:dyDescent="0.15">
      <c r="O1996" s="7" t="str">
        <f>"REQ"&amp;TEXT([2]RequestList!$A1997,"0000")</f>
        <v>REQ0000</v>
      </c>
      <c r="P1996" s="7">
        <f>[2]RequestList!$J1997</f>
        <v>0</v>
      </c>
      <c r="Q1996" s="65">
        <f>SUMIF(日報!$R:$R,TEXT(YEAR($Q$2),"0000")&amp;TEXT(MONTH($Q$2),"00")&amp;$O1996,日報!$L:$L)</f>
        <v>0</v>
      </c>
      <c r="R1996" s="65">
        <f ca="1">SUMIF(日報!$J:$J,$O1996,日報!$L:$L)</f>
        <v>0</v>
      </c>
    </row>
    <row r="1997" spans="15:18" x14ac:dyDescent="0.15">
      <c r="O1997" s="7" t="str">
        <f>"REQ"&amp;TEXT([2]RequestList!$A1998,"0000")</f>
        <v>REQ0000</v>
      </c>
      <c r="P1997" s="7">
        <f>[2]RequestList!$J1998</f>
        <v>0</v>
      </c>
      <c r="Q1997" s="65">
        <f>SUMIF(日報!$R:$R,TEXT(YEAR($Q$2),"0000")&amp;TEXT(MONTH($Q$2),"00")&amp;$O1997,日報!$L:$L)</f>
        <v>0</v>
      </c>
      <c r="R1997" s="65">
        <f ca="1">SUMIF(日報!$J:$J,$O1997,日報!$L:$L)</f>
        <v>0</v>
      </c>
    </row>
    <row r="1998" spans="15:18" x14ac:dyDescent="0.15">
      <c r="O1998" s="7" t="str">
        <f>"REQ"&amp;TEXT([2]RequestList!$A1999,"0000")</f>
        <v>REQ0000</v>
      </c>
      <c r="P1998" s="7">
        <f>[2]RequestList!$J1999</f>
        <v>0</v>
      </c>
      <c r="Q1998" s="65">
        <f>SUMIF(日報!$R:$R,TEXT(YEAR($Q$2),"0000")&amp;TEXT(MONTH($Q$2),"00")&amp;$O1998,日報!$L:$L)</f>
        <v>0</v>
      </c>
      <c r="R1998" s="65">
        <f ca="1">SUMIF(日報!$J:$J,$O1998,日報!$L:$L)</f>
        <v>0</v>
      </c>
    </row>
    <row r="1999" spans="15:18" x14ac:dyDescent="0.15">
      <c r="O1999" s="7" t="str">
        <f>"REQ"&amp;TEXT([2]RequestList!$A2000,"0000")</f>
        <v>REQ0000</v>
      </c>
      <c r="P1999" s="7">
        <f>[2]RequestList!$J2000</f>
        <v>0</v>
      </c>
      <c r="Q1999" s="65">
        <f>SUMIF(日報!$R:$R,TEXT(YEAR($Q$2),"0000")&amp;TEXT(MONTH($Q$2),"00")&amp;$O1999,日報!$L:$L)</f>
        <v>0</v>
      </c>
      <c r="R1999" s="65">
        <f ca="1">SUMIF(日報!$J:$J,$O1999,日報!$L:$L)</f>
        <v>0</v>
      </c>
    </row>
    <row r="2000" spans="15:18" x14ac:dyDescent="0.15">
      <c r="O2000" s="7" t="str">
        <f>"REQ"&amp;TEXT([2]RequestList!$A2001,"0000")</f>
        <v>REQ0000</v>
      </c>
      <c r="P2000" s="7">
        <f>[2]RequestList!$J2001</f>
        <v>0</v>
      </c>
      <c r="Q2000" s="65">
        <f>SUMIF(日報!$R:$R,TEXT(YEAR($Q$2),"0000")&amp;TEXT(MONTH($Q$2),"00")&amp;$O2000,日報!$L:$L)</f>
        <v>0</v>
      </c>
      <c r="R2000" s="65">
        <f ca="1">SUMIF(日報!$J:$J,$O2000,日報!$L:$L)</f>
        <v>0</v>
      </c>
    </row>
    <row r="2001" spans="15:18" x14ac:dyDescent="0.15">
      <c r="O2001" s="7" t="str">
        <f>"REQ"&amp;TEXT([2]RequestList!$A2002,"0000")</f>
        <v>REQ0000</v>
      </c>
      <c r="P2001" s="7">
        <f>[2]RequestList!$J2002</f>
        <v>0</v>
      </c>
      <c r="Q2001" s="65">
        <f>SUMIF(日報!$R:$R,TEXT(YEAR($Q$2),"0000")&amp;TEXT(MONTH($Q$2),"00")&amp;$O2001,日報!$L:$L)</f>
        <v>0</v>
      </c>
      <c r="R2001" s="65">
        <f ca="1">SUMIF(日報!$J:$J,$O2001,日報!$L:$L)</f>
        <v>0</v>
      </c>
    </row>
    <row r="2002" spans="15:18" x14ac:dyDescent="0.15">
      <c r="O2002" s="7" t="str">
        <f>"REQ"&amp;TEXT([2]RequestList!$A2003,"0000")</f>
        <v>REQ0000</v>
      </c>
      <c r="P2002" s="7">
        <f>[2]RequestList!$J2003</f>
        <v>0</v>
      </c>
      <c r="Q2002" s="65">
        <f>SUMIF(日報!$R:$R,TEXT(YEAR($Q$2),"0000")&amp;TEXT(MONTH($Q$2),"00")&amp;$O2002,日報!$L:$L)</f>
        <v>0</v>
      </c>
      <c r="R2002" s="65">
        <f ca="1">SUMIF(日報!$J:$J,$O2002,日報!$L:$L)</f>
        <v>0</v>
      </c>
    </row>
    <row r="2003" spans="15:18" x14ac:dyDescent="0.15">
      <c r="O2003" s="7" t="str">
        <f>"REQ"&amp;TEXT([2]RequestList!$A2004,"0000")</f>
        <v>REQ0000</v>
      </c>
      <c r="P2003" s="7">
        <f>[2]RequestList!$J2004</f>
        <v>0</v>
      </c>
      <c r="Q2003" s="65">
        <f>SUMIF(日報!$R:$R,TEXT(YEAR($Q$2),"0000")&amp;TEXT(MONTH($Q$2),"00")&amp;$O2003,日報!$L:$L)</f>
        <v>0</v>
      </c>
      <c r="R2003" s="65">
        <f ca="1">SUMIF(日報!$J:$J,$O2003,日報!$L:$L)</f>
        <v>0</v>
      </c>
    </row>
    <row r="2004" spans="15:18" x14ac:dyDescent="0.15">
      <c r="O2004" s="7" t="str">
        <f>"REQ"&amp;TEXT([2]RequestList!$A2005,"0000")</f>
        <v>REQ0000</v>
      </c>
      <c r="P2004" s="7">
        <f>[2]RequestList!$J2005</f>
        <v>0</v>
      </c>
      <c r="Q2004" s="65">
        <f>SUMIF(日報!$R:$R,TEXT(YEAR($Q$2),"0000")&amp;TEXT(MONTH($Q$2),"00")&amp;$O2004,日報!$L:$L)</f>
        <v>0</v>
      </c>
      <c r="R2004" s="65">
        <f ca="1">SUMIF(日報!$J:$J,$O2004,日報!$L:$L)</f>
        <v>0</v>
      </c>
    </row>
    <row r="2005" spans="15:18" x14ac:dyDescent="0.15">
      <c r="O2005" s="7" t="str">
        <f>"REQ"&amp;TEXT([2]RequestList!$A2006,"0000")</f>
        <v>REQ0000</v>
      </c>
      <c r="P2005" s="7">
        <f>[2]RequestList!$J2006</f>
        <v>0</v>
      </c>
      <c r="Q2005" s="65">
        <f>SUMIF(日報!$R:$R,TEXT(YEAR($Q$2),"0000")&amp;TEXT(MONTH($Q$2),"00")&amp;$O2005,日報!$L:$L)</f>
        <v>0</v>
      </c>
      <c r="R2005" s="65">
        <f ca="1">SUMIF(日報!$J:$J,$O2005,日報!$L:$L)</f>
        <v>0</v>
      </c>
    </row>
    <row r="2006" spans="15:18" x14ac:dyDescent="0.15">
      <c r="O2006" s="7" t="str">
        <f>"REQ"&amp;TEXT([2]RequestList!$A2007,"0000")</f>
        <v>REQ0000</v>
      </c>
      <c r="P2006" s="7">
        <f>[2]RequestList!$J2007</f>
        <v>0</v>
      </c>
      <c r="Q2006" s="65">
        <f>SUMIF(日報!$R:$R,TEXT(YEAR($Q$2),"0000")&amp;TEXT(MONTH($Q$2),"00")&amp;$O2006,日報!$L:$L)</f>
        <v>0</v>
      </c>
      <c r="R2006" s="65">
        <f ca="1">SUMIF(日報!$J:$J,$O2006,日報!$L:$L)</f>
        <v>0</v>
      </c>
    </row>
    <row r="2007" spans="15:18" x14ac:dyDescent="0.15">
      <c r="O2007" s="7" t="str">
        <f>"REQ"&amp;TEXT([2]RequestList!$A2008,"0000")</f>
        <v>REQ0000</v>
      </c>
      <c r="P2007" s="7">
        <f>[2]RequestList!$J2008</f>
        <v>0</v>
      </c>
      <c r="Q2007" s="65">
        <f>SUMIF(日報!$R:$R,TEXT(YEAR($Q$2),"0000")&amp;TEXT(MONTH($Q$2),"00")&amp;$O2007,日報!$L:$L)</f>
        <v>0</v>
      </c>
      <c r="R2007" s="65">
        <f ca="1">SUMIF(日報!$J:$J,$O2007,日報!$L:$L)</f>
        <v>0</v>
      </c>
    </row>
    <row r="2008" spans="15:18" x14ac:dyDescent="0.15">
      <c r="O2008" s="7" t="str">
        <f>"REQ"&amp;TEXT([2]RequestList!$A2009,"0000")</f>
        <v>REQ0000</v>
      </c>
      <c r="P2008" s="7">
        <f>[2]RequestList!$J2009</f>
        <v>0</v>
      </c>
      <c r="Q2008" s="65">
        <f>SUMIF(日報!$R:$R,TEXT(YEAR($Q$2),"0000")&amp;TEXT(MONTH($Q$2),"00")&amp;$O2008,日報!$L:$L)</f>
        <v>0</v>
      </c>
      <c r="R2008" s="65">
        <f ca="1">SUMIF(日報!$J:$J,$O2008,日報!$L:$L)</f>
        <v>0</v>
      </c>
    </row>
    <row r="2009" spans="15:18" x14ac:dyDescent="0.15">
      <c r="O2009" s="7" t="str">
        <f>"REQ"&amp;TEXT([2]RequestList!$A2010,"0000")</f>
        <v>REQ0000</v>
      </c>
      <c r="P2009" s="7">
        <f>[2]RequestList!$J2010</f>
        <v>0</v>
      </c>
      <c r="Q2009" s="65">
        <f>SUMIF(日報!$R:$R,TEXT(YEAR($Q$2),"0000")&amp;TEXT(MONTH($Q$2),"00")&amp;$O2009,日報!$L:$L)</f>
        <v>0</v>
      </c>
      <c r="R2009" s="65">
        <f ca="1">SUMIF(日報!$J:$J,$O2009,日報!$L:$L)</f>
        <v>0</v>
      </c>
    </row>
    <row r="2010" spans="15:18" x14ac:dyDescent="0.15">
      <c r="O2010" s="7" t="str">
        <f>"REQ"&amp;TEXT([2]RequestList!$A2011,"0000")</f>
        <v>REQ0000</v>
      </c>
      <c r="P2010" s="7">
        <f>[2]RequestList!$J2011</f>
        <v>0</v>
      </c>
      <c r="Q2010" s="65">
        <f>SUMIF(日報!$R:$R,TEXT(YEAR($Q$2),"0000")&amp;TEXT(MONTH($Q$2),"00")&amp;$O2010,日報!$L:$L)</f>
        <v>0</v>
      </c>
      <c r="R2010" s="65">
        <f ca="1">SUMIF(日報!$J:$J,$O2010,日報!$L:$L)</f>
        <v>0</v>
      </c>
    </row>
    <row r="2011" spans="15:18" x14ac:dyDescent="0.15">
      <c r="O2011" s="7" t="str">
        <f>"REQ"&amp;TEXT([2]RequestList!$A2012,"0000")</f>
        <v>REQ0000</v>
      </c>
      <c r="P2011" s="7">
        <f>[2]RequestList!$J2012</f>
        <v>0</v>
      </c>
      <c r="Q2011" s="65">
        <f>SUMIF(日報!$R:$R,TEXT(YEAR($Q$2),"0000")&amp;TEXT(MONTH($Q$2),"00")&amp;$O2011,日報!$L:$L)</f>
        <v>0</v>
      </c>
      <c r="R2011" s="65">
        <f ca="1">SUMIF(日報!$J:$J,$O2011,日報!$L:$L)</f>
        <v>0</v>
      </c>
    </row>
    <row r="2012" spans="15:18" x14ac:dyDescent="0.15">
      <c r="O2012" s="7" t="str">
        <f>"REQ"&amp;TEXT([2]RequestList!$A2013,"0000")</f>
        <v>REQ0000</v>
      </c>
      <c r="P2012" s="7">
        <f>[2]RequestList!$J2013</f>
        <v>0</v>
      </c>
      <c r="Q2012" s="65">
        <f>SUMIF(日報!$R:$R,TEXT(YEAR($Q$2),"0000")&amp;TEXT(MONTH($Q$2),"00")&amp;$O2012,日報!$L:$L)</f>
        <v>0</v>
      </c>
      <c r="R2012" s="65">
        <f ca="1">SUMIF(日報!$J:$J,$O2012,日報!$L:$L)</f>
        <v>0</v>
      </c>
    </row>
    <row r="2013" spans="15:18" x14ac:dyDescent="0.15">
      <c r="O2013" s="7" t="str">
        <f>"REQ"&amp;TEXT([2]RequestList!$A2014,"0000")</f>
        <v>REQ0000</v>
      </c>
      <c r="P2013" s="7">
        <f>[2]RequestList!$J2014</f>
        <v>0</v>
      </c>
      <c r="Q2013" s="65">
        <f>SUMIF(日報!$R:$R,TEXT(YEAR($Q$2),"0000")&amp;TEXT(MONTH($Q$2),"00")&amp;$O2013,日報!$L:$L)</f>
        <v>0</v>
      </c>
      <c r="R2013" s="65">
        <f ca="1">SUMIF(日報!$J:$J,$O2013,日報!$L:$L)</f>
        <v>0</v>
      </c>
    </row>
    <row r="2014" spans="15:18" x14ac:dyDescent="0.15">
      <c r="O2014" s="7" t="str">
        <f>"REQ"&amp;TEXT([2]RequestList!$A2015,"0000")</f>
        <v>REQ0000</v>
      </c>
      <c r="P2014" s="7">
        <f>[2]RequestList!$J2015</f>
        <v>0</v>
      </c>
      <c r="Q2014" s="65">
        <f>SUMIF(日報!$R:$R,TEXT(YEAR($Q$2),"0000")&amp;TEXT(MONTH($Q$2),"00")&amp;$O2014,日報!$L:$L)</f>
        <v>0</v>
      </c>
      <c r="R2014" s="65">
        <f ca="1">SUMIF(日報!$J:$J,$O2014,日報!$L:$L)</f>
        <v>0</v>
      </c>
    </row>
    <row r="2015" spans="15:18" x14ac:dyDescent="0.15">
      <c r="O2015" s="7" t="str">
        <f>"REQ"&amp;TEXT([2]RequestList!$A2016,"0000")</f>
        <v>REQ0000</v>
      </c>
      <c r="P2015" s="7">
        <f>[2]RequestList!$J2016</f>
        <v>0</v>
      </c>
      <c r="Q2015" s="65">
        <f>SUMIF(日報!$R:$R,TEXT(YEAR($Q$2),"0000")&amp;TEXT(MONTH($Q$2),"00")&amp;$O2015,日報!$L:$L)</f>
        <v>0</v>
      </c>
      <c r="R2015" s="65">
        <f ca="1">SUMIF(日報!$J:$J,$O2015,日報!$L:$L)</f>
        <v>0</v>
      </c>
    </row>
    <row r="2016" spans="15:18" x14ac:dyDescent="0.15">
      <c r="O2016" s="7" t="str">
        <f>"REQ"&amp;TEXT([2]RequestList!$A2017,"0000")</f>
        <v>REQ0000</v>
      </c>
      <c r="P2016" s="7">
        <f>[2]RequestList!$J2017</f>
        <v>0</v>
      </c>
      <c r="Q2016" s="65">
        <f>SUMIF(日報!$R:$R,TEXT(YEAR($Q$2),"0000")&amp;TEXT(MONTH($Q$2),"00")&amp;$O2016,日報!$L:$L)</f>
        <v>0</v>
      </c>
      <c r="R2016" s="65">
        <f ca="1">SUMIF(日報!$J:$J,$O2016,日報!$L:$L)</f>
        <v>0</v>
      </c>
    </row>
    <row r="2017" spans="15:18" x14ac:dyDescent="0.15">
      <c r="O2017" s="7" t="str">
        <f>"REQ"&amp;TEXT([2]RequestList!$A2018,"0000")</f>
        <v>REQ0000</v>
      </c>
      <c r="P2017" s="7">
        <f>[2]RequestList!$J2018</f>
        <v>0</v>
      </c>
      <c r="Q2017" s="65">
        <f>SUMIF(日報!$R:$R,TEXT(YEAR($Q$2),"0000")&amp;TEXT(MONTH($Q$2),"00")&amp;$O2017,日報!$L:$L)</f>
        <v>0</v>
      </c>
      <c r="R2017" s="65">
        <f ca="1">SUMIF(日報!$J:$J,$O2017,日報!$L:$L)</f>
        <v>0</v>
      </c>
    </row>
    <row r="2018" spans="15:18" x14ac:dyDescent="0.15">
      <c r="O2018" s="7" t="str">
        <f>"REQ"&amp;TEXT([2]RequestList!$A2019,"0000")</f>
        <v>REQ0000</v>
      </c>
      <c r="P2018" s="7">
        <f>[2]RequestList!$J2019</f>
        <v>0</v>
      </c>
      <c r="Q2018" s="65">
        <f>SUMIF(日報!$R:$R,TEXT(YEAR($Q$2),"0000")&amp;TEXT(MONTH($Q$2),"00")&amp;$O2018,日報!$L:$L)</f>
        <v>0</v>
      </c>
      <c r="R2018" s="65">
        <f ca="1">SUMIF(日報!$J:$J,$O2018,日報!$L:$L)</f>
        <v>0</v>
      </c>
    </row>
    <row r="2019" spans="15:18" x14ac:dyDescent="0.15">
      <c r="O2019" s="7" t="str">
        <f>"REQ"&amp;TEXT([2]RequestList!$A2020,"0000")</f>
        <v>REQ0000</v>
      </c>
      <c r="P2019" s="7">
        <f>[2]RequestList!$J2020</f>
        <v>0</v>
      </c>
      <c r="Q2019" s="65">
        <f>SUMIF(日報!$R:$R,TEXT(YEAR($Q$2),"0000")&amp;TEXT(MONTH($Q$2),"00")&amp;$O2019,日報!$L:$L)</f>
        <v>0</v>
      </c>
      <c r="R2019" s="65">
        <f ca="1">SUMIF(日報!$J:$J,$O2019,日報!$L:$L)</f>
        <v>0</v>
      </c>
    </row>
    <row r="2020" spans="15:18" x14ac:dyDescent="0.15">
      <c r="O2020" s="7" t="str">
        <f>"REQ"&amp;TEXT([2]RequestList!$A2021,"0000")</f>
        <v>REQ0000</v>
      </c>
      <c r="P2020" s="7">
        <f>[2]RequestList!$J2021</f>
        <v>0</v>
      </c>
      <c r="Q2020" s="65">
        <f>SUMIF(日報!$R:$R,TEXT(YEAR($Q$2),"0000")&amp;TEXT(MONTH($Q$2),"00")&amp;$O2020,日報!$L:$L)</f>
        <v>0</v>
      </c>
      <c r="R2020" s="65">
        <f ca="1">SUMIF(日報!$J:$J,$O2020,日報!$L:$L)</f>
        <v>0</v>
      </c>
    </row>
    <row r="2021" spans="15:18" x14ac:dyDescent="0.15">
      <c r="O2021" s="7" t="str">
        <f>"REQ"&amp;TEXT([2]RequestList!$A2022,"0000")</f>
        <v>REQ0000</v>
      </c>
      <c r="P2021" s="7">
        <f>[2]RequestList!$J2022</f>
        <v>0</v>
      </c>
      <c r="Q2021" s="65">
        <f>SUMIF(日報!$R:$R,TEXT(YEAR($Q$2),"0000")&amp;TEXT(MONTH($Q$2),"00")&amp;$O2021,日報!$L:$L)</f>
        <v>0</v>
      </c>
      <c r="R2021" s="65">
        <f ca="1">SUMIF(日報!$J:$J,$O2021,日報!$L:$L)</f>
        <v>0</v>
      </c>
    </row>
    <row r="2022" spans="15:18" x14ac:dyDescent="0.15">
      <c r="O2022" s="7" t="str">
        <f>"REQ"&amp;TEXT([2]RequestList!$A2023,"0000")</f>
        <v>REQ0000</v>
      </c>
      <c r="P2022" s="7">
        <f>[2]RequestList!$J2023</f>
        <v>0</v>
      </c>
      <c r="Q2022" s="65">
        <f>SUMIF(日報!$R:$R,TEXT(YEAR($Q$2),"0000")&amp;TEXT(MONTH($Q$2),"00")&amp;$O2022,日報!$L:$L)</f>
        <v>0</v>
      </c>
      <c r="R2022" s="65">
        <f ca="1">SUMIF(日報!$J:$J,$O2022,日報!$L:$L)</f>
        <v>0</v>
      </c>
    </row>
    <row r="2023" spans="15:18" x14ac:dyDescent="0.15">
      <c r="O2023" s="7" t="str">
        <f>"REQ"&amp;TEXT([2]RequestList!$A2024,"0000")</f>
        <v>REQ0000</v>
      </c>
      <c r="P2023" s="7">
        <f>[2]RequestList!$J2024</f>
        <v>0</v>
      </c>
      <c r="Q2023" s="65">
        <f>SUMIF(日報!$R:$R,TEXT(YEAR($Q$2),"0000")&amp;TEXT(MONTH($Q$2),"00")&amp;$O2023,日報!$L:$L)</f>
        <v>0</v>
      </c>
      <c r="R2023" s="65">
        <f ca="1">SUMIF(日報!$J:$J,$O2023,日報!$L:$L)</f>
        <v>0</v>
      </c>
    </row>
    <row r="2024" spans="15:18" x14ac:dyDescent="0.15">
      <c r="O2024" s="7" t="str">
        <f>"REQ"&amp;TEXT([2]RequestList!$A2025,"0000")</f>
        <v>REQ0000</v>
      </c>
      <c r="P2024" s="7">
        <f>[2]RequestList!$J2025</f>
        <v>0</v>
      </c>
      <c r="Q2024" s="65">
        <f>SUMIF(日報!$R:$R,TEXT(YEAR($Q$2),"0000")&amp;TEXT(MONTH($Q$2),"00")&amp;$O2024,日報!$L:$L)</f>
        <v>0</v>
      </c>
      <c r="R2024" s="65">
        <f ca="1">SUMIF(日報!$J:$J,$O2024,日報!$L:$L)</f>
        <v>0</v>
      </c>
    </row>
    <row r="2025" spans="15:18" x14ac:dyDescent="0.15">
      <c r="O2025" s="7" t="str">
        <f>"REQ"&amp;TEXT([2]RequestList!$A2026,"0000")</f>
        <v>REQ0000</v>
      </c>
      <c r="P2025" s="7">
        <f>[2]RequestList!$J2026</f>
        <v>0</v>
      </c>
      <c r="Q2025" s="65">
        <f>SUMIF(日報!$R:$R,TEXT(YEAR($Q$2),"0000")&amp;TEXT(MONTH($Q$2),"00")&amp;$O2025,日報!$L:$L)</f>
        <v>0</v>
      </c>
      <c r="R2025" s="65">
        <f ca="1">SUMIF(日報!$J:$J,$O2025,日報!$L:$L)</f>
        <v>0</v>
      </c>
    </row>
    <row r="2026" spans="15:18" x14ac:dyDescent="0.15">
      <c r="O2026" s="7" t="str">
        <f>"REQ"&amp;TEXT([2]RequestList!$A2027,"0000")</f>
        <v>REQ0000</v>
      </c>
      <c r="P2026" s="7">
        <f>[2]RequestList!$J2027</f>
        <v>0</v>
      </c>
      <c r="Q2026" s="65">
        <f>SUMIF(日報!$R:$R,TEXT(YEAR($Q$2),"0000")&amp;TEXT(MONTH($Q$2),"00")&amp;$O2026,日報!$L:$L)</f>
        <v>0</v>
      </c>
      <c r="R2026" s="65">
        <f ca="1">SUMIF(日報!$J:$J,$O2026,日報!$L:$L)</f>
        <v>0</v>
      </c>
    </row>
    <row r="2027" spans="15:18" x14ac:dyDescent="0.15">
      <c r="O2027" s="7" t="str">
        <f>"REQ"&amp;TEXT([2]RequestList!$A2028,"0000")</f>
        <v>REQ0000</v>
      </c>
      <c r="P2027" s="7">
        <f>[2]RequestList!$J2028</f>
        <v>0</v>
      </c>
      <c r="Q2027" s="65">
        <f>SUMIF(日報!$R:$R,TEXT(YEAR($Q$2),"0000")&amp;TEXT(MONTH($Q$2),"00")&amp;$O2027,日報!$L:$L)</f>
        <v>0</v>
      </c>
      <c r="R2027" s="65">
        <f ca="1">SUMIF(日報!$J:$J,$O2027,日報!$L:$L)</f>
        <v>0</v>
      </c>
    </row>
    <row r="2028" spans="15:18" x14ac:dyDescent="0.15">
      <c r="O2028" s="7" t="str">
        <f>"REQ"&amp;TEXT([2]RequestList!$A2029,"0000")</f>
        <v>REQ0000</v>
      </c>
      <c r="P2028" s="7">
        <f>[2]RequestList!$J2029</f>
        <v>0</v>
      </c>
      <c r="Q2028" s="65">
        <f>SUMIF(日報!$R:$R,TEXT(YEAR($Q$2),"0000")&amp;TEXT(MONTH($Q$2),"00")&amp;$O2028,日報!$L:$L)</f>
        <v>0</v>
      </c>
      <c r="R2028" s="65">
        <f ca="1">SUMIF(日報!$J:$J,$O2028,日報!$L:$L)</f>
        <v>0</v>
      </c>
    </row>
    <row r="2029" spans="15:18" x14ac:dyDescent="0.15">
      <c r="O2029" s="7" t="str">
        <f>"REQ"&amp;TEXT([2]RequestList!$A2030,"0000")</f>
        <v>REQ0000</v>
      </c>
      <c r="P2029" s="7">
        <f>[2]RequestList!$J2030</f>
        <v>0</v>
      </c>
      <c r="Q2029" s="65">
        <f>SUMIF(日報!$R:$R,TEXT(YEAR($Q$2),"0000")&amp;TEXT(MONTH($Q$2),"00")&amp;$O2029,日報!$L:$L)</f>
        <v>0</v>
      </c>
      <c r="R2029" s="65">
        <f ca="1">SUMIF(日報!$J:$J,$O2029,日報!$L:$L)</f>
        <v>0</v>
      </c>
    </row>
    <row r="2030" spans="15:18" x14ac:dyDescent="0.15">
      <c r="O2030" s="7" t="str">
        <f>"REQ"&amp;TEXT([2]RequestList!$A2031,"0000")</f>
        <v>REQ0000</v>
      </c>
      <c r="P2030" s="7">
        <f>[2]RequestList!$J2031</f>
        <v>0</v>
      </c>
      <c r="Q2030" s="65">
        <f>SUMIF(日報!$R:$R,TEXT(YEAR($Q$2),"0000")&amp;TEXT(MONTH($Q$2),"00")&amp;$O2030,日報!$L:$L)</f>
        <v>0</v>
      </c>
      <c r="R2030" s="65">
        <f ca="1">SUMIF(日報!$J:$J,$O2030,日報!$L:$L)</f>
        <v>0</v>
      </c>
    </row>
    <row r="2031" spans="15:18" x14ac:dyDescent="0.15">
      <c r="O2031" s="7" t="str">
        <f>"REQ"&amp;TEXT([2]RequestList!$A2032,"0000")</f>
        <v>REQ0000</v>
      </c>
      <c r="P2031" s="7">
        <f>[2]RequestList!$J2032</f>
        <v>0</v>
      </c>
      <c r="Q2031" s="65">
        <f>SUMIF(日報!$R:$R,TEXT(YEAR($Q$2),"0000")&amp;TEXT(MONTH($Q$2),"00")&amp;$O2031,日報!$L:$L)</f>
        <v>0</v>
      </c>
      <c r="R2031" s="65">
        <f ca="1">SUMIF(日報!$J:$J,$O2031,日報!$L:$L)</f>
        <v>0</v>
      </c>
    </row>
    <row r="2032" spans="15:18" x14ac:dyDescent="0.15">
      <c r="O2032" s="7" t="str">
        <f>"REQ"&amp;TEXT([2]RequestList!$A2033,"0000")</f>
        <v>REQ0000</v>
      </c>
      <c r="P2032" s="7">
        <f>[2]RequestList!$J2033</f>
        <v>0</v>
      </c>
      <c r="Q2032" s="65">
        <f>SUMIF(日報!$R:$R,TEXT(YEAR($Q$2),"0000")&amp;TEXT(MONTH($Q$2),"00")&amp;$O2032,日報!$L:$L)</f>
        <v>0</v>
      </c>
      <c r="R2032" s="65">
        <f ca="1">SUMIF(日報!$J:$J,$O2032,日報!$L:$L)</f>
        <v>0</v>
      </c>
    </row>
    <row r="2033" spans="15:18" x14ac:dyDescent="0.15">
      <c r="O2033" s="7" t="str">
        <f>"REQ"&amp;TEXT([2]RequestList!$A2034,"0000")</f>
        <v>REQ0000</v>
      </c>
      <c r="P2033" s="7">
        <f>[2]RequestList!$J2034</f>
        <v>0</v>
      </c>
      <c r="Q2033" s="65">
        <f>SUMIF(日報!$R:$R,TEXT(YEAR($Q$2),"0000")&amp;TEXT(MONTH($Q$2),"00")&amp;$O2033,日報!$L:$L)</f>
        <v>0</v>
      </c>
      <c r="R2033" s="65">
        <f ca="1">SUMIF(日報!$J:$J,$O2033,日報!$L:$L)</f>
        <v>0</v>
      </c>
    </row>
    <row r="2034" spans="15:18" x14ac:dyDescent="0.15">
      <c r="O2034" s="7" t="str">
        <f>"REQ"&amp;TEXT([2]RequestList!$A2035,"0000")</f>
        <v>REQ0000</v>
      </c>
      <c r="P2034" s="7">
        <f>[2]RequestList!$J2035</f>
        <v>0</v>
      </c>
      <c r="Q2034" s="65">
        <f>SUMIF(日報!$R:$R,TEXT(YEAR($Q$2),"0000")&amp;TEXT(MONTH($Q$2),"00")&amp;$O2034,日報!$L:$L)</f>
        <v>0</v>
      </c>
      <c r="R2034" s="65">
        <f ca="1">SUMIF(日報!$J:$J,$O2034,日報!$L:$L)</f>
        <v>0</v>
      </c>
    </row>
    <row r="2035" spans="15:18" x14ac:dyDescent="0.15">
      <c r="O2035" s="7" t="str">
        <f>"REQ"&amp;TEXT([2]RequestList!$A2036,"0000")</f>
        <v>REQ0000</v>
      </c>
      <c r="P2035" s="7">
        <f>[2]RequestList!$J2036</f>
        <v>0</v>
      </c>
      <c r="Q2035" s="65">
        <f>SUMIF(日報!$R:$R,TEXT(YEAR($Q$2),"0000")&amp;TEXT(MONTH($Q$2),"00")&amp;$O2035,日報!$L:$L)</f>
        <v>0</v>
      </c>
      <c r="R2035" s="65">
        <f ca="1">SUMIF(日報!$J:$J,$O2035,日報!$L:$L)</f>
        <v>0</v>
      </c>
    </row>
    <row r="2036" spans="15:18" x14ac:dyDescent="0.15">
      <c r="O2036" s="7" t="str">
        <f>"REQ"&amp;TEXT([2]RequestList!$A2037,"0000")</f>
        <v>REQ0000</v>
      </c>
      <c r="P2036" s="7">
        <f>[2]RequestList!$J2037</f>
        <v>0</v>
      </c>
      <c r="Q2036" s="65">
        <f>SUMIF(日報!$R:$R,TEXT(YEAR($Q$2),"0000")&amp;TEXT(MONTH($Q$2),"00")&amp;$O2036,日報!$L:$L)</f>
        <v>0</v>
      </c>
      <c r="R2036" s="65">
        <f ca="1">SUMIF(日報!$J:$J,$O2036,日報!$L:$L)</f>
        <v>0</v>
      </c>
    </row>
    <row r="2037" spans="15:18" x14ac:dyDescent="0.15">
      <c r="O2037" s="7" t="str">
        <f>"REQ"&amp;TEXT([2]RequestList!$A2038,"0000")</f>
        <v>REQ0000</v>
      </c>
      <c r="P2037" s="7">
        <f>[2]RequestList!$J2038</f>
        <v>0</v>
      </c>
      <c r="Q2037" s="65">
        <f>SUMIF(日報!$R:$R,TEXT(YEAR($Q$2),"0000")&amp;TEXT(MONTH($Q$2),"00")&amp;$O2037,日報!$L:$L)</f>
        <v>0</v>
      </c>
      <c r="R2037" s="65">
        <f ca="1">SUMIF(日報!$J:$J,$O2037,日報!$L:$L)</f>
        <v>0</v>
      </c>
    </row>
    <row r="2038" spans="15:18" x14ac:dyDescent="0.15">
      <c r="O2038" s="7" t="str">
        <f>"REQ"&amp;TEXT([2]RequestList!$A2039,"0000")</f>
        <v>REQ0000</v>
      </c>
      <c r="P2038" s="7">
        <f>[2]RequestList!$J2039</f>
        <v>0</v>
      </c>
      <c r="Q2038" s="65">
        <f>SUMIF(日報!$R:$R,TEXT(YEAR($Q$2),"0000")&amp;TEXT(MONTH($Q$2),"00")&amp;$O2038,日報!$L:$L)</f>
        <v>0</v>
      </c>
      <c r="R2038" s="65">
        <f ca="1">SUMIF(日報!$J:$J,$O2038,日報!$L:$L)</f>
        <v>0</v>
      </c>
    </row>
    <row r="2039" spans="15:18" x14ac:dyDescent="0.15">
      <c r="O2039" s="7" t="str">
        <f>"REQ"&amp;TEXT([2]RequestList!$A2040,"0000")</f>
        <v>REQ0000</v>
      </c>
      <c r="P2039" s="7">
        <f>[2]RequestList!$J2040</f>
        <v>0</v>
      </c>
      <c r="Q2039" s="65">
        <f>SUMIF(日報!$R:$R,TEXT(YEAR($Q$2),"0000")&amp;TEXT(MONTH($Q$2),"00")&amp;$O2039,日報!$L:$L)</f>
        <v>0</v>
      </c>
      <c r="R2039" s="65">
        <f ca="1">SUMIF(日報!$J:$J,$O2039,日報!$L:$L)</f>
        <v>0</v>
      </c>
    </row>
    <row r="2040" spans="15:18" x14ac:dyDescent="0.15">
      <c r="O2040" s="7" t="str">
        <f>"REQ"&amp;TEXT([2]RequestList!$A2041,"0000")</f>
        <v>REQ0000</v>
      </c>
      <c r="P2040" s="7">
        <f>[2]RequestList!$J2041</f>
        <v>0</v>
      </c>
      <c r="Q2040" s="65">
        <f>SUMIF(日報!$R:$R,TEXT(YEAR($Q$2),"0000")&amp;TEXT(MONTH($Q$2),"00")&amp;$O2040,日報!$L:$L)</f>
        <v>0</v>
      </c>
      <c r="R2040" s="65">
        <f ca="1">SUMIF(日報!$J:$J,$O2040,日報!$L:$L)</f>
        <v>0</v>
      </c>
    </row>
    <row r="2041" spans="15:18" x14ac:dyDescent="0.15">
      <c r="O2041" s="7" t="str">
        <f>"REQ"&amp;TEXT([2]RequestList!$A2042,"0000")</f>
        <v>REQ0000</v>
      </c>
      <c r="P2041" s="7">
        <f>[2]RequestList!$J2042</f>
        <v>0</v>
      </c>
      <c r="Q2041" s="65">
        <f>SUMIF(日報!$R:$R,TEXT(YEAR($Q$2),"0000")&amp;TEXT(MONTH($Q$2),"00")&amp;$O2041,日報!$L:$L)</f>
        <v>0</v>
      </c>
      <c r="R2041" s="65">
        <f ca="1">SUMIF(日報!$J:$J,$O2041,日報!$L:$L)</f>
        <v>0</v>
      </c>
    </row>
    <row r="2042" spans="15:18" x14ac:dyDescent="0.15">
      <c r="O2042" s="7" t="str">
        <f>"REQ"&amp;TEXT([2]RequestList!$A2043,"0000")</f>
        <v>REQ0000</v>
      </c>
      <c r="P2042" s="7">
        <f>[2]RequestList!$J2043</f>
        <v>0</v>
      </c>
      <c r="Q2042" s="65">
        <f>SUMIF(日報!$R:$R,TEXT(YEAR($Q$2),"0000")&amp;TEXT(MONTH($Q$2),"00")&amp;$O2042,日報!$L:$L)</f>
        <v>0</v>
      </c>
      <c r="R2042" s="65">
        <f ca="1">SUMIF(日報!$J:$J,$O2042,日報!$L:$L)</f>
        <v>0</v>
      </c>
    </row>
    <row r="2043" spans="15:18" x14ac:dyDescent="0.15">
      <c r="O2043" s="7" t="str">
        <f>"REQ"&amp;TEXT([2]RequestList!$A2044,"0000")</f>
        <v>REQ0000</v>
      </c>
      <c r="P2043" s="7">
        <f>[2]RequestList!$J2044</f>
        <v>0</v>
      </c>
      <c r="Q2043" s="65">
        <f>SUMIF(日報!$R:$R,TEXT(YEAR($Q$2),"0000")&amp;TEXT(MONTH($Q$2),"00")&amp;$O2043,日報!$L:$L)</f>
        <v>0</v>
      </c>
      <c r="R2043" s="65">
        <f ca="1">SUMIF(日報!$J:$J,$O2043,日報!$L:$L)</f>
        <v>0</v>
      </c>
    </row>
    <row r="2044" spans="15:18" x14ac:dyDescent="0.15">
      <c r="O2044" s="7" t="str">
        <f>"REQ"&amp;TEXT([2]RequestList!$A2045,"0000")</f>
        <v>REQ0000</v>
      </c>
      <c r="P2044" s="7">
        <f>[2]RequestList!$J2045</f>
        <v>0</v>
      </c>
      <c r="Q2044" s="65">
        <f>SUMIF(日報!$R:$R,TEXT(YEAR($Q$2),"0000")&amp;TEXT(MONTH($Q$2),"00")&amp;$O2044,日報!$L:$L)</f>
        <v>0</v>
      </c>
      <c r="R2044" s="65">
        <f ca="1">SUMIF(日報!$J:$J,$O2044,日報!$L:$L)</f>
        <v>0</v>
      </c>
    </row>
    <row r="2045" spans="15:18" x14ac:dyDescent="0.15">
      <c r="O2045" s="7" t="str">
        <f>"REQ"&amp;TEXT([2]RequestList!$A2046,"0000")</f>
        <v>REQ0000</v>
      </c>
      <c r="P2045" s="7">
        <f>[2]RequestList!$J2046</f>
        <v>0</v>
      </c>
      <c r="Q2045" s="65">
        <f>SUMIF(日報!$R:$R,TEXT(YEAR($Q$2),"0000")&amp;TEXT(MONTH($Q$2),"00")&amp;$O2045,日報!$L:$L)</f>
        <v>0</v>
      </c>
      <c r="R2045" s="65">
        <f ca="1">SUMIF(日報!$J:$J,$O2045,日報!$L:$L)</f>
        <v>0</v>
      </c>
    </row>
    <row r="2046" spans="15:18" x14ac:dyDescent="0.15">
      <c r="O2046" s="7" t="str">
        <f>"REQ"&amp;TEXT([2]RequestList!$A2047,"0000")</f>
        <v>REQ0000</v>
      </c>
      <c r="P2046" s="7">
        <f>[2]RequestList!$J2047</f>
        <v>0</v>
      </c>
      <c r="Q2046" s="65">
        <f>SUMIF(日報!$R:$R,TEXT(YEAR($Q$2),"0000")&amp;TEXT(MONTH($Q$2),"00")&amp;$O2046,日報!$L:$L)</f>
        <v>0</v>
      </c>
      <c r="R2046" s="65">
        <f ca="1">SUMIF(日報!$J:$J,$O2046,日報!$L:$L)</f>
        <v>0</v>
      </c>
    </row>
    <row r="2047" spans="15:18" x14ac:dyDescent="0.15">
      <c r="O2047" s="7" t="str">
        <f>"REQ"&amp;TEXT([2]RequestList!$A2048,"0000")</f>
        <v>REQ0000</v>
      </c>
      <c r="P2047" s="7">
        <f>[2]RequestList!$J2048</f>
        <v>0</v>
      </c>
      <c r="Q2047" s="65">
        <f>SUMIF(日報!$R:$R,TEXT(YEAR($Q$2),"0000")&amp;TEXT(MONTH($Q$2),"00")&amp;$O2047,日報!$L:$L)</f>
        <v>0</v>
      </c>
      <c r="R2047" s="65">
        <f ca="1">SUMIF(日報!$J:$J,$O2047,日報!$L:$L)</f>
        <v>0</v>
      </c>
    </row>
    <row r="2048" spans="15:18" x14ac:dyDescent="0.15">
      <c r="O2048" s="7" t="str">
        <f>"REQ"&amp;TEXT([2]RequestList!$A2049,"0000")</f>
        <v>REQ0000</v>
      </c>
      <c r="P2048" s="7">
        <f>[2]RequestList!$J2049</f>
        <v>0</v>
      </c>
      <c r="Q2048" s="65">
        <f>SUMIF(日報!$R:$R,TEXT(YEAR($Q$2),"0000")&amp;TEXT(MONTH($Q$2),"00")&amp;$O2048,日報!$L:$L)</f>
        <v>0</v>
      </c>
      <c r="R2048" s="65">
        <f ca="1">SUMIF(日報!$J:$J,$O2048,日報!$L:$L)</f>
        <v>0</v>
      </c>
    </row>
    <row r="2049" spans="15:18" x14ac:dyDescent="0.15">
      <c r="O2049" s="7" t="str">
        <f>"REQ"&amp;TEXT([2]RequestList!$A2050,"0000")</f>
        <v>REQ0000</v>
      </c>
      <c r="P2049" s="7">
        <f>[2]RequestList!$J2050</f>
        <v>0</v>
      </c>
      <c r="Q2049" s="65">
        <f>SUMIF(日報!$R:$R,TEXT(YEAR($Q$2),"0000")&amp;TEXT(MONTH($Q$2),"00")&amp;$O2049,日報!$L:$L)</f>
        <v>0</v>
      </c>
      <c r="R2049" s="65">
        <f ca="1">SUMIF(日報!$J:$J,$O2049,日報!$L:$L)</f>
        <v>0</v>
      </c>
    </row>
    <row r="2050" spans="15:18" x14ac:dyDescent="0.15">
      <c r="O2050" s="7" t="str">
        <f>"REQ"&amp;TEXT([2]RequestList!$A2051,"0000")</f>
        <v>REQ0000</v>
      </c>
      <c r="P2050" s="7">
        <f>[2]RequestList!$J2051</f>
        <v>0</v>
      </c>
      <c r="Q2050" s="65">
        <f>SUMIF(日報!$R:$R,TEXT(YEAR($Q$2),"0000")&amp;TEXT(MONTH($Q$2),"00")&amp;$O2050,日報!$L:$L)</f>
        <v>0</v>
      </c>
      <c r="R2050" s="65">
        <f ca="1">SUMIF(日報!$J:$J,$O2050,日報!$L:$L)</f>
        <v>0</v>
      </c>
    </row>
    <row r="2051" spans="15:18" x14ac:dyDescent="0.15">
      <c r="O2051" s="7" t="str">
        <f>"REQ"&amp;TEXT([2]RequestList!$A2052,"0000")</f>
        <v>REQ0000</v>
      </c>
      <c r="P2051" s="7">
        <f>[2]RequestList!$J2052</f>
        <v>0</v>
      </c>
      <c r="Q2051" s="65">
        <f>SUMIF(日報!$R:$R,TEXT(YEAR($Q$2),"0000")&amp;TEXT(MONTH($Q$2),"00")&amp;$O2051,日報!$L:$L)</f>
        <v>0</v>
      </c>
      <c r="R2051" s="65">
        <f ca="1">SUMIF(日報!$J:$J,$O2051,日報!$L:$L)</f>
        <v>0</v>
      </c>
    </row>
    <row r="2052" spans="15:18" x14ac:dyDescent="0.15">
      <c r="O2052" s="7" t="str">
        <f>"REQ"&amp;TEXT([2]RequestList!$A2053,"0000")</f>
        <v>REQ0000</v>
      </c>
      <c r="P2052" s="7">
        <f>[2]RequestList!$J2053</f>
        <v>0</v>
      </c>
      <c r="Q2052" s="65">
        <f>SUMIF(日報!$R:$R,TEXT(YEAR($Q$2),"0000")&amp;TEXT(MONTH($Q$2),"00")&amp;$O2052,日報!$L:$L)</f>
        <v>0</v>
      </c>
      <c r="R2052" s="65">
        <f ca="1">SUMIF(日報!$J:$J,$O2052,日報!$L:$L)</f>
        <v>0</v>
      </c>
    </row>
    <row r="2053" spans="15:18" x14ac:dyDescent="0.15">
      <c r="O2053" s="7" t="str">
        <f>"REQ"&amp;TEXT([2]RequestList!$A2054,"0000")</f>
        <v>REQ0000</v>
      </c>
      <c r="P2053" s="7">
        <f>[2]RequestList!$J2054</f>
        <v>0</v>
      </c>
      <c r="Q2053" s="65">
        <f>SUMIF(日報!$R:$R,TEXT(YEAR($Q$2),"0000")&amp;TEXT(MONTH($Q$2),"00")&amp;$O2053,日報!$L:$L)</f>
        <v>0</v>
      </c>
      <c r="R2053" s="65">
        <f ca="1">SUMIF(日報!$J:$J,$O2053,日報!$L:$L)</f>
        <v>0</v>
      </c>
    </row>
    <row r="2054" spans="15:18" x14ac:dyDescent="0.15">
      <c r="O2054" s="7" t="str">
        <f>"REQ"&amp;TEXT([2]RequestList!$A2055,"0000")</f>
        <v>REQ0000</v>
      </c>
      <c r="P2054" s="7">
        <f>[2]RequestList!$J2055</f>
        <v>0</v>
      </c>
      <c r="Q2054" s="65">
        <f>SUMIF(日報!$R:$R,TEXT(YEAR($Q$2),"0000")&amp;TEXT(MONTH($Q$2),"00")&amp;$O2054,日報!$L:$L)</f>
        <v>0</v>
      </c>
      <c r="R2054" s="65">
        <f ca="1">SUMIF(日報!$J:$J,$O2054,日報!$L:$L)</f>
        <v>0</v>
      </c>
    </row>
    <row r="2055" spans="15:18" x14ac:dyDescent="0.15">
      <c r="O2055" s="7" t="str">
        <f>"REQ"&amp;TEXT([2]RequestList!$A2056,"0000")</f>
        <v>REQ0000</v>
      </c>
      <c r="P2055" s="7">
        <f>[2]RequestList!$J2056</f>
        <v>0</v>
      </c>
      <c r="Q2055" s="65">
        <f>SUMIF(日報!$R:$R,TEXT(YEAR($Q$2),"0000")&amp;TEXT(MONTH($Q$2),"00")&amp;$O2055,日報!$L:$L)</f>
        <v>0</v>
      </c>
      <c r="R2055" s="65">
        <f ca="1">SUMIF(日報!$J:$J,$O2055,日報!$L:$L)</f>
        <v>0</v>
      </c>
    </row>
    <row r="2056" spans="15:18" x14ac:dyDescent="0.15">
      <c r="O2056" s="7" t="str">
        <f>"REQ"&amp;TEXT([2]RequestList!$A2057,"0000")</f>
        <v>REQ0000</v>
      </c>
      <c r="P2056" s="7">
        <f>[2]RequestList!$J2057</f>
        <v>0</v>
      </c>
      <c r="Q2056" s="65">
        <f>SUMIF(日報!$R:$R,TEXT(YEAR($Q$2),"0000")&amp;TEXT(MONTH($Q$2),"00")&amp;$O2056,日報!$L:$L)</f>
        <v>0</v>
      </c>
      <c r="R2056" s="65">
        <f ca="1">SUMIF(日報!$J:$J,$O2056,日報!$L:$L)</f>
        <v>0</v>
      </c>
    </row>
    <row r="2057" spans="15:18" x14ac:dyDescent="0.15">
      <c r="O2057" s="7" t="str">
        <f>"REQ"&amp;TEXT([2]RequestList!$A2058,"0000")</f>
        <v>REQ0000</v>
      </c>
      <c r="P2057" s="7">
        <f>[2]RequestList!$J2058</f>
        <v>0</v>
      </c>
      <c r="Q2057" s="65">
        <f>SUMIF(日報!$R:$R,TEXT(YEAR($Q$2),"0000")&amp;TEXT(MONTH($Q$2),"00")&amp;$O2057,日報!$L:$L)</f>
        <v>0</v>
      </c>
      <c r="R2057" s="65">
        <f ca="1">SUMIF(日報!$J:$J,$O2057,日報!$L:$L)</f>
        <v>0</v>
      </c>
    </row>
    <row r="2058" spans="15:18" x14ac:dyDescent="0.15">
      <c r="O2058" s="7" t="str">
        <f>"REQ"&amp;TEXT([2]RequestList!$A2059,"0000")</f>
        <v>REQ0000</v>
      </c>
      <c r="P2058" s="7">
        <f>[2]RequestList!$J2059</f>
        <v>0</v>
      </c>
      <c r="Q2058" s="65">
        <f>SUMIF(日報!$R:$R,TEXT(YEAR($Q$2),"0000")&amp;TEXT(MONTH($Q$2),"00")&amp;$O2058,日報!$L:$L)</f>
        <v>0</v>
      </c>
      <c r="R2058" s="65">
        <f ca="1">SUMIF(日報!$J:$J,$O2058,日報!$L:$L)</f>
        <v>0</v>
      </c>
    </row>
    <row r="2059" spans="15:18" x14ac:dyDescent="0.15">
      <c r="O2059" s="7" t="str">
        <f>"REQ"&amp;TEXT([2]RequestList!$A2060,"0000")</f>
        <v>REQ0000</v>
      </c>
      <c r="P2059" s="7">
        <f>[2]RequestList!$J2060</f>
        <v>0</v>
      </c>
      <c r="Q2059" s="65">
        <f>SUMIF(日報!$R:$R,TEXT(YEAR($Q$2),"0000")&amp;TEXT(MONTH($Q$2),"00")&amp;$O2059,日報!$L:$L)</f>
        <v>0</v>
      </c>
      <c r="R2059" s="65">
        <f ca="1">SUMIF(日報!$J:$J,$O2059,日報!$L:$L)</f>
        <v>0</v>
      </c>
    </row>
    <row r="2060" spans="15:18" x14ac:dyDescent="0.15">
      <c r="O2060" s="7" t="str">
        <f>"REQ"&amp;TEXT([2]RequestList!$A2061,"0000")</f>
        <v>REQ0000</v>
      </c>
      <c r="P2060" s="7">
        <f>[2]RequestList!$J2061</f>
        <v>0</v>
      </c>
      <c r="Q2060" s="65">
        <f>SUMIF(日報!$R:$R,TEXT(YEAR($Q$2),"0000")&amp;TEXT(MONTH($Q$2),"00")&amp;$O2060,日報!$L:$L)</f>
        <v>0</v>
      </c>
      <c r="R2060" s="65">
        <f ca="1">SUMIF(日報!$J:$J,$O2060,日報!$L:$L)</f>
        <v>0</v>
      </c>
    </row>
    <row r="2061" spans="15:18" x14ac:dyDescent="0.15">
      <c r="O2061" s="7" t="str">
        <f>"REQ"&amp;TEXT([2]RequestList!$A2062,"0000")</f>
        <v>REQ0000</v>
      </c>
      <c r="P2061" s="7">
        <f>[2]RequestList!$J2062</f>
        <v>0</v>
      </c>
      <c r="Q2061" s="65">
        <f>SUMIF(日報!$R:$R,TEXT(YEAR($Q$2),"0000")&amp;TEXT(MONTH($Q$2),"00")&amp;$O2061,日報!$L:$L)</f>
        <v>0</v>
      </c>
      <c r="R2061" s="65">
        <f ca="1">SUMIF(日報!$J:$J,$O2061,日報!$L:$L)</f>
        <v>0</v>
      </c>
    </row>
    <row r="2062" spans="15:18" x14ac:dyDescent="0.15">
      <c r="O2062" s="7" t="str">
        <f>"REQ"&amp;TEXT([2]RequestList!$A2063,"0000")</f>
        <v>REQ0000</v>
      </c>
      <c r="P2062" s="7">
        <f>[2]RequestList!$J2063</f>
        <v>0</v>
      </c>
      <c r="Q2062" s="65">
        <f>SUMIF(日報!$R:$R,TEXT(YEAR($Q$2),"0000")&amp;TEXT(MONTH($Q$2),"00")&amp;$O2062,日報!$L:$L)</f>
        <v>0</v>
      </c>
      <c r="R2062" s="65">
        <f ca="1">SUMIF(日報!$J:$J,$O2062,日報!$L:$L)</f>
        <v>0</v>
      </c>
    </row>
    <row r="2063" spans="15:18" x14ac:dyDescent="0.15">
      <c r="O2063" s="7" t="str">
        <f>"REQ"&amp;TEXT([2]RequestList!$A2064,"0000")</f>
        <v>REQ0000</v>
      </c>
      <c r="P2063" s="7">
        <f>[2]RequestList!$J2064</f>
        <v>0</v>
      </c>
      <c r="Q2063" s="65">
        <f>SUMIF(日報!$R:$R,TEXT(YEAR($Q$2),"0000")&amp;TEXT(MONTH($Q$2),"00")&amp;$O2063,日報!$L:$L)</f>
        <v>0</v>
      </c>
      <c r="R2063" s="65">
        <f ca="1">SUMIF(日報!$J:$J,$O2063,日報!$L:$L)</f>
        <v>0</v>
      </c>
    </row>
    <row r="2064" spans="15:18" x14ac:dyDescent="0.15">
      <c r="O2064" s="7" t="str">
        <f>"REQ"&amp;TEXT([2]RequestList!$A2065,"0000")</f>
        <v>REQ0000</v>
      </c>
      <c r="P2064" s="7">
        <f>[2]RequestList!$J2065</f>
        <v>0</v>
      </c>
      <c r="Q2064" s="65">
        <f>SUMIF(日報!$R:$R,TEXT(YEAR($Q$2),"0000")&amp;TEXT(MONTH($Q$2),"00")&amp;$O2064,日報!$L:$L)</f>
        <v>0</v>
      </c>
      <c r="R2064" s="65">
        <f ca="1">SUMIF(日報!$J:$J,$O2064,日報!$L:$L)</f>
        <v>0</v>
      </c>
    </row>
    <row r="2065" spans="15:18" x14ac:dyDescent="0.15">
      <c r="O2065" s="7" t="str">
        <f>"REQ"&amp;TEXT([2]RequestList!$A2066,"0000")</f>
        <v>REQ0000</v>
      </c>
      <c r="P2065" s="7">
        <f>[2]RequestList!$J2066</f>
        <v>0</v>
      </c>
      <c r="Q2065" s="65">
        <f>SUMIF(日報!$R:$R,TEXT(YEAR($Q$2),"0000")&amp;TEXT(MONTH($Q$2),"00")&amp;$O2065,日報!$L:$L)</f>
        <v>0</v>
      </c>
      <c r="R2065" s="65">
        <f ca="1">SUMIF(日報!$J:$J,$O2065,日報!$L:$L)</f>
        <v>0</v>
      </c>
    </row>
    <row r="2066" spans="15:18" x14ac:dyDescent="0.15">
      <c r="O2066" s="7" t="str">
        <f>"REQ"&amp;TEXT([2]RequestList!$A2067,"0000")</f>
        <v>REQ0000</v>
      </c>
      <c r="P2066" s="7">
        <f>[2]RequestList!$J2067</f>
        <v>0</v>
      </c>
      <c r="Q2066" s="65">
        <f>SUMIF(日報!$R:$R,TEXT(YEAR($Q$2),"0000")&amp;TEXT(MONTH($Q$2),"00")&amp;$O2066,日報!$L:$L)</f>
        <v>0</v>
      </c>
      <c r="R2066" s="65">
        <f ca="1">SUMIF(日報!$J:$J,$O2066,日報!$L:$L)</f>
        <v>0</v>
      </c>
    </row>
    <row r="2067" spans="15:18" x14ac:dyDescent="0.15">
      <c r="O2067" s="7" t="str">
        <f>"REQ"&amp;TEXT([2]RequestList!$A2068,"0000")</f>
        <v>REQ0000</v>
      </c>
      <c r="P2067" s="7">
        <f>[2]RequestList!$J2068</f>
        <v>0</v>
      </c>
      <c r="Q2067" s="65">
        <f>SUMIF(日報!$R:$R,TEXT(YEAR($Q$2),"0000")&amp;TEXT(MONTH($Q$2),"00")&amp;$O2067,日報!$L:$L)</f>
        <v>0</v>
      </c>
      <c r="R2067" s="65">
        <f ca="1">SUMIF(日報!$J:$J,$O2067,日報!$L:$L)</f>
        <v>0</v>
      </c>
    </row>
    <row r="2068" spans="15:18" x14ac:dyDescent="0.15">
      <c r="O2068" s="7" t="str">
        <f>"REQ"&amp;TEXT([2]RequestList!$A2069,"0000")</f>
        <v>REQ0000</v>
      </c>
      <c r="P2068" s="7">
        <f>[2]RequestList!$J2069</f>
        <v>0</v>
      </c>
      <c r="Q2068" s="65">
        <f>SUMIF(日報!$R:$R,TEXT(YEAR($Q$2),"0000")&amp;TEXT(MONTH($Q$2),"00")&amp;$O2068,日報!$L:$L)</f>
        <v>0</v>
      </c>
      <c r="R2068" s="65">
        <f ca="1">SUMIF(日報!$J:$J,$O2068,日報!$L:$L)</f>
        <v>0</v>
      </c>
    </row>
    <row r="2069" spans="15:18" x14ac:dyDescent="0.15">
      <c r="O2069" s="7" t="str">
        <f>"REQ"&amp;TEXT([2]RequestList!$A2070,"0000")</f>
        <v>REQ0000</v>
      </c>
      <c r="P2069" s="7">
        <f>[2]RequestList!$J2070</f>
        <v>0</v>
      </c>
      <c r="Q2069" s="65">
        <f>SUMIF(日報!$R:$R,TEXT(YEAR($Q$2),"0000")&amp;TEXT(MONTH($Q$2),"00")&amp;$O2069,日報!$L:$L)</f>
        <v>0</v>
      </c>
      <c r="R2069" s="65">
        <f ca="1">SUMIF(日報!$J:$J,$O2069,日報!$L:$L)</f>
        <v>0</v>
      </c>
    </row>
    <row r="2070" spans="15:18" x14ac:dyDescent="0.15">
      <c r="O2070" s="7" t="str">
        <f>"REQ"&amp;TEXT([2]RequestList!$A2071,"0000")</f>
        <v>REQ0000</v>
      </c>
      <c r="P2070" s="7">
        <f>[2]RequestList!$J2071</f>
        <v>0</v>
      </c>
      <c r="Q2070" s="65">
        <f>SUMIF(日報!$R:$R,TEXT(YEAR($Q$2),"0000")&amp;TEXT(MONTH($Q$2),"00")&amp;$O2070,日報!$L:$L)</f>
        <v>0</v>
      </c>
      <c r="R2070" s="65">
        <f ca="1">SUMIF(日報!$J:$J,$O2070,日報!$L:$L)</f>
        <v>0</v>
      </c>
    </row>
    <row r="2071" spans="15:18" x14ac:dyDescent="0.15">
      <c r="O2071" s="7" t="str">
        <f>"REQ"&amp;TEXT([2]RequestList!$A2072,"0000")</f>
        <v>REQ0000</v>
      </c>
      <c r="P2071" s="7">
        <f>[2]RequestList!$J2072</f>
        <v>0</v>
      </c>
      <c r="Q2071" s="65">
        <f>SUMIF(日報!$R:$R,TEXT(YEAR($Q$2),"0000")&amp;TEXT(MONTH($Q$2),"00")&amp;$O2071,日報!$L:$L)</f>
        <v>0</v>
      </c>
      <c r="R2071" s="65">
        <f ca="1">SUMIF(日報!$J:$J,$O2071,日報!$L:$L)</f>
        <v>0</v>
      </c>
    </row>
    <row r="2072" spans="15:18" x14ac:dyDescent="0.15">
      <c r="O2072" s="7" t="str">
        <f>"REQ"&amp;TEXT([2]RequestList!$A2073,"0000")</f>
        <v>REQ0000</v>
      </c>
      <c r="P2072" s="7">
        <f>[2]RequestList!$J2073</f>
        <v>0</v>
      </c>
      <c r="Q2072" s="65">
        <f>SUMIF(日報!$R:$R,TEXT(YEAR($Q$2),"0000")&amp;TEXT(MONTH($Q$2),"00")&amp;$O2072,日報!$L:$L)</f>
        <v>0</v>
      </c>
      <c r="R2072" s="65">
        <f ca="1">SUMIF(日報!$J:$J,$O2072,日報!$L:$L)</f>
        <v>0</v>
      </c>
    </row>
    <row r="2073" spans="15:18" x14ac:dyDescent="0.15">
      <c r="O2073" s="7" t="str">
        <f>"REQ"&amp;TEXT([2]RequestList!$A2074,"0000")</f>
        <v>REQ0000</v>
      </c>
      <c r="P2073" s="7">
        <f>[2]RequestList!$J2074</f>
        <v>0</v>
      </c>
      <c r="Q2073" s="65">
        <f>SUMIF(日報!$R:$R,TEXT(YEAR($Q$2),"0000")&amp;TEXT(MONTH($Q$2),"00")&amp;$O2073,日報!$L:$L)</f>
        <v>0</v>
      </c>
      <c r="R2073" s="65">
        <f ca="1">SUMIF(日報!$J:$J,$O2073,日報!$L:$L)</f>
        <v>0</v>
      </c>
    </row>
    <row r="2074" spans="15:18" x14ac:dyDescent="0.15">
      <c r="O2074" s="7" t="str">
        <f>"REQ"&amp;TEXT([2]RequestList!$A2075,"0000")</f>
        <v>REQ0000</v>
      </c>
      <c r="P2074" s="7">
        <f>[2]RequestList!$J2075</f>
        <v>0</v>
      </c>
      <c r="Q2074" s="65">
        <f>SUMIF(日報!$R:$R,TEXT(YEAR($Q$2),"0000")&amp;TEXT(MONTH($Q$2),"00")&amp;$O2074,日報!$L:$L)</f>
        <v>0</v>
      </c>
      <c r="R2074" s="65">
        <f ca="1">SUMIF(日報!$J:$J,$O2074,日報!$L:$L)</f>
        <v>0</v>
      </c>
    </row>
    <row r="2075" spans="15:18" x14ac:dyDescent="0.15">
      <c r="O2075" s="7" t="str">
        <f>"REQ"&amp;TEXT([2]RequestList!$A2076,"0000")</f>
        <v>REQ0000</v>
      </c>
      <c r="P2075" s="7">
        <f>[2]RequestList!$J2076</f>
        <v>0</v>
      </c>
      <c r="Q2075" s="65">
        <f>SUMIF(日報!$R:$R,TEXT(YEAR($Q$2),"0000")&amp;TEXT(MONTH($Q$2),"00")&amp;$O2075,日報!$L:$L)</f>
        <v>0</v>
      </c>
      <c r="R2075" s="65">
        <f ca="1">SUMIF(日報!$J:$J,$O2075,日報!$L:$L)</f>
        <v>0</v>
      </c>
    </row>
    <row r="2076" spans="15:18" x14ac:dyDescent="0.15">
      <c r="O2076" s="7" t="str">
        <f>"REQ"&amp;TEXT([2]RequestList!$A2077,"0000")</f>
        <v>REQ0000</v>
      </c>
      <c r="P2076" s="7">
        <f>[2]RequestList!$J2077</f>
        <v>0</v>
      </c>
      <c r="Q2076" s="65">
        <f>SUMIF(日報!$R:$R,TEXT(YEAR($Q$2),"0000")&amp;TEXT(MONTH($Q$2),"00")&amp;$O2076,日報!$L:$L)</f>
        <v>0</v>
      </c>
      <c r="R2076" s="65">
        <f ca="1">SUMIF(日報!$J:$J,$O2076,日報!$L:$L)</f>
        <v>0</v>
      </c>
    </row>
    <row r="2077" spans="15:18" x14ac:dyDescent="0.15">
      <c r="O2077" s="7" t="str">
        <f>"REQ"&amp;TEXT([2]RequestList!$A2078,"0000")</f>
        <v>REQ0000</v>
      </c>
      <c r="P2077" s="7">
        <f>[2]RequestList!$J2078</f>
        <v>0</v>
      </c>
      <c r="Q2077" s="65">
        <f>SUMIF(日報!$R:$R,TEXT(YEAR($Q$2),"0000")&amp;TEXT(MONTH($Q$2),"00")&amp;$O2077,日報!$L:$L)</f>
        <v>0</v>
      </c>
      <c r="R2077" s="65">
        <f ca="1">SUMIF(日報!$J:$J,$O2077,日報!$L:$L)</f>
        <v>0</v>
      </c>
    </row>
    <row r="2078" spans="15:18" x14ac:dyDescent="0.15">
      <c r="O2078" s="7" t="str">
        <f>"REQ"&amp;TEXT([2]RequestList!$A2079,"0000")</f>
        <v>REQ0000</v>
      </c>
      <c r="P2078" s="7">
        <f>[2]RequestList!$J2079</f>
        <v>0</v>
      </c>
      <c r="Q2078" s="65">
        <f>SUMIF(日報!$R:$R,TEXT(YEAR($Q$2),"0000")&amp;TEXT(MONTH($Q$2),"00")&amp;$O2078,日報!$L:$L)</f>
        <v>0</v>
      </c>
      <c r="R2078" s="65">
        <f ca="1">SUMIF(日報!$J:$J,$O2078,日報!$L:$L)</f>
        <v>0</v>
      </c>
    </row>
    <row r="2079" spans="15:18" x14ac:dyDescent="0.15">
      <c r="O2079" s="7" t="str">
        <f>"REQ"&amp;TEXT([2]RequestList!$A2080,"0000")</f>
        <v>REQ0000</v>
      </c>
      <c r="P2079" s="7">
        <f>[2]RequestList!$J2080</f>
        <v>0</v>
      </c>
      <c r="Q2079" s="65">
        <f>SUMIF(日報!$R:$R,TEXT(YEAR($Q$2),"0000")&amp;TEXT(MONTH($Q$2),"00")&amp;$O2079,日報!$L:$L)</f>
        <v>0</v>
      </c>
      <c r="R2079" s="65">
        <f ca="1">SUMIF(日報!$J:$J,$O2079,日報!$L:$L)</f>
        <v>0</v>
      </c>
    </row>
    <row r="2080" spans="15:18" x14ac:dyDescent="0.15">
      <c r="O2080" s="7" t="str">
        <f>"REQ"&amp;TEXT([2]RequestList!$A2081,"0000")</f>
        <v>REQ0000</v>
      </c>
      <c r="P2080" s="7">
        <f>[2]RequestList!$J2081</f>
        <v>0</v>
      </c>
      <c r="Q2080" s="65">
        <f>SUMIF(日報!$R:$R,TEXT(YEAR($Q$2),"0000")&amp;TEXT(MONTH($Q$2),"00")&amp;$O2080,日報!$L:$L)</f>
        <v>0</v>
      </c>
      <c r="R2080" s="65">
        <f ca="1">SUMIF(日報!$J:$J,$O2080,日報!$L:$L)</f>
        <v>0</v>
      </c>
    </row>
    <row r="2081" spans="15:18" x14ac:dyDescent="0.15">
      <c r="O2081" s="7" t="str">
        <f>"REQ"&amp;TEXT([2]RequestList!$A2082,"0000")</f>
        <v>REQ0000</v>
      </c>
      <c r="P2081" s="7">
        <f>[2]RequestList!$J2082</f>
        <v>0</v>
      </c>
      <c r="Q2081" s="65">
        <f>SUMIF(日報!$R:$R,TEXT(YEAR($Q$2),"0000")&amp;TEXT(MONTH($Q$2),"00")&amp;$O2081,日報!$L:$L)</f>
        <v>0</v>
      </c>
      <c r="R2081" s="65">
        <f ca="1">SUMIF(日報!$J:$J,$O2081,日報!$L:$L)</f>
        <v>0</v>
      </c>
    </row>
    <row r="2082" spans="15:18" x14ac:dyDescent="0.15">
      <c r="O2082" s="7" t="str">
        <f>"REQ"&amp;TEXT([2]RequestList!$A2083,"0000")</f>
        <v>REQ0000</v>
      </c>
      <c r="P2082" s="7">
        <f>[2]RequestList!$J2083</f>
        <v>0</v>
      </c>
      <c r="Q2082" s="65">
        <f>SUMIF(日報!$R:$R,TEXT(YEAR($Q$2),"0000")&amp;TEXT(MONTH($Q$2),"00")&amp;$O2082,日報!$L:$L)</f>
        <v>0</v>
      </c>
      <c r="R2082" s="65">
        <f ca="1">SUMIF(日報!$J:$J,$O2082,日報!$L:$L)</f>
        <v>0</v>
      </c>
    </row>
    <row r="2083" spans="15:18" x14ac:dyDescent="0.15">
      <c r="O2083" s="7" t="str">
        <f>"REQ"&amp;TEXT([2]RequestList!$A2084,"0000")</f>
        <v>REQ0000</v>
      </c>
      <c r="P2083" s="7">
        <f>[2]RequestList!$J2084</f>
        <v>0</v>
      </c>
      <c r="Q2083" s="65">
        <f>SUMIF(日報!$R:$R,TEXT(YEAR($Q$2),"0000")&amp;TEXT(MONTH($Q$2),"00")&amp;$O2083,日報!$L:$L)</f>
        <v>0</v>
      </c>
      <c r="R2083" s="65">
        <f ca="1">SUMIF(日報!$J:$J,$O2083,日報!$L:$L)</f>
        <v>0</v>
      </c>
    </row>
    <row r="2084" spans="15:18" x14ac:dyDescent="0.15">
      <c r="O2084" s="7" t="str">
        <f>"REQ"&amp;TEXT([2]RequestList!$A2085,"0000")</f>
        <v>REQ0000</v>
      </c>
      <c r="P2084" s="7">
        <f>[2]RequestList!$J2085</f>
        <v>0</v>
      </c>
      <c r="Q2084" s="65">
        <f>SUMIF(日報!$R:$R,TEXT(YEAR($Q$2),"0000")&amp;TEXT(MONTH($Q$2),"00")&amp;$O2084,日報!$L:$L)</f>
        <v>0</v>
      </c>
      <c r="R2084" s="65">
        <f ca="1">SUMIF(日報!$J:$J,$O2084,日報!$L:$L)</f>
        <v>0</v>
      </c>
    </row>
    <row r="2085" spans="15:18" x14ac:dyDescent="0.15">
      <c r="O2085" s="7" t="str">
        <f>"REQ"&amp;TEXT([2]RequestList!$A2086,"0000")</f>
        <v>REQ0000</v>
      </c>
      <c r="P2085" s="7">
        <f>[2]RequestList!$J2086</f>
        <v>0</v>
      </c>
      <c r="Q2085" s="65">
        <f>SUMIF(日報!$R:$R,TEXT(YEAR($Q$2),"0000")&amp;TEXT(MONTH($Q$2),"00")&amp;$O2085,日報!$L:$L)</f>
        <v>0</v>
      </c>
      <c r="R2085" s="65">
        <f ca="1">SUMIF(日報!$J:$J,$O2085,日報!$L:$L)</f>
        <v>0</v>
      </c>
    </row>
    <row r="2086" spans="15:18" x14ac:dyDescent="0.15">
      <c r="O2086" s="7" t="str">
        <f>"REQ"&amp;TEXT([2]RequestList!$A2087,"0000")</f>
        <v>REQ0000</v>
      </c>
      <c r="P2086" s="7">
        <f>[2]RequestList!$J2087</f>
        <v>0</v>
      </c>
      <c r="Q2086" s="65">
        <f>SUMIF(日報!$R:$R,TEXT(YEAR($Q$2),"0000")&amp;TEXT(MONTH($Q$2),"00")&amp;$O2086,日報!$L:$L)</f>
        <v>0</v>
      </c>
      <c r="R2086" s="65">
        <f ca="1">SUMIF(日報!$J:$J,$O2086,日報!$L:$L)</f>
        <v>0</v>
      </c>
    </row>
    <row r="2087" spans="15:18" x14ac:dyDescent="0.15">
      <c r="O2087" s="7" t="str">
        <f>"REQ"&amp;TEXT([2]RequestList!$A2088,"0000")</f>
        <v>REQ0000</v>
      </c>
      <c r="P2087" s="7">
        <f>[2]RequestList!$J2088</f>
        <v>0</v>
      </c>
      <c r="Q2087" s="65">
        <f>SUMIF(日報!$R:$R,TEXT(YEAR($Q$2),"0000")&amp;TEXT(MONTH($Q$2),"00")&amp;$O2087,日報!$L:$L)</f>
        <v>0</v>
      </c>
      <c r="R2087" s="65">
        <f ca="1">SUMIF(日報!$J:$J,$O2087,日報!$L:$L)</f>
        <v>0</v>
      </c>
    </row>
    <row r="2088" spans="15:18" x14ac:dyDescent="0.15">
      <c r="O2088" s="7" t="str">
        <f>"REQ"&amp;TEXT([2]RequestList!$A2089,"0000")</f>
        <v>REQ0000</v>
      </c>
      <c r="P2088" s="7">
        <f>[2]RequestList!$J2089</f>
        <v>0</v>
      </c>
      <c r="Q2088" s="65">
        <f>SUMIF(日報!$R:$R,TEXT(YEAR($Q$2),"0000")&amp;TEXT(MONTH($Q$2),"00")&amp;$O2088,日報!$L:$L)</f>
        <v>0</v>
      </c>
      <c r="R2088" s="65">
        <f ca="1">SUMIF(日報!$J:$J,$O2088,日報!$L:$L)</f>
        <v>0</v>
      </c>
    </row>
    <row r="2089" spans="15:18" x14ac:dyDescent="0.15">
      <c r="O2089" s="7" t="str">
        <f>"REQ"&amp;TEXT([2]RequestList!$A2090,"0000")</f>
        <v>REQ0000</v>
      </c>
      <c r="P2089" s="7">
        <f>[2]RequestList!$J2090</f>
        <v>0</v>
      </c>
      <c r="Q2089" s="65">
        <f>SUMIF(日報!$R:$R,TEXT(YEAR($Q$2),"0000")&amp;TEXT(MONTH($Q$2),"00")&amp;$O2089,日報!$L:$L)</f>
        <v>0</v>
      </c>
      <c r="R2089" s="65">
        <f ca="1">SUMIF(日報!$J:$J,$O2089,日報!$L:$L)</f>
        <v>0</v>
      </c>
    </row>
    <row r="2090" spans="15:18" x14ac:dyDescent="0.15">
      <c r="O2090" s="7" t="str">
        <f>"REQ"&amp;TEXT([2]RequestList!$A2091,"0000")</f>
        <v>REQ0000</v>
      </c>
      <c r="P2090" s="7">
        <f>[2]RequestList!$J2091</f>
        <v>0</v>
      </c>
      <c r="Q2090" s="65">
        <f>SUMIF(日報!$R:$R,TEXT(YEAR($Q$2),"0000")&amp;TEXT(MONTH($Q$2),"00")&amp;$O2090,日報!$L:$L)</f>
        <v>0</v>
      </c>
      <c r="R2090" s="65">
        <f ca="1">SUMIF(日報!$J:$J,$O2090,日報!$L:$L)</f>
        <v>0</v>
      </c>
    </row>
    <row r="2091" spans="15:18" x14ac:dyDescent="0.15">
      <c r="O2091" s="7" t="str">
        <f>"REQ"&amp;TEXT([2]RequestList!$A2092,"0000")</f>
        <v>REQ0000</v>
      </c>
      <c r="P2091" s="7">
        <f>[2]RequestList!$J2092</f>
        <v>0</v>
      </c>
      <c r="Q2091" s="65">
        <f>SUMIF(日報!$R:$R,TEXT(YEAR($Q$2),"0000")&amp;TEXT(MONTH($Q$2),"00")&amp;$O2091,日報!$L:$L)</f>
        <v>0</v>
      </c>
      <c r="R2091" s="65">
        <f ca="1">SUMIF(日報!$J:$J,$O2091,日報!$L:$L)</f>
        <v>0</v>
      </c>
    </row>
    <row r="2092" spans="15:18" x14ac:dyDescent="0.15">
      <c r="O2092" s="7" t="str">
        <f>"REQ"&amp;TEXT([2]RequestList!$A2093,"0000")</f>
        <v>REQ0000</v>
      </c>
      <c r="P2092" s="7">
        <f>[2]RequestList!$J2093</f>
        <v>0</v>
      </c>
      <c r="Q2092" s="65">
        <f>SUMIF(日報!$R:$R,TEXT(YEAR($Q$2),"0000")&amp;TEXT(MONTH($Q$2),"00")&amp;$O2092,日報!$L:$L)</f>
        <v>0</v>
      </c>
      <c r="R2092" s="65">
        <f ca="1">SUMIF(日報!$J:$J,$O2092,日報!$L:$L)</f>
        <v>0</v>
      </c>
    </row>
    <row r="2093" spans="15:18" x14ac:dyDescent="0.15">
      <c r="O2093" s="7" t="str">
        <f>"REQ"&amp;TEXT([2]RequestList!$A2094,"0000")</f>
        <v>REQ0000</v>
      </c>
      <c r="P2093" s="7">
        <f>[2]RequestList!$J2094</f>
        <v>0</v>
      </c>
      <c r="Q2093" s="65">
        <f>SUMIF(日報!$R:$R,TEXT(YEAR($Q$2),"0000")&amp;TEXT(MONTH($Q$2),"00")&amp;$O2093,日報!$L:$L)</f>
        <v>0</v>
      </c>
      <c r="R2093" s="65">
        <f ca="1">SUMIF(日報!$J:$J,$O2093,日報!$L:$L)</f>
        <v>0</v>
      </c>
    </row>
    <row r="2094" spans="15:18" x14ac:dyDescent="0.15">
      <c r="O2094" s="7" t="str">
        <f>"REQ"&amp;TEXT([2]RequestList!$A2095,"0000")</f>
        <v>REQ0000</v>
      </c>
      <c r="P2094" s="7">
        <f>[2]RequestList!$J2095</f>
        <v>0</v>
      </c>
      <c r="Q2094" s="65">
        <f>SUMIF(日報!$R:$R,TEXT(YEAR($Q$2),"0000")&amp;TEXT(MONTH($Q$2),"00")&amp;$O2094,日報!$L:$L)</f>
        <v>0</v>
      </c>
      <c r="R2094" s="65">
        <f ca="1">SUMIF(日報!$J:$J,$O2094,日報!$L:$L)</f>
        <v>0</v>
      </c>
    </row>
    <row r="2095" spans="15:18" x14ac:dyDescent="0.15">
      <c r="O2095" s="7" t="str">
        <f>"REQ"&amp;TEXT([2]RequestList!$A2096,"0000")</f>
        <v>REQ0000</v>
      </c>
      <c r="P2095" s="7">
        <f>[2]RequestList!$J2096</f>
        <v>0</v>
      </c>
      <c r="Q2095" s="65">
        <f>SUMIF(日報!$R:$R,TEXT(YEAR($Q$2),"0000")&amp;TEXT(MONTH($Q$2),"00")&amp;$O2095,日報!$L:$L)</f>
        <v>0</v>
      </c>
      <c r="R2095" s="65">
        <f ca="1">SUMIF(日報!$J:$J,$O2095,日報!$L:$L)</f>
        <v>0</v>
      </c>
    </row>
    <row r="2096" spans="15:18" x14ac:dyDescent="0.15">
      <c r="O2096" s="7" t="str">
        <f>"REQ"&amp;TEXT([2]RequestList!$A2097,"0000")</f>
        <v>REQ0000</v>
      </c>
      <c r="P2096" s="7">
        <f>[2]RequestList!$J2097</f>
        <v>0</v>
      </c>
      <c r="Q2096" s="65">
        <f>SUMIF(日報!$R:$R,TEXT(YEAR($Q$2),"0000")&amp;TEXT(MONTH($Q$2),"00")&amp;$O2096,日報!$L:$L)</f>
        <v>0</v>
      </c>
      <c r="R2096" s="65">
        <f ca="1">SUMIF(日報!$J:$J,$O2096,日報!$L:$L)</f>
        <v>0</v>
      </c>
    </row>
    <row r="2097" spans="15:18" x14ac:dyDescent="0.15">
      <c r="O2097" s="7" t="str">
        <f>"REQ"&amp;TEXT([2]RequestList!$A2098,"0000")</f>
        <v>REQ0000</v>
      </c>
      <c r="P2097" s="7">
        <f>[2]RequestList!$J2098</f>
        <v>0</v>
      </c>
      <c r="Q2097" s="65">
        <f>SUMIF(日報!$R:$R,TEXT(YEAR($Q$2),"0000")&amp;TEXT(MONTH($Q$2),"00")&amp;$O2097,日報!$L:$L)</f>
        <v>0</v>
      </c>
      <c r="R2097" s="65">
        <f ca="1">SUMIF(日報!$J:$J,$O2097,日報!$L:$L)</f>
        <v>0</v>
      </c>
    </row>
    <row r="2098" spans="15:18" x14ac:dyDescent="0.15">
      <c r="O2098" s="7" t="str">
        <f>"REQ"&amp;TEXT([2]RequestList!$A2099,"0000")</f>
        <v>REQ0000</v>
      </c>
      <c r="P2098" s="7">
        <f>[2]RequestList!$J2099</f>
        <v>0</v>
      </c>
      <c r="Q2098" s="65">
        <f>SUMIF(日報!$R:$R,TEXT(YEAR($Q$2),"0000")&amp;TEXT(MONTH($Q$2),"00")&amp;$O2098,日報!$L:$L)</f>
        <v>0</v>
      </c>
      <c r="R2098" s="65">
        <f ca="1">SUMIF(日報!$J:$J,$O2098,日報!$L:$L)</f>
        <v>0</v>
      </c>
    </row>
    <row r="2099" spans="15:18" x14ac:dyDescent="0.15">
      <c r="O2099" s="7" t="str">
        <f>"REQ"&amp;TEXT([2]RequestList!$A2100,"0000")</f>
        <v>REQ0000</v>
      </c>
      <c r="P2099" s="7">
        <f>[2]RequestList!$J2100</f>
        <v>0</v>
      </c>
      <c r="Q2099" s="65">
        <f>SUMIF(日報!$R:$R,TEXT(YEAR($Q$2),"0000")&amp;TEXT(MONTH($Q$2),"00")&amp;$O2099,日報!$L:$L)</f>
        <v>0</v>
      </c>
      <c r="R2099" s="65">
        <f ca="1">SUMIF(日報!$J:$J,$O2099,日報!$L:$L)</f>
        <v>0</v>
      </c>
    </row>
    <row r="2100" spans="15:18" x14ac:dyDescent="0.15">
      <c r="O2100" s="7" t="str">
        <f>"REQ"&amp;TEXT([2]RequestList!$A2101,"0000")</f>
        <v>REQ0000</v>
      </c>
      <c r="P2100" s="7">
        <f>[2]RequestList!$J2101</f>
        <v>0</v>
      </c>
      <c r="Q2100" s="65">
        <f>SUMIF(日報!$R:$R,TEXT(YEAR($Q$2),"0000")&amp;TEXT(MONTH($Q$2),"00")&amp;$O2100,日報!$L:$L)</f>
        <v>0</v>
      </c>
      <c r="R2100" s="65">
        <f ca="1">SUMIF(日報!$J:$J,$O2100,日報!$L:$L)</f>
        <v>0</v>
      </c>
    </row>
    <row r="2101" spans="15:18" x14ac:dyDescent="0.15">
      <c r="O2101" s="7" t="str">
        <f>"REQ"&amp;TEXT([2]RequestList!$A2102,"0000")</f>
        <v>REQ0000</v>
      </c>
      <c r="P2101" s="7">
        <f>[2]RequestList!$J2102</f>
        <v>0</v>
      </c>
      <c r="Q2101" s="65">
        <f>SUMIF(日報!$R:$R,TEXT(YEAR($Q$2),"0000")&amp;TEXT(MONTH($Q$2),"00")&amp;$O2101,日報!$L:$L)</f>
        <v>0</v>
      </c>
      <c r="R2101" s="65">
        <f ca="1">SUMIF(日報!$J:$J,$O2101,日報!$L:$L)</f>
        <v>0</v>
      </c>
    </row>
    <row r="2102" spans="15:18" x14ac:dyDescent="0.15">
      <c r="O2102" s="7" t="str">
        <f>"REQ"&amp;TEXT([2]RequestList!$A2103,"0000")</f>
        <v>REQ0000</v>
      </c>
      <c r="P2102" s="7">
        <f>[2]RequestList!$J2103</f>
        <v>0</v>
      </c>
      <c r="Q2102" s="65">
        <f>SUMIF(日報!$R:$R,TEXT(YEAR($Q$2),"0000")&amp;TEXT(MONTH($Q$2),"00")&amp;$O2102,日報!$L:$L)</f>
        <v>0</v>
      </c>
      <c r="R2102" s="65">
        <f ca="1">SUMIF(日報!$J:$J,$O2102,日報!$L:$L)</f>
        <v>0</v>
      </c>
    </row>
    <row r="2103" spans="15:18" x14ac:dyDescent="0.15">
      <c r="O2103" s="7" t="str">
        <f>"REQ"&amp;TEXT([2]RequestList!$A2104,"0000")</f>
        <v>REQ0000</v>
      </c>
      <c r="P2103" s="7">
        <f>[2]RequestList!$J2104</f>
        <v>0</v>
      </c>
      <c r="Q2103" s="65">
        <f>SUMIF(日報!$R:$R,TEXT(YEAR($Q$2),"0000")&amp;TEXT(MONTH($Q$2),"00")&amp;$O2103,日報!$L:$L)</f>
        <v>0</v>
      </c>
      <c r="R2103" s="65">
        <f ca="1">SUMIF(日報!$J:$J,$O2103,日報!$L:$L)</f>
        <v>0</v>
      </c>
    </row>
    <row r="2104" spans="15:18" x14ac:dyDescent="0.15">
      <c r="O2104" s="7" t="str">
        <f>"REQ"&amp;TEXT([2]RequestList!$A2105,"0000")</f>
        <v>REQ0000</v>
      </c>
      <c r="P2104" s="7">
        <f>[2]RequestList!$J2105</f>
        <v>0</v>
      </c>
      <c r="Q2104" s="65">
        <f>SUMIF(日報!$R:$R,TEXT(YEAR($Q$2),"0000")&amp;TEXT(MONTH($Q$2),"00")&amp;$O2104,日報!$L:$L)</f>
        <v>0</v>
      </c>
      <c r="R2104" s="65">
        <f ca="1">SUMIF(日報!$J:$J,$O2104,日報!$L:$L)</f>
        <v>0</v>
      </c>
    </row>
    <row r="2105" spans="15:18" x14ac:dyDescent="0.15">
      <c r="O2105" s="7" t="str">
        <f>"REQ"&amp;TEXT([2]RequestList!$A2106,"0000")</f>
        <v>REQ0000</v>
      </c>
      <c r="P2105" s="7">
        <f>[2]RequestList!$J2106</f>
        <v>0</v>
      </c>
      <c r="Q2105" s="65">
        <f>SUMIF(日報!$R:$R,TEXT(YEAR($Q$2),"0000")&amp;TEXT(MONTH($Q$2),"00")&amp;$O2105,日報!$L:$L)</f>
        <v>0</v>
      </c>
      <c r="R2105" s="65">
        <f ca="1">SUMIF(日報!$J:$J,$O2105,日報!$L:$L)</f>
        <v>0</v>
      </c>
    </row>
    <row r="2106" spans="15:18" x14ac:dyDescent="0.15">
      <c r="O2106" s="7" t="str">
        <f>"REQ"&amp;TEXT([2]RequestList!$A2107,"0000")</f>
        <v>REQ0000</v>
      </c>
      <c r="P2106" s="7">
        <f>[2]RequestList!$J2107</f>
        <v>0</v>
      </c>
      <c r="Q2106" s="65">
        <f>SUMIF(日報!$R:$R,TEXT(YEAR($Q$2),"0000")&amp;TEXT(MONTH($Q$2),"00")&amp;$O2106,日報!$L:$L)</f>
        <v>0</v>
      </c>
      <c r="R2106" s="65">
        <f ca="1">SUMIF(日報!$J:$J,$O2106,日報!$L:$L)</f>
        <v>0</v>
      </c>
    </row>
    <row r="2107" spans="15:18" x14ac:dyDescent="0.15">
      <c r="O2107" s="7" t="str">
        <f>"REQ"&amp;TEXT([2]RequestList!$A2108,"0000")</f>
        <v>REQ0000</v>
      </c>
      <c r="P2107" s="7">
        <f>[2]RequestList!$J2108</f>
        <v>0</v>
      </c>
      <c r="Q2107" s="65">
        <f>SUMIF(日報!$R:$R,TEXT(YEAR($Q$2),"0000")&amp;TEXT(MONTH($Q$2),"00")&amp;$O2107,日報!$L:$L)</f>
        <v>0</v>
      </c>
      <c r="R2107" s="65">
        <f ca="1">SUMIF(日報!$J:$J,$O2107,日報!$L:$L)</f>
        <v>0</v>
      </c>
    </row>
    <row r="2108" spans="15:18" x14ac:dyDescent="0.15">
      <c r="O2108" s="7" t="str">
        <f>"REQ"&amp;TEXT([2]RequestList!$A2109,"0000")</f>
        <v>REQ0000</v>
      </c>
      <c r="P2108" s="7">
        <f>[2]RequestList!$J2109</f>
        <v>0</v>
      </c>
      <c r="Q2108" s="65">
        <f>SUMIF(日報!$R:$R,TEXT(YEAR($Q$2),"0000")&amp;TEXT(MONTH($Q$2),"00")&amp;$O2108,日報!$L:$L)</f>
        <v>0</v>
      </c>
      <c r="R2108" s="65">
        <f ca="1">SUMIF(日報!$J:$J,$O2108,日報!$L:$L)</f>
        <v>0</v>
      </c>
    </row>
    <row r="2109" spans="15:18" x14ac:dyDescent="0.15">
      <c r="O2109" s="7" t="str">
        <f>"REQ"&amp;TEXT([2]RequestList!$A2110,"0000")</f>
        <v>REQ0000</v>
      </c>
      <c r="P2109" s="7">
        <f>[2]RequestList!$J2110</f>
        <v>0</v>
      </c>
      <c r="Q2109" s="65">
        <f>SUMIF(日報!$R:$R,TEXT(YEAR($Q$2),"0000")&amp;TEXT(MONTH($Q$2),"00")&amp;$O2109,日報!$L:$L)</f>
        <v>0</v>
      </c>
      <c r="R2109" s="65">
        <f ca="1">SUMIF(日報!$J:$J,$O2109,日報!$L:$L)</f>
        <v>0</v>
      </c>
    </row>
    <row r="2110" spans="15:18" x14ac:dyDescent="0.15">
      <c r="O2110" s="7" t="str">
        <f>"REQ"&amp;TEXT([2]RequestList!$A2111,"0000")</f>
        <v>REQ0000</v>
      </c>
      <c r="P2110" s="7">
        <f>[2]RequestList!$J2111</f>
        <v>0</v>
      </c>
      <c r="Q2110" s="65">
        <f>SUMIF(日報!$R:$R,TEXT(YEAR($Q$2),"0000")&amp;TEXT(MONTH($Q$2),"00")&amp;$O2110,日報!$L:$L)</f>
        <v>0</v>
      </c>
      <c r="R2110" s="65">
        <f ca="1">SUMIF(日報!$J:$J,$O2110,日報!$L:$L)</f>
        <v>0</v>
      </c>
    </row>
    <row r="2111" spans="15:18" x14ac:dyDescent="0.15">
      <c r="O2111" s="7" t="str">
        <f>"REQ"&amp;TEXT([2]RequestList!$A2112,"0000")</f>
        <v>REQ0000</v>
      </c>
      <c r="P2111" s="7">
        <f>[2]RequestList!$J2112</f>
        <v>0</v>
      </c>
      <c r="Q2111" s="65">
        <f>SUMIF(日報!$R:$R,TEXT(YEAR($Q$2),"0000")&amp;TEXT(MONTH($Q$2),"00")&amp;$O2111,日報!$L:$L)</f>
        <v>0</v>
      </c>
      <c r="R2111" s="65">
        <f ca="1">SUMIF(日報!$J:$J,$O2111,日報!$L:$L)</f>
        <v>0</v>
      </c>
    </row>
    <row r="2112" spans="15:18" x14ac:dyDescent="0.15">
      <c r="O2112" s="7" t="str">
        <f>"REQ"&amp;TEXT([2]RequestList!$A2113,"0000")</f>
        <v>REQ0000</v>
      </c>
      <c r="P2112" s="7">
        <f>[2]RequestList!$J2113</f>
        <v>0</v>
      </c>
      <c r="Q2112" s="65">
        <f>SUMIF(日報!$R:$R,TEXT(YEAR($Q$2),"0000")&amp;TEXT(MONTH($Q$2),"00")&amp;$O2112,日報!$L:$L)</f>
        <v>0</v>
      </c>
      <c r="R2112" s="65">
        <f ca="1">SUMIF(日報!$J:$J,$O2112,日報!$L:$L)</f>
        <v>0</v>
      </c>
    </row>
    <row r="2113" spans="15:18" x14ac:dyDescent="0.15">
      <c r="O2113" s="7" t="str">
        <f>"REQ"&amp;TEXT([2]RequestList!$A2114,"0000")</f>
        <v>REQ0000</v>
      </c>
      <c r="P2113" s="7">
        <f>[2]RequestList!$J2114</f>
        <v>0</v>
      </c>
      <c r="Q2113" s="65">
        <f>SUMIF(日報!$R:$R,TEXT(YEAR($Q$2),"0000")&amp;TEXT(MONTH($Q$2),"00")&amp;$O2113,日報!$L:$L)</f>
        <v>0</v>
      </c>
      <c r="R2113" s="65">
        <f ca="1">SUMIF(日報!$J:$J,$O2113,日報!$L:$L)</f>
        <v>0</v>
      </c>
    </row>
    <row r="2114" spans="15:18" x14ac:dyDescent="0.15">
      <c r="O2114" s="7" t="str">
        <f>"REQ"&amp;TEXT([2]RequestList!$A2115,"0000")</f>
        <v>REQ0000</v>
      </c>
      <c r="P2114" s="7">
        <f>[2]RequestList!$J2115</f>
        <v>0</v>
      </c>
      <c r="Q2114" s="65">
        <f>SUMIF(日報!$R:$R,TEXT(YEAR($Q$2),"0000")&amp;TEXT(MONTH($Q$2),"00")&amp;$O2114,日報!$L:$L)</f>
        <v>0</v>
      </c>
      <c r="R2114" s="65">
        <f ca="1">SUMIF(日報!$J:$J,$O2114,日報!$L:$L)</f>
        <v>0</v>
      </c>
    </row>
    <row r="2115" spans="15:18" x14ac:dyDescent="0.15">
      <c r="O2115" s="7" t="str">
        <f>"REQ"&amp;TEXT([2]RequestList!$A2116,"0000")</f>
        <v>REQ0000</v>
      </c>
      <c r="P2115" s="7">
        <f>[2]RequestList!$J2116</f>
        <v>0</v>
      </c>
      <c r="Q2115" s="65">
        <f>SUMIF(日報!$R:$R,TEXT(YEAR($Q$2),"0000")&amp;TEXT(MONTH($Q$2),"00")&amp;$O2115,日報!$L:$L)</f>
        <v>0</v>
      </c>
      <c r="R2115" s="65">
        <f ca="1">SUMIF(日報!$J:$J,$O2115,日報!$L:$L)</f>
        <v>0</v>
      </c>
    </row>
    <row r="2116" spans="15:18" x14ac:dyDescent="0.15">
      <c r="O2116" s="7" t="str">
        <f>"REQ"&amp;TEXT([2]RequestList!$A2117,"0000")</f>
        <v>REQ0000</v>
      </c>
      <c r="P2116" s="7">
        <f>[2]RequestList!$J2117</f>
        <v>0</v>
      </c>
      <c r="Q2116" s="65">
        <f>SUMIF(日報!$R:$R,TEXT(YEAR($Q$2),"0000")&amp;TEXT(MONTH($Q$2),"00")&amp;$O2116,日報!$L:$L)</f>
        <v>0</v>
      </c>
      <c r="R2116" s="65">
        <f ca="1">SUMIF(日報!$J:$J,$O2116,日報!$L:$L)</f>
        <v>0</v>
      </c>
    </row>
    <row r="2117" spans="15:18" x14ac:dyDescent="0.15">
      <c r="O2117" s="7" t="str">
        <f>"REQ"&amp;TEXT([2]RequestList!$A2118,"0000")</f>
        <v>REQ0000</v>
      </c>
      <c r="P2117" s="7">
        <f>[2]RequestList!$J2118</f>
        <v>0</v>
      </c>
      <c r="Q2117" s="65">
        <f>SUMIF(日報!$R:$R,TEXT(YEAR($Q$2),"0000")&amp;TEXT(MONTH($Q$2),"00")&amp;$O2117,日報!$L:$L)</f>
        <v>0</v>
      </c>
      <c r="R2117" s="65">
        <f ca="1">SUMIF(日報!$J:$J,$O2117,日報!$L:$L)</f>
        <v>0</v>
      </c>
    </row>
    <row r="2118" spans="15:18" x14ac:dyDescent="0.15">
      <c r="O2118" s="7" t="str">
        <f>"REQ"&amp;TEXT([2]RequestList!$A2119,"0000")</f>
        <v>REQ0000</v>
      </c>
      <c r="P2118" s="7">
        <f>[2]RequestList!$J2119</f>
        <v>0</v>
      </c>
      <c r="Q2118" s="65">
        <f>SUMIF(日報!$R:$R,TEXT(YEAR($Q$2),"0000")&amp;TEXT(MONTH($Q$2),"00")&amp;$O2118,日報!$L:$L)</f>
        <v>0</v>
      </c>
      <c r="R2118" s="65">
        <f ca="1">SUMIF(日報!$J:$J,$O2118,日報!$L:$L)</f>
        <v>0</v>
      </c>
    </row>
    <row r="2119" spans="15:18" x14ac:dyDescent="0.15">
      <c r="O2119" s="7" t="str">
        <f>"REQ"&amp;TEXT([2]RequestList!$A2120,"0000")</f>
        <v>REQ0000</v>
      </c>
      <c r="P2119" s="7">
        <f>[2]RequestList!$J2120</f>
        <v>0</v>
      </c>
      <c r="Q2119" s="65">
        <f>SUMIF(日報!$R:$R,TEXT(YEAR($Q$2),"0000")&amp;TEXT(MONTH($Q$2),"00")&amp;$O2119,日報!$L:$L)</f>
        <v>0</v>
      </c>
      <c r="R2119" s="65">
        <f ca="1">SUMIF(日報!$J:$J,$O2119,日報!$L:$L)</f>
        <v>0</v>
      </c>
    </row>
    <row r="2120" spans="15:18" x14ac:dyDescent="0.15">
      <c r="O2120" s="7" t="str">
        <f>"REQ"&amp;TEXT([2]RequestList!$A2121,"0000")</f>
        <v>REQ0000</v>
      </c>
      <c r="P2120" s="7">
        <f>[2]RequestList!$J2121</f>
        <v>0</v>
      </c>
      <c r="Q2120" s="65">
        <f>SUMIF(日報!$R:$R,TEXT(YEAR($Q$2),"0000")&amp;TEXT(MONTH($Q$2),"00")&amp;$O2120,日報!$L:$L)</f>
        <v>0</v>
      </c>
      <c r="R2120" s="65">
        <f ca="1">SUMIF(日報!$J:$J,$O2120,日報!$L:$L)</f>
        <v>0</v>
      </c>
    </row>
    <row r="2121" spans="15:18" x14ac:dyDescent="0.15">
      <c r="O2121" s="7" t="str">
        <f>"REQ"&amp;TEXT([2]RequestList!$A2122,"0000")</f>
        <v>REQ0000</v>
      </c>
      <c r="P2121" s="7">
        <f>[2]RequestList!$J2122</f>
        <v>0</v>
      </c>
      <c r="Q2121" s="65">
        <f>SUMIF(日報!$R:$R,TEXT(YEAR($Q$2),"0000")&amp;TEXT(MONTH($Q$2),"00")&amp;$O2121,日報!$L:$L)</f>
        <v>0</v>
      </c>
      <c r="R2121" s="65">
        <f ca="1">SUMIF(日報!$J:$J,$O2121,日報!$L:$L)</f>
        <v>0</v>
      </c>
    </row>
    <row r="2122" spans="15:18" x14ac:dyDescent="0.15">
      <c r="O2122" s="7" t="str">
        <f>"REQ"&amp;TEXT([2]RequestList!$A2123,"0000")</f>
        <v>REQ0000</v>
      </c>
      <c r="P2122" s="7">
        <f>[2]RequestList!$J2123</f>
        <v>0</v>
      </c>
      <c r="Q2122" s="65">
        <f>SUMIF(日報!$R:$R,TEXT(YEAR($Q$2),"0000")&amp;TEXT(MONTH($Q$2),"00")&amp;$O2122,日報!$L:$L)</f>
        <v>0</v>
      </c>
      <c r="R2122" s="65">
        <f ca="1">SUMIF(日報!$J:$J,$O2122,日報!$L:$L)</f>
        <v>0</v>
      </c>
    </row>
    <row r="2123" spans="15:18" x14ac:dyDescent="0.15">
      <c r="O2123" s="7" t="str">
        <f>"REQ"&amp;TEXT([2]RequestList!$A2124,"0000")</f>
        <v>REQ0000</v>
      </c>
      <c r="P2123" s="7">
        <f>[2]RequestList!$J2124</f>
        <v>0</v>
      </c>
      <c r="Q2123" s="65">
        <f>SUMIF(日報!$R:$R,TEXT(YEAR($Q$2),"0000")&amp;TEXT(MONTH($Q$2),"00")&amp;$O2123,日報!$L:$L)</f>
        <v>0</v>
      </c>
      <c r="R2123" s="65">
        <f ca="1">SUMIF(日報!$J:$J,$O2123,日報!$L:$L)</f>
        <v>0</v>
      </c>
    </row>
    <row r="2124" spans="15:18" x14ac:dyDescent="0.15">
      <c r="O2124" s="7" t="str">
        <f>"REQ"&amp;TEXT([2]RequestList!$A2125,"0000")</f>
        <v>REQ0000</v>
      </c>
      <c r="P2124" s="7">
        <f>[2]RequestList!$J2125</f>
        <v>0</v>
      </c>
      <c r="Q2124" s="65">
        <f>SUMIF(日報!$R:$R,TEXT(YEAR($Q$2),"0000")&amp;TEXT(MONTH($Q$2),"00")&amp;$O2124,日報!$L:$L)</f>
        <v>0</v>
      </c>
      <c r="R2124" s="65">
        <f ca="1">SUMIF(日報!$J:$J,$O2124,日報!$L:$L)</f>
        <v>0</v>
      </c>
    </row>
    <row r="2125" spans="15:18" x14ac:dyDescent="0.15">
      <c r="O2125" s="7" t="str">
        <f>"REQ"&amp;TEXT([2]RequestList!$A2126,"0000")</f>
        <v>REQ0000</v>
      </c>
      <c r="P2125" s="7">
        <f>[2]RequestList!$J2126</f>
        <v>0</v>
      </c>
      <c r="Q2125" s="65">
        <f>SUMIF(日報!$R:$R,TEXT(YEAR($Q$2),"0000")&amp;TEXT(MONTH($Q$2),"00")&amp;$O2125,日報!$L:$L)</f>
        <v>0</v>
      </c>
      <c r="R2125" s="65">
        <f ca="1">SUMIF(日報!$J:$J,$O2125,日報!$L:$L)</f>
        <v>0</v>
      </c>
    </row>
    <row r="2126" spans="15:18" x14ac:dyDescent="0.15">
      <c r="O2126" s="7" t="str">
        <f>"REQ"&amp;TEXT([2]RequestList!$A2127,"0000")</f>
        <v>REQ0000</v>
      </c>
      <c r="P2126" s="7">
        <f>[2]RequestList!$J2127</f>
        <v>0</v>
      </c>
      <c r="Q2126" s="65">
        <f>SUMIF(日報!$R:$R,TEXT(YEAR($Q$2),"0000")&amp;TEXT(MONTH($Q$2),"00")&amp;$O2126,日報!$L:$L)</f>
        <v>0</v>
      </c>
      <c r="R2126" s="65">
        <f ca="1">SUMIF(日報!$J:$J,$O2126,日報!$L:$L)</f>
        <v>0</v>
      </c>
    </row>
    <row r="2127" spans="15:18" x14ac:dyDescent="0.15">
      <c r="O2127" s="7" t="str">
        <f>"REQ"&amp;TEXT([2]RequestList!$A2128,"0000")</f>
        <v>REQ0000</v>
      </c>
      <c r="P2127" s="7">
        <f>[2]RequestList!$J2128</f>
        <v>0</v>
      </c>
      <c r="Q2127" s="65">
        <f>SUMIF(日報!$R:$R,TEXT(YEAR($Q$2),"0000")&amp;TEXT(MONTH($Q$2),"00")&amp;$O2127,日報!$L:$L)</f>
        <v>0</v>
      </c>
      <c r="R2127" s="65">
        <f ca="1">SUMIF(日報!$J:$J,$O2127,日報!$L:$L)</f>
        <v>0</v>
      </c>
    </row>
    <row r="2128" spans="15:18" x14ac:dyDescent="0.15">
      <c r="O2128" s="7" t="str">
        <f>"REQ"&amp;TEXT([2]RequestList!$A2129,"0000")</f>
        <v>REQ0000</v>
      </c>
      <c r="P2128" s="7">
        <f>[2]RequestList!$J2129</f>
        <v>0</v>
      </c>
      <c r="Q2128" s="65">
        <f>SUMIF(日報!$R:$R,TEXT(YEAR($Q$2),"0000")&amp;TEXT(MONTH($Q$2),"00")&amp;$O2128,日報!$L:$L)</f>
        <v>0</v>
      </c>
      <c r="R2128" s="65">
        <f ca="1">SUMIF(日報!$J:$J,$O2128,日報!$L:$L)</f>
        <v>0</v>
      </c>
    </row>
    <row r="2129" spans="15:18" x14ac:dyDescent="0.15">
      <c r="O2129" s="7" t="str">
        <f>"REQ"&amp;TEXT([2]RequestList!$A2130,"0000")</f>
        <v>REQ0000</v>
      </c>
      <c r="P2129" s="7">
        <f>[2]RequestList!$J2130</f>
        <v>0</v>
      </c>
      <c r="Q2129" s="65">
        <f>SUMIF(日報!$R:$R,TEXT(YEAR($Q$2),"0000")&amp;TEXT(MONTH($Q$2),"00")&amp;$O2129,日報!$L:$L)</f>
        <v>0</v>
      </c>
      <c r="R2129" s="65">
        <f ca="1">SUMIF(日報!$J:$J,$O2129,日報!$L:$L)</f>
        <v>0</v>
      </c>
    </row>
    <row r="2130" spans="15:18" x14ac:dyDescent="0.15">
      <c r="O2130" s="7" t="str">
        <f>"REQ"&amp;TEXT([2]RequestList!$A2131,"0000")</f>
        <v>REQ0000</v>
      </c>
      <c r="P2130" s="7">
        <f>[2]RequestList!$J2131</f>
        <v>0</v>
      </c>
      <c r="Q2130" s="65">
        <f>SUMIF(日報!$R:$R,TEXT(YEAR($Q$2),"0000")&amp;TEXT(MONTH($Q$2),"00")&amp;$O2130,日報!$L:$L)</f>
        <v>0</v>
      </c>
      <c r="R2130" s="65">
        <f ca="1">SUMIF(日報!$J:$J,$O2130,日報!$L:$L)</f>
        <v>0</v>
      </c>
    </row>
    <row r="2131" spans="15:18" x14ac:dyDescent="0.15">
      <c r="O2131" s="7" t="str">
        <f>"REQ"&amp;TEXT([2]RequestList!$A2132,"0000")</f>
        <v>REQ0000</v>
      </c>
      <c r="P2131" s="7">
        <f>[2]RequestList!$J2132</f>
        <v>0</v>
      </c>
      <c r="Q2131" s="65">
        <f>SUMIF(日報!$R:$R,TEXT(YEAR($Q$2),"0000")&amp;TEXT(MONTH($Q$2),"00")&amp;$O2131,日報!$L:$L)</f>
        <v>0</v>
      </c>
      <c r="R2131" s="65">
        <f ca="1">SUMIF(日報!$J:$J,$O2131,日報!$L:$L)</f>
        <v>0</v>
      </c>
    </row>
    <row r="2132" spans="15:18" x14ac:dyDescent="0.15">
      <c r="O2132" s="7" t="str">
        <f>"REQ"&amp;TEXT([2]RequestList!$A2133,"0000")</f>
        <v>REQ0000</v>
      </c>
      <c r="P2132" s="7">
        <f>[2]RequestList!$J2133</f>
        <v>0</v>
      </c>
      <c r="Q2132" s="65">
        <f>SUMIF(日報!$R:$R,TEXT(YEAR($Q$2),"0000")&amp;TEXT(MONTH($Q$2),"00")&amp;$O2132,日報!$L:$L)</f>
        <v>0</v>
      </c>
      <c r="R2132" s="65">
        <f ca="1">SUMIF(日報!$J:$J,$O2132,日報!$L:$L)</f>
        <v>0</v>
      </c>
    </row>
    <row r="2133" spans="15:18" x14ac:dyDescent="0.15">
      <c r="O2133" s="7" t="str">
        <f>"REQ"&amp;TEXT([2]RequestList!$A2134,"0000")</f>
        <v>REQ0000</v>
      </c>
      <c r="P2133" s="7">
        <f>[2]RequestList!$J2134</f>
        <v>0</v>
      </c>
      <c r="Q2133" s="65">
        <f>SUMIF(日報!$R:$R,TEXT(YEAR($Q$2),"0000")&amp;TEXT(MONTH($Q$2),"00")&amp;$O2133,日報!$L:$L)</f>
        <v>0</v>
      </c>
      <c r="R2133" s="65">
        <f ca="1">SUMIF(日報!$J:$J,$O2133,日報!$L:$L)</f>
        <v>0</v>
      </c>
    </row>
    <row r="2134" spans="15:18" x14ac:dyDescent="0.15">
      <c r="O2134" s="7" t="str">
        <f>"REQ"&amp;TEXT([2]RequestList!$A2135,"0000")</f>
        <v>REQ0000</v>
      </c>
      <c r="P2134" s="7">
        <f>[2]RequestList!$J2135</f>
        <v>0</v>
      </c>
      <c r="Q2134" s="65">
        <f>SUMIF(日報!$R:$R,TEXT(YEAR($Q$2),"0000")&amp;TEXT(MONTH($Q$2),"00")&amp;$O2134,日報!$L:$L)</f>
        <v>0</v>
      </c>
      <c r="R2134" s="65">
        <f ca="1">SUMIF(日報!$J:$J,$O2134,日報!$L:$L)</f>
        <v>0</v>
      </c>
    </row>
    <row r="2135" spans="15:18" x14ac:dyDescent="0.15">
      <c r="O2135" s="7" t="str">
        <f>"REQ"&amp;TEXT([2]RequestList!$A2136,"0000")</f>
        <v>REQ0000</v>
      </c>
      <c r="P2135" s="7">
        <f>[2]RequestList!$J2136</f>
        <v>0</v>
      </c>
      <c r="Q2135" s="65">
        <f>SUMIF(日報!$R:$R,TEXT(YEAR($Q$2),"0000")&amp;TEXT(MONTH($Q$2),"00")&amp;$O2135,日報!$L:$L)</f>
        <v>0</v>
      </c>
      <c r="R2135" s="65">
        <f ca="1">SUMIF(日報!$J:$J,$O2135,日報!$L:$L)</f>
        <v>0</v>
      </c>
    </row>
    <row r="2136" spans="15:18" x14ac:dyDescent="0.15">
      <c r="O2136" s="7" t="str">
        <f>"REQ"&amp;TEXT([2]RequestList!$A2137,"0000")</f>
        <v>REQ0000</v>
      </c>
      <c r="P2136" s="7">
        <f>[2]RequestList!$J2137</f>
        <v>0</v>
      </c>
      <c r="Q2136" s="65">
        <f>SUMIF(日報!$R:$R,TEXT(YEAR($Q$2),"0000")&amp;TEXT(MONTH($Q$2),"00")&amp;$O2136,日報!$L:$L)</f>
        <v>0</v>
      </c>
      <c r="R2136" s="65">
        <f ca="1">SUMIF(日報!$J:$J,$O2136,日報!$L:$L)</f>
        <v>0</v>
      </c>
    </row>
    <row r="2137" spans="15:18" x14ac:dyDescent="0.15">
      <c r="O2137" s="7" t="str">
        <f>"REQ"&amp;TEXT([2]RequestList!$A2138,"0000")</f>
        <v>REQ0000</v>
      </c>
      <c r="P2137" s="7">
        <f>[2]RequestList!$J2138</f>
        <v>0</v>
      </c>
      <c r="Q2137" s="65">
        <f>SUMIF(日報!$R:$R,TEXT(YEAR($Q$2),"0000")&amp;TEXT(MONTH($Q$2),"00")&amp;$O2137,日報!$L:$L)</f>
        <v>0</v>
      </c>
      <c r="R2137" s="65">
        <f ca="1">SUMIF(日報!$J:$J,$O2137,日報!$L:$L)</f>
        <v>0</v>
      </c>
    </row>
    <row r="2138" spans="15:18" x14ac:dyDescent="0.15">
      <c r="O2138" s="7" t="str">
        <f>"REQ"&amp;TEXT([2]RequestList!$A2139,"0000")</f>
        <v>REQ0000</v>
      </c>
      <c r="P2138" s="7">
        <f>[2]RequestList!$J2139</f>
        <v>0</v>
      </c>
      <c r="Q2138" s="65">
        <f>SUMIF(日報!$R:$R,TEXT(YEAR($Q$2),"0000")&amp;TEXT(MONTH($Q$2),"00")&amp;$O2138,日報!$L:$L)</f>
        <v>0</v>
      </c>
      <c r="R2138" s="65">
        <f ca="1">SUMIF(日報!$J:$J,$O2138,日報!$L:$L)</f>
        <v>0</v>
      </c>
    </row>
    <row r="2139" spans="15:18" x14ac:dyDescent="0.15">
      <c r="O2139" s="7" t="str">
        <f>"REQ"&amp;TEXT([2]RequestList!$A2140,"0000")</f>
        <v>REQ0000</v>
      </c>
      <c r="P2139" s="7">
        <f>[2]RequestList!$J2140</f>
        <v>0</v>
      </c>
      <c r="Q2139" s="65">
        <f>SUMIF(日報!$R:$R,TEXT(YEAR($Q$2),"0000")&amp;TEXT(MONTH($Q$2),"00")&amp;$O2139,日報!$L:$L)</f>
        <v>0</v>
      </c>
      <c r="R2139" s="65">
        <f ca="1">SUMIF(日報!$J:$J,$O2139,日報!$L:$L)</f>
        <v>0</v>
      </c>
    </row>
    <row r="2140" spans="15:18" x14ac:dyDescent="0.15">
      <c r="O2140" s="7" t="str">
        <f>"REQ"&amp;TEXT([2]RequestList!$A2141,"0000")</f>
        <v>REQ0000</v>
      </c>
      <c r="P2140" s="7">
        <f>[2]RequestList!$J2141</f>
        <v>0</v>
      </c>
      <c r="Q2140" s="65">
        <f>SUMIF(日報!$R:$R,TEXT(YEAR($Q$2),"0000")&amp;TEXT(MONTH($Q$2),"00")&amp;$O2140,日報!$L:$L)</f>
        <v>0</v>
      </c>
      <c r="R2140" s="65">
        <f ca="1">SUMIF(日報!$J:$J,$O2140,日報!$L:$L)</f>
        <v>0</v>
      </c>
    </row>
    <row r="2141" spans="15:18" x14ac:dyDescent="0.15">
      <c r="O2141" s="7" t="str">
        <f>"REQ"&amp;TEXT([2]RequestList!$A2142,"0000")</f>
        <v>REQ0000</v>
      </c>
      <c r="P2141" s="7">
        <f>[2]RequestList!$J2142</f>
        <v>0</v>
      </c>
      <c r="Q2141" s="65">
        <f>SUMIF(日報!$R:$R,TEXT(YEAR($Q$2),"0000")&amp;TEXT(MONTH($Q$2),"00")&amp;$O2141,日報!$L:$L)</f>
        <v>0</v>
      </c>
      <c r="R2141" s="65">
        <f ca="1">SUMIF(日報!$J:$J,$O2141,日報!$L:$L)</f>
        <v>0</v>
      </c>
    </row>
    <row r="2142" spans="15:18" x14ac:dyDescent="0.15">
      <c r="O2142" s="7" t="str">
        <f>"REQ"&amp;TEXT([2]RequestList!$A2143,"0000")</f>
        <v>REQ0000</v>
      </c>
      <c r="P2142" s="7">
        <f>[2]RequestList!$J2143</f>
        <v>0</v>
      </c>
      <c r="Q2142" s="65">
        <f>SUMIF(日報!$R:$R,TEXT(YEAR($Q$2),"0000")&amp;TEXT(MONTH($Q$2),"00")&amp;$O2142,日報!$L:$L)</f>
        <v>0</v>
      </c>
      <c r="R2142" s="65">
        <f ca="1">SUMIF(日報!$J:$J,$O2142,日報!$L:$L)</f>
        <v>0</v>
      </c>
    </row>
    <row r="2143" spans="15:18" x14ac:dyDescent="0.15">
      <c r="O2143" s="7" t="str">
        <f>"REQ"&amp;TEXT([2]RequestList!$A2144,"0000")</f>
        <v>REQ0000</v>
      </c>
      <c r="P2143" s="7">
        <f>[2]RequestList!$J2144</f>
        <v>0</v>
      </c>
      <c r="Q2143" s="65">
        <f>SUMIF(日報!$R:$R,TEXT(YEAR($Q$2),"0000")&amp;TEXT(MONTH($Q$2),"00")&amp;$O2143,日報!$L:$L)</f>
        <v>0</v>
      </c>
      <c r="R2143" s="65">
        <f ca="1">SUMIF(日報!$J:$J,$O2143,日報!$L:$L)</f>
        <v>0</v>
      </c>
    </row>
    <row r="2144" spans="15:18" x14ac:dyDescent="0.15">
      <c r="O2144" s="7" t="str">
        <f>"REQ"&amp;TEXT([2]RequestList!$A2145,"0000")</f>
        <v>REQ0000</v>
      </c>
      <c r="P2144" s="7">
        <f>[2]RequestList!$J2145</f>
        <v>0</v>
      </c>
      <c r="Q2144" s="65">
        <f>SUMIF(日報!$R:$R,TEXT(YEAR($Q$2),"0000")&amp;TEXT(MONTH($Q$2),"00")&amp;$O2144,日報!$L:$L)</f>
        <v>0</v>
      </c>
      <c r="R2144" s="65">
        <f ca="1">SUMIF(日報!$J:$J,$O2144,日報!$L:$L)</f>
        <v>0</v>
      </c>
    </row>
    <row r="2145" spans="15:18" x14ac:dyDescent="0.15">
      <c r="O2145" s="7" t="str">
        <f>"REQ"&amp;TEXT([2]RequestList!$A2146,"0000")</f>
        <v>REQ0000</v>
      </c>
      <c r="P2145" s="7">
        <f>[2]RequestList!$J2146</f>
        <v>0</v>
      </c>
      <c r="Q2145" s="65">
        <f>SUMIF(日報!$R:$R,TEXT(YEAR($Q$2),"0000")&amp;TEXT(MONTH($Q$2),"00")&amp;$O2145,日報!$L:$L)</f>
        <v>0</v>
      </c>
      <c r="R2145" s="65">
        <f ca="1">SUMIF(日報!$J:$J,$O2145,日報!$L:$L)</f>
        <v>0</v>
      </c>
    </row>
    <row r="2146" spans="15:18" x14ac:dyDescent="0.15">
      <c r="O2146" s="7" t="str">
        <f>"REQ"&amp;TEXT([2]RequestList!$A2147,"0000")</f>
        <v>REQ0000</v>
      </c>
      <c r="P2146" s="7">
        <f>[2]RequestList!$J2147</f>
        <v>0</v>
      </c>
      <c r="Q2146" s="65">
        <f>SUMIF(日報!$R:$R,TEXT(YEAR($Q$2),"0000")&amp;TEXT(MONTH($Q$2),"00")&amp;$O2146,日報!$L:$L)</f>
        <v>0</v>
      </c>
      <c r="R2146" s="65">
        <f ca="1">SUMIF(日報!$J:$J,$O2146,日報!$L:$L)</f>
        <v>0</v>
      </c>
    </row>
    <row r="2147" spans="15:18" x14ac:dyDescent="0.15">
      <c r="O2147" s="7" t="str">
        <f>"REQ"&amp;TEXT([2]RequestList!$A2148,"0000")</f>
        <v>REQ0000</v>
      </c>
      <c r="P2147" s="7">
        <f>[2]RequestList!$J2148</f>
        <v>0</v>
      </c>
      <c r="Q2147" s="65">
        <f>SUMIF(日報!$R:$R,TEXT(YEAR($Q$2),"0000")&amp;TEXT(MONTH($Q$2),"00")&amp;$O2147,日報!$L:$L)</f>
        <v>0</v>
      </c>
      <c r="R2147" s="65">
        <f ca="1">SUMIF(日報!$J:$J,$O2147,日報!$L:$L)</f>
        <v>0</v>
      </c>
    </row>
    <row r="2148" spans="15:18" x14ac:dyDescent="0.15">
      <c r="O2148" s="7" t="str">
        <f>"REQ"&amp;TEXT([2]RequestList!$A2149,"0000")</f>
        <v>REQ0000</v>
      </c>
      <c r="P2148" s="7">
        <f>[2]RequestList!$J2149</f>
        <v>0</v>
      </c>
      <c r="Q2148" s="65">
        <f>SUMIF(日報!$R:$R,TEXT(YEAR($Q$2),"0000")&amp;TEXT(MONTH($Q$2),"00")&amp;$O2148,日報!$L:$L)</f>
        <v>0</v>
      </c>
      <c r="R2148" s="65">
        <f ca="1">SUMIF(日報!$J:$J,$O2148,日報!$L:$L)</f>
        <v>0</v>
      </c>
    </row>
    <row r="2149" spans="15:18" x14ac:dyDescent="0.15">
      <c r="O2149" s="7" t="str">
        <f>"REQ"&amp;TEXT([2]RequestList!$A2150,"0000")</f>
        <v>REQ0000</v>
      </c>
      <c r="P2149" s="7">
        <f>[2]RequestList!$J2150</f>
        <v>0</v>
      </c>
      <c r="Q2149" s="65">
        <f>SUMIF(日報!$R:$R,TEXT(YEAR($Q$2),"0000")&amp;TEXT(MONTH($Q$2),"00")&amp;$O2149,日報!$L:$L)</f>
        <v>0</v>
      </c>
      <c r="R2149" s="65">
        <f ca="1">SUMIF(日報!$J:$J,$O2149,日報!$L:$L)</f>
        <v>0</v>
      </c>
    </row>
    <row r="2150" spans="15:18" x14ac:dyDescent="0.15">
      <c r="O2150" s="7" t="str">
        <f>"REQ"&amp;TEXT([2]RequestList!$A2151,"0000")</f>
        <v>REQ0000</v>
      </c>
      <c r="P2150" s="7">
        <f>[2]RequestList!$J2151</f>
        <v>0</v>
      </c>
      <c r="Q2150" s="65">
        <f>SUMIF(日報!$R:$R,TEXT(YEAR($Q$2),"0000")&amp;TEXT(MONTH($Q$2),"00")&amp;$O2150,日報!$L:$L)</f>
        <v>0</v>
      </c>
      <c r="R2150" s="65">
        <f ca="1">SUMIF(日報!$J:$J,$O2150,日報!$L:$L)</f>
        <v>0</v>
      </c>
    </row>
    <row r="2151" spans="15:18" x14ac:dyDescent="0.15">
      <c r="O2151" s="7" t="str">
        <f>"REQ"&amp;TEXT([2]RequestList!$A2152,"0000")</f>
        <v>REQ0000</v>
      </c>
      <c r="P2151" s="7">
        <f>[2]RequestList!$J2152</f>
        <v>0</v>
      </c>
      <c r="Q2151" s="65">
        <f>SUMIF(日報!$R:$R,TEXT(YEAR($Q$2),"0000")&amp;TEXT(MONTH($Q$2),"00")&amp;$O2151,日報!$L:$L)</f>
        <v>0</v>
      </c>
      <c r="R2151" s="65">
        <f ca="1">SUMIF(日報!$J:$J,$O2151,日報!$L:$L)</f>
        <v>0</v>
      </c>
    </row>
    <row r="2152" spans="15:18" x14ac:dyDescent="0.15">
      <c r="O2152" s="7" t="str">
        <f>"REQ"&amp;TEXT([2]RequestList!$A2153,"0000")</f>
        <v>REQ0000</v>
      </c>
      <c r="P2152" s="7">
        <f>[2]RequestList!$J2153</f>
        <v>0</v>
      </c>
      <c r="Q2152" s="65">
        <f>SUMIF(日報!$R:$R,TEXT(YEAR($Q$2),"0000")&amp;TEXT(MONTH($Q$2),"00")&amp;$O2152,日報!$L:$L)</f>
        <v>0</v>
      </c>
      <c r="R2152" s="65">
        <f ca="1">SUMIF(日報!$J:$J,$O2152,日報!$L:$L)</f>
        <v>0</v>
      </c>
    </row>
    <row r="2153" spans="15:18" x14ac:dyDescent="0.15">
      <c r="O2153" s="7" t="str">
        <f>"REQ"&amp;TEXT([2]RequestList!$A2154,"0000")</f>
        <v>REQ0000</v>
      </c>
      <c r="P2153" s="7">
        <f>[2]RequestList!$J2154</f>
        <v>0</v>
      </c>
      <c r="Q2153" s="65">
        <f>SUMIF(日報!$R:$R,TEXT(YEAR($Q$2),"0000")&amp;TEXT(MONTH($Q$2),"00")&amp;$O2153,日報!$L:$L)</f>
        <v>0</v>
      </c>
      <c r="R2153" s="65">
        <f ca="1">SUMIF(日報!$J:$J,$O2153,日報!$L:$L)</f>
        <v>0</v>
      </c>
    </row>
    <row r="2154" spans="15:18" x14ac:dyDescent="0.15">
      <c r="O2154" s="7" t="str">
        <f>"REQ"&amp;TEXT([2]RequestList!$A2155,"0000")</f>
        <v>REQ0000</v>
      </c>
      <c r="P2154" s="7">
        <f>[2]RequestList!$J2155</f>
        <v>0</v>
      </c>
      <c r="Q2154" s="65">
        <f>SUMIF(日報!$R:$R,TEXT(YEAR($Q$2),"0000")&amp;TEXT(MONTH($Q$2),"00")&amp;$O2154,日報!$L:$L)</f>
        <v>0</v>
      </c>
      <c r="R2154" s="65">
        <f ca="1">SUMIF(日報!$J:$J,$O2154,日報!$L:$L)</f>
        <v>0</v>
      </c>
    </row>
    <row r="2155" spans="15:18" x14ac:dyDescent="0.15">
      <c r="O2155" s="7" t="str">
        <f>"REQ"&amp;TEXT([2]RequestList!$A2156,"0000")</f>
        <v>REQ0000</v>
      </c>
      <c r="P2155" s="7">
        <f>[2]RequestList!$J2156</f>
        <v>0</v>
      </c>
      <c r="Q2155" s="65">
        <f>SUMIF(日報!$R:$R,TEXT(YEAR($Q$2),"0000")&amp;TEXT(MONTH($Q$2),"00")&amp;$O2155,日報!$L:$L)</f>
        <v>0</v>
      </c>
      <c r="R2155" s="65">
        <f ca="1">SUMIF(日報!$J:$J,$O2155,日報!$L:$L)</f>
        <v>0</v>
      </c>
    </row>
    <row r="2156" spans="15:18" x14ac:dyDescent="0.15">
      <c r="O2156" s="7" t="str">
        <f>"REQ"&amp;TEXT([2]RequestList!$A2157,"0000")</f>
        <v>REQ0000</v>
      </c>
      <c r="P2156" s="7">
        <f>[2]RequestList!$J2157</f>
        <v>0</v>
      </c>
      <c r="Q2156" s="65">
        <f>SUMIF(日報!$R:$R,TEXT(YEAR($Q$2),"0000")&amp;TEXT(MONTH($Q$2),"00")&amp;$O2156,日報!$L:$L)</f>
        <v>0</v>
      </c>
      <c r="R2156" s="65">
        <f ca="1">SUMIF(日報!$J:$J,$O2156,日報!$L:$L)</f>
        <v>0</v>
      </c>
    </row>
    <row r="2157" spans="15:18" x14ac:dyDescent="0.15">
      <c r="O2157" s="7" t="str">
        <f>"REQ"&amp;TEXT([2]RequestList!$A2158,"0000")</f>
        <v>REQ0000</v>
      </c>
      <c r="P2157" s="7">
        <f>[2]RequestList!$J2158</f>
        <v>0</v>
      </c>
      <c r="Q2157" s="65">
        <f>SUMIF(日報!$R:$R,TEXT(YEAR($Q$2),"0000")&amp;TEXT(MONTH($Q$2),"00")&amp;$O2157,日報!$L:$L)</f>
        <v>0</v>
      </c>
      <c r="R2157" s="65">
        <f ca="1">SUMIF(日報!$J:$J,$O2157,日報!$L:$L)</f>
        <v>0</v>
      </c>
    </row>
    <row r="2158" spans="15:18" x14ac:dyDescent="0.15">
      <c r="O2158" s="7" t="str">
        <f>"REQ"&amp;TEXT([2]RequestList!$A2159,"0000")</f>
        <v>REQ0000</v>
      </c>
      <c r="P2158" s="7">
        <f>[2]RequestList!$J2159</f>
        <v>0</v>
      </c>
      <c r="Q2158" s="65">
        <f>SUMIF(日報!$R:$R,TEXT(YEAR($Q$2),"0000")&amp;TEXT(MONTH($Q$2),"00")&amp;$O2158,日報!$L:$L)</f>
        <v>0</v>
      </c>
      <c r="R2158" s="65">
        <f ca="1">SUMIF(日報!$J:$J,$O2158,日報!$L:$L)</f>
        <v>0</v>
      </c>
    </row>
    <row r="2159" spans="15:18" x14ac:dyDescent="0.15">
      <c r="O2159" s="7" t="str">
        <f>"REQ"&amp;TEXT([2]RequestList!$A2160,"0000")</f>
        <v>REQ0000</v>
      </c>
      <c r="P2159" s="7">
        <f>[2]RequestList!$J2160</f>
        <v>0</v>
      </c>
      <c r="Q2159" s="65">
        <f>SUMIF(日報!$R:$R,TEXT(YEAR($Q$2),"0000")&amp;TEXT(MONTH($Q$2),"00")&amp;$O2159,日報!$L:$L)</f>
        <v>0</v>
      </c>
      <c r="R2159" s="65">
        <f ca="1">SUMIF(日報!$J:$J,$O2159,日報!$L:$L)</f>
        <v>0</v>
      </c>
    </row>
    <row r="2160" spans="15:18" x14ac:dyDescent="0.15">
      <c r="O2160" s="7" t="str">
        <f>"REQ"&amp;TEXT([2]RequestList!$A2161,"0000")</f>
        <v>REQ0000</v>
      </c>
      <c r="P2160" s="7">
        <f>[2]RequestList!$J2161</f>
        <v>0</v>
      </c>
      <c r="Q2160" s="65">
        <f>SUMIF(日報!$R:$R,TEXT(YEAR($Q$2),"0000")&amp;TEXT(MONTH($Q$2),"00")&amp;$O2160,日報!$L:$L)</f>
        <v>0</v>
      </c>
      <c r="R2160" s="65">
        <f ca="1">SUMIF(日報!$J:$J,$O2160,日報!$L:$L)</f>
        <v>0</v>
      </c>
    </row>
    <row r="2161" spans="15:18" x14ac:dyDescent="0.15">
      <c r="O2161" s="7" t="str">
        <f>"REQ"&amp;TEXT([2]RequestList!$A2162,"0000")</f>
        <v>REQ0000</v>
      </c>
      <c r="P2161" s="7">
        <f>[2]RequestList!$J2162</f>
        <v>0</v>
      </c>
      <c r="Q2161" s="65">
        <f>SUMIF(日報!$R:$R,TEXT(YEAR($Q$2),"0000")&amp;TEXT(MONTH($Q$2),"00")&amp;$O2161,日報!$L:$L)</f>
        <v>0</v>
      </c>
      <c r="R2161" s="65">
        <f ca="1">SUMIF(日報!$J:$J,$O2161,日報!$L:$L)</f>
        <v>0</v>
      </c>
    </row>
    <row r="2162" spans="15:18" x14ac:dyDescent="0.15">
      <c r="O2162" s="7" t="str">
        <f>"REQ"&amp;TEXT([2]RequestList!$A2163,"0000")</f>
        <v>REQ0000</v>
      </c>
      <c r="P2162" s="7">
        <f>[2]RequestList!$J2163</f>
        <v>0</v>
      </c>
      <c r="Q2162" s="65">
        <f>SUMIF(日報!$R:$R,TEXT(YEAR($Q$2),"0000")&amp;TEXT(MONTH($Q$2),"00")&amp;$O2162,日報!$L:$L)</f>
        <v>0</v>
      </c>
      <c r="R2162" s="65">
        <f ca="1">SUMIF(日報!$J:$J,$O2162,日報!$L:$L)</f>
        <v>0</v>
      </c>
    </row>
    <row r="2163" spans="15:18" x14ac:dyDescent="0.15">
      <c r="O2163" s="7" t="str">
        <f>"REQ"&amp;TEXT([2]RequestList!$A2164,"0000")</f>
        <v>REQ0000</v>
      </c>
      <c r="P2163" s="7">
        <f>[2]RequestList!$J2164</f>
        <v>0</v>
      </c>
      <c r="Q2163" s="65">
        <f>SUMIF(日報!$R:$R,TEXT(YEAR($Q$2),"0000")&amp;TEXT(MONTH($Q$2),"00")&amp;$O2163,日報!$L:$L)</f>
        <v>0</v>
      </c>
      <c r="R2163" s="65">
        <f ca="1">SUMIF(日報!$J:$J,$O2163,日報!$L:$L)</f>
        <v>0</v>
      </c>
    </row>
    <row r="2164" spans="15:18" x14ac:dyDescent="0.15">
      <c r="O2164" s="7" t="str">
        <f>"REQ"&amp;TEXT([2]RequestList!$A2165,"0000")</f>
        <v>REQ0000</v>
      </c>
      <c r="P2164" s="7">
        <f>[2]RequestList!$J2165</f>
        <v>0</v>
      </c>
      <c r="Q2164" s="65">
        <f>SUMIF(日報!$R:$R,TEXT(YEAR($Q$2),"0000")&amp;TEXT(MONTH($Q$2),"00")&amp;$O2164,日報!$L:$L)</f>
        <v>0</v>
      </c>
      <c r="R2164" s="65">
        <f ca="1">SUMIF(日報!$J:$J,$O2164,日報!$L:$L)</f>
        <v>0</v>
      </c>
    </row>
    <row r="2165" spans="15:18" x14ac:dyDescent="0.15">
      <c r="O2165" s="7" t="str">
        <f>"REQ"&amp;TEXT([2]RequestList!$A2166,"0000")</f>
        <v>REQ0000</v>
      </c>
      <c r="P2165" s="7">
        <f>[2]RequestList!$J2166</f>
        <v>0</v>
      </c>
      <c r="Q2165" s="65">
        <f>SUMIF(日報!$R:$R,TEXT(YEAR($Q$2),"0000")&amp;TEXT(MONTH($Q$2),"00")&amp;$O2165,日報!$L:$L)</f>
        <v>0</v>
      </c>
      <c r="R2165" s="65">
        <f ca="1">SUMIF(日報!$J:$J,$O2165,日報!$L:$L)</f>
        <v>0</v>
      </c>
    </row>
    <row r="2166" spans="15:18" x14ac:dyDescent="0.15">
      <c r="O2166" s="7" t="str">
        <f>"REQ"&amp;TEXT([2]RequestList!$A2167,"0000")</f>
        <v>REQ0000</v>
      </c>
      <c r="P2166" s="7">
        <f>[2]RequestList!$J2167</f>
        <v>0</v>
      </c>
      <c r="Q2166" s="65">
        <f>SUMIF(日報!$R:$R,TEXT(YEAR($Q$2),"0000")&amp;TEXT(MONTH($Q$2),"00")&amp;$O2166,日報!$L:$L)</f>
        <v>0</v>
      </c>
      <c r="R2166" s="65">
        <f ca="1">SUMIF(日報!$J:$J,$O2166,日報!$L:$L)</f>
        <v>0</v>
      </c>
    </row>
    <row r="2167" spans="15:18" x14ac:dyDescent="0.15">
      <c r="O2167" s="7" t="str">
        <f>"REQ"&amp;TEXT([2]RequestList!$A2168,"0000")</f>
        <v>REQ0000</v>
      </c>
      <c r="P2167" s="7">
        <f>[2]RequestList!$J2168</f>
        <v>0</v>
      </c>
      <c r="Q2167" s="65">
        <f>SUMIF(日報!$R:$R,TEXT(YEAR($Q$2),"0000")&amp;TEXT(MONTH($Q$2),"00")&amp;$O2167,日報!$L:$L)</f>
        <v>0</v>
      </c>
      <c r="R2167" s="65">
        <f ca="1">SUMIF(日報!$J:$J,$O2167,日報!$L:$L)</f>
        <v>0</v>
      </c>
    </row>
    <row r="2168" spans="15:18" x14ac:dyDescent="0.15">
      <c r="O2168" s="7" t="str">
        <f>"REQ"&amp;TEXT([2]RequestList!$A2169,"0000")</f>
        <v>REQ0000</v>
      </c>
      <c r="P2168" s="7">
        <f>[2]RequestList!$J2169</f>
        <v>0</v>
      </c>
      <c r="Q2168" s="65">
        <f>SUMIF(日報!$R:$R,TEXT(YEAR($Q$2),"0000")&amp;TEXT(MONTH($Q$2),"00")&amp;$O2168,日報!$L:$L)</f>
        <v>0</v>
      </c>
      <c r="R2168" s="65">
        <f ca="1">SUMIF(日報!$J:$J,$O2168,日報!$L:$L)</f>
        <v>0</v>
      </c>
    </row>
    <row r="2169" spans="15:18" x14ac:dyDescent="0.15">
      <c r="O2169" s="7" t="str">
        <f>"REQ"&amp;TEXT([2]RequestList!$A2170,"0000")</f>
        <v>REQ0000</v>
      </c>
      <c r="P2169" s="7">
        <f>[2]RequestList!$J2170</f>
        <v>0</v>
      </c>
      <c r="Q2169" s="65">
        <f>SUMIF(日報!$R:$R,TEXT(YEAR($Q$2),"0000")&amp;TEXT(MONTH($Q$2),"00")&amp;$O2169,日報!$L:$L)</f>
        <v>0</v>
      </c>
      <c r="R2169" s="65">
        <f ca="1">SUMIF(日報!$J:$J,$O2169,日報!$L:$L)</f>
        <v>0</v>
      </c>
    </row>
    <row r="2170" spans="15:18" x14ac:dyDescent="0.15">
      <c r="O2170" s="7" t="str">
        <f>"REQ"&amp;TEXT([2]RequestList!$A2171,"0000")</f>
        <v>REQ0000</v>
      </c>
      <c r="P2170" s="7">
        <f>[2]RequestList!$J2171</f>
        <v>0</v>
      </c>
      <c r="Q2170" s="65">
        <f>SUMIF(日報!$R:$R,TEXT(YEAR($Q$2),"0000")&amp;TEXT(MONTH($Q$2),"00")&amp;$O2170,日報!$L:$L)</f>
        <v>0</v>
      </c>
      <c r="R2170" s="65">
        <f ca="1">SUMIF(日報!$J:$J,$O2170,日報!$L:$L)</f>
        <v>0</v>
      </c>
    </row>
    <row r="2171" spans="15:18" x14ac:dyDescent="0.15">
      <c r="O2171" s="7" t="str">
        <f>"REQ"&amp;TEXT([2]RequestList!$A2172,"0000")</f>
        <v>REQ0000</v>
      </c>
      <c r="P2171" s="7">
        <f>[2]RequestList!$J2172</f>
        <v>0</v>
      </c>
      <c r="Q2171" s="65">
        <f>SUMIF(日報!$R:$R,TEXT(YEAR($Q$2),"0000")&amp;TEXT(MONTH($Q$2),"00")&amp;$O2171,日報!$L:$L)</f>
        <v>0</v>
      </c>
      <c r="R2171" s="65">
        <f ca="1">SUMIF(日報!$J:$J,$O2171,日報!$L:$L)</f>
        <v>0</v>
      </c>
    </row>
    <row r="2172" spans="15:18" x14ac:dyDescent="0.15">
      <c r="O2172" s="7" t="str">
        <f>"REQ"&amp;TEXT([2]RequestList!$A2173,"0000")</f>
        <v>REQ0000</v>
      </c>
      <c r="P2172" s="7">
        <f>[2]RequestList!$J2173</f>
        <v>0</v>
      </c>
      <c r="Q2172" s="65">
        <f>SUMIF(日報!$R:$R,TEXT(YEAR($Q$2),"0000")&amp;TEXT(MONTH($Q$2),"00")&amp;$O2172,日報!$L:$L)</f>
        <v>0</v>
      </c>
      <c r="R2172" s="65">
        <f ca="1">SUMIF(日報!$J:$J,$O2172,日報!$L:$L)</f>
        <v>0</v>
      </c>
    </row>
    <row r="2173" spans="15:18" x14ac:dyDescent="0.15">
      <c r="O2173" s="7" t="str">
        <f>"REQ"&amp;TEXT([2]RequestList!$A2174,"0000")</f>
        <v>REQ0000</v>
      </c>
      <c r="P2173" s="7">
        <f>[2]RequestList!$J2174</f>
        <v>0</v>
      </c>
      <c r="Q2173" s="65">
        <f>SUMIF(日報!$R:$R,TEXT(YEAR($Q$2),"0000")&amp;TEXT(MONTH($Q$2),"00")&amp;$O2173,日報!$L:$L)</f>
        <v>0</v>
      </c>
      <c r="R2173" s="65">
        <f ca="1">SUMIF(日報!$J:$J,$O2173,日報!$L:$L)</f>
        <v>0</v>
      </c>
    </row>
    <row r="2174" spans="15:18" x14ac:dyDescent="0.15">
      <c r="O2174" s="7" t="str">
        <f>"REQ"&amp;TEXT([2]RequestList!$A2175,"0000")</f>
        <v>REQ0000</v>
      </c>
      <c r="P2174" s="7">
        <f>[2]RequestList!$J2175</f>
        <v>0</v>
      </c>
      <c r="Q2174" s="65">
        <f>SUMIF(日報!$R:$R,TEXT(YEAR($Q$2),"0000")&amp;TEXT(MONTH($Q$2),"00")&amp;$O2174,日報!$L:$L)</f>
        <v>0</v>
      </c>
      <c r="R2174" s="65">
        <f ca="1">SUMIF(日報!$J:$J,$O2174,日報!$L:$L)</f>
        <v>0</v>
      </c>
    </row>
    <row r="2175" spans="15:18" x14ac:dyDescent="0.15">
      <c r="O2175" s="7" t="str">
        <f>"REQ"&amp;TEXT([2]RequestList!$A2176,"0000")</f>
        <v>REQ0000</v>
      </c>
      <c r="P2175" s="7">
        <f>[2]RequestList!$J2176</f>
        <v>0</v>
      </c>
      <c r="Q2175" s="65">
        <f>SUMIF(日報!$R:$R,TEXT(YEAR($Q$2),"0000")&amp;TEXT(MONTH($Q$2),"00")&amp;$O2175,日報!$L:$L)</f>
        <v>0</v>
      </c>
      <c r="R2175" s="65">
        <f ca="1">SUMIF(日報!$J:$J,$O2175,日報!$L:$L)</f>
        <v>0</v>
      </c>
    </row>
    <row r="2176" spans="15:18" x14ac:dyDescent="0.15">
      <c r="O2176" s="7" t="str">
        <f>"REQ"&amp;TEXT([2]RequestList!$A2177,"0000")</f>
        <v>REQ0000</v>
      </c>
      <c r="P2176" s="7">
        <f>[2]RequestList!$J2177</f>
        <v>0</v>
      </c>
      <c r="Q2176" s="65">
        <f>SUMIF(日報!$R:$R,TEXT(YEAR($Q$2),"0000")&amp;TEXT(MONTH($Q$2),"00")&amp;$O2176,日報!$L:$L)</f>
        <v>0</v>
      </c>
      <c r="R2176" s="65">
        <f ca="1">SUMIF(日報!$J:$J,$O2176,日報!$L:$L)</f>
        <v>0</v>
      </c>
    </row>
    <row r="2177" spans="15:18" x14ac:dyDescent="0.15">
      <c r="O2177" s="7" t="str">
        <f>"REQ"&amp;TEXT([2]RequestList!$A2178,"0000")</f>
        <v>REQ0000</v>
      </c>
      <c r="P2177" s="7">
        <f>[2]RequestList!$J2178</f>
        <v>0</v>
      </c>
      <c r="Q2177" s="65">
        <f>SUMIF(日報!$R:$R,TEXT(YEAR($Q$2),"0000")&amp;TEXT(MONTH($Q$2),"00")&amp;$O2177,日報!$L:$L)</f>
        <v>0</v>
      </c>
      <c r="R2177" s="65">
        <f ca="1">SUMIF(日報!$J:$J,$O2177,日報!$L:$L)</f>
        <v>0</v>
      </c>
    </row>
    <row r="2178" spans="15:18" x14ac:dyDescent="0.15">
      <c r="O2178" s="7" t="str">
        <f>"REQ"&amp;TEXT([2]RequestList!$A2179,"0000")</f>
        <v>REQ0000</v>
      </c>
      <c r="P2178" s="7">
        <f>[2]RequestList!$J2179</f>
        <v>0</v>
      </c>
      <c r="Q2178" s="65">
        <f>SUMIF(日報!$R:$R,TEXT(YEAR($Q$2),"0000")&amp;TEXT(MONTH($Q$2),"00")&amp;$O2178,日報!$L:$L)</f>
        <v>0</v>
      </c>
      <c r="R2178" s="65">
        <f ca="1">SUMIF(日報!$J:$J,$O2178,日報!$L:$L)</f>
        <v>0</v>
      </c>
    </row>
    <row r="2179" spans="15:18" x14ac:dyDescent="0.15">
      <c r="O2179" s="7" t="str">
        <f>"REQ"&amp;TEXT([2]RequestList!$A2180,"0000")</f>
        <v>REQ0000</v>
      </c>
      <c r="P2179" s="7">
        <f>[2]RequestList!$J2180</f>
        <v>0</v>
      </c>
      <c r="Q2179" s="65">
        <f>SUMIF(日報!$R:$R,TEXT(YEAR($Q$2),"0000")&amp;TEXT(MONTH($Q$2),"00")&amp;$O2179,日報!$L:$L)</f>
        <v>0</v>
      </c>
      <c r="R2179" s="65">
        <f ca="1">SUMIF(日報!$J:$J,$O2179,日報!$L:$L)</f>
        <v>0</v>
      </c>
    </row>
    <row r="2180" spans="15:18" x14ac:dyDescent="0.15">
      <c r="O2180" s="7" t="str">
        <f>"REQ"&amp;TEXT([2]RequestList!$A2181,"0000")</f>
        <v>REQ0000</v>
      </c>
      <c r="P2180" s="7">
        <f>[2]RequestList!$J2181</f>
        <v>0</v>
      </c>
      <c r="Q2180" s="65">
        <f>SUMIF(日報!$R:$R,TEXT(YEAR($Q$2),"0000")&amp;TEXT(MONTH($Q$2),"00")&amp;$O2180,日報!$L:$L)</f>
        <v>0</v>
      </c>
      <c r="R2180" s="65">
        <f ca="1">SUMIF(日報!$J:$J,$O2180,日報!$L:$L)</f>
        <v>0</v>
      </c>
    </row>
    <row r="2181" spans="15:18" x14ac:dyDescent="0.15">
      <c r="O2181" s="7" t="str">
        <f>"REQ"&amp;TEXT([2]RequestList!$A2182,"0000")</f>
        <v>REQ0000</v>
      </c>
      <c r="P2181" s="7">
        <f>[2]RequestList!$J2182</f>
        <v>0</v>
      </c>
      <c r="Q2181" s="65">
        <f>SUMIF(日報!$R:$R,TEXT(YEAR($Q$2),"0000")&amp;TEXT(MONTH($Q$2),"00")&amp;$O2181,日報!$L:$L)</f>
        <v>0</v>
      </c>
      <c r="R2181" s="65">
        <f ca="1">SUMIF(日報!$J:$J,$O2181,日報!$L:$L)</f>
        <v>0</v>
      </c>
    </row>
    <row r="2182" spans="15:18" x14ac:dyDescent="0.15">
      <c r="O2182" s="7" t="str">
        <f>"REQ"&amp;TEXT([2]RequestList!$A2183,"0000")</f>
        <v>REQ0000</v>
      </c>
      <c r="P2182" s="7">
        <f>[2]RequestList!$J2183</f>
        <v>0</v>
      </c>
      <c r="Q2182" s="65">
        <f>SUMIF(日報!$R:$R,TEXT(YEAR($Q$2),"0000")&amp;TEXT(MONTH($Q$2),"00")&amp;$O2182,日報!$L:$L)</f>
        <v>0</v>
      </c>
      <c r="R2182" s="65">
        <f ca="1">SUMIF(日報!$J:$J,$O2182,日報!$L:$L)</f>
        <v>0</v>
      </c>
    </row>
    <row r="2183" spans="15:18" x14ac:dyDescent="0.15">
      <c r="O2183" s="7" t="str">
        <f>"REQ"&amp;TEXT([2]RequestList!$A2184,"0000")</f>
        <v>REQ0000</v>
      </c>
      <c r="P2183" s="7">
        <f>[2]RequestList!$J2184</f>
        <v>0</v>
      </c>
      <c r="Q2183" s="65">
        <f>SUMIF(日報!$R:$R,TEXT(YEAR($Q$2),"0000")&amp;TEXT(MONTH($Q$2),"00")&amp;$O2183,日報!$L:$L)</f>
        <v>0</v>
      </c>
      <c r="R2183" s="65">
        <f ca="1">SUMIF(日報!$J:$J,$O2183,日報!$L:$L)</f>
        <v>0</v>
      </c>
    </row>
    <row r="2184" spans="15:18" x14ac:dyDescent="0.15">
      <c r="O2184" s="7" t="str">
        <f>"REQ"&amp;TEXT([2]RequestList!$A2185,"0000")</f>
        <v>REQ0000</v>
      </c>
      <c r="P2184" s="7">
        <f>[2]RequestList!$J2185</f>
        <v>0</v>
      </c>
      <c r="Q2184" s="65">
        <f>SUMIF(日報!$R:$R,TEXT(YEAR($Q$2),"0000")&amp;TEXT(MONTH($Q$2),"00")&amp;$O2184,日報!$L:$L)</f>
        <v>0</v>
      </c>
      <c r="R2184" s="65">
        <f ca="1">SUMIF(日報!$J:$J,$O2184,日報!$L:$L)</f>
        <v>0</v>
      </c>
    </row>
    <row r="2185" spans="15:18" x14ac:dyDescent="0.15">
      <c r="O2185" s="7" t="str">
        <f>"REQ"&amp;TEXT([2]RequestList!$A2186,"0000")</f>
        <v>REQ0000</v>
      </c>
      <c r="P2185" s="7">
        <f>[2]RequestList!$J2186</f>
        <v>0</v>
      </c>
      <c r="Q2185" s="65">
        <f>SUMIF(日報!$R:$R,TEXT(YEAR($Q$2),"0000")&amp;TEXT(MONTH($Q$2),"00")&amp;$O2185,日報!$L:$L)</f>
        <v>0</v>
      </c>
      <c r="R2185" s="65">
        <f ca="1">SUMIF(日報!$J:$J,$O2185,日報!$L:$L)</f>
        <v>0</v>
      </c>
    </row>
    <row r="2186" spans="15:18" x14ac:dyDescent="0.15">
      <c r="O2186" s="7" t="str">
        <f>"REQ"&amp;TEXT([2]RequestList!$A2187,"0000")</f>
        <v>REQ0000</v>
      </c>
      <c r="P2186" s="7">
        <f>[2]RequestList!$J2187</f>
        <v>0</v>
      </c>
      <c r="Q2186" s="65">
        <f>SUMIF(日報!$R:$R,TEXT(YEAR($Q$2),"0000")&amp;TEXT(MONTH($Q$2),"00")&amp;$O2186,日報!$L:$L)</f>
        <v>0</v>
      </c>
      <c r="R2186" s="65">
        <f ca="1">SUMIF(日報!$J:$J,$O2186,日報!$L:$L)</f>
        <v>0</v>
      </c>
    </row>
    <row r="2187" spans="15:18" x14ac:dyDescent="0.15">
      <c r="O2187" s="7" t="str">
        <f>"REQ"&amp;TEXT([2]RequestList!$A2188,"0000")</f>
        <v>REQ0000</v>
      </c>
      <c r="P2187" s="7">
        <f>[2]RequestList!$J2188</f>
        <v>0</v>
      </c>
      <c r="Q2187" s="65">
        <f>SUMIF(日報!$R:$R,TEXT(YEAR($Q$2),"0000")&amp;TEXT(MONTH($Q$2),"00")&amp;$O2187,日報!$L:$L)</f>
        <v>0</v>
      </c>
      <c r="R2187" s="65">
        <f ca="1">SUMIF(日報!$J:$J,$O2187,日報!$L:$L)</f>
        <v>0</v>
      </c>
    </row>
    <row r="2188" spans="15:18" x14ac:dyDescent="0.15">
      <c r="O2188" s="7" t="str">
        <f>"REQ"&amp;TEXT([2]RequestList!$A2189,"0000")</f>
        <v>REQ0000</v>
      </c>
      <c r="P2188" s="7">
        <f>[2]RequestList!$J2189</f>
        <v>0</v>
      </c>
      <c r="Q2188" s="65">
        <f>SUMIF(日報!$R:$R,TEXT(YEAR($Q$2),"0000")&amp;TEXT(MONTH($Q$2),"00")&amp;$O2188,日報!$L:$L)</f>
        <v>0</v>
      </c>
      <c r="R2188" s="65">
        <f ca="1">SUMIF(日報!$J:$J,$O2188,日報!$L:$L)</f>
        <v>0</v>
      </c>
    </row>
    <row r="2189" spans="15:18" x14ac:dyDescent="0.15">
      <c r="O2189" s="7" t="str">
        <f>"REQ"&amp;TEXT([2]RequestList!$A2190,"0000")</f>
        <v>REQ0000</v>
      </c>
      <c r="P2189" s="7">
        <f>[2]RequestList!$J2190</f>
        <v>0</v>
      </c>
      <c r="Q2189" s="65">
        <f>SUMIF(日報!$R:$R,TEXT(YEAR($Q$2),"0000")&amp;TEXT(MONTH($Q$2),"00")&amp;$O2189,日報!$L:$L)</f>
        <v>0</v>
      </c>
      <c r="R2189" s="65">
        <f ca="1">SUMIF(日報!$J:$J,$O2189,日報!$L:$L)</f>
        <v>0</v>
      </c>
    </row>
    <row r="2190" spans="15:18" x14ac:dyDescent="0.15">
      <c r="O2190" s="7" t="str">
        <f>"REQ"&amp;TEXT([2]RequestList!$A2191,"0000")</f>
        <v>REQ0000</v>
      </c>
      <c r="P2190" s="7">
        <f>[2]RequestList!$J2191</f>
        <v>0</v>
      </c>
      <c r="Q2190" s="65">
        <f>SUMIF(日報!$R:$R,TEXT(YEAR($Q$2),"0000")&amp;TEXT(MONTH($Q$2),"00")&amp;$O2190,日報!$L:$L)</f>
        <v>0</v>
      </c>
      <c r="R2190" s="65">
        <f ca="1">SUMIF(日報!$J:$J,$O2190,日報!$L:$L)</f>
        <v>0</v>
      </c>
    </row>
    <row r="2191" spans="15:18" x14ac:dyDescent="0.15">
      <c r="O2191" s="7" t="str">
        <f>"REQ"&amp;TEXT([2]RequestList!$A2192,"0000")</f>
        <v>REQ0000</v>
      </c>
      <c r="P2191" s="7">
        <f>[2]RequestList!$J2192</f>
        <v>0</v>
      </c>
      <c r="Q2191" s="65">
        <f>SUMIF(日報!$R:$R,TEXT(YEAR($Q$2),"0000")&amp;TEXT(MONTH($Q$2),"00")&amp;$O2191,日報!$L:$L)</f>
        <v>0</v>
      </c>
      <c r="R2191" s="65">
        <f ca="1">SUMIF(日報!$J:$J,$O2191,日報!$L:$L)</f>
        <v>0</v>
      </c>
    </row>
    <row r="2192" spans="15:18" x14ac:dyDescent="0.15">
      <c r="O2192" s="7" t="str">
        <f>"REQ"&amp;TEXT([2]RequestList!$A2193,"0000")</f>
        <v>REQ0000</v>
      </c>
      <c r="P2192" s="7">
        <f>[2]RequestList!$J2193</f>
        <v>0</v>
      </c>
      <c r="Q2192" s="65">
        <f>SUMIF(日報!$R:$R,TEXT(YEAR($Q$2),"0000")&amp;TEXT(MONTH($Q$2),"00")&amp;$O2192,日報!$L:$L)</f>
        <v>0</v>
      </c>
      <c r="R2192" s="65">
        <f ca="1">SUMIF(日報!$J:$J,$O2192,日報!$L:$L)</f>
        <v>0</v>
      </c>
    </row>
    <row r="2193" spans="15:18" x14ac:dyDescent="0.15">
      <c r="O2193" s="7" t="str">
        <f>"REQ"&amp;TEXT([2]RequestList!$A2194,"0000")</f>
        <v>REQ0000</v>
      </c>
      <c r="P2193" s="7">
        <f>[2]RequestList!$J2194</f>
        <v>0</v>
      </c>
      <c r="Q2193" s="65">
        <f>SUMIF(日報!$R:$R,TEXT(YEAR($Q$2),"0000")&amp;TEXT(MONTH($Q$2),"00")&amp;$O2193,日報!$L:$L)</f>
        <v>0</v>
      </c>
      <c r="R2193" s="65">
        <f ca="1">SUMIF(日報!$J:$J,$O2193,日報!$L:$L)</f>
        <v>0</v>
      </c>
    </row>
    <row r="2194" spans="15:18" x14ac:dyDescent="0.15">
      <c r="O2194" s="7" t="str">
        <f>"REQ"&amp;TEXT([2]RequestList!$A2195,"0000")</f>
        <v>REQ0000</v>
      </c>
      <c r="P2194" s="7">
        <f>[2]RequestList!$J2195</f>
        <v>0</v>
      </c>
      <c r="Q2194" s="65">
        <f>SUMIF(日報!$R:$R,TEXT(YEAR($Q$2),"0000")&amp;TEXT(MONTH($Q$2),"00")&amp;$O2194,日報!$L:$L)</f>
        <v>0</v>
      </c>
      <c r="R2194" s="65">
        <f ca="1">SUMIF(日報!$J:$J,$O2194,日報!$L:$L)</f>
        <v>0</v>
      </c>
    </row>
    <row r="2195" spans="15:18" x14ac:dyDescent="0.15">
      <c r="O2195" s="7" t="str">
        <f>"REQ"&amp;TEXT([2]RequestList!$A2196,"0000")</f>
        <v>REQ0000</v>
      </c>
      <c r="P2195" s="7">
        <f>[2]RequestList!$J2196</f>
        <v>0</v>
      </c>
      <c r="Q2195" s="65">
        <f>SUMIF(日報!$R:$R,TEXT(YEAR($Q$2),"0000")&amp;TEXT(MONTH($Q$2),"00")&amp;$O2195,日報!$L:$L)</f>
        <v>0</v>
      </c>
      <c r="R2195" s="65">
        <f ca="1">SUMIF(日報!$J:$J,$O2195,日報!$L:$L)</f>
        <v>0</v>
      </c>
    </row>
    <row r="2196" spans="15:18" x14ac:dyDescent="0.15">
      <c r="O2196" s="7" t="str">
        <f>"REQ"&amp;TEXT([2]RequestList!$A2197,"0000")</f>
        <v>REQ0000</v>
      </c>
      <c r="P2196" s="7">
        <f>[2]RequestList!$J2197</f>
        <v>0</v>
      </c>
      <c r="Q2196" s="65">
        <f>SUMIF(日報!$R:$R,TEXT(YEAR($Q$2),"0000")&amp;TEXT(MONTH($Q$2),"00")&amp;$O2196,日報!$L:$L)</f>
        <v>0</v>
      </c>
      <c r="R2196" s="65">
        <f ca="1">SUMIF(日報!$J:$J,$O2196,日報!$L:$L)</f>
        <v>0</v>
      </c>
    </row>
    <row r="2197" spans="15:18" x14ac:dyDescent="0.15">
      <c r="O2197" s="7" t="str">
        <f>"REQ"&amp;TEXT([2]RequestList!$A2198,"0000")</f>
        <v>REQ0000</v>
      </c>
      <c r="P2197" s="7">
        <f>[2]RequestList!$J2198</f>
        <v>0</v>
      </c>
      <c r="Q2197" s="65">
        <f>SUMIF(日報!$R:$R,TEXT(YEAR($Q$2),"0000")&amp;TEXT(MONTH($Q$2),"00")&amp;$O2197,日報!$L:$L)</f>
        <v>0</v>
      </c>
      <c r="R2197" s="65">
        <f ca="1">SUMIF(日報!$J:$J,$O2197,日報!$L:$L)</f>
        <v>0</v>
      </c>
    </row>
    <row r="2198" spans="15:18" x14ac:dyDescent="0.15">
      <c r="O2198" s="7" t="str">
        <f>"REQ"&amp;TEXT([2]RequestList!$A2199,"0000")</f>
        <v>REQ0000</v>
      </c>
      <c r="P2198" s="7">
        <f>[2]RequestList!$J2199</f>
        <v>0</v>
      </c>
      <c r="Q2198" s="65">
        <f>SUMIF(日報!$R:$R,TEXT(YEAR($Q$2),"0000")&amp;TEXT(MONTH($Q$2),"00")&amp;$O2198,日報!$L:$L)</f>
        <v>0</v>
      </c>
      <c r="R2198" s="65">
        <f ca="1">SUMIF(日報!$J:$J,$O2198,日報!$L:$L)</f>
        <v>0</v>
      </c>
    </row>
    <row r="2199" spans="15:18" x14ac:dyDescent="0.15">
      <c r="O2199" s="7" t="str">
        <f>"REQ"&amp;TEXT([2]RequestList!$A2200,"0000")</f>
        <v>REQ0000</v>
      </c>
      <c r="P2199" s="7">
        <f>[2]RequestList!$J2200</f>
        <v>0</v>
      </c>
      <c r="Q2199" s="65">
        <f>SUMIF(日報!$R:$R,TEXT(YEAR($Q$2),"0000")&amp;TEXT(MONTH($Q$2),"00")&amp;$O2199,日報!$L:$L)</f>
        <v>0</v>
      </c>
      <c r="R2199" s="65">
        <f ca="1">SUMIF(日報!$J:$J,$O2199,日報!$L:$L)</f>
        <v>0</v>
      </c>
    </row>
    <row r="2200" spans="15:18" x14ac:dyDescent="0.15">
      <c r="O2200" s="7" t="str">
        <f>"REQ"&amp;TEXT([2]RequestList!$A2201,"0000")</f>
        <v>REQ0000</v>
      </c>
      <c r="P2200" s="7">
        <f>[2]RequestList!$J2201</f>
        <v>0</v>
      </c>
      <c r="Q2200" s="65">
        <f>SUMIF(日報!$R:$R,TEXT(YEAR($Q$2),"0000")&amp;TEXT(MONTH($Q$2),"00")&amp;$O2200,日報!$L:$L)</f>
        <v>0</v>
      </c>
      <c r="R2200" s="65">
        <f ca="1">SUMIF(日報!$J:$J,$O2200,日報!$L:$L)</f>
        <v>0</v>
      </c>
    </row>
    <row r="2201" spans="15:18" x14ac:dyDescent="0.15">
      <c r="O2201" s="7" t="str">
        <f>"REQ"&amp;TEXT([2]RequestList!$A2202,"0000")</f>
        <v>REQ0000</v>
      </c>
      <c r="P2201" s="7">
        <f>[2]RequestList!$J2202</f>
        <v>0</v>
      </c>
      <c r="Q2201" s="65">
        <f>SUMIF(日報!$R:$R,TEXT(YEAR($Q$2),"0000")&amp;TEXT(MONTH($Q$2),"00")&amp;$O2201,日報!$L:$L)</f>
        <v>0</v>
      </c>
      <c r="R2201" s="65">
        <f ca="1">SUMIF(日報!$J:$J,$O2201,日報!$L:$L)</f>
        <v>0</v>
      </c>
    </row>
    <row r="2202" spans="15:18" x14ac:dyDescent="0.15">
      <c r="O2202" s="7" t="str">
        <f>"REQ"&amp;TEXT([2]RequestList!$A2203,"0000")</f>
        <v>REQ0000</v>
      </c>
      <c r="P2202" s="7">
        <f>[2]RequestList!$J2203</f>
        <v>0</v>
      </c>
      <c r="Q2202" s="65">
        <f>SUMIF(日報!$R:$R,TEXT(YEAR($Q$2),"0000")&amp;TEXT(MONTH($Q$2),"00")&amp;$O2202,日報!$L:$L)</f>
        <v>0</v>
      </c>
      <c r="R2202" s="65">
        <f ca="1">SUMIF(日報!$J:$J,$O2202,日報!$L:$L)</f>
        <v>0</v>
      </c>
    </row>
    <row r="2203" spans="15:18" x14ac:dyDescent="0.15">
      <c r="O2203" s="7" t="str">
        <f>"REQ"&amp;TEXT([2]RequestList!$A2204,"0000")</f>
        <v>REQ0000</v>
      </c>
      <c r="P2203" s="7">
        <f>[2]RequestList!$J2204</f>
        <v>0</v>
      </c>
      <c r="Q2203" s="65">
        <f>SUMIF(日報!$R:$R,TEXT(YEAR($Q$2),"0000")&amp;TEXT(MONTH($Q$2),"00")&amp;$O2203,日報!$L:$L)</f>
        <v>0</v>
      </c>
      <c r="R2203" s="65">
        <f ca="1">SUMIF(日報!$J:$J,$O2203,日報!$L:$L)</f>
        <v>0</v>
      </c>
    </row>
    <row r="2204" spans="15:18" x14ac:dyDescent="0.15">
      <c r="O2204" s="7" t="str">
        <f>"REQ"&amp;TEXT([2]RequestList!$A2205,"0000")</f>
        <v>REQ0000</v>
      </c>
      <c r="P2204" s="7">
        <f>[2]RequestList!$J2205</f>
        <v>0</v>
      </c>
      <c r="Q2204" s="65">
        <f>SUMIF(日報!$R:$R,TEXT(YEAR($Q$2),"0000")&amp;TEXT(MONTH($Q$2),"00")&amp;$O2204,日報!$L:$L)</f>
        <v>0</v>
      </c>
      <c r="R2204" s="65">
        <f ca="1">SUMIF(日報!$J:$J,$O2204,日報!$L:$L)</f>
        <v>0</v>
      </c>
    </row>
    <row r="2205" spans="15:18" x14ac:dyDescent="0.15">
      <c r="O2205" s="7" t="str">
        <f>"REQ"&amp;TEXT([2]RequestList!$A2206,"0000")</f>
        <v>REQ0000</v>
      </c>
      <c r="P2205" s="7">
        <f>[2]RequestList!$J2206</f>
        <v>0</v>
      </c>
      <c r="Q2205" s="65">
        <f>SUMIF(日報!$R:$R,TEXT(YEAR($Q$2),"0000")&amp;TEXT(MONTH($Q$2),"00")&amp;$O2205,日報!$L:$L)</f>
        <v>0</v>
      </c>
      <c r="R2205" s="65">
        <f ca="1">SUMIF(日報!$J:$J,$O2205,日報!$L:$L)</f>
        <v>0</v>
      </c>
    </row>
    <row r="2206" spans="15:18" x14ac:dyDescent="0.15">
      <c r="O2206" s="7" t="str">
        <f>"REQ"&amp;TEXT([2]RequestList!$A2207,"0000")</f>
        <v>REQ0000</v>
      </c>
      <c r="P2206" s="7">
        <f>[2]RequestList!$J2207</f>
        <v>0</v>
      </c>
      <c r="Q2206" s="65">
        <f>SUMIF(日報!$R:$R,TEXT(YEAR($Q$2),"0000")&amp;TEXT(MONTH($Q$2),"00")&amp;$O2206,日報!$L:$L)</f>
        <v>0</v>
      </c>
      <c r="R2206" s="65">
        <f ca="1">SUMIF(日報!$J:$J,$O2206,日報!$L:$L)</f>
        <v>0</v>
      </c>
    </row>
    <row r="2207" spans="15:18" x14ac:dyDescent="0.15">
      <c r="O2207" s="7" t="str">
        <f>"REQ"&amp;TEXT([2]RequestList!$A2208,"0000")</f>
        <v>REQ0000</v>
      </c>
      <c r="P2207" s="7">
        <f>[2]RequestList!$J2208</f>
        <v>0</v>
      </c>
      <c r="Q2207" s="65">
        <f>SUMIF(日報!$R:$R,TEXT(YEAR($Q$2),"0000")&amp;TEXT(MONTH($Q$2),"00")&amp;$O2207,日報!$L:$L)</f>
        <v>0</v>
      </c>
      <c r="R2207" s="65">
        <f ca="1">SUMIF(日報!$J:$J,$O2207,日報!$L:$L)</f>
        <v>0</v>
      </c>
    </row>
    <row r="2208" spans="15:18" x14ac:dyDescent="0.15">
      <c r="O2208" s="7" t="str">
        <f>"REQ"&amp;TEXT([2]RequestList!$A2209,"0000")</f>
        <v>REQ0000</v>
      </c>
      <c r="P2208" s="7">
        <f>[2]RequestList!$J2209</f>
        <v>0</v>
      </c>
      <c r="Q2208" s="65">
        <f>SUMIF(日報!$R:$R,TEXT(YEAR($Q$2),"0000")&amp;TEXT(MONTH($Q$2),"00")&amp;$O2208,日報!$L:$L)</f>
        <v>0</v>
      </c>
      <c r="R2208" s="65">
        <f ca="1">SUMIF(日報!$J:$J,$O2208,日報!$L:$L)</f>
        <v>0</v>
      </c>
    </row>
    <row r="2209" spans="15:18" x14ac:dyDescent="0.15">
      <c r="O2209" s="7" t="str">
        <f>"REQ"&amp;TEXT([2]RequestList!$A2210,"0000")</f>
        <v>REQ0000</v>
      </c>
      <c r="P2209" s="7">
        <f>[2]RequestList!$J2210</f>
        <v>0</v>
      </c>
      <c r="Q2209" s="65">
        <f>SUMIF(日報!$R:$R,TEXT(YEAR($Q$2),"0000")&amp;TEXT(MONTH($Q$2),"00")&amp;$O2209,日報!$L:$L)</f>
        <v>0</v>
      </c>
      <c r="R2209" s="65">
        <f ca="1">SUMIF(日報!$J:$J,$O2209,日報!$L:$L)</f>
        <v>0</v>
      </c>
    </row>
    <row r="2210" spans="15:18" x14ac:dyDescent="0.15">
      <c r="O2210" s="7" t="str">
        <f>"REQ"&amp;TEXT([2]RequestList!$A2211,"0000")</f>
        <v>REQ0000</v>
      </c>
      <c r="P2210" s="7">
        <f>[2]RequestList!$J2211</f>
        <v>0</v>
      </c>
      <c r="Q2210" s="65">
        <f>SUMIF(日報!$R:$R,TEXT(YEAR($Q$2),"0000")&amp;TEXT(MONTH($Q$2),"00")&amp;$O2210,日報!$L:$L)</f>
        <v>0</v>
      </c>
      <c r="R2210" s="65">
        <f ca="1">SUMIF(日報!$J:$J,$O2210,日報!$L:$L)</f>
        <v>0</v>
      </c>
    </row>
    <row r="2211" spans="15:18" x14ac:dyDescent="0.15">
      <c r="O2211" s="7" t="str">
        <f>"REQ"&amp;TEXT([2]RequestList!$A2212,"0000")</f>
        <v>REQ0000</v>
      </c>
      <c r="P2211" s="7">
        <f>[2]RequestList!$J2212</f>
        <v>0</v>
      </c>
      <c r="Q2211" s="65">
        <f>SUMIF(日報!$R:$R,TEXT(YEAR($Q$2),"0000")&amp;TEXT(MONTH($Q$2),"00")&amp;$O2211,日報!$L:$L)</f>
        <v>0</v>
      </c>
      <c r="R2211" s="65">
        <f ca="1">SUMIF(日報!$J:$J,$O2211,日報!$L:$L)</f>
        <v>0</v>
      </c>
    </row>
    <row r="2212" spans="15:18" x14ac:dyDescent="0.15">
      <c r="O2212" s="7" t="str">
        <f>"REQ"&amp;TEXT([2]RequestList!$A2213,"0000")</f>
        <v>REQ0000</v>
      </c>
      <c r="P2212" s="7">
        <f>[2]RequestList!$J2213</f>
        <v>0</v>
      </c>
      <c r="Q2212" s="65">
        <f>SUMIF(日報!$R:$R,TEXT(YEAR($Q$2),"0000")&amp;TEXT(MONTH($Q$2),"00")&amp;$O2212,日報!$L:$L)</f>
        <v>0</v>
      </c>
      <c r="R2212" s="65">
        <f ca="1">SUMIF(日報!$J:$J,$O2212,日報!$L:$L)</f>
        <v>0</v>
      </c>
    </row>
    <row r="2213" spans="15:18" x14ac:dyDescent="0.15">
      <c r="O2213" s="7" t="str">
        <f>"REQ"&amp;TEXT([2]RequestList!$A2214,"0000")</f>
        <v>REQ0000</v>
      </c>
      <c r="P2213" s="7">
        <f>[2]RequestList!$J2214</f>
        <v>0</v>
      </c>
      <c r="Q2213" s="65">
        <f>SUMIF(日報!$R:$R,TEXT(YEAR($Q$2),"0000")&amp;TEXT(MONTH($Q$2),"00")&amp;$O2213,日報!$L:$L)</f>
        <v>0</v>
      </c>
      <c r="R2213" s="65">
        <f ca="1">SUMIF(日報!$J:$J,$O2213,日報!$L:$L)</f>
        <v>0</v>
      </c>
    </row>
    <row r="2214" spans="15:18" x14ac:dyDescent="0.15">
      <c r="O2214" s="7" t="str">
        <f>"REQ"&amp;TEXT([2]RequestList!$A2215,"0000")</f>
        <v>REQ0000</v>
      </c>
      <c r="P2214" s="7">
        <f>[2]RequestList!$J2215</f>
        <v>0</v>
      </c>
      <c r="Q2214" s="65">
        <f>SUMIF(日報!$R:$R,TEXT(YEAR($Q$2),"0000")&amp;TEXT(MONTH($Q$2),"00")&amp;$O2214,日報!$L:$L)</f>
        <v>0</v>
      </c>
      <c r="R2214" s="65">
        <f ca="1">SUMIF(日報!$J:$J,$O2214,日報!$L:$L)</f>
        <v>0</v>
      </c>
    </row>
    <row r="2215" spans="15:18" x14ac:dyDescent="0.15">
      <c r="O2215" s="7" t="str">
        <f>"REQ"&amp;TEXT([2]RequestList!$A2216,"0000")</f>
        <v>REQ0000</v>
      </c>
      <c r="P2215" s="7">
        <f>[2]RequestList!$J2216</f>
        <v>0</v>
      </c>
      <c r="Q2215" s="65">
        <f>SUMIF(日報!$R:$R,TEXT(YEAR($Q$2),"0000")&amp;TEXT(MONTH($Q$2),"00")&amp;$O2215,日報!$L:$L)</f>
        <v>0</v>
      </c>
      <c r="R2215" s="65">
        <f ca="1">SUMIF(日報!$J:$J,$O2215,日報!$L:$L)</f>
        <v>0</v>
      </c>
    </row>
    <row r="2216" spans="15:18" x14ac:dyDescent="0.15">
      <c r="O2216" s="7" t="str">
        <f>"REQ"&amp;TEXT([2]RequestList!$A2217,"0000")</f>
        <v>REQ0000</v>
      </c>
      <c r="P2216" s="7">
        <f>[2]RequestList!$J2217</f>
        <v>0</v>
      </c>
      <c r="Q2216" s="65">
        <f>SUMIF(日報!$R:$R,TEXT(YEAR($Q$2),"0000")&amp;TEXT(MONTH($Q$2),"00")&amp;$O2216,日報!$L:$L)</f>
        <v>0</v>
      </c>
      <c r="R2216" s="65">
        <f ca="1">SUMIF(日報!$J:$J,$O2216,日報!$L:$L)</f>
        <v>0</v>
      </c>
    </row>
    <row r="2217" spans="15:18" x14ac:dyDescent="0.15">
      <c r="O2217" s="7" t="str">
        <f>"REQ"&amp;TEXT([2]RequestList!$A2218,"0000")</f>
        <v>REQ0000</v>
      </c>
      <c r="P2217" s="7">
        <f>[2]RequestList!$J2218</f>
        <v>0</v>
      </c>
      <c r="Q2217" s="65">
        <f>SUMIF(日報!$R:$R,TEXT(YEAR($Q$2),"0000")&amp;TEXT(MONTH($Q$2),"00")&amp;$O2217,日報!$L:$L)</f>
        <v>0</v>
      </c>
      <c r="R2217" s="65">
        <f ca="1">SUMIF(日報!$J:$J,$O2217,日報!$L:$L)</f>
        <v>0</v>
      </c>
    </row>
    <row r="2218" spans="15:18" x14ac:dyDescent="0.15">
      <c r="O2218" s="7" t="str">
        <f>"REQ"&amp;TEXT([2]RequestList!$A2219,"0000")</f>
        <v>REQ0000</v>
      </c>
      <c r="P2218" s="7">
        <f>[2]RequestList!$J2219</f>
        <v>0</v>
      </c>
      <c r="Q2218" s="65">
        <f>SUMIF(日報!$R:$R,TEXT(YEAR($Q$2),"0000")&amp;TEXT(MONTH($Q$2),"00")&amp;$O2218,日報!$L:$L)</f>
        <v>0</v>
      </c>
      <c r="R2218" s="65">
        <f ca="1">SUMIF(日報!$J:$J,$O2218,日報!$L:$L)</f>
        <v>0</v>
      </c>
    </row>
    <row r="2219" spans="15:18" x14ac:dyDescent="0.15">
      <c r="O2219" s="7" t="str">
        <f>"REQ"&amp;TEXT([2]RequestList!$A2220,"0000")</f>
        <v>REQ0000</v>
      </c>
      <c r="P2219" s="7">
        <f>[2]RequestList!$J2220</f>
        <v>0</v>
      </c>
      <c r="Q2219" s="65">
        <f>SUMIF(日報!$R:$R,TEXT(YEAR($Q$2),"0000")&amp;TEXT(MONTH($Q$2),"00")&amp;$O2219,日報!$L:$L)</f>
        <v>0</v>
      </c>
      <c r="R2219" s="65">
        <f ca="1">SUMIF(日報!$J:$J,$O2219,日報!$L:$L)</f>
        <v>0</v>
      </c>
    </row>
    <row r="2220" spans="15:18" x14ac:dyDescent="0.15">
      <c r="O2220" s="7" t="str">
        <f>"REQ"&amp;TEXT([2]RequestList!$A2221,"0000")</f>
        <v>REQ0000</v>
      </c>
      <c r="P2220" s="7">
        <f>[2]RequestList!$J2221</f>
        <v>0</v>
      </c>
      <c r="Q2220" s="65">
        <f>SUMIF(日報!$R:$R,TEXT(YEAR($Q$2),"0000")&amp;TEXT(MONTH($Q$2),"00")&amp;$O2220,日報!$L:$L)</f>
        <v>0</v>
      </c>
      <c r="R2220" s="65">
        <f ca="1">SUMIF(日報!$J:$J,$O2220,日報!$L:$L)</f>
        <v>0</v>
      </c>
    </row>
    <row r="2221" spans="15:18" x14ac:dyDescent="0.15">
      <c r="O2221" s="7" t="str">
        <f>"REQ"&amp;TEXT([2]RequestList!$A2222,"0000")</f>
        <v>REQ0000</v>
      </c>
      <c r="P2221" s="7">
        <f>[2]RequestList!$J2222</f>
        <v>0</v>
      </c>
      <c r="Q2221" s="65">
        <f>SUMIF(日報!$R:$R,TEXT(YEAR($Q$2),"0000")&amp;TEXT(MONTH($Q$2),"00")&amp;$O2221,日報!$L:$L)</f>
        <v>0</v>
      </c>
      <c r="R2221" s="65">
        <f ca="1">SUMIF(日報!$J:$J,$O2221,日報!$L:$L)</f>
        <v>0</v>
      </c>
    </row>
    <row r="2222" spans="15:18" x14ac:dyDescent="0.15">
      <c r="O2222" s="7" t="str">
        <f>"REQ"&amp;TEXT([2]RequestList!$A2223,"0000")</f>
        <v>REQ0000</v>
      </c>
      <c r="P2222" s="7">
        <f>[2]RequestList!$J2223</f>
        <v>0</v>
      </c>
      <c r="Q2222" s="65">
        <f>SUMIF(日報!$R:$R,TEXT(YEAR($Q$2),"0000")&amp;TEXT(MONTH($Q$2),"00")&amp;$O2222,日報!$L:$L)</f>
        <v>0</v>
      </c>
      <c r="R2222" s="65">
        <f ca="1">SUMIF(日報!$J:$J,$O2222,日報!$L:$L)</f>
        <v>0</v>
      </c>
    </row>
    <row r="2223" spans="15:18" x14ac:dyDescent="0.15">
      <c r="O2223" s="7" t="str">
        <f>"REQ"&amp;TEXT([2]RequestList!$A2224,"0000")</f>
        <v>REQ0000</v>
      </c>
      <c r="P2223" s="7">
        <f>[2]RequestList!$J2224</f>
        <v>0</v>
      </c>
      <c r="Q2223" s="65">
        <f>SUMIF(日報!$R:$R,TEXT(YEAR($Q$2),"0000")&amp;TEXT(MONTH($Q$2),"00")&amp;$O2223,日報!$L:$L)</f>
        <v>0</v>
      </c>
      <c r="R2223" s="65">
        <f ca="1">SUMIF(日報!$J:$J,$O2223,日報!$L:$L)</f>
        <v>0</v>
      </c>
    </row>
    <row r="2224" spans="15:18" x14ac:dyDescent="0.15">
      <c r="O2224" s="7" t="str">
        <f>"REQ"&amp;TEXT([2]RequestList!$A2225,"0000")</f>
        <v>REQ0000</v>
      </c>
      <c r="P2224" s="7">
        <f>[2]RequestList!$J2225</f>
        <v>0</v>
      </c>
      <c r="Q2224" s="65">
        <f>SUMIF(日報!$R:$R,TEXT(YEAR($Q$2),"0000")&amp;TEXT(MONTH($Q$2),"00")&amp;$O2224,日報!$L:$L)</f>
        <v>0</v>
      </c>
      <c r="R2224" s="65">
        <f ca="1">SUMIF(日報!$J:$J,$O2224,日報!$L:$L)</f>
        <v>0</v>
      </c>
    </row>
    <row r="2225" spans="15:18" x14ac:dyDescent="0.15">
      <c r="O2225" s="7" t="str">
        <f>"REQ"&amp;TEXT([2]RequestList!$A2226,"0000")</f>
        <v>REQ0000</v>
      </c>
      <c r="P2225" s="7">
        <f>[2]RequestList!$J2226</f>
        <v>0</v>
      </c>
      <c r="Q2225" s="65">
        <f>SUMIF(日報!$R:$R,TEXT(YEAR($Q$2),"0000")&amp;TEXT(MONTH($Q$2),"00")&amp;$O2225,日報!$L:$L)</f>
        <v>0</v>
      </c>
      <c r="R2225" s="65">
        <f ca="1">SUMIF(日報!$J:$J,$O2225,日報!$L:$L)</f>
        <v>0</v>
      </c>
    </row>
    <row r="2226" spans="15:18" x14ac:dyDescent="0.15">
      <c r="O2226" s="7" t="str">
        <f>"REQ"&amp;TEXT([2]RequestList!$A2227,"0000")</f>
        <v>REQ0000</v>
      </c>
      <c r="P2226" s="7">
        <f>[2]RequestList!$J2227</f>
        <v>0</v>
      </c>
      <c r="Q2226" s="65">
        <f>SUMIF(日報!$R:$R,TEXT(YEAR($Q$2),"0000")&amp;TEXT(MONTH($Q$2),"00")&amp;$O2226,日報!$L:$L)</f>
        <v>0</v>
      </c>
      <c r="R2226" s="65">
        <f ca="1">SUMIF(日報!$J:$J,$O2226,日報!$L:$L)</f>
        <v>0</v>
      </c>
    </row>
    <row r="2227" spans="15:18" x14ac:dyDescent="0.15">
      <c r="O2227" s="7" t="str">
        <f>"REQ"&amp;TEXT([2]RequestList!$A2228,"0000")</f>
        <v>REQ0000</v>
      </c>
      <c r="P2227" s="7">
        <f>[2]RequestList!$J2228</f>
        <v>0</v>
      </c>
      <c r="Q2227" s="65">
        <f>SUMIF(日報!$R:$R,TEXT(YEAR($Q$2),"0000")&amp;TEXT(MONTH($Q$2),"00")&amp;$O2227,日報!$L:$L)</f>
        <v>0</v>
      </c>
      <c r="R2227" s="65">
        <f ca="1">SUMIF(日報!$J:$J,$O2227,日報!$L:$L)</f>
        <v>0</v>
      </c>
    </row>
    <row r="2228" spans="15:18" x14ac:dyDescent="0.15">
      <c r="O2228" s="7" t="str">
        <f>"REQ"&amp;TEXT([2]RequestList!$A2229,"0000")</f>
        <v>REQ0000</v>
      </c>
      <c r="P2228" s="7">
        <f>[2]RequestList!$J2229</f>
        <v>0</v>
      </c>
      <c r="Q2228" s="65">
        <f>SUMIF(日報!$R:$R,TEXT(YEAR($Q$2),"0000")&amp;TEXT(MONTH($Q$2),"00")&amp;$O2228,日報!$L:$L)</f>
        <v>0</v>
      </c>
      <c r="R2228" s="65">
        <f ca="1">SUMIF(日報!$J:$J,$O2228,日報!$L:$L)</f>
        <v>0</v>
      </c>
    </row>
    <row r="2229" spans="15:18" x14ac:dyDescent="0.15">
      <c r="O2229" s="7" t="str">
        <f>"REQ"&amp;TEXT([2]RequestList!$A2230,"0000")</f>
        <v>REQ0000</v>
      </c>
      <c r="P2229" s="7">
        <f>[2]RequestList!$J2230</f>
        <v>0</v>
      </c>
      <c r="Q2229" s="65">
        <f>SUMIF(日報!$R:$R,TEXT(YEAR($Q$2),"0000")&amp;TEXT(MONTH($Q$2),"00")&amp;$O2229,日報!$L:$L)</f>
        <v>0</v>
      </c>
      <c r="R2229" s="65">
        <f ca="1">SUMIF(日報!$J:$J,$O2229,日報!$L:$L)</f>
        <v>0</v>
      </c>
    </row>
    <row r="2230" spans="15:18" x14ac:dyDescent="0.15">
      <c r="O2230" s="7" t="str">
        <f>"REQ"&amp;TEXT([2]RequestList!$A2231,"0000")</f>
        <v>REQ0000</v>
      </c>
      <c r="P2230" s="7">
        <f>[2]RequestList!$J2231</f>
        <v>0</v>
      </c>
      <c r="Q2230" s="65">
        <f>SUMIF(日報!$R:$R,TEXT(YEAR($Q$2),"0000")&amp;TEXT(MONTH($Q$2),"00")&amp;$O2230,日報!$L:$L)</f>
        <v>0</v>
      </c>
      <c r="R2230" s="65">
        <f ca="1">SUMIF(日報!$J:$J,$O2230,日報!$L:$L)</f>
        <v>0</v>
      </c>
    </row>
    <row r="2231" spans="15:18" x14ac:dyDescent="0.15">
      <c r="O2231" s="7" t="str">
        <f>"REQ"&amp;TEXT([2]RequestList!$A2232,"0000")</f>
        <v>REQ0000</v>
      </c>
      <c r="P2231" s="7">
        <f>[2]RequestList!$J2232</f>
        <v>0</v>
      </c>
      <c r="Q2231" s="65">
        <f>SUMIF(日報!$R:$R,TEXT(YEAR($Q$2),"0000")&amp;TEXT(MONTH($Q$2),"00")&amp;$O2231,日報!$L:$L)</f>
        <v>0</v>
      </c>
      <c r="R2231" s="65">
        <f ca="1">SUMIF(日報!$J:$J,$O2231,日報!$L:$L)</f>
        <v>0</v>
      </c>
    </row>
    <row r="2232" spans="15:18" x14ac:dyDescent="0.15">
      <c r="O2232" s="7" t="str">
        <f>"REQ"&amp;TEXT([2]RequestList!$A2233,"0000")</f>
        <v>REQ0000</v>
      </c>
      <c r="P2232" s="7">
        <f>[2]RequestList!$J2233</f>
        <v>0</v>
      </c>
      <c r="Q2232" s="65">
        <f>SUMIF(日報!$R:$R,TEXT(YEAR($Q$2),"0000")&amp;TEXT(MONTH($Q$2),"00")&amp;$O2232,日報!$L:$L)</f>
        <v>0</v>
      </c>
      <c r="R2232" s="65">
        <f ca="1">SUMIF(日報!$J:$J,$O2232,日報!$L:$L)</f>
        <v>0</v>
      </c>
    </row>
    <row r="2233" spans="15:18" x14ac:dyDescent="0.15">
      <c r="O2233" s="7" t="str">
        <f>"REQ"&amp;TEXT([2]RequestList!$A2234,"0000")</f>
        <v>REQ0000</v>
      </c>
      <c r="P2233" s="7">
        <f>[2]RequestList!$J2234</f>
        <v>0</v>
      </c>
      <c r="Q2233" s="65">
        <f>SUMIF(日報!$R:$R,TEXT(YEAR($Q$2),"0000")&amp;TEXT(MONTH($Q$2),"00")&amp;$O2233,日報!$L:$L)</f>
        <v>0</v>
      </c>
      <c r="R2233" s="65">
        <f ca="1">SUMIF(日報!$J:$J,$O2233,日報!$L:$L)</f>
        <v>0</v>
      </c>
    </row>
    <row r="2234" spans="15:18" x14ac:dyDescent="0.15">
      <c r="O2234" s="7" t="str">
        <f>"REQ"&amp;TEXT([2]RequestList!$A2235,"0000")</f>
        <v>REQ0000</v>
      </c>
      <c r="P2234" s="7">
        <f>[2]RequestList!$J2235</f>
        <v>0</v>
      </c>
      <c r="Q2234" s="65">
        <f>SUMIF(日報!$R:$R,TEXT(YEAR($Q$2),"0000")&amp;TEXT(MONTH($Q$2),"00")&amp;$O2234,日報!$L:$L)</f>
        <v>0</v>
      </c>
      <c r="R2234" s="65">
        <f ca="1">SUMIF(日報!$J:$J,$O2234,日報!$L:$L)</f>
        <v>0</v>
      </c>
    </row>
    <row r="2235" spans="15:18" x14ac:dyDescent="0.15">
      <c r="O2235" s="7" t="str">
        <f>"REQ"&amp;TEXT([2]RequestList!$A2236,"0000")</f>
        <v>REQ0000</v>
      </c>
      <c r="P2235" s="7">
        <f>[2]RequestList!$J2236</f>
        <v>0</v>
      </c>
      <c r="Q2235" s="65">
        <f>SUMIF(日報!$R:$R,TEXT(YEAR($Q$2),"0000")&amp;TEXT(MONTH($Q$2),"00")&amp;$O2235,日報!$L:$L)</f>
        <v>0</v>
      </c>
      <c r="R2235" s="65">
        <f ca="1">SUMIF(日報!$J:$J,$O2235,日報!$L:$L)</f>
        <v>0</v>
      </c>
    </row>
    <row r="2236" spans="15:18" x14ac:dyDescent="0.15">
      <c r="O2236" s="7" t="str">
        <f>"REQ"&amp;TEXT([2]RequestList!$A2237,"0000")</f>
        <v>REQ0000</v>
      </c>
      <c r="P2236" s="7">
        <f>[2]RequestList!$J2237</f>
        <v>0</v>
      </c>
      <c r="Q2236" s="65">
        <f>SUMIF(日報!$R:$R,TEXT(YEAR($Q$2),"0000")&amp;TEXT(MONTH($Q$2),"00")&amp;$O2236,日報!$L:$L)</f>
        <v>0</v>
      </c>
      <c r="R2236" s="65">
        <f ca="1">SUMIF(日報!$J:$J,$O2236,日報!$L:$L)</f>
        <v>0</v>
      </c>
    </row>
    <row r="2237" spans="15:18" x14ac:dyDescent="0.15">
      <c r="O2237" s="7" t="str">
        <f>"REQ"&amp;TEXT([2]RequestList!$A2238,"0000")</f>
        <v>REQ0000</v>
      </c>
      <c r="P2237" s="7">
        <f>[2]RequestList!$J2238</f>
        <v>0</v>
      </c>
      <c r="Q2237" s="65">
        <f>SUMIF(日報!$R:$R,TEXT(YEAR($Q$2),"0000")&amp;TEXT(MONTH($Q$2),"00")&amp;$O2237,日報!$L:$L)</f>
        <v>0</v>
      </c>
      <c r="R2237" s="65">
        <f ca="1">SUMIF(日報!$J:$J,$O2237,日報!$L:$L)</f>
        <v>0</v>
      </c>
    </row>
    <row r="2238" spans="15:18" x14ac:dyDescent="0.15">
      <c r="O2238" s="7" t="str">
        <f>"REQ"&amp;TEXT([2]RequestList!$A2239,"0000")</f>
        <v>REQ0000</v>
      </c>
      <c r="P2238" s="7">
        <f>[2]RequestList!$J2239</f>
        <v>0</v>
      </c>
      <c r="Q2238" s="65">
        <f>SUMIF(日報!$R:$R,TEXT(YEAR($Q$2),"0000")&amp;TEXT(MONTH($Q$2),"00")&amp;$O2238,日報!$L:$L)</f>
        <v>0</v>
      </c>
      <c r="R2238" s="65">
        <f ca="1">SUMIF(日報!$J:$J,$O2238,日報!$L:$L)</f>
        <v>0</v>
      </c>
    </row>
    <row r="2239" spans="15:18" x14ac:dyDescent="0.15">
      <c r="O2239" s="7" t="str">
        <f>"REQ"&amp;TEXT([2]RequestList!$A2240,"0000")</f>
        <v>REQ0000</v>
      </c>
      <c r="P2239" s="7">
        <f>[2]RequestList!$J2240</f>
        <v>0</v>
      </c>
      <c r="Q2239" s="65">
        <f>SUMIF(日報!$R:$R,TEXT(YEAR($Q$2),"0000")&amp;TEXT(MONTH($Q$2),"00")&amp;$O2239,日報!$L:$L)</f>
        <v>0</v>
      </c>
      <c r="R2239" s="65">
        <f ca="1">SUMIF(日報!$J:$J,$O2239,日報!$L:$L)</f>
        <v>0</v>
      </c>
    </row>
    <row r="2240" spans="15:18" x14ac:dyDescent="0.15">
      <c r="O2240" s="7" t="str">
        <f>"REQ"&amp;TEXT([2]RequestList!$A2241,"0000")</f>
        <v>REQ0000</v>
      </c>
      <c r="P2240" s="7">
        <f>[2]RequestList!$J2241</f>
        <v>0</v>
      </c>
      <c r="Q2240" s="65">
        <f>SUMIF(日報!$R:$R,TEXT(YEAR($Q$2),"0000")&amp;TEXT(MONTH($Q$2),"00")&amp;$O2240,日報!$L:$L)</f>
        <v>0</v>
      </c>
      <c r="R2240" s="65">
        <f ca="1">SUMIF(日報!$J:$J,$O2240,日報!$L:$L)</f>
        <v>0</v>
      </c>
    </row>
    <row r="2241" spans="15:18" x14ac:dyDescent="0.15">
      <c r="O2241" s="7" t="str">
        <f>"REQ"&amp;TEXT([2]RequestList!$A2242,"0000")</f>
        <v>REQ0000</v>
      </c>
      <c r="P2241" s="7">
        <f>[2]RequestList!$J2242</f>
        <v>0</v>
      </c>
      <c r="Q2241" s="65">
        <f>SUMIF(日報!$R:$R,TEXT(YEAR($Q$2),"0000")&amp;TEXT(MONTH($Q$2),"00")&amp;$O2241,日報!$L:$L)</f>
        <v>0</v>
      </c>
      <c r="R2241" s="65">
        <f ca="1">SUMIF(日報!$J:$J,$O2241,日報!$L:$L)</f>
        <v>0</v>
      </c>
    </row>
    <row r="2242" spans="15:18" x14ac:dyDescent="0.15">
      <c r="O2242" s="7" t="str">
        <f>"REQ"&amp;TEXT([2]RequestList!$A2243,"0000")</f>
        <v>REQ0000</v>
      </c>
      <c r="P2242" s="7">
        <f>[2]RequestList!$J2243</f>
        <v>0</v>
      </c>
      <c r="Q2242" s="65">
        <f>SUMIF(日報!$R:$R,TEXT(YEAR($Q$2),"0000")&amp;TEXT(MONTH($Q$2),"00")&amp;$O2242,日報!$L:$L)</f>
        <v>0</v>
      </c>
      <c r="R2242" s="65">
        <f ca="1">SUMIF(日報!$J:$J,$O2242,日報!$L:$L)</f>
        <v>0</v>
      </c>
    </row>
    <row r="2243" spans="15:18" x14ac:dyDescent="0.15">
      <c r="O2243" s="7" t="str">
        <f>"REQ"&amp;TEXT([2]RequestList!$A2244,"0000")</f>
        <v>REQ0000</v>
      </c>
      <c r="P2243" s="7">
        <f>[2]RequestList!$J2244</f>
        <v>0</v>
      </c>
      <c r="Q2243" s="65">
        <f>SUMIF(日報!$R:$R,TEXT(YEAR($Q$2),"0000")&amp;TEXT(MONTH($Q$2),"00")&amp;$O2243,日報!$L:$L)</f>
        <v>0</v>
      </c>
      <c r="R2243" s="65">
        <f ca="1">SUMIF(日報!$J:$J,$O2243,日報!$L:$L)</f>
        <v>0</v>
      </c>
    </row>
    <row r="2244" spans="15:18" x14ac:dyDescent="0.15">
      <c r="O2244" s="7" t="str">
        <f>"REQ"&amp;TEXT([2]RequestList!$A2245,"0000")</f>
        <v>REQ0000</v>
      </c>
      <c r="P2244" s="7">
        <f>[2]RequestList!$J2245</f>
        <v>0</v>
      </c>
      <c r="Q2244" s="65">
        <f>SUMIF(日報!$R:$R,TEXT(YEAR($Q$2),"0000")&amp;TEXT(MONTH($Q$2),"00")&amp;$O2244,日報!$L:$L)</f>
        <v>0</v>
      </c>
      <c r="R2244" s="65">
        <f ca="1">SUMIF(日報!$J:$J,$O2244,日報!$L:$L)</f>
        <v>0</v>
      </c>
    </row>
    <row r="2245" spans="15:18" x14ac:dyDescent="0.15">
      <c r="O2245" s="7" t="str">
        <f>"REQ"&amp;TEXT([2]RequestList!$A2246,"0000")</f>
        <v>REQ0000</v>
      </c>
      <c r="P2245" s="7">
        <f>[2]RequestList!$J2246</f>
        <v>0</v>
      </c>
      <c r="Q2245" s="65">
        <f>SUMIF(日報!$R:$R,TEXT(YEAR($Q$2),"0000")&amp;TEXT(MONTH($Q$2),"00")&amp;$O2245,日報!$L:$L)</f>
        <v>0</v>
      </c>
      <c r="R2245" s="65">
        <f ca="1">SUMIF(日報!$J:$J,$O2245,日報!$L:$L)</f>
        <v>0</v>
      </c>
    </row>
    <row r="2246" spans="15:18" x14ac:dyDescent="0.15">
      <c r="O2246" s="7" t="str">
        <f>"REQ"&amp;TEXT([2]RequestList!$A2247,"0000")</f>
        <v>REQ0000</v>
      </c>
      <c r="P2246" s="7">
        <f>[2]RequestList!$J2247</f>
        <v>0</v>
      </c>
      <c r="Q2246" s="65">
        <f>SUMIF(日報!$R:$R,TEXT(YEAR($Q$2),"0000")&amp;TEXT(MONTH($Q$2),"00")&amp;$O2246,日報!$L:$L)</f>
        <v>0</v>
      </c>
      <c r="R2246" s="65">
        <f ca="1">SUMIF(日報!$J:$J,$O2246,日報!$L:$L)</f>
        <v>0</v>
      </c>
    </row>
    <row r="2247" spans="15:18" x14ac:dyDescent="0.15">
      <c r="O2247" s="7" t="str">
        <f>"REQ"&amp;TEXT([2]RequestList!$A2248,"0000")</f>
        <v>REQ0000</v>
      </c>
      <c r="P2247" s="7">
        <f>[2]RequestList!$J2248</f>
        <v>0</v>
      </c>
      <c r="Q2247" s="65">
        <f>SUMIF(日報!$R:$R,TEXT(YEAR($Q$2),"0000")&amp;TEXT(MONTH($Q$2),"00")&amp;$O2247,日報!$L:$L)</f>
        <v>0</v>
      </c>
      <c r="R2247" s="65">
        <f ca="1">SUMIF(日報!$J:$J,$O2247,日報!$L:$L)</f>
        <v>0</v>
      </c>
    </row>
    <row r="2248" spans="15:18" x14ac:dyDescent="0.15">
      <c r="O2248" s="7" t="str">
        <f>"REQ"&amp;TEXT([2]RequestList!$A2249,"0000")</f>
        <v>REQ0000</v>
      </c>
      <c r="P2248" s="7">
        <f>[2]RequestList!$J2249</f>
        <v>0</v>
      </c>
      <c r="Q2248" s="65">
        <f>SUMIF(日報!$R:$R,TEXT(YEAR($Q$2),"0000")&amp;TEXT(MONTH($Q$2),"00")&amp;$O2248,日報!$L:$L)</f>
        <v>0</v>
      </c>
      <c r="R2248" s="65">
        <f ca="1">SUMIF(日報!$J:$J,$O2248,日報!$L:$L)</f>
        <v>0</v>
      </c>
    </row>
    <row r="2249" spans="15:18" x14ac:dyDescent="0.15">
      <c r="O2249" s="7" t="str">
        <f>"REQ"&amp;TEXT([2]RequestList!$A2250,"0000")</f>
        <v>REQ0000</v>
      </c>
      <c r="P2249" s="7">
        <f>[2]RequestList!$J2250</f>
        <v>0</v>
      </c>
      <c r="Q2249" s="65">
        <f>SUMIF(日報!$R:$R,TEXT(YEAR($Q$2),"0000")&amp;TEXT(MONTH($Q$2),"00")&amp;$O2249,日報!$L:$L)</f>
        <v>0</v>
      </c>
      <c r="R2249" s="65">
        <f ca="1">SUMIF(日報!$J:$J,$O2249,日報!$L:$L)</f>
        <v>0</v>
      </c>
    </row>
    <row r="2250" spans="15:18" x14ac:dyDescent="0.15">
      <c r="O2250" s="7" t="str">
        <f>"REQ"&amp;TEXT([2]RequestList!$A2251,"0000")</f>
        <v>REQ0000</v>
      </c>
      <c r="P2250" s="7">
        <f>[2]RequestList!$J2251</f>
        <v>0</v>
      </c>
      <c r="Q2250" s="65">
        <f>SUMIF(日報!$R:$R,TEXT(YEAR($Q$2),"0000")&amp;TEXT(MONTH($Q$2),"00")&amp;$O2250,日報!$L:$L)</f>
        <v>0</v>
      </c>
      <c r="R2250" s="65">
        <f ca="1">SUMIF(日報!$J:$J,$O2250,日報!$L:$L)</f>
        <v>0</v>
      </c>
    </row>
    <row r="2251" spans="15:18" x14ac:dyDescent="0.15">
      <c r="O2251" s="7" t="str">
        <f>"REQ"&amp;TEXT([2]RequestList!$A2252,"0000")</f>
        <v>REQ0000</v>
      </c>
      <c r="P2251" s="7">
        <f>[2]RequestList!$J2252</f>
        <v>0</v>
      </c>
      <c r="Q2251" s="65">
        <f>SUMIF(日報!$R:$R,TEXT(YEAR($Q$2),"0000")&amp;TEXT(MONTH($Q$2),"00")&amp;$O2251,日報!$L:$L)</f>
        <v>0</v>
      </c>
      <c r="R2251" s="65">
        <f ca="1">SUMIF(日報!$J:$J,$O2251,日報!$L:$L)</f>
        <v>0</v>
      </c>
    </row>
    <row r="2252" spans="15:18" x14ac:dyDescent="0.15">
      <c r="O2252" s="7" t="str">
        <f>"REQ"&amp;TEXT([2]RequestList!$A2253,"0000")</f>
        <v>REQ0000</v>
      </c>
      <c r="P2252" s="7">
        <f>[2]RequestList!$J2253</f>
        <v>0</v>
      </c>
      <c r="Q2252" s="65">
        <f>SUMIF(日報!$R:$R,TEXT(YEAR($Q$2),"0000")&amp;TEXT(MONTH($Q$2),"00")&amp;$O2252,日報!$L:$L)</f>
        <v>0</v>
      </c>
      <c r="R2252" s="65">
        <f ca="1">SUMIF(日報!$J:$J,$O2252,日報!$L:$L)</f>
        <v>0</v>
      </c>
    </row>
    <row r="2253" spans="15:18" x14ac:dyDescent="0.15">
      <c r="O2253" s="7" t="str">
        <f>"REQ"&amp;TEXT([2]RequestList!$A2254,"0000")</f>
        <v>REQ0000</v>
      </c>
      <c r="P2253" s="7">
        <f>[2]RequestList!$J2254</f>
        <v>0</v>
      </c>
      <c r="Q2253" s="65">
        <f>SUMIF(日報!$R:$R,TEXT(YEAR($Q$2),"0000")&amp;TEXT(MONTH($Q$2),"00")&amp;$O2253,日報!$L:$L)</f>
        <v>0</v>
      </c>
      <c r="R2253" s="65">
        <f ca="1">SUMIF(日報!$J:$J,$O2253,日報!$L:$L)</f>
        <v>0</v>
      </c>
    </row>
    <row r="2254" spans="15:18" x14ac:dyDescent="0.15">
      <c r="O2254" s="7" t="str">
        <f>"REQ"&amp;TEXT([2]RequestList!$A2255,"0000")</f>
        <v>REQ0000</v>
      </c>
      <c r="P2254" s="7">
        <f>[2]RequestList!$J2255</f>
        <v>0</v>
      </c>
      <c r="Q2254" s="65">
        <f>SUMIF(日報!$R:$R,TEXT(YEAR($Q$2),"0000")&amp;TEXT(MONTH($Q$2),"00")&amp;$O2254,日報!$L:$L)</f>
        <v>0</v>
      </c>
      <c r="R2254" s="65">
        <f ca="1">SUMIF(日報!$J:$J,$O2254,日報!$L:$L)</f>
        <v>0</v>
      </c>
    </row>
    <row r="2255" spans="15:18" x14ac:dyDescent="0.15">
      <c r="O2255" s="7" t="str">
        <f>"REQ"&amp;TEXT([2]RequestList!$A2256,"0000")</f>
        <v>REQ0000</v>
      </c>
      <c r="P2255" s="7">
        <f>[2]RequestList!$J2256</f>
        <v>0</v>
      </c>
      <c r="Q2255" s="65">
        <f>SUMIF(日報!$R:$R,TEXT(YEAR($Q$2),"0000")&amp;TEXT(MONTH($Q$2),"00")&amp;$O2255,日報!$L:$L)</f>
        <v>0</v>
      </c>
      <c r="R2255" s="65">
        <f ca="1">SUMIF(日報!$J:$J,$O2255,日報!$L:$L)</f>
        <v>0</v>
      </c>
    </row>
    <row r="2256" spans="15:18" x14ac:dyDescent="0.15">
      <c r="O2256" s="7" t="str">
        <f>"REQ"&amp;TEXT([2]RequestList!$A2257,"0000")</f>
        <v>REQ0000</v>
      </c>
      <c r="P2256" s="7">
        <f>[2]RequestList!$J2257</f>
        <v>0</v>
      </c>
      <c r="Q2256" s="65">
        <f>SUMIF(日報!$R:$R,TEXT(YEAR($Q$2),"0000")&amp;TEXT(MONTH($Q$2),"00")&amp;$O2256,日報!$L:$L)</f>
        <v>0</v>
      </c>
      <c r="R2256" s="65">
        <f ca="1">SUMIF(日報!$J:$J,$O2256,日報!$L:$L)</f>
        <v>0</v>
      </c>
    </row>
    <row r="2257" spans="15:18" x14ac:dyDescent="0.15">
      <c r="O2257" s="7" t="str">
        <f>"REQ"&amp;TEXT([2]RequestList!$A2258,"0000")</f>
        <v>REQ0000</v>
      </c>
      <c r="P2257" s="7">
        <f>[2]RequestList!$J2258</f>
        <v>0</v>
      </c>
      <c r="Q2257" s="65">
        <f>SUMIF(日報!$R:$R,TEXT(YEAR($Q$2),"0000")&amp;TEXT(MONTH($Q$2),"00")&amp;$O2257,日報!$L:$L)</f>
        <v>0</v>
      </c>
      <c r="R2257" s="65">
        <f ca="1">SUMIF(日報!$J:$J,$O2257,日報!$L:$L)</f>
        <v>0</v>
      </c>
    </row>
    <row r="2258" spans="15:18" x14ac:dyDescent="0.15">
      <c r="O2258" s="7" t="str">
        <f>"REQ"&amp;TEXT([2]RequestList!$A2259,"0000")</f>
        <v>REQ0000</v>
      </c>
      <c r="P2258" s="7">
        <f>[2]RequestList!$J2259</f>
        <v>0</v>
      </c>
      <c r="Q2258" s="65">
        <f>SUMIF(日報!$R:$R,TEXT(YEAR($Q$2),"0000")&amp;TEXT(MONTH($Q$2),"00")&amp;$O2258,日報!$L:$L)</f>
        <v>0</v>
      </c>
      <c r="R2258" s="65">
        <f ca="1">SUMIF(日報!$J:$J,$O2258,日報!$L:$L)</f>
        <v>0</v>
      </c>
    </row>
    <row r="2259" spans="15:18" x14ac:dyDescent="0.15">
      <c r="O2259" s="7" t="str">
        <f>"REQ"&amp;TEXT([2]RequestList!$A2260,"0000")</f>
        <v>REQ0000</v>
      </c>
      <c r="P2259" s="7">
        <f>[2]RequestList!$J2260</f>
        <v>0</v>
      </c>
      <c r="Q2259" s="65">
        <f>SUMIF(日報!$R:$R,TEXT(YEAR($Q$2),"0000")&amp;TEXT(MONTH($Q$2),"00")&amp;$O2259,日報!$L:$L)</f>
        <v>0</v>
      </c>
      <c r="R2259" s="65">
        <f ca="1">SUMIF(日報!$J:$J,$O2259,日報!$L:$L)</f>
        <v>0</v>
      </c>
    </row>
    <row r="2260" spans="15:18" x14ac:dyDescent="0.15">
      <c r="O2260" s="7" t="str">
        <f>"REQ"&amp;TEXT([2]RequestList!$A2261,"0000")</f>
        <v>REQ0000</v>
      </c>
      <c r="P2260" s="7">
        <f>[2]RequestList!$J2261</f>
        <v>0</v>
      </c>
      <c r="Q2260" s="65">
        <f>SUMIF(日報!$R:$R,TEXT(YEAR($Q$2),"0000")&amp;TEXT(MONTH($Q$2),"00")&amp;$O2260,日報!$L:$L)</f>
        <v>0</v>
      </c>
      <c r="R2260" s="65">
        <f ca="1">SUMIF(日報!$J:$J,$O2260,日報!$L:$L)</f>
        <v>0</v>
      </c>
    </row>
    <row r="2261" spans="15:18" x14ac:dyDescent="0.15">
      <c r="O2261" s="7" t="str">
        <f>"REQ"&amp;TEXT([2]RequestList!$A2262,"0000")</f>
        <v>REQ0000</v>
      </c>
      <c r="P2261" s="7">
        <f>[2]RequestList!$J2262</f>
        <v>0</v>
      </c>
      <c r="Q2261" s="65">
        <f>SUMIF(日報!$R:$R,TEXT(YEAR($Q$2),"0000")&amp;TEXT(MONTH($Q$2),"00")&amp;$O2261,日報!$L:$L)</f>
        <v>0</v>
      </c>
      <c r="R2261" s="65">
        <f ca="1">SUMIF(日報!$J:$J,$O2261,日報!$L:$L)</f>
        <v>0</v>
      </c>
    </row>
    <row r="2262" spans="15:18" x14ac:dyDescent="0.15">
      <c r="O2262" s="7" t="str">
        <f>"REQ"&amp;TEXT([2]RequestList!$A2263,"0000")</f>
        <v>REQ0000</v>
      </c>
      <c r="P2262" s="7">
        <f>[2]RequestList!$J2263</f>
        <v>0</v>
      </c>
      <c r="Q2262" s="65">
        <f>SUMIF(日報!$R:$R,TEXT(YEAR($Q$2),"0000")&amp;TEXT(MONTH($Q$2),"00")&amp;$O2262,日報!$L:$L)</f>
        <v>0</v>
      </c>
      <c r="R2262" s="65">
        <f ca="1">SUMIF(日報!$J:$J,$O2262,日報!$L:$L)</f>
        <v>0</v>
      </c>
    </row>
    <row r="2263" spans="15:18" x14ac:dyDescent="0.15">
      <c r="O2263" s="7" t="str">
        <f>"REQ"&amp;TEXT([2]RequestList!$A2264,"0000")</f>
        <v>REQ0000</v>
      </c>
      <c r="P2263" s="7">
        <f>[2]RequestList!$J2264</f>
        <v>0</v>
      </c>
      <c r="Q2263" s="65">
        <f>SUMIF(日報!$R:$R,TEXT(YEAR($Q$2),"0000")&amp;TEXT(MONTH($Q$2),"00")&amp;$O2263,日報!$L:$L)</f>
        <v>0</v>
      </c>
      <c r="R2263" s="65">
        <f ca="1">SUMIF(日報!$J:$J,$O2263,日報!$L:$L)</f>
        <v>0</v>
      </c>
    </row>
    <row r="2264" spans="15:18" x14ac:dyDescent="0.15">
      <c r="O2264" s="7" t="str">
        <f>"REQ"&amp;TEXT([2]RequestList!$A2265,"0000")</f>
        <v>REQ0000</v>
      </c>
      <c r="P2264" s="7">
        <f>[2]RequestList!$J2265</f>
        <v>0</v>
      </c>
      <c r="Q2264" s="65">
        <f>SUMIF(日報!$R:$R,TEXT(YEAR($Q$2),"0000")&amp;TEXT(MONTH($Q$2),"00")&amp;$O2264,日報!$L:$L)</f>
        <v>0</v>
      </c>
      <c r="R2264" s="65">
        <f ca="1">SUMIF(日報!$J:$J,$O2264,日報!$L:$L)</f>
        <v>0</v>
      </c>
    </row>
    <row r="2265" spans="15:18" x14ac:dyDescent="0.15">
      <c r="O2265" s="7" t="str">
        <f>"REQ"&amp;TEXT([2]RequestList!$A2266,"0000")</f>
        <v>REQ0000</v>
      </c>
      <c r="P2265" s="7">
        <f>[2]RequestList!$J2266</f>
        <v>0</v>
      </c>
      <c r="Q2265" s="65">
        <f>SUMIF(日報!$R:$R,TEXT(YEAR($Q$2),"0000")&amp;TEXT(MONTH($Q$2),"00")&amp;$O2265,日報!$L:$L)</f>
        <v>0</v>
      </c>
      <c r="R2265" s="65">
        <f ca="1">SUMIF(日報!$J:$J,$O2265,日報!$L:$L)</f>
        <v>0</v>
      </c>
    </row>
    <row r="2266" spans="15:18" x14ac:dyDescent="0.15">
      <c r="O2266" s="7" t="str">
        <f>"REQ"&amp;TEXT([2]RequestList!$A2267,"0000")</f>
        <v>REQ0000</v>
      </c>
      <c r="P2266" s="7">
        <f>[2]RequestList!$J2267</f>
        <v>0</v>
      </c>
      <c r="Q2266" s="65">
        <f>SUMIF(日報!$R:$R,TEXT(YEAR($Q$2),"0000")&amp;TEXT(MONTH($Q$2),"00")&amp;$O2266,日報!$L:$L)</f>
        <v>0</v>
      </c>
      <c r="R2266" s="65">
        <f ca="1">SUMIF(日報!$J:$J,$O2266,日報!$L:$L)</f>
        <v>0</v>
      </c>
    </row>
    <row r="2267" spans="15:18" x14ac:dyDescent="0.15">
      <c r="O2267" s="7" t="str">
        <f>"REQ"&amp;TEXT([2]RequestList!$A2268,"0000")</f>
        <v>REQ0000</v>
      </c>
      <c r="P2267" s="7">
        <f>[2]RequestList!$J2268</f>
        <v>0</v>
      </c>
      <c r="Q2267" s="65">
        <f>SUMIF(日報!$R:$R,TEXT(YEAR($Q$2),"0000")&amp;TEXT(MONTH($Q$2),"00")&amp;$O2267,日報!$L:$L)</f>
        <v>0</v>
      </c>
      <c r="R2267" s="65">
        <f ca="1">SUMIF(日報!$J:$J,$O2267,日報!$L:$L)</f>
        <v>0</v>
      </c>
    </row>
    <row r="2268" spans="15:18" x14ac:dyDescent="0.15">
      <c r="O2268" s="7" t="str">
        <f>"REQ"&amp;TEXT([2]RequestList!$A2269,"0000")</f>
        <v>REQ0000</v>
      </c>
      <c r="P2268" s="7">
        <f>[2]RequestList!$J2269</f>
        <v>0</v>
      </c>
      <c r="Q2268" s="65">
        <f>SUMIF(日報!$R:$R,TEXT(YEAR($Q$2),"0000")&amp;TEXT(MONTH($Q$2),"00")&amp;$O2268,日報!$L:$L)</f>
        <v>0</v>
      </c>
      <c r="R2268" s="65">
        <f ca="1">SUMIF(日報!$J:$J,$O2268,日報!$L:$L)</f>
        <v>0</v>
      </c>
    </row>
    <row r="2269" spans="15:18" x14ac:dyDescent="0.15">
      <c r="O2269" s="7" t="str">
        <f>"REQ"&amp;TEXT([2]RequestList!$A2270,"0000")</f>
        <v>REQ0000</v>
      </c>
      <c r="P2269" s="7">
        <f>[2]RequestList!$J2270</f>
        <v>0</v>
      </c>
      <c r="Q2269" s="65">
        <f>SUMIF(日報!$R:$R,TEXT(YEAR($Q$2),"0000")&amp;TEXT(MONTH($Q$2),"00")&amp;$O2269,日報!$L:$L)</f>
        <v>0</v>
      </c>
      <c r="R2269" s="65">
        <f ca="1">SUMIF(日報!$J:$J,$O2269,日報!$L:$L)</f>
        <v>0</v>
      </c>
    </row>
    <row r="2270" spans="15:18" x14ac:dyDescent="0.15">
      <c r="O2270" s="7" t="str">
        <f>"REQ"&amp;TEXT([2]RequestList!$A2271,"0000")</f>
        <v>REQ0000</v>
      </c>
      <c r="P2270" s="7">
        <f>[2]RequestList!$J2271</f>
        <v>0</v>
      </c>
      <c r="Q2270" s="65">
        <f>SUMIF(日報!$R:$R,TEXT(YEAR($Q$2),"0000")&amp;TEXT(MONTH($Q$2),"00")&amp;$O2270,日報!$L:$L)</f>
        <v>0</v>
      </c>
      <c r="R2270" s="65">
        <f ca="1">SUMIF(日報!$J:$J,$O2270,日報!$L:$L)</f>
        <v>0</v>
      </c>
    </row>
    <row r="2271" spans="15:18" x14ac:dyDescent="0.15">
      <c r="O2271" s="7" t="str">
        <f>"REQ"&amp;TEXT([2]RequestList!$A2272,"0000")</f>
        <v>REQ0000</v>
      </c>
      <c r="P2271" s="7">
        <f>[2]RequestList!$J2272</f>
        <v>0</v>
      </c>
      <c r="Q2271" s="65">
        <f>SUMIF(日報!$R:$R,TEXT(YEAR($Q$2),"0000")&amp;TEXT(MONTH($Q$2),"00")&amp;$O2271,日報!$L:$L)</f>
        <v>0</v>
      </c>
      <c r="R2271" s="65">
        <f ca="1">SUMIF(日報!$J:$J,$O2271,日報!$L:$L)</f>
        <v>0</v>
      </c>
    </row>
    <row r="2272" spans="15:18" x14ac:dyDescent="0.15">
      <c r="O2272" s="7" t="str">
        <f>"REQ"&amp;TEXT([2]RequestList!$A2273,"0000")</f>
        <v>REQ0000</v>
      </c>
      <c r="P2272" s="7">
        <f>[2]RequestList!$J2273</f>
        <v>0</v>
      </c>
      <c r="Q2272" s="65">
        <f>SUMIF(日報!$R:$R,TEXT(YEAR($Q$2),"0000")&amp;TEXT(MONTH($Q$2),"00")&amp;$O2272,日報!$L:$L)</f>
        <v>0</v>
      </c>
      <c r="R2272" s="65">
        <f ca="1">SUMIF(日報!$J:$J,$O2272,日報!$L:$L)</f>
        <v>0</v>
      </c>
    </row>
    <row r="2273" spans="15:18" x14ac:dyDescent="0.15">
      <c r="O2273" s="7" t="str">
        <f>"REQ"&amp;TEXT([2]RequestList!$A2274,"0000")</f>
        <v>REQ0000</v>
      </c>
      <c r="P2273" s="7">
        <f>[2]RequestList!$J2274</f>
        <v>0</v>
      </c>
      <c r="Q2273" s="65">
        <f>SUMIF(日報!$R:$R,TEXT(YEAR($Q$2),"0000")&amp;TEXT(MONTH($Q$2),"00")&amp;$O2273,日報!$L:$L)</f>
        <v>0</v>
      </c>
      <c r="R2273" s="65">
        <f ca="1">SUMIF(日報!$J:$J,$O2273,日報!$L:$L)</f>
        <v>0</v>
      </c>
    </row>
    <row r="2274" spans="15:18" x14ac:dyDescent="0.15">
      <c r="O2274" s="7" t="str">
        <f>"REQ"&amp;TEXT([2]RequestList!$A2275,"0000")</f>
        <v>REQ0000</v>
      </c>
      <c r="P2274" s="7">
        <f>[2]RequestList!$J2275</f>
        <v>0</v>
      </c>
      <c r="Q2274" s="65">
        <f>SUMIF(日報!$R:$R,TEXT(YEAR($Q$2),"0000")&amp;TEXT(MONTH($Q$2),"00")&amp;$O2274,日報!$L:$L)</f>
        <v>0</v>
      </c>
      <c r="R2274" s="65">
        <f ca="1">SUMIF(日報!$J:$J,$O2274,日報!$L:$L)</f>
        <v>0</v>
      </c>
    </row>
    <row r="2275" spans="15:18" x14ac:dyDescent="0.15">
      <c r="O2275" s="7" t="str">
        <f>"REQ"&amp;TEXT([2]RequestList!$A2276,"0000")</f>
        <v>REQ0000</v>
      </c>
      <c r="P2275" s="7">
        <f>[2]RequestList!$J2276</f>
        <v>0</v>
      </c>
      <c r="Q2275" s="65">
        <f>SUMIF(日報!$R:$R,TEXT(YEAR($Q$2),"0000")&amp;TEXT(MONTH($Q$2),"00")&amp;$O2275,日報!$L:$L)</f>
        <v>0</v>
      </c>
      <c r="R2275" s="65">
        <f ca="1">SUMIF(日報!$J:$J,$O2275,日報!$L:$L)</f>
        <v>0</v>
      </c>
    </row>
    <row r="2276" spans="15:18" x14ac:dyDescent="0.15">
      <c r="O2276" s="7" t="str">
        <f>"REQ"&amp;TEXT([2]RequestList!$A2277,"0000")</f>
        <v>REQ0000</v>
      </c>
      <c r="P2276" s="7">
        <f>[2]RequestList!$J2277</f>
        <v>0</v>
      </c>
      <c r="Q2276" s="65">
        <f>SUMIF(日報!$R:$R,TEXT(YEAR($Q$2),"0000")&amp;TEXT(MONTH($Q$2),"00")&amp;$O2276,日報!$L:$L)</f>
        <v>0</v>
      </c>
      <c r="R2276" s="65">
        <f ca="1">SUMIF(日報!$J:$J,$O2276,日報!$L:$L)</f>
        <v>0</v>
      </c>
    </row>
    <row r="2277" spans="15:18" x14ac:dyDescent="0.15">
      <c r="O2277" s="7" t="str">
        <f>"REQ"&amp;TEXT([2]RequestList!$A2278,"0000")</f>
        <v>REQ0000</v>
      </c>
      <c r="P2277" s="7">
        <f>[2]RequestList!$J2278</f>
        <v>0</v>
      </c>
      <c r="Q2277" s="65">
        <f>SUMIF(日報!$R:$R,TEXT(YEAR($Q$2),"0000")&amp;TEXT(MONTH($Q$2),"00")&amp;$O2277,日報!$L:$L)</f>
        <v>0</v>
      </c>
      <c r="R2277" s="65">
        <f ca="1">SUMIF(日報!$J:$J,$O2277,日報!$L:$L)</f>
        <v>0</v>
      </c>
    </row>
    <row r="2278" spans="15:18" x14ac:dyDescent="0.15">
      <c r="O2278" s="7" t="str">
        <f>"REQ"&amp;TEXT([2]RequestList!$A2279,"0000")</f>
        <v>REQ0000</v>
      </c>
      <c r="P2278" s="7">
        <f>[2]RequestList!$J2279</f>
        <v>0</v>
      </c>
      <c r="Q2278" s="65">
        <f>SUMIF(日報!$R:$R,TEXT(YEAR($Q$2),"0000")&amp;TEXT(MONTH($Q$2),"00")&amp;$O2278,日報!$L:$L)</f>
        <v>0</v>
      </c>
      <c r="R2278" s="65">
        <f ca="1">SUMIF(日報!$J:$J,$O2278,日報!$L:$L)</f>
        <v>0</v>
      </c>
    </row>
    <row r="2279" spans="15:18" x14ac:dyDescent="0.15">
      <c r="O2279" s="7" t="str">
        <f>"REQ"&amp;TEXT([2]RequestList!$A2280,"0000")</f>
        <v>REQ0000</v>
      </c>
      <c r="P2279" s="7">
        <f>[2]RequestList!$J2280</f>
        <v>0</v>
      </c>
      <c r="Q2279" s="65">
        <f>SUMIF(日報!$R:$R,TEXT(YEAR($Q$2),"0000")&amp;TEXT(MONTH($Q$2),"00")&amp;$O2279,日報!$L:$L)</f>
        <v>0</v>
      </c>
      <c r="R2279" s="65">
        <f ca="1">SUMIF(日報!$J:$J,$O2279,日報!$L:$L)</f>
        <v>0</v>
      </c>
    </row>
    <row r="2280" spans="15:18" x14ac:dyDescent="0.15">
      <c r="O2280" s="7" t="str">
        <f>"REQ"&amp;TEXT([2]RequestList!$A2281,"0000")</f>
        <v>REQ0000</v>
      </c>
      <c r="P2280" s="7">
        <f>[2]RequestList!$J2281</f>
        <v>0</v>
      </c>
      <c r="Q2280" s="65">
        <f>SUMIF(日報!$R:$R,TEXT(YEAR($Q$2),"0000")&amp;TEXT(MONTH($Q$2),"00")&amp;$O2280,日報!$L:$L)</f>
        <v>0</v>
      </c>
      <c r="R2280" s="65">
        <f ca="1">SUMIF(日報!$J:$J,$O2280,日報!$L:$L)</f>
        <v>0</v>
      </c>
    </row>
    <row r="2281" spans="15:18" x14ac:dyDescent="0.15">
      <c r="O2281" s="7" t="str">
        <f>"REQ"&amp;TEXT([2]RequestList!$A2282,"0000")</f>
        <v>REQ0000</v>
      </c>
      <c r="P2281" s="7">
        <f>[2]RequestList!$J2282</f>
        <v>0</v>
      </c>
      <c r="Q2281" s="65">
        <f>SUMIF(日報!$R:$R,TEXT(YEAR($Q$2),"0000")&amp;TEXT(MONTH($Q$2),"00")&amp;$O2281,日報!$L:$L)</f>
        <v>0</v>
      </c>
      <c r="R2281" s="65">
        <f ca="1">SUMIF(日報!$J:$J,$O2281,日報!$L:$L)</f>
        <v>0</v>
      </c>
    </row>
    <row r="2282" spans="15:18" x14ac:dyDescent="0.15">
      <c r="O2282" s="7" t="str">
        <f>"REQ"&amp;TEXT([2]RequestList!$A2283,"0000")</f>
        <v>REQ0000</v>
      </c>
      <c r="P2282" s="7">
        <f>[2]RequestList!$J2283</f>
        <v>0</v>
      </c>
      <c r="Q2282" s="65">
        <f>SUMIF(日報!$R:$R,TEXT(YEAR($Q$2),"0000")&amp;TEXT(MONTH($Q$2),"00")&amp;$O2282,日報!$L:$L)</f>
        <v>0</v>
      </c>
      <c r="R2282" s="65">
        <f ca="1">SUMIF(日報!$J:$J,$O2282,日報!$L:$L)</f>
        <v>0</v>
      </c>
    </row>
    <row r="2283" spans="15:18" x14ac:dyDescent="0.15">
      <c r="O2283" s="7" t="str">
        <f>"REQ"&amp;TEXT([2]RequestList!$A2284,"0000")</f>
        <v>REQ0000</v>
      </c>
      <c r="P2283" s="7">
        <f>[2]RequestList!$J2284</f>
        <v>0</v>
      </c>
      <c r="Q2283" s="65">
        <f>SUMIF(日報!$R:$R,TEXT(YEAR($Q$2),"0000")&amp;TEXT(MONTH($Q$2),"00")&amp;$O2283,日報!$L:$L)</f>
        <v>0</v>
      </c>
      <c r="R2283" s="65">
        <f ca="1">SUMIF(日報!$J:$J,$O2283,日報!$L:$L)</f>
        <v>0</v>
      </c>
    </row>
    <row r="2284" spans="15:18" x14ac:dyDescent="0.15">
      <c r="O2284" s="7" t="str">
        <f>"REQ"&amp;TEXT([2]RequestList!$A2285,"0000")</f>
        <v>REQ0000</v>
      </c>
      <c r="P2284" s="7">
        <f>[2]RequestList!$J2285</f>
        <v>0</v>
      </c>
      <c r="Q2284" s="65">
        <f>SUMIF(日報!$R:$R,TEXT(YEAR($Q$2),"0000")&amp;TEXT(MONTH($Q$2),"00")&amp;$O2284,日報!$L:$L)</f>
        <v>0</v>
      </c>
      <c r="R2284" s="65">
        <f ca="1">SUMIF(日報!$J:$J,$O2284,日報!$L:$L)</f>
        <v>0</v>
      </c>
    </row>
    <row r="2285" spans="15:18" x14ac:dyDescent="0.15">
      <c r="O2285" s="7" t="str">
        <f>"REQ"&amp;TEXT([2]RequestList!$A2286,"0000")</f>
        <v>REQ0000</v>
      </c>
      <c r="P2285" s="7">
        <f>[2]RequestList!$J2286</f>
        <v>0</v>
      </c>
      <c r="Q2285" s="65">
        <f>SUMIF(日報!$R:$R,TEXT(YEAR($Q$2),"0000")&amp;TEXT(MONTH($Q$2),"00")&amp;$O2285,日報!$L:$L)</f>
        <v>0</v>
      </c>
      <c r="R2285" s="65">
        <f ca="1">SUMIF(日報!$J:$J,$O2285,日報!$L:$L)</f>
        <v>0</v>
      </c>
    </row>
    <row r="2286" spans="15:18" x14ac:dyDescent="0.15">
      <c r="O2286" s="7" t="str">
        <f>"REQ"&amp;TEXT([2]RequestList!$A2287,"0000")</f>
        <v>REQ0000</v>
      </c>
      <c r="P2286" s="7">
        <f>[2]RequestList!$J2287</f>
        <v>0</v>
      </c>
      <c r="Q2286" s="65">
        <f>SUMIF(日報!$R:$R,TEXT(YEAR($Q$2),"0000")&amp;TEXT(MONTH($Q$2),"00")&amp;$O2286,日報!$L:$L)</f>
        <v>0</v>
      </c>
      <c r="R2286" s="65">
        <f ca="1">SUMIF(日報!$J:$J,$O2286,日報!$L:$L)</f>
        <v>0</v>
      </c>
    </row>
    <row r="2287" spans="15:18" x14ac:dyDescent="0.15">
      <c r="O2287" s="7" t="str">
        <f>"REQ"&amp;TEXT([2]RequestList!$A2288,"0000")</f>
        <v>REQ0000</v>
      </c>
      <c r="P2287" s="7">
        <f>[2]RequestList!$J2288</f>
        <v>0</v>
      </c>
      <c r="Q2287" s="65">
        <f>SUMIF(日報!$R:$R,TEXT(YEAR($Q$2),"0000")&amp;TEXT(MONTH($Q$2),"00")&amp;$O2287,日報!$L:$L)</f>
        <v>0</v>
      </c>
      <c r="R2287" s="65">
        <f ca="1">SUMIF(日報!$J:$J,$O2287,日報!$L:$L)</f>
        <v>0</v>
      </c>
    </row>
    <row r="2288" spans="15:18" x14ac:dyDescent="0.15">
      <c r="O2288" s="7" t="str">
        <f>"REQ"&amp;TEXT([2]RequestList!$A2289,"0000")</f>
        <v>REQ0000</v>
      </c>
      <c r="P2288" s="7">
        <f>[2]RequestList!$J2289</f>
        <v>0</v>
      </c>
      <c r="Q2288" s="65">
        <f>SUMIF(日報!$R:$R,TEXT(YEAR($Q$2),"0000")&amp;TEXT(MONTH($Q$2),"00")&amp;$O2288,日報!$L:$L)</f>
        <v>0</v>
      </c>
      <c r="R2288" s="65">
        <f ca="1">SUMIF(日報!$J:$J,$O2288,日報!$L:$L)</f>
        <v>0</v>
      </c>
    </row>
    <row r="2289" spans="15:18" x14ac:dyDescent="0.15">
      <c r="O2289" s="7" t="str">
        <f>"REQ"&amp;TEXT([2]RequestList!$A2290,"0000")</f>
        <v>REQ0000</v>
      </c>
      <c r="P2289" s="7">
        <f>[2]RequestList!$J2290</f>
        <v>0</v>
      </c>
      <c r="Q2289" s="65">
        <f>SUMIF(日報!$R:$R,TEXT(YEAR($Q$2),"0000")&amp;TEXT(MONTH($Q$2),"00")&amp;$O2289,日報!$L:$L)</f>
        <v>0</v>
      </c>
      <c r="R2289" s="65">
        <f ca="1">SUMIF(日報!$J:$J,$O2289,日報!$L:$L)</f>
        <v>0</v>
      </c>
    </row>
    <row r="2290" spans="15:18" x14ac:dyDescent="0.15">
      <c r="O2290" s="7" t="str">
        <f>"REQ"&amp;TEXT([2]RequestList!$A2291,"0000")</f>
        <v>REQ0000</v>
      </c>
      <c r="P2290" s="7">
        <f>[2]RequestList!$J2291</f>
        <v>0</v>
      </c>
      <c r="Q2290" s="65">
        <f>SUMIF(日報!$R:$R,TEXT(YEAR($Q$2),"0000")&amp;TEXT(MONTH($Q$2),"00")&amp;$O2290,日報!$L:$L)</f>
        <v>0</v>
      </c>
      <c r="R2290" s="65">
        <f ca="1">SUMIF(日報!$J:$J,$O2290,日報!$L:$L)</f>
        <v>0</v>
      </c>
    </row>
    <row r="2291" spans="15:18" x14ac:dyDescent="0.15">
      <c r="O2291" s="7" t="str">
        <f>"REQ"&amp;TEXT([2]RequestList!$A2292,"0000")</f>
        <v>REQ0000</v>
      </c>
      <c r="P2291" s="7">
        <f>[2]RequestList!$J2292</f>
        <v>0</v>
      </c>
      <c r="Q2291" s="65">
        <f>SUMIF(日報!$R:$R,TEXT(YEAR($Q$2),"0000")&amp;TEXT(MONTH($Q$2),"00")&amp;$O2291,日報!$L:$L)</f>
        <v>0</v>
      </c>
      <c r="R2291" s="65">
        <f ca="1">SUMIF(日報!$J:$J,$O2291,日報!$L:$L)</f>
        <v>0</v>
      </c>
    </row>
    <row r="2292" spans="15:18" x14ac:dyDescent="0.15">
      <c r="O2292" s="7" t="str">
        <f>"REQ"&amp;TEXT([2]RequestList!$A2293,"0000")</f>
        <v>REQ0000</v>
      </c>
      <c r="P2292" s="7">
        <f>[2]RequestList!$J2293</f>
        <v>0</v>
      </c>
      <c r="Q2292" s="65">
        <f>SUMIF(日報!$R:$R,TEXT(YEAR($Q$2),"0000")&amp;TEXT(MONTH($Q$2),"00")&amp;$O2292,日報!$L:$L)</f>
        <v>0</v>
      </c>
      <c r="R2292" s="65">
        <f ca="1">SUMIF(日報!$J:$J,$O2292,日報!$L:$L)</f>
        <v>0</v>
      </c>
    </row>
    <row r="2293" spans="15:18" x14ac:dyDescent="0.15">
      <c r="O2293" s="7" t="str">
        <f>"REQ"&amp;TEXT([2]RequestList!$A2294,"0000")</f>
        <v>REQ0000</v>
      </c>
      <c r="P2293" s="7">
        <f>[2]RequestList!$J2294</f>
        <v>0</v>
      </c>
      <c r="Q2293" s="65">
        <f>SUMIF(日報!$R:$R,TEXT(YEAR($Q$2),"0000")&amp;TEXT(MONTH($Q$2),"00")&amp;$O2293,日報!$L:$L)</f>
        <v>0</v>
      </c>
      <c r="R2293" s="65">
        <f ca="1">SUMIF(日報!$J:$J,$O2293,日報!$L:$L)</f>
        <v>0</v>
      </c>
    </row>
    <row r="2294" spans="15:18" x14ac:dyDescent="0.15">
      <c r="O2294" s="7" t="str">
        <f>"REQ"&amp;TEXT([2]RequestList!$A2295,"0000")</f>
        <v>REQ0000</v>
      </c>
      <c r="P2294" s="7">
        <f>[2]RequestList!$J2295</f>
        <v>0</v>
      </c>
      <c r="Q2294" s="65">
        <f>SUMIF(日報!$R:$R,TEXT(YEAR($Q$2),"0000")&amp;TEXT(MONTH($Q$2),"00")&amp;$O2294,日報!$L:$L)</f>
        <v>0</v>
      </c>
      <c r="R2294" s="65">
        <f ca="1">SUMIF(日報!$J:$J,$O2294,日報!$L:$L)</f>
        <v>0</v>
      </c>
    </row>
    <row r="2295" spans="15:18" x14ac:dyDescent="0.15">
      <c r="O2295" s="7" t="str">
        <f>"REQ"&amp;TEXT([2]RequestList!$A2296,"0000")</f>
        <v>REQ0000</v>
      </c>
      <c r="P2295" s="7">
        <f>[2]RequestList!$J2296</f>
        <v>0</v>
      </c>
      <c r="Q2295" s="65">
        <f>SUMIF(日報!$R:$R,TEXT(YEAR($Q$2),"0000")&amp;TEXT(MONTH($Q$2),"00")&amp;$O2295,日報!$L:$L)</f>
        <v>0</v>
      </c>
      <c r="R2295" s="65">
        <f ca="1">SUMIF(日報!$J:$J,$O2295,日報!$L:$L)</f>
        <v>0</v>
      </c>
    </row>
    <row r="2296" spans="15:18" x14ac:dyDescent="0.15">
      <c r="O2296" s="7" t="str">
        <f>"REQ"&amp;TEXT([2]RequestList!$A2297,"0000")</f>
        <v>REQ0000</v>
      </c>
      <c r="P2296" s="7">
        <f>[2]RequestList!$J2297</f>
        <v>0</v>
      </c>
      <c r="Q2296" s="65">
        <f>SUMIF(日報!$R:$R,TEXT(YEAR($Q$2),"0000")&amp;TEXT(MONTH($Q$2),"00")&amp;$O2296,日報!$L:$L)</f>
        <v>0</v>
      </c>
      <c r="R2296" s="65">
        <f ca="1">SUMIF(日報!$J:$J,$O2296,日報!$L:$L)</f>
        <v>0</v>
      </c>
    </row>
    <row r="2297" spans="15:18" x14ac:dyDescent="0.15">
      <c r="O2297" s="7" t="str">
        <f>"REQ"&amp;TEXT([2]RequestList!$A2298,"0000")</f>
        <v>REQ0000</v>
      </c>
      <c r="P2297" s="7">
        <f>[2]RequestList!$J2298</f>
        <v>0</v>
      </c>
      <c r="Q2297" s="65">
        <f>SUMIF(日報!$R:$R,TEXT(YEAR($Q$2),"0000")&amp;TEXT(MONTH($Q$2),"00")&amp;$O2297,日報!$L:$L)</f>
        <v>0</v>
      </c>
      <c r="R2297" s="65">
        <f ca="1">SUMIF(日報!$J:$J,$O2297,日報!$L:$L)</f>
        <v>0</v>
      </c>
    </row>
    <row r="2298" spans="15:18" x14ac:dyDescent="0.15">
      <c r="O2298" s="7" t="str">
        <f>"REQ"&amp;TEXT([2]RequestList!$A2299,"0000")</f>
        <v>REQ0000</v>
      </c>
      <c r="P2298" s="7">
        <f>[2]RequestList!$J2299</f>
        <v>0</v>
      </c>
      <c r="Q2298" s="65">
        <f>SUMIF(日報!$R:$R,TEXT(YEAR($Q$2),"0000")&amp;TEXT(MONTH($Q$2),"00")&amp;$O2298,日報!$L:$L)</f>
        <v>0</v>
      </c>
      <c r="R2298" s="65">
        <f ca="1">SUMIF(日報!$J:$J,$O2298,日報!$L:$L)</f>
        <v>0</v>
      </c>
    </row>
    <row r="2299" spans="15:18" x14ac:dyDescent="0.15">
      <c r="O2299" s="7" t="str">
        <f>"REQ"&amp;TEXT([2]RequestList!$A2300,"0000")</f>
        <v>REQ0000</v>
      </c>
      <c r="P2299" s="7">
        <f>[2]RequestList!$J2300</f>
        <v>0</v>
      </c>
      <c r="Q2299" s="65">
        <f>SUMIF(日報!$R:$R,TEXT(YEAR($Q$2),"0000")&amp;TEXT(MONTH($Q$2),"00")&amp;$O2299,日報!$L:$L)</f>
        <v>0</v>
      </c>
      <c r="R2299" s="65">
        <f ca="1">SUMIF(日報!$J:$J,$O2299,日報!$L:$L)</f>
        <v>0</v>
      </c>
    </row>
    <row r="2300" spans="15:18" x14ac:dyDescent="0.15">
      <c r="O2300" s="7" t="str">
        <f>"REQ"&amp;TEXT([2]RequestList!$A2301,"0000")</f>
        <v>REQ0000</v>
      </c>
      <c r="P2300" s="7">
        <f>[2]RequestList!$J2301</f>
        <v>0</v>
      </c>
      <c r="Q2300" s="65">
        <f>SUMIF(日報!$R:$R,TEXT(YEAR($Q$2),"0000")&amp;TEXT(MONTH($Q$2),"00")&amp;$O2300,日報!$L:$L)</f>
        <v>0</v>
      </c>
      <c r="R2300" s="65">
        <f ca="1">SUMIF(日報!$J:$J,$O2300,日報!$L:$L)</f>
        <v>0</v>
      </c>
    </row>
    <row r="2301" spans="15:18" x14ac:dyDescent="0.15">
      <c r="O2301" s="7" t="str">
        <f>"REQ"&amp;TEXT([2]RequestList!$A2302,"0000")</f>
        <v>REQ0000</v>
      </c>
      <c r="P2301" s="7">
        <f>[2]RequestList!$J2302</f>
        <v>0</v>
      </c>
      <c r="Q2301" s="65">
        <f>SUMIF(日報!$R:$R,TEXT(YEAR($Q$2),"0000")&amp;TEXT(MONTH($Q$2),"00")&amp;$O2301,日報!$L:$L)</f>
        <v>0</v>
      </c>
      <c r="R2301" s="65">
        <f ca="1">SUMIF(日報!$J:$J,$O2301,日報!$L:$L)</f>
        <v>0</v>
      </c>
    </row>
    <row r="2302" spans="15:18" x14ac:dyDescent="0.15">
      <c r="O2302" s="7" t="str">
        <f>"REQ"&amp;TEXT([2]RequestList!$A2303,"0000")</f>
        <v>REQ0000</v>
      </c>
      <c r="P2302" s="7">
        <f>[2]RequestList!$J2303</f>
        <v>0</v>
      </c>
      <c r="Q2302" s="65">
        <f>SUMIF(日報!$R:$R,TEXT(YEAR($Q$2),"0000")&amp;TEXT(MONTH($Q$2),"00")&amp;$O2302,日報!$L:$L)</f>
        <v>0</v>
      </c>
      <c r="R2302" s="65">
        <f ca="1">SUMIF(日報!$J:$J,$O2302,日報!$L:$L)</f>
        <v>0</v>
      </c>
    </row>
    <row r="2303" spans="15:18" x14ac:dyDescent="0.15">
      <c r="O2303" s="7" t="str">
        <f>"REQ"&amp;TEXT([2]RequestList!$A2304,"0000")</f>
        <v>REQ0000</v>
      </c>
      <c r="P2303" s="7">
        <f>[2]RequestList!$J2304</f>
        <v>0</v>
      </c>
      <c r="Q2303" s="65">
        <f>SUMIF(日報!$R:$R,TEXT(YEAR($Q$2),"0000")&amp;TEXT(MONTH($Q$2),"00")&amp;$O2303,日報!$L:$L)</f>
        <v>0</v>
      </c>
      <c r="R2303" s="65">
        <f ca="1">SUMIF(日報!$J:$J,$O2303,日報!$L:$L)</f>
        <v>0</v>
      </c>
    </row>
    <row r="2304" spans="15:18" x14ac:dyDescent="0.15">
      <c r="O2304" s="7" t="str">
        <f>"REQ"&amp;TEXT([2]RequestList!$A2305,"0000")</f>
        <v>REQ0000</v>
      </c>
      <c r="P2304" s="7">
        <f>[2]RequestList!$J2305</f>
        <v>0</v>
      </c>
      <c r="Q2304" s="65">
        <f>SUMIF(日報!$R:$R,TEXT(YEAR($Q$2),"0000")&amp;TEXT(MONTH($Q$2),"00")&amp;$O2304,日報!$L:$L)</f>
        <v>0</v>
      </c>
      <c r="R2304" s="65">
        <f ca="1">SUMIF(日報!$J:$J,$O2304,日報!$L:$L)</f>
        <v>0</v>
      </c>
    </row>
    <row r="2305" spans="15:18" x14ac:dyDescent="0.15">
      <c r="O2305" s="7" t="str">
        <f>"REQ"&amp;TEXT([2]RequestList!$A2306,"0000")</f>
        <v>REQ0000</v>
      </c>
      <c r="P2305" s="7">
        <f>[2]RequestList!$J2306</f>
        <v>0</v>
      </c>
      <c r="Q2305" s="65">
        <f>SUMIF(日報!$R:$R,TEXT(YEAR($Q$2),"0000")&amp;TEXT(MONTH($Q$2),"00")&amp;$O2305,日報!$L:$L)</f>
        <v>0</v>
      </c>
      <c r="R2305" s="65">
        <f ca="1">SUMIF(日報!$J:$J,$O2305,日報!$L:$L)</f>
        <v>0</v>
      </c>
    </row>
    <row r="2306" spans="15:18" x14ac:dyDescent="0.15">
      <c r="O2306" s="7" t="str">
        <f>"REQ"&amp;TEXT([2]RequestList!$A2307,"0000")</f>
        <v>REQ0000</v>
      </c>
      <c r="P2306" s="7">
        <f>[2]RequestList!$J2307</f>
        <v>0</v>
      </c>
      <c r="Q2306" s="65">
        <f>SUMIF(日報!$R:$R,TEXT(YEAR($Q$2),"0000")&amp;TEXT(MONTH($Q$2),"00")&amp;$O2306,日報!$L:$L)</f>
        <v>0</v>
      </c>
      <c r="R2306" s="65">
        <f ca="1">SUMIF(日報!$J:$J,$O2306,日報!$L:$L)</f>
        <v>0</v>
      </c>
    </row>
    <row r="2307" spans="15:18" x14ac:dyDescent="0.15">
      <c r="O2307" s="7" t="str">
        <f>"REQ"&amp;TEXT([2]RequestList!$A2308,"0000")</f>
        <v>REQ0000</v>
      </c>
      <c r="P2307" s="7">
        <f>[2]RequestList!$J2308</f>
        <v>0</v>
      </c>
      <c r="Q2307" s="65">
        <f>SUMIF(日報!$R:$R,TEXT(YEAR($Q$2),"0000")&amp;TEXT(MONTH($Q$2),"00")&amp;$O2307,日報!$L:$L)</f>
        <v>0</v>
      </c>
      <c r="R2307" s="65">
        <f ca="1">SUMIF(日報!$J:$J,$O2307,日報!$L:$L)</f>
        <v>0</v>
      </c>
    </row>
    <row r="2308" spans="15:18" x14ac:dyDescent="0.15">
      <c r="O2308" s="7" t="str">
        <f>"REQ"&amp;TEXT([2]RequestList!$A2309,"0000")</f>
        <v>REQ0000</v>
      </c>
      <c r="P2308" s="7">
        <f>[2]RequestList!$J2309</f>
        <v>0</v>
      </c>
      <c r="Q2308" s="65">
        <f>SUMIF(日報!$R:$R,TEXT(YEAR($Q$2),"0000")&amp;TEXT(MONTH($Q$2),"00")&amp;$O2308,日報!$L:$L)</f>
        <v>0</v>
      </c>
      <c r="R2308" s="65">
        <f ca="1">SUMIF(日報!$J:$J,$O2308,日報!$L:$L)</f>
        <v>0</v>
      </c>
    </row>
    <row r="2309" spans="15:18" x14ac:dyDescent="0.15">
      <c r="O2309" s="7" t="str">
        <f>"REQ"&amp;TEXT([2]RequestList!$A2310,"0000")</f>
        <v>REQ0000</v>
      </c>
      <c r="P2309" s="7">
        <f>[2]RequestList!$J2310</f>
        <v>0</v>
      </c>
      <c r="Q2309" s="65">
        <f>SUMIF(日報!$R:$R,TEXT(YEAR($Q$2),"0000")&amp;TEXT(MONTH($Q$2),"00")&amp;$O2309,日報!$L:$L)</f>
        <v>0</v>
      </c>
      <c r="R2309" s="65">
        <f ca="1">SUMIF(日報!$J:$J,$O2309,日報!$L:$L)</f>
        <v>0</v>
      </c>
    </row>
    <row r="2310" spans="15:18" x14ac:dyDescent="0.15">
      <c r="O2310" s="7" t="str">
        <f>"REQ"&amp;TEXT([2]RequestList!$A2311,"0000")</f>
        <v>REQ0000</v>
      </c>
      <c r="P2310" s="7">
        <f>[2]RequestList!$J2311</f>
        <v>0</v>
      </c>
      <c r="Q2310" s="65">
        <f>SUMIF(日報!$R:$R,TEXT(YEAR($Q$2),"0000")&amp;TEXT(MONTH($Q$2),"00")&amp;$O2310,日報!$L:$L)</f>
        <v>0</v>
      </c>
      <c r="R2310" s="65">
        <f ca="1">SUMIF(日報!$J:$J,$O2310,日報!$L:$L)</f>
        <v>0</v>
      </c>
    </row>
    <row r="2311" spans="15:18" x14ac:dyDescent="0.15">
      <c r="O2311" s="7" t="str">
        <f>"REQ"&amp;TEXT([2]RequestList!$A2312,"0000")</f>
        <v>REQ0000</v>
      </c>
      <c r="P2311" s="7">
        <f>[2]RequestList!$J2312</f>
        <v>0</v>
      </c>
      <c r="Q2311" s="65">
        <f>SUMIF(日報!$R:$R,TEXT(YEAR($Q$2),"0000")&amp;TEXT(MONTH($Q$2),"00")&amp;$O2311,日報!$L:$L)</f>
        <v>0</v>
      </c>
      <c r="R2311" s="65">
        <f ca="1">SUMIF(日報!$J:$J,$O2311,日報!$L:$L)</f>
        <v>0</v>
      </c>
    </row>
    <row r="2312" spans="15:18" x14ac:dyDescent="0.15">
      <c r="O2312" s="7" t="str">
        <f>"REQ"&amp;TEXT([2]RequestList!$A2313,"0000")</f>
        <v>REQ0000</v>
      </c>
      <c r="P2312" s="7">
        <f>[2]RequestList!$J2313</f>
        <v>0</v>
      </c>
      <c r="Q2312" s="65">
        <f>SUMIF(日報!$R:$R,TEXT(YEAR($Q$2),"0000")&amp;TEXT(MONTH($Q$2),"00")&amp;$O2312,日報!$L:$L)</f>
        <v>0</v>
      </c>
      <c r="R2312" s="65">
        <f ca="1">SUMIF(日報!$J:$J,$O2312,日報!$L:$L)</f>
        <v>0</v>
      </c>
    </row>
    <row r="2313" spans="15:18" x14ac:dyDescent="0.15">
      <c r="O2313" s="7" t="str">
        <f>"REQ"&amp;TEXT([2]RequestList!$A2314,"0000")</f>
        <v>REQ0000</v>
      </c>
      <c r="P2313" s="7">
        <f>[2]RequestList!$J2314</f>
        <v>0</v>
      </c>
      <c r="Q2313" s="65">
        <f>SUMIF(日報!$R:$R,TEXT(YEAR($Q$2),"0000")&amp;TEXT(MONTH($Q$2),"00")&amp;$O2313,日報!$L:$L)</f>
        <v>0</v>
      </c>
      <c r="R2313" s="65">
        <f ca="1">SUMIF(日報!$J:$J,$O2313,日報!$L:$L)</f>
        <v>0</v>
      </c>
    </row>
    <row r="2314" spans="15:18" x14ac:dyDescent="0.15">
      <c r="O2314" s="7" t="str">
        <f>"REQ"&amp;TEXT([2]RequestList!$A2315,"0000")</f>
        <v>REQ0000</v>
      </c>
      <c r="P2314" s="7">
        <f>[2]RequestList!$J2315</f>
        <v>0</v>
      </c>
      <c r="Q2314" s="65">
        <f>SUMIF(日報!$R:$R,TEXT(YEAR($Q$2),"0000")&amp;TEXT(MONTH($Q$2),"00")&amp;$O2314,日報!$L:$L)</f>
        <v>0</v>
      </c>
      <c r="R2314" s="65">
        <f ca="1">SUMIF(日報!$J:$J,$O2314,日報!$L:$L)</f>
        <v>0</v>
      </c>
    </row>
    <row r="2315" spans="15:18" x14ac:dyDescent="0.15">
      <c r="O2315" s="7" t="str">
        <f>"REQ"&amp;TEXT([2]RequestList!$A2316,"0000")</f>
        <v>REQ0000</v>
      </c>
      <c r="P2315" s="7">
        <f>[2]RequestList!$J2316</f>
        <v>0</v>
      </c>
      <c r="Q2315" s="65">
        <f>SUMIF(日報!$R:$R,TEXT(YEAR($Q$2),"0000")&amp;TEXT(MONTH($Q$2),"00")&amp;$O2315,日報!$L:$L)</f>
        <v>0</v>
      </c>
      <c r="R2315" s="65">
        <f ca="1">SUMIF(日報!$J:$J,$O2315,日報!$L:$L)</f>
        <v>0</v>
      </c>
    </row>
    <row r="2316" spans="15:18" x14ac:dyDescent="0.15">
      <c r="O2316" s="7" t="str">
        <f>"REQ"&amp;TEXT([2]RequestList!$A2317,"0000")</f>
        <v>REQ0000</v>
      </c>
      <c r="P2316" s="7">
        <f>[2]RequestList!$J2317</f>
        <v>0</v>
      </c>
      <c r="Q2316" s="65">
        <f>SUMIF(日報!$R:$R,TEXT(YEAR($Q$2),"0000")&amp;TEXT(MONTH($Q$2),"00")&amp;$O2316,日報!$L:$L)</f>
        <v>0</v>
      </c>
      <c r="R2316" s="65">
        <f ca="1">SUMIF(日報!$J:$J,$O2316,日報!$L:$L)</f>
        <v>0</v>
      </c>
    </row>
    <row r="2317" spans="15:18" x14ac:dyDescent="0.15">
      <c r="O2317" s="7" t="str">
        <f>"REQ"&amp;TEXT([2]RequestList!$A2318,"0000")</f>
        <v>REQ0000</v>
      </c>
      <c r="P2317" s="7">
        <f>[2]RequestList!$J2318</f>
        <v>0</v>
      </c>
      <c r="Q2317" s="65">
        <f>SUMIF(日報!$R:$R,TEXT(YEAR($Q$2),"0000")&amp;TEXT(MONTH($Q$2),"00")&amp;$O2317,日報!$L:$L)</f>
        <v>0</v>
      </c>
      <c r="R2317" s="65">
        <f ca="1">SUMIF(日報!$J:$J,$O2317,日報!$L:$L)</f>
        <v>0</v>
      </c>
    </row>
    <row r="2318" spans="15:18" x14ac:dyDescent="0.15">
      <c r="O2318" s="7" t="str">
        <f>"REQ"&amp;TEXT([2]RequestList!$A2319,"0000")</f>
        <v>REQ0000</v>
      </c>
      <c r="P2318" s="7">
        <f>[2]RequestList!$J2319</f>
        <v>0</v>
      </c>
      <c r="Q2318" s="65">
        <f>SUMIF(日報!$R:$R,TEXT(YEAR($Q$2),"0000")&amp;TEXT(MONTH($Q$2),"00")&amp;$O2318,日報!$L:$L)</f>
        <v>0</v>
      </c>
      <c r="R2318" s="65">
        <f ca="1">SUMIF(日報!$J:$J,$O2318,日報!$L:$L)</f>
        <v>0</v>
      </c>
    </row>
    <row r="2319" spans="15:18" x14ac:dyDescent="0.15">
      <c r="O2319" s="7" t="str">
        <f>"REQ"&amp;TEXT([2]RequestList!$A2320,"0000")</f>
        <v>REQ0000</v>
      </c>
      <c r="P2319" s="7">
        <f>[2]RequestList!$J2320</f>
        <v>0</v>
      </c>
      <c r="Q2319" s="65">
        <f>SUMIF(日報!$R:$R,TEXT(YEAR($Q$2),"0000")&amp;TEXT(MONTH($Q$2),"00")&amp;$O2319,日報!$L:$L)</f>
        <v>0</v>
      </c>
      <c r="R2319" s="65">
        <f ca="1">SUMIF(日報!$J:$J,$O2319,日報!$L:$L)</f>
        <v>0</v>
      </c>
    </row>
    <row r="2320" spans="15:18" x14ac:dyDescent="0.15">
      <c r="O2320" s="7" t="str">
        <f>"REQ"&amp;TEXT([2]RequestList!$A2321,"0000")</f>
        <v>REQ0000</v>
      </c>
      <c r="P2320" s="7">
        <f>[2]RequestList!$J2321</f>
        <v>0</v>
      </c>
      <c r="Q2320" s="65">
        <f>SUMIF(日報!$R:$R,TEXT(YEAR($Q$2),"0000")&amp;TEXT(MONTH($Q$2),"00")&amp;$O2320,日報!$L:$L)</f>
        <v>0</v>
      </c>
      <c r="R2320" s="65">
        <f ca="1">SUMIF(日報!$J:$J,$O2320,日報!$L:$L)</f>
        <v>0</v>
      </c>
    </row>
    <row r="2321" spans="15:18" x14ac:dyDescent="0.15">
      <c r="O2321" s="7" t="str">
        <f>"REQ"&amp;TEXT([2]RequestList!$A2322,"0000")</f>
        <v>REQ0000</v>
      </c>
      <c r="P2321" s="7">
        <f>[2]RequestList!$J2322</f>
        <v>0</v>
      </c>
      <c r="Q2321" s="65">
        <f>SUMIF(日報!$R:$R,TEXT(YEAR($Q$2),"0000")&amp;TEXT(MONTH($Q$2),"00")&amp;$O2321,日報!$L:$L)</f>
        <v>0</v>
      </c>
      <c r="R2321" s="65">
        <f ca="1">SUMIF(日報!$J:$J,$O2321,日報!$L:$L)</f>
        <v>0</v>
      </c>
    </row>
    <row r="2322" spans="15:18" x14ac:dyDescent="0.15">
      <c r="O2322" s="7" t="str">
        <f>"REQ"&amp;TEXT([2]RequestList!$A2323,"0000")</f>
        <v>REQ0000</v>
      </c>
      <c r="P2322" s="7">
        <f>[2]RequestList!$J2323</f>
        <v>0</v>
      </c>
      <c r="Q2322" s="65">
        <f>SUMIF(日報!$R:$R,TEXT(YEAR($Q$2),"0000")&amp;TEXT(MONTH($Q$2),"00")&amp;$O2322,日報!$L:$L)</f>
        <v>0</v>
      </c>
      <c r="R2322" s="65">
        <f ca="1">SUMIF(日報!$J:$J,$O2322,日報!$L:$L)</f>
        <v>0</v>
      </c>
    </row>
    <row r="2323" spans="15:18" x14ac:dyDescent="0.15">
      <c r="O2323" s="7" t="str">
        <f>"REQ"&amp;TEXT([2]RequestList!$A2324,"0000")</f>
        <v>REQ0000</v>
      </c>
      <c r="P2323" s="7">
        <f>[2]RequestList!$J2324</f>
        <v>0</v>
      </c>
      <c r="Q2323" s="65">
        <f>SUMIF(日報!$R:$R,TEXT(YEAR($Q$2),"0000")&amp;TEXT(MONTH($Q$2),"00")&amp;$O2323,日報!$L:$L)</f>
        <v>0</v>
      </c>
      <c r="R2323" s="65">
        <f ca="1">SUMIF(日報!$J:$J,$O2323,日報!$L:$L)</f>
        <v>0</v>
      </c>
    </row>
    <row r="2324" spans="15:18" x14ac:dyDescent="0.15">
      <c r="O2324" s="7" t="str">
        <f>"REQ"&amp;TEXT([2]RequestList!$A2325,"0000")</f>
        <v>REQ0000</v>
      </c>
      <c r="P2324" s="7">
        <f>[2]RequestList!$J2325</f>
        <v>0</v>
      </c>
      <c r="Q2324" s="65">
        <f>SUMIF(日報!$R:$R,TEXT(YEAR($Q$2),"0000")&amp;TEXT(MONTH($Q$2),"00")&amp;$O2324,日報!$L:$L)</f>
        <v>0</v>
      </c>
      <c r="R2324" s="65">
        <f ca="1">SUMIF(日報!$J:$J,$O2324,日報!$L:$L)</f>
        <v>0</v>
      </c>
    </row>
    <row r="2325" spans="15:18" x14ac:dyDescent="0.15">
      <c r="O2325" s="7" t="str">
        <f>"REQ"&amp;TEXT([2]RequestList!$A2326,"0000")</f>
        <v>REQ0000</v>
      </c>
      <c r="P2325" s="7">
        <f>[2]RequestList!$J2326</f>
        <v>0</v>
      </c>
      <c r="Q2325" s="65">
        <f>SUMIF(日報!$R:$R,TEXT(YEAR($Q$2),"0000")&amp;TEXT(MONTH($Q$2),"00")&amp;$O2325,日報!$L:$L)</f>
        <v>0</v>
      </c>
      <c r="R2325" s="65">
        <f ca="1">SUMIF(日報!$J:$J,$O2325,日報!$L:$L)</f>
        <v>0</v>
      </c>
    </row>
    <row r="2326" spans="15:18" x14ac:dyDescent="0.15">
      <c r="O2326" s="7" t="str">
        <f>"REQ"&amp;TEXT([2]RequestList!$A2327,"0000")</f>
        <v>REQ0000</v>
      </c>
      <c r="P2326" s="7">
        <f>[2]RequestList!$J2327</f>
        <v>0</v>
      </c>
      <c r="Q2326" s="65">
        <f>SUMIF(日報!$R:$R,TEXT(YEAR($Q$2),"0000")&amp;TEXT(MONTH($Q$2),"00")&amp;$O2326,日報!$L:$L)</f>
        <v>0</v>
      </c>
      <c r="R2326" s="65">
        <f ca="1">SUMIF(日報!$J:$J,$O2326,日報!$L:$L)</f>
        <v>0</v>
      </c>
    </row>
    <row r="2327" spans="15:18" x14ac:dyDescent="0.15">
      <c r="O2327" s="7" t="str">
        <f>"REQ"&amp;TEXT([2]RequestList!$A2328,"0000")</f>
        <v>REQ0000</v>
      </c>
      <c r="P2327" s="7">
        <f>[2]RequestList!$J2328</f>
        <v>0</v>
      </c>
      <c r="Q2327" s="65">
        <f>SUMIF(日報!$R:$R,TEXT(YEAR($Q$2),"0000")&amp;TEXT(MONTH($Q$2),"00")&amp;$O2327,日報!$L:$L)</f>
        <v>0</v>
      </c>
      <c r="R2327" s="65">
        <f ca="1">SUMIF(日報!$J:$J,$O2327,日報!$L:$L)</f>
        <v>0</v>
      </c>
    </row>
    <row r="2328" spans="15:18" x14ac:dyDescent="0.15">
      <c r="O2328" s="7" t="str">
        <f>"REQ"&amp;TEXT([2]RequestList!$A2329,"0000")</f>
        <v>REQ0000</v>
      </c>
      <c r="P2328" s="7">
        <f>[2]RequestList!$J2329</f>
        <v>0</v>
      </c>
      <c r="Q2328" s="65">
        <f>SUMIF(日報!$R:$R,TEXT(YEAR($Q$2),"0000")&amp;TEXT(MONTH($Q$2),"00")&amp;$O2328,日報!$L:$L)</f>
        <v>0</v>
      </c>
      <c r="R2328" s="65">
        <f ca="1">SUMIF(日報!$J:$J,$O2328,日報!$L:$L)</f>
        <v>0</v>
      </c>
    </row>
    <row r="2329" spans="15:18" x14ac:dyDescent="0.15">
      <c r="O2329" s="7" t="str">
        <f>"REQ"&amp;TEXT([2]RequestList!$A2330,"0000")</f>
        <v>REQ0000</v>
      </c>
      <c r="P2329" s="7">
        <f>[2]RequestList!$J2330</f>
        <v>0</v>
      </c>
      <c r="Q2329" s="65">
        <f>SUMIF(日報!$R:$R,TEXT(YEAR($Q$2),"0000")&amp;TEXT(MONTH($Q$2),"00")&amp;$O2329,日報!$L:$L)</f>
        <v>0</v>
      </c>
      <c r="R2329" s="65">
        <f ca="1">SUMIF(日報!$J:$J,$O2329,日報!$L:$L)</f>
        <v>0</v>
      </c>
    </row>
    <row r="2330" spans="15:18" x14ac:dyDescent="0.15">
      <c r="O2330" s="7" t="str">
        <f>"REQ"&amp;TEXT([2]RequestList!$A2331,"0000")</f>
        <v>REQ0000</v>
      </c>
      <c r="P2330" s="7">
        <f>[2]RequestList!$J2331</f>
        <v>0</v>
      </c>
      <c r="Q2330" s="65">
        <f>SUMIF(日報!$R:$R,TEXT(YEAR($Q$2),"0000")&amp;TEXT(MONTH($Q$2),"00")&amp;$O2330,日報!$L:$L)</f>
        <v>0</v>
      </c>
      <c r="R2330" s="65">
        <f ca="1">SUMIF(日報!$J:$J,$O2330,日報!$L:$L)</f>
        <v>0</v>
      </c>
    </row>
    <row r="2331" spans="15:18" x14ac:dyDescent="0.15">
      <c r="O2331" s="7" t="str">
        <f>"REQ"&amp;TEXT([2]RequestList!$A2332,"0000")</f>
        <v>REQ0000</v>
      </c>
      <c r="P2331" s="7">
        <f>[2]RequestList!$J2332</f>
        <v>0</v>
      </c>
      <c r="Q2331" s="65">
        <f>SUMIF(日報!$R:$R,TEXT(YEAR($Q$2),"0000")&amp;TEXT(MONTH($Q$2),"00")&amp;$O2331,日報!$L:$L)</f>
        <v>0</v>
      </c>
      <c r="R2331" s="65">
        <f ca="1">SUMIF(日報!$J:$J,$O2331,日報!$L:$L)</f>
        <v>0</v>
      </c>
    </row>
    <row r="2332" spans="15:18" x14ac:dyDescent="0.15">
      <c r="O2332" s="7" t="str">
        <f>"REQ"&amp;TEXT([2]RequestList!$A2333,"0000")</f>
        <v>REQ0000</v>
      </c>
      <c r="P2332" s="7">
        <f>[2]RequestList!$J2333</f>
        <v>0</v>
      </c>
      <c r="Q2332" s="65">
        <f>SUMIF(日報!$R:$R,TEXT(YEAR($Q$2),"0000")&amp;TEXT(MONTH($Q$2),"00")&amp;$O2332,日報!$L:$L)</f>
        <v>0</v>
      </c>
      <c r="R2332" s="65">
        <f ca="1">SUMIF(日報!$J:$J,$O2332,日報!$L:$L)</f>
        <v>0</v>
      </c>
    </row>
    <row r="2333" spans="15:18" x14ac:dyDescent="0.15">
      <c r="O2333" s="7" t="str">
        <f>"REQ"&amp;TEXT([2]RequestList!$A2334,"0000")</f>
        <v>REQ0000</v>
      </c>
      <c r="P2333" s="7">
        <f>[2]RequestList!$J2334</f>
        <v>0</v>
      </c>
      <c r="Q2333" s="65">
        <f>SUMIF(日報!$R:$R,TEXT(YEAR($Q$2),"0000")&amp;TEXT(MONTH($Q$2),"00")&amp;$O2333,日報!$L:$L)</f>
        <v>0</v>
      </c>
      <c r="R2333" s="65">
        <f ca="1">SUMIF(日報!$J:$J,$O2333,日報!$L:$L)</f>
        <v>0</v>
      </c>
    </row>
    <row r="2334" spans="15:18" x14ac:dyDescent="0.15">
      <c r="O2334" s="7" t="str">
        <f>"REQ"&amp;TEXT([2]RequestList!$A2335,"0000")</f>
        <v>REQ0000</v>
      </c>
      <c r="P2334" s="7">
        <f>[2]RequestList!$J2335</f>
        <v>0</v>
      </c>
      <c r="Q2334" s="65">
        <f>SUMIF(日報!$R:$R,TEXT(YEAR($Q$2),"0000")&amp;TEXT(MONTH($Q$2),"00")&amp;$O2334,日報!$L:$L)</f>
        <v>0</v>
      </c>
      <c r="R2334" s="65">
        <f ca="1">SUMIF(日報!$J:$J,$O2334,日報!$L:$L)</f>
        <v>0</v>
      </c>
    </row>
    <row r="2335" spans="15:18" x14ac:dyDescent="0.15">
      <c r="O2335" s="7" t="str">
        <f>"REQ"&amp;TEXT([2]RequestList!$A2336,"0000")</f>
        <v>REQ0000</v>
      </c>
      <c r="P2335" s="7">
        <f>[2]RequestList!$J2336</f>
        <v>0</v>
      </c>
      <c r="Q2335" s="65">
        <f>SUMIF(日報!$R:$R,TEXT(YEAR($Q$2),"0000")&amp;TEXT(MONTH($Q$2),"00")&amp;$O2335,日報!$L:$L)</f>
        <v>0</v>
      </c>
      <c r="R2335" s="65">
        <f ca="1">SUMIF(日報!$J:$J,$O2335,日報!$L:$L)</f>
        <v>0</v>
      </c>
    </row>
    <row r="2336" spans="15:18" x14ac:dyDescent="0.15">
      <c r="O2336" s="7" t="str">
        <f>"REQ"&amp;TEXT([2]RequestList!$A2337,"0000")</f>
        <v>REQ0000</v>
      </c>
      <c r="P2336" s="7">
        <f>[2]RequestList!$J2337</f>
        <v>0</v>
      </c>
      <c r="Q2336" s="65">
        <f>SUMIF(日報!$R:$R,TEXT(YEAR($Q$2),"0000")&amp;TEXT(MONTH($Q$2),"00")&amp;$O2336,日報!$L:$L)</f>
        <v>0</v>
      </c>
      <c r="R2336" s="65">
        <f ca="1">SUMIF(日報!$J:$J,$O2336,日報!$L:$L)</f>
        <v>0</v>
      </c>
    </row>
    <row r="2337" spans="15:18" x14ac:dyDescent="0.15">
      <c r="O2337" s="7" t="str">
        <f>"REQ"&amp;TEXT([2]RequestList!$A2338,"0000")</f>
        <v>REQ0000</v>
      </c>
      <c r="P2337" s="7">
        <f>[2]RequestList!$J2338</f>
        <v>0</v>
      </c>
      <c r="Q2337" s="65">
        <f>SUMIF(日報!$R:$R,TEXT(YEAR($Q$2),"0000")&amp;TEXT(MONTH($Q$2),"00")&amp;$O2337,日報!$L:$L)</f>
        <v>0</v>
      </c>
      <c r="R2337" s="65">
        <f ca="1">SUMIF(日報!$J:$J,$O2337,日報!$L:$L)</f>
        <v>0</v>
      </c>
    </row>
    <row r="2338" spans="15:18" x14ac:dyDescent="0.15">
      <c r="O2338" s="7" t="str">
        <f>"REQ"&amp;TEXT([2]RequestList!$A2339,"0000")</f>
        <v>REQ0000</v>
      </c>
      <c r="P2338" s="7">
        <f>[2]RequestList!$J2339</f>
        <v>0</v>
      </c>
      <c r="Q2338" s="65">
        <f>SUMIF(日報!$R:$R,TEXT(YEAR($Q$2),"0000")&amp;TEXT(MONTH($Q$2),"00")&amp;$O2338,日報!$L:$L)</f>
        <v>0</v>
      </c>
      <c r="R2338" s="65">
        <f ca="1">SUMIF(日報!$J:$J,$O2338,日報!$L:$L)</f>
        <v>0</v>
      </c>
    </row>
    <row r="2339" spans="15:18" x14ac:dyDescent="0.15">
      <c r="O2339" s="7" t="str">
        <f>"REQ"&amp;TEXT([2]RequestList!$A2340,"0000")</f>
        <v>REQ0000</v>
      </c>
      <c r="P2339" s="7">
        <f>[2]RequestList!$J2340</f>
        <v>0</v>
      </c>
      <c r="Q2339" s="65">
        <f>SUMIF(日報!$R:$R,TEXT(YEAR($Q$2),"0000")&amp;TEXT(MONTH($Q$2),"00")&amp;$O2339,日報!$L:$L)</f>
        <v>0</v>
      </c>
      <c r="R2339" s="65">
        <f ca="1">SUMIF(日報!$J:$J,$O2339,日報!$L:$L)</f>
        <v>0</v>
      </c>
    </row>
    <row r="2340" spans="15:18" x14ac:dyDescent="0.15">
      <c r="O2340" s="7" t="str">
        <f>"REQ"&amp;TEXT([2]RequestList!$A2341,"0000")</f>
        <v>REQ0000</v>
      </c>
      <c r="P2340" s="7">
        <f>[2]RequestList!$J2341</f>
        <v>0</v>
      </c>
      <c r="Q2340" s="65">
        <f>SUMIF(日報!$R:$R,TEXT(YEAR($Q$2),"0000")&amp;TEXT(MONTH($Q$2),"00")&amp;$O2340,日報!$L:$L)</f>
        <v>0</v>
      </c>
      <c r="R2340" s="65">
        <f ca="1">SUMIF(日報!$J:$J,$O2340,日報!$L:$L)</f>
        <v>0</v>
      </c>
    </row>
    <row r="2341" spans="15:18" x14ac:dyDescent="0.15">
      <c r="O2341" s="7" t="str">
        <f>"REQ"&amp;TEXT([2]RequestList!$A2342,"0000")</f>
        <v>REQ0000</v>
      </c>
      <c r="P2341" s="7">
        <f>[2]RequestList!$J2342</f>
        <v>0</v>
      </c>
      <c r="Q2341" s="65">
        <f>SUMIF(日報!$R:$R,TEXT(YEAR($Q$2),"0000")&amp;TEXT(MONTH($Q$2),"00")&amp;$O2341,日報!$L:$L)</f>
        <v>0</v>
      </c>
      <c r="R2341" s="65">
        <f ca="1">SUMIF(日報!$J:$J,$O2341,日報!$L:$L)</f>
        <v>0</v>
      </c>
    </row>
    <row r="2342" spans="15:18" x14ac:dyDescent="0.15">
      <c r="O2342" s="7" t="str">
        <f>"REQ"&amp;TEXT([2]RequestList!$A2343,"0000")</f>
        <v>REQ0000</v>
      </c>
      <c r="P2342" s="7">
        <f>[2]RequestList!$J2343</f>
        <v>0</v>
      </c>
      <c r="Q2342" s="65">
        <f>SUMIF(日報!$R:$R,TEXT(YEAR($Q$2),"0000")&amp;TEXT(MONTH($Q$2),"00")&amp;$O2342,日報!$L:$L)</f>
        <v>0</v>
      </c>
      <c r="R2342" s="65">
        <f ca="1">SUMIF(日報!$J:$J,$O2342,日報!$L:$L)</f>
        <v>0</v>
      </c>
    </row>
    <row r="2343" spans="15:18" x14ac:dyDescent="0.15">
      <c r="O2343" s="7" t="str">
        <f>"REQ"&amp;TEXT([2]RequestList!$A2344,"0000")</f>
        <v>REQ0000</v>
      </c>
      <c r="P2343" s="7">
        <f>[2]RequestList!$J2344</f>
        <v>0</v>
      </c>
      <c r="Q2343" s="65">
        <f>SUMIF(日報!$R:$R,TEXT(YEAR($Q$2),"0000")&amp;TEXT(MONTH($Q$2),"00")&amp;$O2343,日報!$L:$L)</f>
        <v>0</v>
      </c>
      <c r="R2343" s="65">
        <f ca="1">SUMIF(日報!$J:$J,$O2343,日報!$L:$L)</f>
        <v>0</v>
      </c>
    </row>
    <row r="2344" spans="15:18" x14ac:dyDescent="0.15">
      <c r="O2344" s="7" t="str">
        <f>"REQ"&amp;TEXT([2]RequestList!$A2345,"0000")</f>
        <v>REQ0000</v>
      </c>
      <c r="P2344" s="7">
        <f>[2]RequestList!$J2345</f>
        <v>0</v>
      </c>
      <c r="Q2344" s="65">
        <f>SUMIF(日報!$R:$R,TEXT(YEAR($Q$2),"0000")&amp;TEXT(MONTH($Q$2),"00")&amp;$O2344,日報!$L:$L)</f>
        <v>0</v>
      </c>
      <c r="R2344" s="65">
        <f ca="1">SUMIF(日報!$J:$J,$O2344,日報!$L:$L)</f>
        <v>0</v>
      </c>
    </row>
    <row r="2345" spans="15:18" x14ac:dyDescent="0.15">
      <c r="O2345" s="7" t="str">
        <f>"REQ"&amp;TEXT([2]RequestList!$A2346,"0000")</f>
        <v>REQ0000</v>
      </c>
      <c r="P2345" s="7">
        <f>[2]RequestList!$J2346</f>
        <v>0</v>
      </c>
      <c r="Q2345" s="65">
        <f>SUMIF(日報!$R:$R,TEXT(YEAR($Q$2),"0000")&amp;TEXT(MONTH($Q$2),"00")&amp;$O2345,日報!$L:$L)</f>
        <v>0</v>
      </c>
      <c r="R2345" s="65">
        <f ca="1">SUMIF(日報!$J:$J,$O2345,日報!$L:$L)</f>
        <v>0</v>
      </c>
    </row>
    <row r="2346" spans="15:18" x14ac:dyDescent="0.15">
      <c r="O2346" s="7" t="str">
        <f>"REQ"&amp;TEXT([2]RequestList!$A2347,"0000")</f>
        <v>REQ0000</v>
      </c>
      <c r="P2346" s="7">
        <f>[2]RequestList!$J2347</f>
        <v>0</v>
      </c>
      <c r="Q2346" s="65">
        <f>SUMIF(日報!$R:$R,TEXT(YEAR($Q$2),"0000")&amp;TEXT(MONTH($Q$2),"00")&amp;$O2346,日報!$L:$L)</f>
        <v>0</v>
      </c>
      <c r="R2346" s="65">
        <f ca="1">SUMIF(日報!$J:$J,$O2346,日報!$L:$L)</f>
        <v>0</v>
      </c>
    </row>
    <row r="2347" spans="15:18" x14ac:dyDescent="0.15">
      <c r="O2347" s="7" t="str">
        <f>"REQ"&amp;TEXT([2]RequestList!$A2348,"0000")</f>
        <v>REQ0000</v>
      </c>
      <c r="P2347" s="7">
        <f>[2]RequestList!$J2348</f>
        <v>0</v>
      </c>
      <c r="Q2347" s="65">
        <f>SUMIF(日報!$R:$R,TEXT(YEAR($Q$2),"0000")&amp;TEXT(MONTH($Q$2),"00")&amp;$O2347,日報!$L:$L)</f>
        <v>0</v>
      </c>
      <c r="R2347" s="65">
        <f ca="1">SUMIF(日報!$J:$J,$O2347,日報!$L:$L)</f>
        <v>0</v>
      </c>
    </row>
    <row r="2348" spans="15:18" x14ac:dyDescent="0.15">
      <c r="O2348" s="7" t="str">
        <f>"REQ"&amp;TEXT([2]RequestList!$A2349,"0000")</f>
        <v>REQ0000</v>
      </c>
      <c r="P2348" s="7">
        <f>[2]RequestList!$J2349</f>
        <v>0</v>
      </c>
      <c r="Q2348" s="65">
        <f>SUMIF(日報!$R:$R,TEXT(YEAR($Q$2),"0000")&amp;TEXT(MONTH($Q$2),"00")&amp;$O2348,日報!$L:$L)</f>
        <v>0</v>
      </c>
      <c r="R2348" s="65">
        <f ca="1">SUMIF(日報!$J:$J,$O2348,日報!$L:$L)</f>
        <v>0</v>
      </c>
    </row>
    <row r="2349" spans="15:18" x14ac:dyDescent="0.15">
      <c r="O2349" s="7" t="str">
        <f>"REQ"&amp;TEXT([2]RequestList!$A2350,"0000")</f>
        <v>REQ0000</v>
      </c>
      <c r="P2349" s="7">
        <f>[2]RequestList!$J2350</f>
        <v>0</v>
      </c>
      <c r="Q2349" s="65">
        <f>SUMIF(日報!$R:$R,TEXT(YEAR($Q$2),"0000")&amp;TEXT(MONTH($Q$2),"00")&amp;$O2349,日報!$L:$L)</f>
        <v>0</v>
      </c>
      <c r="R2349" s="65">
        <f ca="1">SUMIF(日報!$J:$J,$O2349,日報!$L:$L)</f>
        <v>0</v>
      </c>
    </row>
    <row r="2350" spans="15:18" x14ac:dyDescent="0.15">
      <c r="O2350" s="7" t="str">
        <f>"REQ"&amp;TEXT([2]RequestList!$A2351,"0000")</f>
        <v>REQ0000</v>
      </c>
      <c r="P2350" s="7">
        <f>[2]RequestList!$J2351</f>
        <v>0</v>
      </c>
      <c r="Q2350" s="65">
        <f>SUMIF(日報!$R:$R,TEXT(YEAR($Q$2),"0000")&amp;TEXT(MONTH($Q$2),"00")&amp;$O2350,日報!$L:$L)</f>
        <v>0</v>
      </c>
      <c r="R2350" s="65">
        <f ca="1">SUMIF(日報!$J:$J,$O2350,日報!$L:$L)</f>
        <v>0</v>
      </c>
    </row>
    <row r="2351" spans="15:18" x14ac:dyDescent="0.15">
      <c r="O2351" s="7" t="str">
        <f>"REQ"&amp;TEXT([2]RequestList!$A2352,"0000")</f>
        <v>REQ0000</v>
      </c>
      <c r="P2351" s="7">
        <f>[2]RequestList!$J2352</f>
        <v>0</v>
      </c>
      <c r="Q2351" s="65">
        <f>SUMIF(日報!$R:$R,TEXT(YEAR($Q$2),"0000")&amp;TEXT(MONTH($Q$2),"00")&amp;$O2351,日報!$L:$L)</f>
        <v>0</v>
      </c>
      <c r="R2351" s="65">
        <f ca="1">SUMIF(日報!$J:$J,$O2351,日報!$L:$L)</f>
        <v>0</v>
      </c>
    </row>
    <row r="2352" spans="15:18" x14ac:dyDescent="0.15">
      <c r="O2352" s="7" t="str">
        <f>"REQ"&amp;TEXT([2]RequestList!$A2353,"0000")</f>
        <v>REQ0000</v>
      </c>
      <c r="P2352" s="7">
        <f>[2]RequestList!$J2353</f>
        <v>0</v>
      </c>
      <c r="Q2352" s="65">
        <f>SUMIF(日報!$R:$R,TEXT(YEAR($Q$2),"0000")&amp;TEXT(MONTH($Q$2),"00")&amp;$O2352,日報!$L:$L)</f>
        <v>0</v>
      </c>
      <c r="R2352" s="65">
        <f ca="1">SUMIF(日報!$J:$J,$O2352,日報!$L:$L)</f>
        <v>0</v>
      </c>
    </row>
    <row r="2353" spans="15:18" x14ac:dyDescent="0.15">
      <c r="O2353" s="7" t="str">
        <f>"REQ"&amp;TEXT([2]RequestList!$A2354,"0000")</f>
        <v>REQ0000</v>
      </c>
      <c r="P2353" s="7">
        <f>[2]RequestList!$J2354</f>
        <v>0</v>
      </c>
      <c r="Q2353" s="65">
        <f>SUMIF(日報!$R:$R,TEXT(YEAR($Q$2),"0000")&amp;TEXT(MONTH($Q$2),"00")&amp;$O2353,日報!$L:$L)</f>
        <v>0</v>
      </c>
      <c r="R2353" s="65">
        <f ca="1">SUMIF(日報!$J:$J,$O2353,日報!$L:$L)</f>
        <v>0</v>
      </c>
    </row>
    <row r="2354" spans="15:18" x14ac:dyDescent="0.15">
      <c r="O2354" s="7" t="str">
        <f>"REQ"&amp;TEXT([2]RequestList!$A2355,"0000")</f>
        <v>REQ0000</v>
      </c>
      <c r="P2354" s="7">
        <f>[2]RequestList!$J2355</f>
        <v>0</v>
      </c>
      <c r="Q2354" s="65">
        <f>SUMIF(日報!$R:$R,TEXT(YEAR($Q$2),"0000")&amp;TEXT(MONTH($Q$2),"00")&amp;$O2354,日報!$L:$L)</f>
        <v>0</v>
      </c>
      <c r="R2354" s="65">
        <f ca="1">SUMIF(日報!$J:$J,$O2354,日報!$L:$L)</f>
        <v>0</v>
      </c>
    </row>
    <row r="2355" spans="15:18" x14ac:dyDescent="0.15">
      <c r="O2355" s="7" t="str">
        <f>"REQ"&amp;TEXT([2]RequestList!$A2356,"0000")</f>
        <v>REQ0000</v>
      </c>
      <c r="P2355" s="7">
        <f>[2]RequestList!$J2356</f>
        <v>0</v>
      </c>
      <c r="Q2355" s="65">
        <f>SUMIF(日報!$R:$R,TEXT(YEAR($Q$2),"0000")&amp;TEXT(MONTH($Q$2),"00")&amp;$O2355,日報!$L:$L)</f>
        <v>0</v>
      </c>
      <c r="R2355" s="65">
        <f ca="1">SUMIF(日報!$J:$J,$O2355,日報!$L:$L)</f>
        <v>0</v>
      </c>
    </row>
    <row r="2356" spans="15:18" x14ac:dyDescent="0.15">
      <c r="O2356" s="7" t="str">
        <f>"REQ"&amp;TEXT([2]RequestList!$A2357,"0000")</f>
        <v>REQ0000</v>
      </c>
      <c r="P2356" s="7">
        <f>[2]RequestList!$J2357</f>
        <v>0</v>
      </c>
      <c r="Q2356" s="65">
        <f>SUMIF(日報!$R:$R,TEXT(YEAR($Q$2),"0000")&amp;TEXT(MONTH($Q$2),"00")&amp;$O2356,日報!$L:$L)</f>
        <v>0</v>
      </c>
      <c r="R2356" s="65">
        <f ca="1">SUMIF(日報!$J:$J,$O2356,日報!$L:$L)</f>
        <v>0</v>
      </c>
    </row>
    <row r="2357" spans="15:18" x14ac:dyDescent="0.15">
      <c r="O2357" s="7" t="str">
        <f>"REQ"&amp;TEXT([2]RequestList!$A2358,"0000")</f>
        <v>REQ0000</v>
      </c>
      <c r="P2357" s="7">
        <f>[2]RequestList!$J2358</f>
        <v>0</v>
      </c>
      <c r="Q2357" s="65">
        <f>SUMIF(日報!$R:$R,TEXT(YEAR($Q$2),"0000")&amp;TEXT(MONTH($Q$2),"00")&amp;$O2357,日報!$L:$L)</f>
        <v>0</v>
      </c>
      <c r="R2357" s="65">
        <f ca="1">SUMIF(日報!$J:$J,$O2357,日報!$L:$L)</f>
        <v>0</v>
      </c>
    </row>
    <row r="2358" spans="15:18" x14ac:dyDescent="0.15">
      <c r="O2358" s="7" t="str">
        <f>"REQ"&amp;TEXT([2]RequestList!$A2359,"0000")</f>
        <v>REQ0000</v>
      </c>
      <c r="P2358" s="7">
        <f>[2]RequestList!$J2359</f>
        <v>0</v>
      </c>
      <c r="Q2358" s="65">
        <f>SUMIF(日報!$R:$R,TEXT(YEAR($Q$2),"0000")&amp;TEXT(MONTH($Q$2),"00")&amp;$O2358,日報!$L:$L)</f>
        <v>0</v>
      </c>
      <c r="R2358" s="65">
        <f ca="1">SUMIF(日報!$J:$J,$O2358,日報!$L:$L)</f>
        <v>0</v>
      </c>
    </row>
    <row r="2359" spans="15:18" x14ac:dyDescent="0.15">
      <c r="O2359" s="7" t="str">
        <f>"REQ"&amp;TEXT([2]RequestList!$A2360,"0000")</f>
        <v>REQ0000</v>
      </c>
      <c r="P2359" s="7">
        <f>[2]RequestList!$J2360</f>
        <v>0</v>
      </c>
      <c r="Q2359" s="65">
        <f>SUMIF(日報!$R:$R,TEXT(YEAR($Q$2),"0000")&amp;TEXT(MONTH($Q$2),"00")&amp;$O2359,日報!$L:$L)</f>
        <v>0</v>
      </c>
      <c r="R2359" s="65">
        <f ca="1">SUMIF(日報!$J:$J,$O2359,日報!$L:$L)</f>
        <v>0</v>
      </c>
    </row>
    <row r="2360" spans="15:18" x14ac:dyDescent="0.15">
      <c r="O2360" s="7" t="str">
        <f>"REQ"&amp;TEXT([2]RequestList!$A2361,"0000")</f>
        <v>REQ0000</v>
      </c>
      <c r="P2360" s="7">
        <f>[2]RequestList!$J2361</f>
        <v>0</v>
      </c>
      <c r="Q2360" s="65">
        <f>SUMIF(日報!$R:$R,TEXT(YEAR($Q$2),"0000")&amp;TEXT(MONTH($Q$2),"00")&amp;$O2360,日報!$L:$L)</f>
        <v>0</v>
      </c>
      <c r="R2360" s="65">
        <f ca="1">SUMIF(日報!$J:$J,$O2360,日報!$L:$L)</f>
        <v>0</v>
      </c>
    </row>
    <row r="2361" spans="15:18" x14ac:dyDescent="0.15">
      <c r="O2361" s="7" t="str">
        <f>"REQ"&amp;TEXT([2]RequestList!$A2362,"0000")</f>
        <v>REQ0000</v>
      </c>
      <c r="P2361" s="7">
        <f>[2]RequestList!$J2362</f>
        <v>0</v>
      </c>
      <c r="Q2361" s="65">
        <f>SUMIF(日報!$R:$R,TEXT(YEAR($Q$2),"0000")&amp;TEXT(MONTH($Q$2),"00")&amp;$O2361,日報!$L:$L)</f>
        <v>0</v>
      </c>
      <c r="R2361" s="65">
        <f ca="1">SUMIF(日報!$J:$J,$O2361,日報!$L:$L)</f>
        <v>0</v>
      </c>
    </row>
    <row r="2362" spans="15:18" x14ac:dyDescent="0.15">
      <c r="O2362" s="7" t="str">
        <f>"REQ"&amp;TEXT([2]RequestList!$A2363,"0000")</f>
        <v>REQ0000</v>
      </c>
      <c r="P2362" s="7">
        <f>[2]RequestList!$J2363</f>
        <v>0</v>
      </c>
      <c r="Q2362" s="65">
        <f>SUMIF(日報!$R:$R,TEXT(YEAR($Q$2),"0000")&amp;TEXT(MONTH($Q$2),"00")&amp;$O2362,日報!$L:$L)</f>
        <v>0</v>
      </c>
      <c r="R2362" s="65">
        <f ca="1">SUMIF(日報!$J:$J,$O2362,日報!$L:$L)</f>
        <v>0</v>
      </c>
    </row>
    <row r="2363" spans="15:18" x14ac:dyDescent="0.15">
      <c r="O2363" s="7" t="str">
        <f>"REQ"&amp;TEXT([2]RequestList!$A2364,"0000")</f>
        <v>REQ0000</v>
      </c>
      <c r="P2363" s="7">
        <f>[2]RequestList!$J2364</f>
        <v>0</v>
      </c>
      <c r="Q2363" s="65">
        <f>SUMIF(日報!$R:$R,TEXT(YEAR($Q$2),"0000")&amp;TEXT(MONTH($Q$2),"00")&amp;$O2363,日報!$L:$L)</f>
        <v>0</v>
      </c>
      <c r="R2363" s="65">
        <f ca="1">SUMIF(日報!$J:$J,$O2363,日報!$L:$L)</f>
        <v>0</v>
      </c>
    </row>
    <row r="2364" spans="15:18" x14ac:dyDescent="0.15">
      <c r="O2364" s="7" t="str">
        <f>"REQ"&amp;TEXT([2]RequestList!$A2365,"0000")</f>
        <v>REQ0000</v>
      </c>
      <c r="P2364" s="7">
        <f>[2]RequestList!$J2365</f>
        <v>0</v>
      </c>
      <c r="Q2364" s="65">
        <f>SUMIF(日報!$R:$R,TEXT(YEAR($Q$2),"0000")&amp;TEXT(MONTH($Q$2),"00")&amp;$O2364,日報!$L:$L)</f>
        <v>0</v>
      </c>
      <c r="R2364" s="65">
        <f ca="1">SUMIF(日報!$J:$J,$O2364,日報!$L:$L)</f>
        <v>0</v>
      </c>
    </row>
    <row r="2365" spans="15:18" x14ac:dyDescent="0.15">
      <c r="O2365" s="7" t="str">
        <f>"REQ"&amp;TEXT([2]RequestList!$A2366,"0000")</f>
        <v>REQ0000</v>
      </c>
      <c r="P2365" s="7">
        <f>[2]RequestList!$J2366</f>
        <v>0</v>
      </c>
      <c r="Q2365" s="65">
        <f>SUMIF(日報!$R:$R,TEXT(YEAR($Q$2),"0000")&amp;TEXT(MONTH($Q$2),"00")&amp;$O2365,日報!$L:$L)</f>
        <v>0</v>
      </c>
      <c r="R2365" s="65">
        <f ca="1">SUMIF(日報!$J:$J,$O2365,日報!$L:$L)</f>
        <v>0</v>
      </c>
    </row>
    <row r="2366" spans="15:18" x14ac:dyDescent="0.15">
      <c r="O2366" s="7" t="str">
        <f>"REQ"&amp;TEXT([2]RequestList!$A2367,"0000")</f>
        <v>REQ0000</v>
      </c>
      <c r="P2366" s="7">
        <f>[2]RequestList!$J2367</f>
        <v>0</v>
      </c>
      <c r="Q2366" s="65">
        <f>SUMIF(日報!$R:$R,TEXT(YEAR($Q$2),"0000")&amp;TEXT(MONTH($Q$2),"00")&amp;$O2366,日報!$L:$L)</f>
        <v>0</v>
      </c>
      <c r="R2366" s="65">
        <f ca="1">SUMIF(日報!$J:$J,$O2366,日報!$L:$L)</f>
        <v>0</v>
      </c>
    </row>
    <row r="2367" spans="15:18" x14ac:dyDescent="0.15">
      <c r="O2367" s="7" t="str">
        <f>"REQ"&amp;TEXT([2]RequestList!$A2368,"0000")</f>
        <v>REQ0000</v>
      </c>
      <c r="P2367" s="7">
        <f>[2]RequestList!$J2368</f>
        <v>0</v>
      </c>
      <c r="Q2367" s="65">
        <f>SUMIF(日報!$R:$R,TEXT(YEAR($Q$2),"0000")&amp;TEXT(MONTH($Q$2),"00")&amp;$O2367,日報!$L:$L)</f>
        <v>0</v>
      </c>
      <c r="R2367" s="65">
        <f ca="1">SUMIF(日報!$J:$J,$O2367,日報!$L:$L)</f>
        <v>0</v>
      </c>
    </row>
    <row r="2368" spans="15:18" x14ac:dyDescent="0.15">
      <c r="O2368" s="7" t="str">
        <f>"REQ"&amp;TEXT([2]RequestList!$A2369,"0000")</f>
        <v>REQ0000</v>
      </c>
      <c r="P2368" s="7">
        <f>[2]RequestList!$J2369</f>
        <v>0</v>
      </c>
      <c r="Q2368" s="65">
        <f>SUMIF(日報!$R:$R,TEXT(YEAR($Q$2),"0000")&amp;TEXT(MONTH($Q$2),"00")&amp;$O2368,日報!$L:$L)</f>
        <v>0</v>
      </c>
      <c r="R2368" s="65">
        <f ca="1">SUMIF(日報!$J:$J,$O2368,日報!$L:$L)</f>
        <v>0</v>
      </c>
    </row>
    <row r="2369" spans="15:18" x14ac:dyDescent="0.15">
      <c r="O2369" s="7" t="str">
        <f>"REQ"&amp;TEXT([2]RequestList!$A2370,"0000")</f>
        <v>REQ0000</v>
      </c>
      <c r="P2369" s="7">
        <f>[2]RequestList!$J2370</f>
        <v>0</v>
      </c>
      <c r="Q2369" s="65">
        <f>SUMIF(日報!$R:$R,TEXT(YEAR($Q$2),"0000")&amp;TEXT(MONTH($Q$2),"00")&amp;$O2369,日報!$L:$L)</f>
        <v>0</v>
      </c>
      <c r="R2369" s="65">
        <f ca="1">SUMIF(日報!$J:$J,$O2369,日報!$L:$L)</f>
        <v>0</v>
      </c>
    </row>
    <row r="2370" spans="15:18" x14ac:dyDescent="0.15">
      <c r="O2370" s="7" t="str">
        <f>"REQ"&amp;TEXT([2]RequestList!$A2371,"0000")</f>
        <v>REQ0000</v>
      </c>
      <c r="P2370" s="7">
        <f>[2]RequestList!$J2371</f>
        <v>0</v>
      </c>
      <c r="Q2370" s="65">
        <f>SUMIF(日報!$R:$R,TEXT(YEAR($Q$2),"0000")&amp;TEXT(MONTH($Q$2),"00")&amp;$O2370,日報!$L:$L)</f>
        <v>0</v>
      </c>
      <c r="R2370" s="65">
        <f ca="1">SUMIF(日報!$J:$J,$O2370,日報!$L:$L)</f>
        <v>0</v>
      </c>
    </row>
    <row r="2371" spans="15:18" x14ac:dyDescent="0.15">
      <c r="O2371" s="7" t="str">
        <f>"REQ"&amp;TEXT([2]RequestList!$A2372,"0000")</f>
        <v>REQ0000</v>
      </c>
      <c r="P2371" s="7">
        <f>[2]RequestList!$J2372</f>
        <v>0</v>
      </c>
      <c r="Q2371" s="65">
        <f>SUMIF(日報!$R:$R,TEXT(YEAR($Q$2),"0000")&amp;TEXT(MONTH($Q$2),"00")&amp;$O2371,日報!$L:$L)</f>
        <v>0</v>
      </c>
      <c r="R2371" s="65">
        <f ca="1">SUMIF(日報!$J:$J,$O2371,日報!$L:$L)</f>
        <v>0</v>
      </c>
    </row>
    <row r="2372" spans="15:18" x14ac:dyDescent="0.15">
      <c r="O2372" s="7" t="str">
        <f>"REQ"&amp;TEXT([2]RequestList!$A2373,"0000")</f>
        <v>REQ0000</v>
      </c>
      <c r="P2372" s="7">
        <f>[2]RequestList!$J2373</f>
        <v>0</v>
      </c>
      <c r="Q2372" s="65">
        <f>SUMIF(日報!$R:$R,TEXT(YEAR($Q$2),"0000")&amp;TEXT(MONTH($Q$2),"00")&amp;$O2372,日報!$L:$L)</f>
        <v>0</v>
      </c>
      <c r="R2372" s="65">
        <f ca="1">SUMIF(日報!$J:$J,$O2372,日報!$L:$L)</f>
        <v>0</v>
      </c>
    </row>
    <row r="2373" spans="15:18" x14ac:dyDescent="0.15">
      <c r="O2373" s="7" t="str">
        <f>"REQ"&amp;TEXT([2]RequestList!$A2374,"0000")</f>
        <v>REQ0000</v>
      </c>
      <c r="P2373" s="7">
        <f>[2]RequestList!$J2374</f>
        <v>0</v>
      </c>
      <c r="Q2373" s="65">
        <f>SUMIF(日報!$R:$R,TEXT(YEAR($Q$2),"0000")&amp;TEXT(MONTH($Q$2),"00")&amp;$O2373,日報!$L:$L)</f>
        <v>0</v>
      </c>
      <c r="R2373" s="65">
        <f ca="1">SUMIF(日報!$J:$J,$O2373,日報!$L:$L)</f>
        <v>0</v>
      </c>
    </row>
    <row r="2374" spans="15:18" x14ac:dyDescent="0.15">
      <c r="O2374" s="7" t="str">
        <f>"REQ"&amp;TEXT([2]RequestList!$A2375,"0000")</f>
        <v>REQ0000</v>
      </c>
      <c r="P2374" s="7">
        <f>[2]RequestList!$J2375</f>
        <v>0</v>
      </c>
      <c r="Q2374" s="65">
        <f>SUMIF(日報!$R:$R,TEXT(YEAR($Q$2),"0000")&amp;TEXT(MONTH($Q$2),"00")&amp;$O2374,日報!$L:$L)</f>
        <v>0</v>
      </c>
      <c r="R2374" s="65">
        <f ca="1">SUMIF(日報!$J:$J,$O2374,日報!$L:$L)</f>
        <v>0</v>
      </c>
    </row>
    <row r="2375" spans="15:18" x14ac:dyDescent="0.15">
      <c r="O2375" s="7" t="str">
        <f>"REQ"&amp;TEXT([2]RequestList!$A2376,"0000")</f>
        <v>REQ0000</v>
      </c>
      <c r="P2375" s="7">
        <f>[2]RequestList!$J2376</f>
        <v>0</v>
      </c>
      <c r="Q2375" s="65">
        <f>SUMIF(日報!$R:$R,TEXT(YEAR($Q$2),"0000")&amp;TEXT(MONTH($Q$2),"00")&amp;$O2375,日報!$L:$L)</f>
        <v>0</v>
      </c>
      <c r="R2375" s="65">
        <f ca="1">SUMIF(日報!$J:$J,$O2375,日報!$L:$L)</f>
        <v>0</v>
      </c>
    </row>
    <row r="2376" spans="15:18" x14ac:dyDescent="0.15">
      <c r="O2376" s="7" t="str">
        <f>"REQ"&amp;TEXT([2]RequestList!$A2377,"0000")</f>
        <v>REQ0000</v>
      </c>
      <c r="P2376" s="7">
        <f>[2]RequestList!$J2377</f>
        <v>0</v>
      </c>
      <c r="Q2376" s="65">
        <f>SUMIF(日報!$R:$R,TEXT(YEAR($Q$2),"0000")&amp;TEXT(MONTH($Q$2),"00")&amp;$O2376,日報!$L:$L)</f>
        <v>0</v>
      </c>
      <c r="R2376" s="65">
        <f ca="1">SUMIF(日報!$J:$J,$O2376,日報!$L:$L)</f>
        <v>0</v>
      </c>
    </row>
    <row r="2377" spans="15:18" x14ac:dyDescent="0.15">
      <c r="O2377" s="7" t="str">
        <f>"REQ"&amp;TEXT([2]RequestList!$A2378,"0000")</f>
        <v>REQ0000</v>
      </c>
      <c r="P2377" s="7">
        <f>[2]RequestList!$J2378</f>
        <v>0</v>
      </c>
      <c r="Q2377" s="65">
        <f>SUMIF(日報!$R:$R,TEXT(YEAR($Q$2),"0000")&amp;TEXT(MONTH($Q$2),"00")&amp;$O2377,日報!$L:$L)</f>
        <v>0</v>
      </c>
      <c r="R2377" s="65">
        <f ca="1">SUMIF(日報!$J:$J,$O2377,日報!$L:$L)</f>
        <v>0</v>
      </c>
    </row>
    <row r="2378" spans="15:18" x14ac:dyDescent="0.15">
      <c r="O2378" s="7" t="str">
        <f>"REQ"&amp;TEXT([2]RequestList!$A2379,"0000")</f>
        <v>REQ0000</v>
      </c>
      <c r="P2378" s="7">
        <f>[2]RequestList!$J2379</f>
        <v>0</v>
      </c>
      <c r="Q2378" s="65">
        <f>SUMIF(日報!$R:$R,TEXT(YEAR($Q$2),"0000")&amp;TEXT(MONTH($Q$2),"00")&amp;$O2378,日報!$L:$L)</f>
        <v>0</v>
      </c>
      <c r="R2378" s="65">
        <f ca="1">SUMIF(日報!$J:$J,$O2378,日報!$L:$L)</f>
        <v>0</v>
      </c>
    </row>
    <row r="2379" spans="15:18" x14ac:dyDescent="0.15">
      <c r="O2379" s="7" t="str">
        <f>"REQ"&amp;TEXT([2]RequestList!$A2380,"0000")</f>
        <v>REQ0000</v>
      </c>
      <c r="P2379" s="7">
        <f>[2]RequestList!$J2380</f>
        <v>0</v>
      </c>
      <c r="Q2379" s="65">
        <f>SUMIF(日報!$R:$R,TEXT(YEAR($Q$2),"0000")&amp;TEXT(MONTH($Q$2),"00")&amp;$O2379,日報!$L:$L)</f>
        <v>0</v>
      </c>
      <c r="R2379" s="65">
        <f ca="1">SUMIF(日報!$J:$J,$O2379,日報!$L:$L)</f>
        <v>0</v>
      </c>
    </row>
    <row r="2380" spans="15:18" x14ac:dyDescent="0.15">
      <c r="O2380" s="7" t="str">
        <f>"REQ"&amp;TEXT([2]RequestList!$A2381,"0000")</f>
        <v>REQ0000</v>
      </c>
      <c r="P2380" s="7">
        <f>[2]RequestList!$J2381</f>
        <v>0</v>
      </c>
      <c r="Q2380" s="65">
        <f>SUMIF(日報!$R:$R,TEXT(YEAR($Q$2),"0000")&amp;TEXT(MONTH($Q$2),"00")&amp;$O2380,日報!$L:$L)</f>
        <v>0</v>
      </c>
      <c r="R2380" s="65">
        <f ca="1">SUMIF(日報!$J:$J,$O2380,日報!$L:$L)</f>
        <v>0</v>
      </c>
    </row>
    <row r="2381" spans="15:18" x14ac:dyDescent="0.15">
      <c r="O2381" s="7" t="str">
        <f>"REQ"&amp;TEXT([2]RequestList!$A2382,"0000")</f>
        <v>REQ0000</v>
      </c>
      <c r="P2381" s="7">
        <f>[2]RequestList!$J2382</f>
        <v>0</v>
      </c>
      <c r="Q2381" s="65">
        <f>SUMIF(日報!$R:$R,TEXT(YEAR($Q$2),"0000")&amp;TEXT(MONTH($Q$2),"00")&amp;$O2381,日報!$L:$L)</f>
        <v>0</v>
      </c>
      <c r="R2381" s="65">
        <f ca="1">SUMIF(日報!$J:$J,$O2381,日報!$L:$L)</f>
        <v>0</v>
      </c>
    </row>
    <row r="2382" spans="15:18" x14ac:dyDescent="0.15">
      <c r="O2382" s="7" t="str">
        <f>"REQ"&amp;TEXT([2]RequestList!$A2383,"0000")</f>
        <v>REQ0000</v>
      </c>
      <c r="P2382" s="7">
        <f>[2]RequestList!$J2383</f>
        <v>0</v>
      </c>
      <c r="Q2382" s="65">
        <f>SUMIF(日報!$R:$R,TEXT(YEAR($Q$2),"0000")&amp;TEXT(MONTH($Q$2),"00")&amp;$O2382,日報!$L:$L)</f>
        <v>0</v>
      </c>
      <c r="R2382" s="65">
        <f ca="1">SUMIF(日報!$J:$J,$O2382,日報!$L:$L)</f>
        <v>0</v>
      </c>
    </row>
    <row r="2383" spans="15:18" x14ac:dyDescent="0.15">
      <c r="O2383" s="7" t="str">
        <f>"REQ"&amp;TEXT([2]RequestList!$A2384,"0000")</f>
        <v>REQ0000</v>
      </c>
      <c r="P2383" s="7">
        <f>[2]RequestList!$J2384</f>
        <v>0</v>
      </c>
      <c r="Q2383" s="65">
        <f>SUMIF(日報!$R:$R,TEXT(YEAR($Q$2),"0000")&amp;TEXT(MONTH($Q$2),"00")&amp;$O2383,日報!$L:$L)</f>
        <v>0</v>
      </c>
      <c r="R2383" s="65">
        <f ca="1">SUMIF(日報!$J:$J,$O2383,日報!$L:$L)</f>
        <v>0</v>
      </c>
    </row>
    <row r="2384" spans="15:18" x14ac:dyDescent="0.15">
      <c r="O2384" s="7" t="str">
        <f>"REQ"&amp;TEXT([2]RequestList!$A2385,"0000")</f>
        <v>REQ0000</v>
      </c>
      <c r="P2384" s="7">
        <f>[2]RequestList!$J2385</f>
        <v>0</v>
      </c>
      <c r="Q2384" s="65">
        <f>SUMIF(日報!$R:$R,TEXT(YEAR($Q$2),"0000")&amp;TEXT(MONTH($Q$2),"00")&amp;$O2384,日報!$L:$L)</f>
        <v>0</v>
      </c>
      <c r="R2384" s="65">
        <f ca="1">SUMIF(日報!$J:$J,$O2384,日報!$L:$L)</f>
        <v>0</v>
      </c>
    </row>
    <row r="2385" spans="15:18" x14ac:dyDescent="0.15">
      <c r="O2385" s="7" t="str">
        <f>"REQ"&amp;TEXT([2]RequestList!$A2386,"0000")</f>
        <v>REQ0000</v>
      </c>
      <c r="P2385" s="7">
        <f>[2]RequestList!$J2386</f>
        <v>0</v>
      </c>
      <c r="Q2385" s="65">
        <f>SUMIF(日報!$R:$R,TEXT(YEAR($Q$2),"0000")&amp;TEXT(MONTH($Q$2),"00")&amp;$O2385,日報!$L:$L)</f>
        <v>0</v>
      </c>
      <c r="R2385" s="65">
        <f ca="1">SUMIF(日報!$J:$J,$O2385,日報!$L:$L)</f>
        <v>0</v>
      </c>
    </row>
    <row r="2386" spans="15:18" x14ac:dyDescent="0.15">
      <c r="O2386" s="7" t="str">
        <f>"REQ"&amp;TEXT([2]RequestList!$A2387,"0000")</f>
        <v>REQ0000</v>
      </c>
      <c r="P2386" s="7">
        <f>[2]RequestList!$J2387</f>
        <v>0</v>
      </c>
      <c r="Q2386" s="65">
        <f>SUMIF(日報!$R:$R,TEXT(YEAR($Q$2),"0000")&amp;TEXT(MONTH($Q$2),"00")&amp;$O2386,日報!$L:$L)</f>
        <v>0</v>
      </c>
      <c r="R2386" s="65">
        <f ca="1">SUMIF(日報!$J:$J,$O2386,日報!$L:$L)</f>
        <v>0</v>
      </c>
    </row>
    <row r="2387" spans="15:18" x14ac:dyDescent="0.15">
      <c r="O2387" s="7" t="str">
        <f>"REQ"&amp;TEXT([2]RequestList!$A2388,"0000")</f>
        <v>REQ0000</v>
      </c>
      <c r="P2387" s="7">
        <f>[2]RequestList!$J2388</f>
        <v>0</v>
      </c>
      <c r="Q2387" s="65">
        <f>SUMIF(日報!$R:$R,TEXT(YEAR($Q$2),"0000")&amp;TEXT(MONTH($Q$2),"00")&amp;$O2387,日報!$L:$L)</f>
        <v>0</v>
      </c>
      <c r="R2387" s="65">
        <f ca="1">SUMIF(日報!$J:$J,$O2387,日報!$L:$L)</f>
        <v>0</v>
      </c>
    </row>
    <row r="2388" spans="15:18" x14ac:dyDescent="0.15">
      <c r="O2388" s="7" t="str">
        <f>"REQ"&amp;TEXT([2]RequestList!$A2389,"0000")</f>
        <v>REQ0000</v>
      </c>
      <c r="P2388" s="7">
        <f>[2]RequestList!$J2389</f>
        <v>0</v>
      </c>
      <c r="Q2388" s="65">
        <f>SUMIF(日報!$R:$R,TEXT(YEAR($Q$2),"0000")&amp;TEXT(MONTH($Q$2),"00")&amp;$O2388,日報!$L:$L)</f>
        <v>0</v>
      </c>
      <c r="R2388" s="65">
        <f ca="1">SUMIF(日報!$J:$J,$O2388,日報!$L:$L)</f>
        <v>0</v>
      </c>
    </row>
    <row r="2389" spans="15:18" x14ac:dyDescent="0.15">
      <c r="O2389" s="7" t="str">
        <f>"REQ"&amp;TEXT([2]RequestList!$A2390,"0000")</f>
        <v>REQ0000</v>
      </c>
      <c r="P2389" s="7">
        <f>[2]RequestList!$J2390</f>
        <v>0</v>
      </c>
      <c r="Q2389" s="65">
        <f>SUMIF(日報!$R:$R,TEXT(YEAR($Q$2),"0000")&amp;TEXT(MONTH($Q$2),"00")&amp;$O2389,日報!$L:$L)</f>
        <v>0</v>
      </c>
      <c r="R2389" s="65">
        <f ca="1">SUMIF(日報!$J:$J,$O2389,日報!$L:$L)</f>
        <v>0</v>
      </c>
    </row>
    <row r="2390" spans="15:18" x14ac:dyDescent="0.15">
      <c r="O2390" s="7" t="str">
        <f>"REQ"&amp;TEXT([2]RequestList!$A2391,"0000")</f>
        <v>REQ0000</v>
      </c>
      <c r="P2390" s="7">
        <f>[2]RequestList!$J2391</f>
        <v>0</v>
      </c>
      <c r="Q2390" s="65">
        <f>SUMIF(日報!$R:$R,TEXT(YEAR($Q$2),"0000")&amp;TEXT(MONTH($Q$2),"00")&amp;$O2390,日報!$L:$L)</f>
        <v>0</v>
      </c>
      <c r="R2390" s="65">
        <f ca="1">SUMIF(日報!$J:$J,$O2390,日報!$L:$L)</f>
        <v>0</v>
      </c>
    </row>
    <row r="2391" spans="15:18" x14ac:dyDescent="0.15">
      <c r="O2391" s="7" t="str">
        <f>"REQ"&amp;TEXT([2]RequestList!$A2392,"0000")</f>
        <v>REQ0000</v>
      </c>
      <c r="P2391" s="7">
        <f>[2]RequestList!$J2392</f>
        <v>0</v>
      </c>
      <c r="Q2391" s="65">
        <f>SUMIF(日報!$R:$R,TEXT(YEAR($Q$2),"0000")&amp;TEXT(MONTH($Q$2),"00")&amp;$O2391,日報!$L:$L)</f>
        <v>0</v>
      </c>
      <c r="R2391" s="65">
        <f ca="1">SUMIF(日報!$J:$J,$O2391,日報!$L:$L)</f>
        <v>0</v>
      </c>
    </row>
    <row r="2392" spans="15:18" x14ac:dyDescent="0.15">
      <c r="O2392" s="7" t="str">
        <f>"REQ"&amp;TEXT([2]RequestList!$A2393,"0000")</f>
        <v>REQ0000</v>
      </c>
      <c r="P2392" s="7">
        <f>[2]RequestList!$J2393</f>
        <v>0</v>
      </c>
      <c r="Q2392" s="65">
        <f>SUMIF(日報!$R:$R,TEXT(YEAR($Q$2),"0000")&amp;TEXT(MONTH($Q$2),"00")&amp;$O2392,日報!$L:$L)</f>
        <v>0</v>
      </c>
      <c r="R2392" s="65">
        <f ca="1">SUMIF(日報!$J:$J,$O2392,日報!$L:$L)</f>
        <v>0</v>
      </c>
    </row>
    <row r="2393" spans="15:18" x14ac:dyDescent="0.15">
      <c r="O2393" s="7" t="str">
        <f>"REQ"&amp;TEXT([2]RequestList!$A2394,"0000")</f>
        <v>REQ0000</v>
      </c>
      <c r="P2393" s="7">
        <f>[2]RequestList!$J2394</f>
        <v>0</v>
      </c>
      <c r="Q2393" s="65">
        <f>SUMIF(日報!$R:$R,TEXT(YEAR($Q$2),"0000")&amp;TEXT(MONTH($Q$2),"00")&amp;$O2393,日報!$L:$L)</f>
        <v>0</v>
      </c>
      <c r="R2393" s="65">
        <f ca="1">SUMIF(日報!$J:$J,$O2393,日報!$L:$L)</f>
        <v>0</v>
      </c>
    </row>
    <row r="2394" spans="15:18" x14ac:dyDescent="0.15">
      <c r="O2394" s="7" t="str">
        <f>"REQ"&amp;TEXT([2]RequestList!$A2395,"0000")</f>
        <v>REQ0000</v>
      </c>
      <c r="P2394" s="7">
        <f>[2]RequestList!$J2395</f>
        <v>0</v>
      </c>
      <c r="Q2394" s="65">
        <f>SUMIF(日報!$R:$R,TEXT(YEAR($Q$2),"0000")&amp;TEXT(MONTH($Q$2),"00")&amp;$O2394,日報!$L:$L)</f>
        <v>0</v>
      </c>
      <c r="R2394" s="65">
        <f ca="1">SUMIF(日報!$J:$J,$O2394,日報!$L:$L)</f>
        <v>0</v>
      </c>
    </row>
    <row r="2395" spans="15:18" x14ac:dyDescent="0.15">
      <c r="O2395" s="7" t="str">
        <f>"REQ"&amp;TEXT([2]RequestList!$A2396,"0000")</f>
        <v>REQ0000</v>
      </c>
      <c r="P2395" s="7">
        <f>[2]RequestList!$J2396</f>
        <v>0</v>
      </c>
      <c r="Q2395" s="65">
        <f>SUMIF(日報!$R:$R,TEXT(YEAR($Q$2),"0000")&amp;TEXT(MONTH($Q$2),"00")&amp;$O2395,日報!$L:$L)</f>
        <v>0</v>
      </c>
      <c r="R2395" s="65">
        <f ca="1">SUMIF(日報!$J:$J,$O2395,日報!$L:$L)</f>
        <v>0</v>
      </c>
    </row>
    <row r="2396" spans="15:18" x14ac:dyDescent="0.15">
      <c r="O2396" s="7" t="str">
        <f>"REQ"&amp;TEXT([2]RequestList!$A2397,"0000")</f>
        <v>REQ0000</v>
      </c>
      <c r="P2396" s="7">
        <f>[2]RequestList!$J2397</f>
        <v>0</v>
      </c>
      <c r="Q2396" s="65">
        <f>SUMIF(日報!$R:$R,TEXT(YEAR($Q$2),"0000")&amp;TEXT(MONTH($Q$2),"00")&amp;$O2396,日報!$L:$L)</f>
        <v>0</v>
      </c>
      <c r="R2396" s="65">
        <f ca="1">SUMIF(日報!$J:$J,$O2396,日報!$L:$L)</f>
        <v>0</v>
      </c>
    </row>
    <row r="2397" spans="15:18" x14ac:dyDescent="0.15">
      <c r="O2397" s="7" t="str">
        <f>"REQ"&amp;TEXT([2]RequestList!$A2398,"0000")</f>
        <v>REQ0000</v>
      </c>
      <c r="P2397" s="7">
        <f>[2]RequestList!$J2398</f>
        <v>0</v>
      </c>
      <c r="Q2397" s="65">
        <f>SUMIF(日報!$R:$R,TEXT(YEAR($Q$2),"0000")&amp;TEXT(MONTH($Q$2),"00")&amp;$O2397,日報!$L:$L)</f>
        <v>0</v>
      </c>
      <c r="R2397" s="65">
        <f ca="1">SUMIF(日報!$J:$J,$O2397,日報!$L:$L)</f>
        <v>0</v>
      </c>
    </row>
    <row r="2398" spans="15:18" x14ac:dyDescent="0.15">
      <c r="O2398" s="7" t="str">
        <f>"REQ"&amp;TEXT([2]RequestList!$A2399,"0000")</f>
        <v>REQ0000</v>
      </c>
      <c r="P2398" s="7">
        <f>[2]RequestList!$J2399</f>
        <v>0</v>
      </c>
      <c r="Q2398" s="65">
        <f>SUMIF(日報!$R:$R,TEXT(YEAR($Q$2),"0000")&amp;TEXT(MONTH($Q$2),"00")&amp;$O2398,日報!$L:$L)</f>
        <v>0</v>
      </c>
      <c r="R2398" s="65">
        <f ca="1">SUMIF(日報!$J:$J,$O2398,日報!$L:$L)</f>
        <v>0</v>
      </c>
    </row>
    <row r="2399" spans="15:18" x14ac:dyDescent="0.15">
      <c r="O2399" s="7" t="str">
        <f>"REQ"&amp;TEXT([2]RequestList!$A2400,"0000")</f>
        <v>REQ0000</v>
      </c>
      <c r="P2399" s="7">
        <f>[2]RequestList!$J2400</f>
        <v>0</v>
      </c>
      <c r="Q2399" s="65">
        <f>SUMIF(日報!$R:$R,TEXT(YEAR($Q$2),"0000")&amp;TEXT(MONTH($Q$2),"00")&amp;$O2399,日報!$L:$L)</f>
        <v>0</v>
      </c>
      <c r="R2399" s="65">
        <f ca="1">SUMIF(日報!$J:$J,$O2399,日報!$L:$L)</f>
        <v>0</v>
      </c>
    </row>
    <row r="2400" spans="15:18" x14ac:dyDescent="0.15">
      <c r="O2400" s="7" t="str">
        <f>"REQ"&amp;TEXT([2]RequestList!$A2401,"0000")</f>
        <v>REQ0000</v>
      </c>
      <c r="P2400" s="7">
        <f>[2]RequestList!$J2401</f>
        <v>0</v>
      </c>
      <c r="Q2400" s="65">
        <f>SUMIF(日報!$R:$R,TEXT(YEAR($Q$2),"0000")&amp;TEXT(MONTH($Q$2),"00")&amp;$O2400,日報!$L:$L)</f>
        <v>0</v>
      </c>
      <c r="R2400" s="65">
        <f ca="1">SUMIF(日報!$J:$J,$O2400,日報!$L:$L)</f>
        <v>0</v>
      </c>
    </row>
    <row r="2401" spans="15:18" x14ac:dyDescent="0.15">
      <c r="O2401" s="7" t="str">
        <f>"REQ"&amp;TEXT([2]RequestList!$A2402,"0000")</f>
        <v>REQ0000</v>
      </c>
      <c r="P2401" s="7">
        <f>[2]RequestList!$J2402</f>
        <v>0</v>
      </c>
      <c r="Q2401" s="65">
        <f>SUMIF(日報!$R:$R,TEXT(YEAR($Q$2),"0000")&amp;TEXT(MONTH($Q$2),"00")&amp;$O2401,日報!$L:$L)</f>
        <v>0</v>
      </c>
      <c r="R2401" s="65">
        <f ca="1">SUMIF(日報!$J:$J,$O2401,日報!$L:$L)</f>
        <v>0</v>
      </c>
    </row>
    <row r="2402" spans="15:18" x14ac:dyDescent="0.15">
      <c r="O2402" s="7" t="str">
        <f>"REQ"&amp;TEXT([2]RequestList!$A2403,"0000")</f>
        <v>REQ0000</v>
      </c>
      <c r="P2402" s="7">
        <f>[2]RequestList!$J2403</f>
        <v>0</v>
      </c>
      <c r="Q2402" s="65">
        <f>SUMIF(日報!$R:$R,TEXT(YEAR($Q$2),"0000")&amp;TEXT(MONTH($Q$2),"00")&amp;$O2402,日報!$L:$L)</f>
        <v>0</v>
      </c>
      <c r="R2402" s="65">
        <f ca="1">SUMIF(日報!$J:$J,$O2402,日報!$L:$L)</f>
        <v>0</v>
      </c>
    </row>
    <row r="2403" spans="15:18" x14ac:dyDescent="0.15">
      <c r="O2403" s="7" t="str">
        <f>"REQ"&amp;TEXT([2]RequestList!$A2404,"0000")</f>
        <v>REQ0000</v>
      </c>
      <c r="P2403" s="7">
        <f>[2]RequestList!$J2404</f>
        <v>0</v>
      </c>
      <c r="Q2403" s="65">
        <f>SUMIF(日報!$R:$R,TEXT(YEAR($Q$2),"0000")&amp;TEXT(MONTH($Q$2),"00")&amp;$O2403,日報!$L:$L)</f>
        <v>0</v>
      </c>
      <c r="R2403" s="65">
        <f ca="1">SUMIF(日報!$J:$J,$O2403,日報!$L:$L)</f>
        <v>0</v>
      </c>
    </row>
    <row r="2404" spans="15:18" x14ac:dyDescent="0.15">
      <c r="O2404" s="7" t="str">
        <f>"REQ"&amp;TEXT([2]RequestList!$A2405,"0000")</f>
        <v>REQ0000</v>
      </c>
      <c r="P2404" s="7">
        <f>[2]RequestList!$J2405</f>
        <v>0</v>
      </c>
      <c r="Q2404" s="65">
        <f>SUMIF(日報!$R:$R,TEXT(YEAR($Q$2),"0000")&amp;TEXT(MONTH($Q$2),"00")&amp;$O2404,日報!$L:$L)</f>
        <v>0</v>
      </c>
      <c r="R2404" s="65">
        <f ca="1">SUMIF(日報!$J:$J,$O2404,日報!$L:$L)</f>
        <v>0</v>
      </c>
    </row>
    <row r="2405" spans="15:18" x14ac:dyDescent="0.15">
      <c r="O2405" s="7" t="str">
        <f>"REQ"&amp;TEXT([2]RequestList!$A2406,"0000")</f>
        <v>REQ0000</v>
      </c>
      <c r="P2405" s="7">
        <f>[2]RequestList!$J2406</f>
        <v>0</v>
      </c>
      <c r="Q2405" s="65">
        <f>SUMIF(日報!$R:$R,TEXT(YEAR($Q$2),"0000")&amp;TEXT(MONTH($Q$2),"00")&amp;$O2405,日報!$L:$L)</f>
        <v>0</v>
      </c>
      <c r="R2405" s="65">
        <f ca="1">SUMIF(日報!$J:$J,$O2405,日報!$L:$L)</f>
        <v>0</v>
      </c>
    </row>
    <row r="2406" spans="15:18" x14ac:dyDescent="0.15">
      <c r="O2406" s="7" t="str">
        <f>"REQ"&amp;TEXT([2]RequestList!$A2407,"0000")</f>
        <v>REQ0000</v>
      </c>
      <c r="P2406" s="7">
        <f>[2]RequestList!$J2407</f>
        <v>0</v>
      </c>
      <c r="Q2406" s="65">
        <f>SUMIF(日報!$R:$R,TEXT(YEAR($Q$2),"0000")&amp;TEXT(MONTH($Q$2),"00")&amp;$O2406,日報!$L:$L)</f>
        <v>0</v>
      </c>
      <c r="R2406" s="65">
        <f ca="1">SUMIF(日報!$J:$J,$O2406,日報!$L:$L)</f>
        <v>0</v>
      </c>
    </row>
    <row r="2407" spans="15:18" x14ac:dyDescent="0.15">
      <c r="O2407" s="7" t="str">
        <f>"REQ"&amp;TEXT([2]RequestList!$A2408,"0000")</f>
        <v>REQ0000</v>
      </c>
      <c r="P2407" s="7">
        <f>[2]RequestList!$J2408</f>
        <v>0</v>
      </c>
      <c r="Q2407" s="65">
        <f>SUMIF(日報!$R:$R,TEXT(YEAR($Q$2),"0000")&amp;TEXT(MONTH($Q$2),"00")&amp;$O2407,日報!$L:$L)</f>
        <v>0</v>
      </c>
      <c r="R2407" s="65">
        <f ca="1">SUMIF(日報!$J:$J,$O2407,日報!$L:$L)</f>
        <v>0</v>
      </c>
    </row>
    <row r="2408" spans="15:18" x14ac:dyDescent="0.15">
      <c r="O2408" s="7" t="str">
        <f>"REQ"&amp;TEXT([2]RequestList!$A2409,"0000")</f>
        <v>REQ0000</v>
      </c>
      <c r="P2408" s="7">
        <f>[2]RequestList!$J2409</f>
        <v>0</v>
      </c>
      <c r="Q2408" s="65">
        <f>SUMIF(日報!$R:$R,TEXT(YEAR($Q$2),"0000")&amp;TEXT(MONTH($Q$2),"00")&amp;$O2408,日報!$L:$L)</f>
        <v>0</v>
      </c>
      <c r="R2408" s="65">
        <f ca="1">SUMIF(日報!$J:$J,$O2408,日報!$L:$L)</f>
        <v>0</v>
      </c>
    </row>
    <row r="2409" spans="15:18" x14ac:dyDescent="0.15">
      <c r="O2409" s="7" t="str">
        <f>"REQ"&amp;TEXT([2]RequestList!$A2410,"0000")</f>
        <v>REQ0000</v>
      </c>
      <c r="P2409" s="7">
        <f>[2]RequestList!$J2410</f>
        <v>0</v>
      </c>
      <c r="Q2409" s="65">
        <f>SUMIF(日報!$R:$R,TEXT(YEAR($Q$2),"0000")&amp;TEXT(MONTH($Q$2),"00")&amp;$O2409,日報!$L:$L)</f>
        <v>0</v>
      </c>
      <c r="R2409" s="65">
        <f ca="1">SUMIF(日報!$J:$J,$O2409,日報!$L:$L)</f>
        <v>0</v>
      </c>
    </row>
    <row r="2410" spans="15:18" x14ac:dyDescent="0.15">
      <c r="O2410" s="7" t="str">
        <f>"REQ"&amp;TEXT([2]RequestList!$A2411,"0000")</f>
        <v>REQ0000</v>
      </c>
      <c r="P2410" s="7">
        <f>[2]RequestList!$J2411</f>
        <v>0</v>
      </c>
      <c r="Q2410" s="65">
        <f>SUMIF(日報!$R:$R,TEXT(YEAR($Q$2),"0000")&amp;TEXT(MONTH($Q$2),"00")&amp;$O2410,日報!$L:$L)</f>
        <v>0</v>
      </c>
      <c r="R2410" s="65">
        <f ca="1">SUMIF(日報!$J:$J,$O2410,日報!$L:$L)</f>
        <v>0</v>
      </c>
    </row>
    <row r="2411" spans="15:18" x14ac:dyDescent="0.15">
      <c r="O2411" s="7" t="str">
        <f>"REQ"&amp;TEXT([2]RequestList!$A2412,"0000")</f>
        <v>REQ0000</v>
      </c>
      <c r="P2411" s="7">
        <f>[2]RequestList!$J2412</f>
        <v>0</v>
      </c>
      <c r="Q2411" s="65">
        <f>SUMIF(日報!$R:$R,TEXT(YEAR($Q$2),"0000")&amp;TEXT(MONTH($Q$2),"00")&amp;$O2411,日報!$L:$L)</f>
        <v>0</v>
      </c>
      <c r="R2411" s="65">
        <f ca="1">SUMIF(日報!$J:$J,$O2411,日報!$L:$L)</f>
        <v>0</v>
      </c>
    </row>
    <row r="2412" spans="15:18" x14ac:dyDescent="0.15">
      <c r="O2412" s="7" t="str">
        <f>"REQ"&amp;TEXT([2]RequestList!$A2413,"0000")</f>
        <v>REQ0000</v>
      </c>
      <c r="P2412" s="7">
        <f>[2]RequestList!$J2413</f>
        <v>0</v>
      </c>
      <c r="Q2412" s="65">
        <f>SUMIF(日報!$R:$R,TEXT(YEAR($Q$2),"0000")&amp;TEXT(MONTH($Q$2),"00")&amp;$O2412,日報!$L:$L)</f>
        <v>0</v>
      </c>
      <c r="R2412" s="65">
        <f ca="1">SUMIF(日報!$J:$J,$O2412,日報!$L:$L)</f>
        <v>0</v>
      </c>
    </row>
    <row r="2413" spans="15:18" x14ac:dyDescent="0.15">
      <c r="O2413" s="7" t="str">
        <f>"REQ"&amp;TEXT([2]RequestList!$A2414,"0000")</f>
        <v>REQ0000</v>
      </c>
      <c r="P2413" s="7">
        <f>[2]RequestList!$J2414</f>
        <v>0</v>
      </c>
      <c r="Q2413" s="65">
        <f>SUMIF(日報!$R:$R,TEXT(YEAR($Q$2),"0000")&amp;TEXT(MONTH($Q$2),"00")&amp;$O2413,日報!$L:$L)</f>
        <v>0</v>
      </c>
      <c r="R2413" s="65">
        <f ca="1">SUMIF(日報!$J:$J,$O2413,日報!$L:$L)</f>
        <v>0</v>
      </c>
    </row>
    <row r="2414" spans="15:18" x14ac:dyDescent="0.15">
      <c r="O2414" s="7" t="str">
        <f>"REQ"&amp;TEXT([2]RequestList!$A2415,"0000")</f>
        <v>REQ0000</v>
      </c>
      <c r="P2414" s="7">
        <f>[2]RequestList!$J2415</f>
        <v>0</v>
      </c>
      <c r="Q2414" s="65">
        <f>SUMIF(日報!$R:$R,TEXT(YEAR($Q$2),"0000")&amp;TEXT(MONTH($Q$2),"00")&amp;$O2414,日報!$L:$L)</f>
        <v>0</v>
      </c>
      <c r="R2414" s="65">
        <f ca="1">SUMIF(日報!$J:$J,$O2414,日報!$L:$L)</f>
        <v>0</v>
      </c>
    </row>
    <row r="2415" spans="15:18" x14ac:dyDescent="0.15">
      <c r="O2415" s="7" t="str">
        <f>"REQ"&amp;TEXT([2]RequestList!$A2416,"0000")</f>
        <v>REQ0000</v>
      </c>
      <c r="P2415" s="7">
        <f>[2]RequestList!$J2416</f>
        <v>0</v>
      </c>
      <c r="Q2415" s="65">
        <f>SUMIF(日報!$R:$R,TEXT(YEAR($Q$2),"0000")&amp;TEXT(MONTH($Q$2),"00")&amp;$O2415,日報!$L:$L)</f>
        <v>0</v>
      </c>
      <c r="R2415" s="65">
        <f ca="1">SUMIF(日報!$J:$J,$O2415,日報!$L:$L)</f>
        <v>0</v>
      </c>
    </row>
    <row r="2416" spans="15:18" x14ac:dyDescent="0.15">
      <c r="O2416" s="7" t="str">
        <f>"REQ"&amp;TEXT([2]RequestList!$A2417,"0000")</f>
        <v>REQ0000</v>
      </c>
      <c r="P2416" s="7">
        <f>[2]RequestList!$J2417</f>
        <v>0</v>
      </c>
      <c r="Q2416" s="65">
        <f>SUMIF(日報!$R:$R,TEXT(YEAR($Q$2),"0000")&amp;TEXT(MONTH($Q$2),"00")&amp;$O2416,日報!$L:$L)</f>
        <v>0</v>
      </c>
      <c r="R2416" s="65">
        <f ca="1">SUMIF(日報!$J:$J,$O2416,日報!$L:$L)</f>
        <v>0</v>
      </c>
    </row>
    <row r="2417" spans="15:18" x14ac:dyDescent="0.15">
      <c r="O2417" s="7" t="str">
        <f>"REQ"&amp;TEXT([2]RequestList!$A2418,"0000")</f>
        <v>REQ0000</v>
      </c>
      <c r="P2417" s="7">
        <f>[2]RequestList!$J2418</f>
        <v>0</v>
      </c>
      <c r="Q2417" s="65">
        <f>SUMIF(日報!$R:$R,TEXT(YEAR($Q$2),"0000")&amp;TEXT(MONTH($Q$2),"00")&amp;$O2417,日報!$L:$L)</f>
        <v>0</v>
      </c>
      <c r="R2417" s="65">
        <f ca="1">SUMIF(日報!$J:$J,$O2417,日報!$L:$L)</f>
        <v>0</v>
      </c>
    </row>
    <row r="2418" spans="15:18" x14ac:dyDescent="0.15">
      <c r="O2418" s="7" t="str">
        <f>"REQ"&amp;TEXT([2]RequestList!$A2419,"0000")</f>
        <v>REQ0000</v>
      </c>
      <c r="P2418" s="7">
        <f>[2]RequestList!$J2419</f>
        <v>0</v>
      </c>
      <c r="Q2418" s="65">
        <f>SUMIF(日報!$R:$R,TEXT(YEAR($Q$2),"0000")&amp;TEXT(MONTH($Q$2),"00")&amp;$O2418,日報!$L:$L)</f>
        <v>0</v>
      </c>
      <c r="R2418" s="65">
        <f ca="1">SUMIF(日報!$J:$J,$O2418,日報!$L:$L)</f>
        <v>0</v>
      </c>
    </row>
    <row r="2419" spans="15:18" x14ac:dyDescent="0.15">
      <c r="O2419" s="7" t="str">
        <f>"REQ"&amp;TEXT([2]RequestList!$A2420,"0000")</f>
        <v>REQ0000</v>
      </c>
      <c r="P2419" s="7">
        <f>[2]RequestList!$J2420</f>
        <v>0</v>
      </c>
      <c r="Q2419" s="65">
        <f>SUMIF(日報!$R:$R,TEXT(YEAR($Q$2),"0000")&amp;TEXT(MONTH($Q$2),"00")&amp;$O2419,日報!$L:$L)</f>
        <v>0</v>
      </c>
      <c r="R2419" s="65">
        <f ca="1">SUMIF(日報!$J:$J,$O2419,日報!$L:$L)</f>
        <v>0</v>
      </c>
    </row>
    <row r="2420" spans="15:18" x14ac:dyDescent="0.15">
      <c r="O2420" s="7" t="str">
        <f>"REQ"&amp;TEXT([2]RequestList!$A2421,"0000")</f>
        <v>REQ0000</v>
      </c>
      <c r="P2420" s="7">
        <f>[2]RequestList!$J2421</f>
        <v>0</v>
      </c>
      <c r="Q2420" s="65">
        <f>SUMIF(日報!$R:$R,TEXT(YEAR($Q$2),"0000")&amp;TEXT(MONTH($Q$2),"00")&amp;$O2420,日報!$L:$L)</f>
        <v>0</v>
      </c>
      <c r="R2420" s="65">
        <f ca="1">SUMIF(日報!$J:$J,$O2420,日報!$L:$L)</f>
        <v>0</v>
      </c>
    </row>
    <row r="2421" spans="15:18" x14ac:dyDescent="0.15">
      <c r="O2421" s="7" t="str">
        <f>"REQ"&amp;TEXT([2]RequestList!$A2422,"0000")</f>
        <v>REQ0000</v>
      </c>
      <c r="P2421" s="7">
        <f>[2]RequestList!$J2422</f>
        <v>0</v>
      </c>
      <c r="Q2421" s="65">
        <f>SUMIF(日報!$R:$R,TEXT(YEAR($Q$2),"0000")&amp;TEXT(MONTH($Q$2),"00")&amp;$O2421,日報!$L:$L)</f>
        <v>0</v>
      </c>
      <c r="R2421" s="65">
        <f ca="1">SUMIF(日報!$J:$J,$O2421,日報!$L:$L)</f>
        <v>0</v>
      </c>
    </row>
    <row r="2422" spans="15:18" x14ac:dyDescent="0.15">
      <c r="O2422" s="7" t="str">
        <f>"REQ"&amp;TEXT([2]RequestList!$A2423,"0000")</f>
        <v>REQ0000</v>
      </c>
      <c r="P2422" s="7">
        <f>[2]RequestList!$J2423</f>
        <v>0</v>
      </c>
      <c r="Q2422" s="65">
        <f>SUMIF(日報!$R:$R,TEXT(YEAR($Q$2),"0000")&amp;TEXT(MONTH($Q$2),"00")&amp;$O2422,日報!$L:$L)</f>
        <v>0</v>
      </c>
      <c r="R2422" s="65">
        <f ca="1">SUMIF(日報!$J:$J,$O2422,日報!$L:$L)</f>
        <v>0</v>
      </c>
    </row>
    <row r="2423" spans="15:18" x14ac:dyDescent="0.15">
      <c r="O2423" s="7" t="str">
        <f>"REQ"&amp;TEXT([2]RequestList!$A2424,"0000")</f>
        <v>REQ0000</v>
      </c>
      <c r="P2423" s="7">
        <f>[2]RequestList!$J2424</f>
        <v>0</v>
      </c>
      <c r="Q2423" s="65">
        <f>SUMIF(日報!$R:$R,TEXT(YEAR($Q$2),"0000")&amp;TEXT(MONTH($Q$2),"00")&amp;$O2423,日報!$L:$L)</f>
        <v>0</v>
      </c>
      <c r="R2423" s="65">
        <f ca="1">SUMIF(日報!$J:$J,$O2423,日報!$L:$L)</f>
        <v>0</v>
      </c>
    </row>
    <row r="2424" spans="15:18" x14ac:dyDescent="0.15">
      <c r="O2424" s="7" t="str">
        <f>"REQ"&amp;TEXT([2]RequestList!$A2425,"0000")</f>
        <v>REQ0000</v>
      </c>
      <c r="P2424" s="7">
        <f>[2]RequestList!$J2425</f>
        <v>0</v>
      </c>
      <c r="Q2424" s="65">
        <f>SUMIF(日報!$R:$R,TEXT(YEAR($Q$2),"0000")&amp;TEXT(MONTH($Q$2),"00")&amp;$O2424,日報!$L:$L)</f>
        <v>0</v>
      </c>
      <c r="R2424" s="65">
        <f ca="1">SUMIF(日報!$J:$J,$O2424,日報!$L:$L)</f>
        <v>0</v>
      </c>
    </row>
    <row r="2425" spans="15:18" x14ac:dyDescent="0.15">
      <c r="O2425" s="7" t="str">
        <f>"REQ"&amp;TEXT([2]RequestList!$A2426,"0000")</f>
        <v>REQ0000</v>
      </c>
      <c r="P2425" s="7">
        <f>[2]RequestList!$J2426</f>
        <v>0</v>
      </c>
      <c r="Q2425" s="65">
        <f>SUMIF(日報!$R:$R,TEXT(YEAR($Q$2),"0000")&amp;TEXT(MONTH($Q$2),"00")&amp;$O2425,日報!$L:$L)</f>
        <v>0</v>
      </c>
      <c r="R2425" s="65">
        <f ca="1">SUMIF(日報!$J:$J,$O2425,日報!$L:$L)</f>
        <v>0</v>
      </c>
    </row>
    <row r="2426" spans="15:18" x14ac:dyDescent="0.15">
      <c r="O2426" s="7" t="str">
        <f>"REQ"&amp;TEXT([2]RequestList!$A2427,"0000")</f>
        <v>REQ0000</v>
      </c>
      <c r="P2426" s="7">
        <f>[2]RequestList!$J2427</f>
        <v>0</v>
      </c>
      <c r="Q2426" s="65">
        <f>SUMIF(日報!$R:$R,TEXT(YEAR($Q$2),"0000")&amp;TEXT(MONTH($Q$2),"00")&amp;$O2426,日報!$L:$L)</f>
        <v>0</v>
      </c>
      <c r="R2426" s="65">
        <f ca="1">SUMIF(日報!$J:$J,$O2426,日報!$L:$L)</f>
        <v>0</v>
      </c>
    </row>
    <row r="2427" spans="15:18" x14ac:dyDescent="0.15">
      <c r="O2427" s="7" t="str">
        <f>"REQ"&amp;TEXT([2]RequestList!$A2428,"0000")</f>
        <v>REQ0000</v>
      </c>
      <c r="P2427" s="7">
        <f>[2]RequestList!$J2428</f>
        <v>0</v>
      </c>
      <c r="Q2427" s="65">
        <f>SUMIF(日報!$R:$R,TEXT(YEAR($Q$2),"0000")&amp;TEXT(MONTH($Q$2),"00")&amp;$O2427,日報!$L:$L)</f>
        <v>0</v>
      </c>
      <c r="R2427" s="65">
        <f ca="1">SUMIF(日報!$J:$J,$O2427,日報!$L:$L)</f>
        <v>0</v>
      </c>
    </row>
    <row r="2428" spans="15:18" x14ac:dyDescent="0.15">
      <c r="O2428" s="7" t="str">
        <f>"REQ"&amp;TEXT([2]RequestList!$A2429,"0000")</f>
        <v>REQ0000</v>
      </c>
      <c r="P2428" s="7">
        <f>[2]RequestList!$J2429</f>
        <v>0</v>
      </c>
      <c r="Q2428" s="65">
        <f>SUMIF(日報!$R:$R,TEXT(YEAR($Q$2),"0000")&amp;TEXT(MONTH($Q$2),"00")&amp;$O2428,日報!$L:$L)</f>
        <v>0</v>
      </c>
      <c r="R2428" s="65">
        <f ca="1">SUMIF(日報!$J:$J,$O2428,日報!$L:$L)</f>
        <v>0</v>
      </c>
    </row>
    <row r="2429" spans="15:18" x14ac:dyDescent="0.15">
      <c r="O2429" s="7" t="str">
        <f>"REQ"&amp;TEXT([2]RequestList!$A2430,"0000")</f>
        <v>REQ0000</v>
      </c>
      <c r="P2429" s="7">
        <f>[2]RequestList!$J2430</f>
        <v>0</v>
      </c>
      <c r="Q2429" s="65">
        <f>SUMIF(日報!$R:$R,TEXT(YEAR($Q$2),"0000")&amp;TEXT(MONTH($Q$2),"00")&amp;$O2429,日報!$L:$L)</f>
        <v>0</v>
      </c>
      <c r="R2429" s="65">
        <f ca="1">SUMIF(日報!$J:$J,$O2429,日報!$L:$L)</f>
        <v>0</v>
      </c>
    </row>
    <row r="2430" spans="15:18" x14ac:dyDescent="0.15">
      <c r="O2430" s="7" t="str">
        <f>"REQ"&amp;TEXT([2]RequestList!$A2431,"0000")</f>
        <v>REQ0000</v>
      </c>
      <c r="P2430" s="7">
        <f>[2]RequestList!$J2431</f>
        <v>0</v>
      </c>
      <c r="Q2430" s="65">
        <f>SUMIF(日報!$R:$R,TEXT(YEAR($Q$2),"0000")&amp;TEXT(MONTH($Q$2),"00")&amp;$O2430,日報!$L:$L)</f>
        <v>0</v>
      </c>
      <c r="R2430" s="65">
        <f ca="1">SUMIF(日報!$J:$J,$O2430,日報!$L:$L)</f>
        <v>0</v>
      </c>
    </row>
    <row r="2431" spans="15:18" x14ac:dyDescent="0.15">
      <c r="O2431" s="7" t="str">
        <f>"REQ"&amp;TEXT([2]RequestList!$A2432,"0000")</f>
        <v>REQ0000</v>
      </c>
      <c r="P2431" s="7">
        <f>[2]RequestList!$J2432</f>
        <v>0</v>
      </c>
      <c r="Q2431" s="65">
        <f>SUMIF(日報!$R:$R,TEXT(YEAR($Q$2),"0000")&amp;TEXT(MONTH($Q$2),"00")&amp;$O2431,日報!$L:$L)</f>
        <v>0</v>
      </c>
      <c r="R2431" s="65">
        <f ca="1">SUMIF(日報!$J:$J,$O2431,日報!$L:$L)</f>
        <v>0</v>
      </c>
    </row>
    <row r="2432" spans="15:18" x14ac:dyDescent="0.15">
      <c r="O2432" s="7" t="str">
        <f>"REQ"&amp;TEXT([2]RequestList!$A2433,"0000")</f>
        <v>REQ0000</v>
      </c>
      <c r="P2432" s="7">
        <f>[2]RequestList!$J2433</f>
        <v>0</v>
      </c>
      <c r="Q2432" s="65">
        <f>SUMIF(日報!$R:$R,TEXT(YEAR($Q$2),"0000")&amp;TEXT(MONTH($Q$2),"00")&amp;$O2432,日報!$L:$L)</f>
        <v>0</v>
      </c>
      <c r="R2432" s="65">
        <f ca="1">SUMIF(日報!$J:$J,$O2432,日報!$L:$L)</f>
        <v>0</v>
      </c>
    </row>
    <row r="2433" spans="15:18" x14ac:dyDescent="0.15">
      <c r="O2433" s="7" t="str">
        <f>"REQ"&amp;TEXT([2]RequestList!$A2434,"0000")</f>
        <v>REQ0000</v>
      </c>
      <c r="P2433" s="7">
        <f>[2]RequestList!$J2434</f>
        <v>0</v>
      </c>
      <c r="Q2433" s="65">
        <f>SUMIF(日報!$R:$R,TEXT(YEAR($Q$2),"0000")&amp;TEXT(MONTH($Q$2),"00")&amp;$O2433,日報!$L:$L)</f>
        <v>0</v>
      </c>
      <c r="R2433" s="65">
        <f ca="1">SUMIF(日報!$J:$J,$O2433,日報!$L:$L)</f>
        <v>0</v>
      </c>
    </row>
    <row r="2434" spans="15:18" x14ac:dyDescent="0.15">
      <c r="O2434" s="7" t="str">
        <f>"REQ"&amp;TEXT([2]RequestList!$A2435,"0000")</f>
        <v>REQ0000</v>
      </c>
      <c r="P2434" s="7">
        <f>[2]RequestList!$J2435</f>
        <v>0</v>
      </c>
      <c r="Q2434" s="65">
        <f>SUMIF(日報!$R:$R,TEXT(YEAR($Q$2),"0000")&amp;TEXT(MONTH($Q$2),"00")&amp;$O2434,日報!$L:$L)</f>
        <v>0</v>
      </c>
      <c r="R2434" s="65">
        <f ca="1">SUMIF(日報!$J:$J,$O2434,日報!$L:$L)</f>
        <v>0</v>
      </c>
    </row>
    <row r="2435" spans="15:18" x14ac:dyDescent="0.15">
      <c r="O2435" s="7" t="str">
        <f>"REQ"&amp;TEXT([2]RequestList!$A2436,"0000")</f>
        <v>REQ0000</v>
      </c>
      <c r="P2435" s="7">
        <f>[2]RequestList!$J2436</f>
        <v>0</v>
      </c>
      <c r="Q2435" s="65">
        <f>SUMIF(日報!$R:$R,TEXT(YEAR($Q$2),"0000")&amp;TEXT(MONTH($Q$2),"00")&amp;$O2435,日報!$L:$L)</f>
        <v>0</v>
      </c>
      <c r="R2435" s="65">
        <f ca="1">SUMIF(日報!$J:$J,$O2435,日報!$L:$L)</f>
        <v>0</v>
      </c>
    </row>
    <row r="2436" spans="15:18" x14ac:dyDescent="0.15">
      <c r="O2436" s="7" t="str">
        <f>"REQ"&amp;TEXT([2]RequestList!$A2437,"0000")</f>
        <v>REQ0000</v>
      </c>
      <c r="P2436" s="7">
        <f>[2]RequestList!$J2437</f>
        <v>0</v>
      </c>
      <c r="Q2436" s="65">
        <f>SUMIF(日報!$R:$R,TEXT(YEAR($Q$2),"0000")&amp;TEXT(MONTH($Q$2),"00")&amp;$O2436,日報!$L:$L)</f>
        <v>0</v>
      </c>
      <c r="R2436" s="65">
        <f ca="1">SUMIF(日報!$J:$J,$O2436,日報!$L:$L)</f>
        <v>0</v>
      </c>
    </row>
    <row r="2437" spans="15:18" x14ac:dyDescent="0.15">
      <c r="O2437" s="7" t="str">
        <f>"REQ"&amp;TEXT([2]RequestList!$A2438,"0000")</f>
        <v>REQ0000</v>
      </c>
      <c r="P2437" s="7">
        <f>[2]RequestList!$J2438</f>
        <v>0</v>
      </c>
      <c r="Q2437" s="65">
        <f>SUMIF(日報!$R:$R,TEXT(YEAR($Q$2),"0000")&amp;TEXT(MONTH($Q$2),"00")&amp;$O2437,日報!$L:$L)</f>
        <v>0</v>
      </c>
      <c r="R2437" s="65">
        <f ca="1">SUMIF(日報!$J:$J,$O2437,日報!$L:$L)</f>
        <v>0</v>
      </c>
    </row>
    <row r="2438" spans="15:18" x14ac:dyDescent="0.15">
      <c r="O2438" s="7" t="str">
        <f>"REQ"&amp;TEXT([2]RequestList!$A2439,"0000")</f>
        <v>REQ0000</v>
      </c>
      <c r="P2438" s="7">
        <f>[2]RequestList!$J2439</f>
        <v>0</v>
      </c>
      <c r="Q2438" s="65">
        <f>SUMIF(日報!$R:$R,TEXT(YEAR($Q$2),"0000")&amp;TEXT(MONTH($Q$2),"00")&amp;$O2438,日報!$L:$L)</f>
        <v>0</v>
      </c>
      <c r="R2438" s="65">
        <f ca="1">SUMIF(日報!$J:$J,$O2438,日報!$L:$L)</f>
        <v>0</v>
      </c>
    </row>
    <row r="2439" spans="15:18" x14ac:dyDescent="0.15">
      <c r="O2439" s="7" t="str">
        <f>"REQ"&amp;TEXT([2]RequestList!$A2440,"0000")</f>
        <v>REQ0000</v>
      </c>
      <c r="P2439" s="7">
        <f>[2]RequestList!$J2440</f>
        <v>0</v>
      </c>
      <c r="Q2439" s="65">
        <f>SUMIF(日報!$R:$R,TEXT(YEAR($Q$2),"0000")&amp;TEXT(MONTH($Q$2),"00")&amp;$O2439,日報!$L:$L)</f>
        <v>0</v>
      </c>
      <c r="R2439" s="65">
        <f ca="1">SUMIF(日報!$J:$J,$O2439,日報!$L:$L)</f>
        <v>0</v>
      </c>
    </row>
    <row r="2440" spans="15:18" x14ac:dyDescent="0.15">
      <c r="O2440" s="7" t="str">
        <f>"REQ"&amp;TEXT([2]RequestList!$A2441,"0000")</f>
        <v>REQ0000</v>
      </c>
      <c r="P2440" s="7">
        <f>[2]RequestList!$J2441</f>
        <v>0</v>
      </c>
      <c r="Q2440" s="65">
        <f>SUMIF(日報!$R:$R,TEXT(YEAR($Q$2),"0000")&amp;TEXT(MONTH($Q$2),"00")&amp;$O2440,日報!$L:$L)</f>
        <v>0</v>
      </c>
      <c r="R2440" s="65">
        <f ca="1">SUMIF(日報!$J:$J,$O2440,日報!$L:$L)</f>
        <v>0</v>
      </c>
    </row>
    <row r="2441" spans="15:18" x14ac:dyDescent="0.15">
      <c r="O2441" s="7" t="str">
        <f>"REQ"&amp;TEXT([2]RequestList!$A2442,"0000")</f>
        <v>REQ0000</v>
      </c>
      <c r="P2441" s="7">
        <f>[2]RequestList!$J2442</f>
        <v>0</v>
      </c>
      <c r="Q2441" s="65">
        <f>SUMIF(日報!$R:$R,TEXT(YEAR($Q$2),"0000")&amp;TEXT(MONTH($Q$2),"00")&amp;$O2441,日報!$L:$L)</f>
        <v>0</v>
      </c>
      <c r="R2441" s="65">
        <f ca="1">SUMIF(日報!$J:$J,$O2441,日報!$L:$L)</f>
        <v>0</v>
      </c>
    </row>
    <row r="2442" spans="15:18" x14ac:dyDescent="0.15">
      <c r="O2442" s="7" t="str">
        <f>"REQ"&amp;TEXT([2]RequestList!$A2443,"0000")</f>
        <v>REQ0000</v>
      </c>
      <c r="P2442" s="7">
        <f>[2]RequestList!$J2443</f>
        <v>0</v>
      </c>
      <c r="Q2442" s="65">
        <f>SUMIF(日報!$R:$R,TEXT(YEAR($Q$2),"0000")&amp;TEXT(MONTH($Q$2),"00")&amp;$O2442,日報!$L:$L)</f>
        <v>0</v>
      </c>
      <c r="R2442" s="65">
        <f ca="1">SUMIF(日報!$J:$J,$O2442,日報!$L:$L)</f>
        <v>0</v>
      </c>
    </row>
    <row r="2443" spans="15:18" x14ac:dyDescent="0.15">
      <c r="O2443" s="7" t="str">
        <f>"REQ"&amp;TEXT([2]RequestList!$A2444,"0000")</f>
        <v>REQ0000</v>
      </c>
      <c r="P2443" s="7">
        <f>[2]RequestList!$J2444</f>
        <v>0</v>
      </c>
      <c r="Q2443" s="65">
        <f>SUMIF(日報!$R:$R,TEXT(YEAR($Q$2),"0000")&amp;TEXT(MONTH($Q$2),"00")&amp;$O2443,日報!$L:$L)</f>
        <v>0</v>
      </c>
      <c r="R2443" s="65">
        <f ca="1">SUMIF(日報!$J:$J,$O2443,日報!$L:$L)</f>
        <v>0</v>
      </c>
    </row>
    <row r="2444" spans="15:18" x14ac:dyDescent="0.15">
      <c r="O2444" s="7" t="str">
        <f>"REQ"&amp;TEXT([2]RequestList!$A2445,"0000")</f>
        <v>REQ0000</v>
      </c>
      <c r="P2444" s="7">
        <f>[2]RequestList!$J2445</f>
        <v>0</v>
      </c>
      <c r="Q2444" s="65">
        <f>SUMIF(日報!$R:$R,TEXT(YEAR($Q$2),"0000")&amp;TEXT(MONTH($Q$2),"00")&amp;$O2444,日報!$L:$L)</f>
        <v>0</v>
      </c>
      <c r="R2444" s="65">
        <f ca="1">SUMIF(日報!$J:$J,$O2444,日報!$L:$L)</f>
        <v>0</v>
      </c>
    </row>
    <row r="2445" spans="15:18" x14ac:dyDescent="0.15">
      <c r="O2445" s="7" t="str">
        <f>"REQ"&amp;TEXT([2]RequestList!$A2446,"0000")</f>
        <v>REQ0000</v>
      </c>
      <c r="P2445" s="7">
        <f>[2]RequestList!$J2446</f>
        <v>0</v>
      </c>
      <c r="Q2445" s="65">
        <f>SUMIF(日報!$R:$R,TEXT(YEAR($Q$2),"0000")&amp;TEXT(MONTH($Q$2),"00")&amp;$O2445,日報!$L:$L)</f>
        <v>0</v>
      </c>
      <c r="R2445" s="65">
        <f ca="1">SUMIF(日報!$J:$J,$O2445,日報!$L:$L)</f>
        <v>0</v>
      </c>
    </row>
    <row r="2446" spans="15:18" x14ac:dyDescent="0.15">
      <c r="O2446" s="7" t="str">
        <f>"REQ"&amp;TEXT([2]RequestList!$A2447,"0000")</f>
        <v>REQ0000</v>
      </c>
      <c r="P2446" s="7">
        <f>[2]RequestList!$J2447</f>
        <v>0</v>
      </c>
      <c r="Q2446" s="65">
        <f>SUMIF(日報!$R:$R,TEXT(YEAR($Q$2),"0000")&amp;TEXT(MONTH($Q$2),"00")&amp;$O2446,日報!$L:$L)</f>
        <v>0</v>
      </c>
      <c r="R2446" s="65">
        <f ca="1">SUMIF(日報!$J:$J,$O2446,日報!$L:$L)</f>
        <v>0</v>
      </c>
    </row>
    <row r="2447" spans="15:18" x14ac:dyDescent="0.15">
      <c r="O2447" s="7" t="str">
        <f>"REQ"&amp;TEXT([2]RequestList!$A2448,"0000")</f>
        <v>REQ0000</v>
      </c>
      <c r="P2447" s="7">
        <f>[2]RequestList!$J2448</f>
        <v>0</v>
      </c>
      <c r="Q2447" s="65">
        <f>SUMIF(日報!$R:$R,TEXT(YEAR($Q$2),"0000")&amp;TEXT(MONTH($Q$2),"00")&amp;$O2447,日報!$L:$L)</f>
        <v>0</v>
      </c>
      <c r="R2447" s="65">
        <f ca="1">SUMIF(日報!$J:$J,$O2447,日報!$L:$L)</f>
        <v>0</v>
      </c>
    </row>
    <row r="2448" spans="15:18" x14ac:dyDescent="0.15">
      <c r="O2448" s="7" t="str">
        <f>"REQ"&amp;TEXT([2]RequestList!$A2449,"0000")</f>
        <v>REQ0000</v>
      </c>
      <c r="P2448" s="7">
        <f>[2]RequestList!$J2449</f>
        <v>0</v>
      </c>
      <c r="Q2448" s="65">
        <f>SUMIF(日報!$R:$R,TEXT(YEAR($Q$2),"0000")&amp;TEXT(MONTH($Q$2),"00")&amp;$O2448,日報!$L:$L)</f>
        <v>0</v>
      </c>
      <c r="R2448" s="65">
        <f ca="1">SUMIF(日報!$J:$J,$O2448,日報!$L:$L)</f>
        <v>0</v>
      </c>
    </row>
    <row r="2449" spans="15:18" x14ac:dyDescent="0.15">
      <c r="O2449" s="7" t="str">
        <f>"REQ"&amp;TEXT([2]RequestList!$A2450,"0000")</f>
        <v>REQ0000</v>
      </c>
      <c r="P2449" s="7">
        <f>[2]RequestList!$J2450</f>
        <v>0</v>
      </c>
      <c r="Q2449" s="65">
        <f>SUMIF(日報!$R:$R,TEXT(YEAR($Q$2),"0000")&amp;TEXT(MONTH($Q$2),"00")&amp;$O2449,日報!$L:$L)</f>
        <v>0</v>
      </c>
      <c r="R2449" s="65">
        <f ca="1">SUMIF(日報!$J:$J,$O2449,日報!$L:$L)</f>
        <v>0</v>
      </c>
    </row>
    <row r="2450" spans="15:18" x14ac:dyDescent="0.15">
      <c r="O2450" s="7" t="str">
        <f>"REQ"&amp;TEXT([2]RequestList!$A2451,"0000")</f>
        <v>REQ0000</v>
      </c>
      <c r="P2450" s="7">
        <f>[2]RequestList!$J2451</f>
        <v>0</v>
      </c>
      <c r="Q2450" s="65">
        <f>SUMIF(日報!$R:$R,TEXT(YEAR($Q$2),"0000")&amp;TEXT(MONTH($Q$2),"00")&amp;$O2450,日報!$L:$L)</f>
        <v>0</v>
      </c>
      <c r="R2450" s="65">
        <f ca="1">SUMIF(日報!$J:$J,$O2450,日報!$L:$L)</f>
        <v>0</v>
      </c>
    </row>
    <row r="2451" spans="15:18" x14ac:dyDescent="0.15">
      <c r="O2451" s="7" t="str">
        <f>"REQ"&amp;TEXT([2]RequestList!$A2452,"0000")</f>
        <v>REQ0000</v>
      </c>
      <c r="P2451" s="7">
        <f>[2]RequestList!$J2452</f>
        <v>0</v>
      </c>
      <c r="Q2451" s="65">
        <f>SUMIF(日報!$R:$R,TEXT(YEAR($Q$2),"0000")&amp;TEXT(MONTH($Q$2),"00")&amp;$O2451,日報!$L:$L)</f>
        <v>0</v>
      </c>
      <c r="R2451" s="65">
        <f ca="1">SUMIF(日報!$J:$J,$O2451,日報!$L:$L)</f>
        <v>0</v>
      </c>
    </row>
    <row r="2452" spans="15:18" x14ac:dyDescent="0.15">
      <c r="O2452" s="7" t="str">
        <f>"REQ"&amp;TEXT([2]RequestList!$A2453,"0000")</f>
        <v>REQ0000</v>
      </c>
      <c r="P2452" s="7">
        <f>[2]RequestList!$J2453</f>
        <v>0</v>
      </c>
      <c r="Q2452" s="65">
        <f>SUMIF(日報!$R:$R,TEXT(YEAR($Q$2),"0000")&amp;TEXT(MONTH($Q$2),"00")&amp;$O2452,日報!$L:$L)</f>
        <v>0</v>
      </c>
      <c r="R2452" s="65">
        <f ca="1">SUMIF(日報!$J:$J,$O2452,日報!$L:$L)</f>
        <v>0</v>
      </c>
    </row>
    <row r="2453" spans="15:18" x14ac:dyDescent="0.15">
      <c r="O2453" s="7" t="str">
        <f>"REQ"&amp;TEXT([2]RequestList!$A2454,"0000")</f>
        <v>REQ0000</v>
      </c>
      <c r="P2453" s="7">
        <f>[2]RequestList!$J2454</f>
        <v>0</v>
      </c>
      <c r="Q2453" s="65">
        <f>SUMIF(日報!$R:$R,TEXT(YEAR($Q$2),"0000")&amp;TEXT(MONTH($Q$2),"00")&amp;$O2453,日報!$L:$L)</f>
        <v>0</v>
      </c>
      <c r="R2453" s="65">
        <f ca="1">SUMIF(日報!$J:$J,$O2453,日報!$L:$L)</f>
        <v>0</v>
      </c>
    </row>
    <row r="2454" spans="15:18" x14ac:dyDescent="0.15">
      <c r="O2454" s="7" t="str">
        <f>"REQ"&amp;TEXT([2]RequestList!$A2455,"0000")</f>
        <v>REQ0000</v>
      </c>
      <c r="P2454" s="7">
        <f>[2]RequestList!$J2455</f>
        <v>0</v>
      </c>
      <c r="Q2454" s="65">
        <f>SUMIF(日報!$R:$R,TEXT(YEAR($Q$2),"0000")&amp;TEXT(MONTH($Q$2),"00")&amp;$O2454,日報!$L:$L)</f>
        <v>0</v>
      </c>
      <c r="R2454" s="65">
        <f ca="1">SUMIF(日報!$J:$J,$O2454,日報!$L:$L)</f>
        <v>0</v>
      </c>
    </row>
    <row r="2455" spans="15:18" x14ac:dyDescent="0.15">
      <c r="O2455" s="7" t="str">
        <f>"REQ"&amp;TEXT([2]RequestList!$A2456,"0000")</f>
        <v>REQ0000</v>
      </c>
      <c r="P2455" s="7">
        <f>[2]RequestList!$J2456</f>
        <v>0</v>
      </c>
      <c r="Q2455" s="65">
        <f>SUMIF(日報!$R:$R,TEXT(YEAR($Q$2),"0000")&amp;TEXT(MONTH($Q$2),"00")&amp;$O2455,日報!$L:$L)</f>
        <v>0</v>
      </c>
      <c r="R2455" s="65">
        <f ca="1">SUMIF(日報!$J:$J,$O2455,日報!$L:$L)</f>
        <v>0</v>
      </c>
    </row>
    <row r="2456" spans="15:18" x14ac:dyDescent="0.15">
      <c r="O2456" s="7" t="str">
        <f>"REQ"&amp;TEXT([2]RequestList!$A2457,"0000")</f>
        <v>REQ0000</v>
      </c>
      <c r="P2456" s="7">
        <f>[2]RequestList!$J2457</f>
        <v>0</v>
      </c>
      <c r="Q2456" s="65">
        <f>SUMIF(日報!$R:$R,TEXT(YEAR($Q$2),"0000")&amp;TEXT(MONTH($Q$2),"00")&amp;$O2456,日報!$L:$L)</f>
        <v>0</v>
      </c>
      <c r="R2456" s="65">
        <f ca="1">SUMIF(日報!$J:$J,$O2456,日報!$L:$L)</f>
        <v>0</v>
      </c>
    </row>
    <row r="2457" spans="15:18" x14ac:dyDescent="0.15">
      <c r="O2457" s="7" t="str">
        <f>"REQ"&amp;TEXT([2]RequestList!$A2458,"0000")</f>
        <v>REQ0000</v>
      </c>
      <c r="P2457" s="7">
        <f>[2]RequestList!$J2458</f>
        <v>0</v>
      </c>
      <c r="Q2457" s="65">
        <f>SUMIF(日報!$R:$R,TEXT(YEAR($Q$2),"0000")&amp;TEXT(MONTH($Q$2),"00")&amp;$O2457,日報!$L:$L)</f>
        <v>0</v>
      </c>
      <c r="R2457" s="65">
        <f ca="1">SUMIF(日報!$J:$J,$O2457,日報!$L:$L)</f>
        <v>0</v>
      </c>
    </row>
    <row r="2458" spans="15:18" x14ac:dyDescent="0.15">
      <c r="O2458" s="7" t="str">
        <f>"REQ"&amp;TEXT([2]RequestList!$A2459,"0000")</f>
        <v>REQ0000</v>
      </c>
      <c r="P2458" s="7">
        <f>[2]RequestList!$J2459</f>
        <v>0</v>
      </c>
      <c r="Q2458" s="65">
        <f>SUMIF(日報!$R:$R,TEXT(YEAR($Q$2),"0000")&amp;TEXT(MONTH($Q$2),"00")&amp;$O2458,日報!$L:$L)</f>
        <v>0</v>
      </c>
      <c r="R2458" s="65">
        <f ca="1">SUMIF(日報!$J:$J,$O2458,日報!$L:$L)</f>
        <v>0</v>
      </c>
    </row>
    <row r="2459" spans="15:18" x14ac:dyDescent="0.15">
      <c r="O2459" s="7" t="str">
        <f>"REQ"&amp;TEXT([2]RequestList!$A2460,"0000")</f>
        <v>REQ0000</v>
      </c>
      <c r="P2459" s="7">
        <f>[2]RequestList!$J2460</f>
        <v>0</v>
      </c>
      <c r="Q2459" s="65">
        <f>SUMIF(日報!$R:$R,TEXT(YEAR($Q$2),"0000")&amp;TEXT(MONTH($Q$2),"00")&amp;$O2459,日報!$L:$L)</f>
        <v>0</v>
      </c>
      <c r="R2459" s="65">
        <f ca="1">SUMIF(日報!$J:$J,$O2459,日報!$L:$L)</f>
        <v>0</v>
      </c>
    </row>
    <row r="2460" spans="15:18" x14ac:dyDescent="0.15">
      <c r="O2460" s="7" t="str">
        <f>"REQ"&amp;TEXT([2]RequestList!$A2461,"0000")</f>
        <v>REQ0000</v>
      </c>
      <c r="P2460" s="7">
        <f>[2]RequestList!$J2461</f>
        <v>0</v>
      </c>
      <c r="Q2460" s="65">
        <f>SUMIF(日報!$R:$R,TEXT(YEAR($Q$2),"0000")&amp;TEXT(MONTH($Q$2),"00")&amp;$O2460,日報!$L:$L)</f>
        <v>0</v>
      </c>
      <c r="R2460" s="65">
        <f ca="1">SUMIF(日報!$J:$J,$O2460,日報!$L:$L)</f>
        <v>0</v>
      </c>
    </row>
    <row r="2461" spans="15:18" x14ac:dyDescent="0.15">
      <c r="O2461" s="7" t="str">
        <f>"REQ"&amp;TEXT([2]RequestList!$A2462,"0000")</f>
        <v>REQ0000</v>
      </c>
      <c r="P2461" s="7">
        <f>[2]RequestList!$J2462</f>
        <v>0</v>
      </c>
      <c r="Q2461" s="65">
        <f>SUMIF(日報!$R:$R,TEXT(YEAR($Q$2),"0000")&amp;TEXT(MONTH($Q$2),"00")&amp;$O2461,日報!$L:$L)</f>
        <v>0</v>
      </c>
      <c r="R2461" s="65">
        <f ca="1">SUMIF(日報!$J:$J,$O2461,日報!$L:$L)</f>
        <v>0</v>
      </c>
    </row>
    <row r="2462" spans="15:18" x14ac:dyDescent="0.15">
      <c r="O2462" s="7" t="str">
        <f>"REQ"&amp;TEXT([2]RequestList!$A2463,"0000")</f>
        <v>REQ0000</v>
      </c>
      <c r="P2462" s="7">
        <f>[2]RequestList!$J2463</f>
        <v>0</v>
      </c>
      <c r="Q2462" s="65">
        <f>SUMIF(日報!$R:$R,TEXT(YEAR($Q$2),"0000")&amp;TEXT(MONTH($Q$2),"00")&amp;$O2462,日報!$L:$L)</f>
        <v>0</v>
      </c>
      <c r="R2462" s="65">
        <f ca="1">SUMIF(日報!$J:$J,$O2462,日報!$L:$L)</f>
        <v>0</v>
      </c>
    </row>
    <row r="2463" spans="15:18" x14ac:dyDescent="0.15">
      <c r="O2463" s="7" t="str">
        <f>"REQ"&amp;TEXT([2]RequestList!$A2464,"0000")</f>
        <v>REQ0000</v>
      </c>
      <c r="P2463" s="7">
        <f>[2]RequestList!$J2464</f>
        <v>0</v>
      </c>
      <c r="Q2463" s="65">
        <f>SUMIF(日報!$R:$R,TEXT(YEAR($Q$2),"0000")&amp;TEXT(MONTH($Q$2),"00")&amp;$O2463,日報!$L:$L)</f>
        <v>0</v>
      </c>
      <c r="R2463" s="65">
        <f ca="1">SUMIF(日報!$J:$J,$O2463,日報!$L:$L)</f>
        <v>0</v>
      </c>
    </row>
    <row r="2464" spans="15:18" x14ac:dyDescent="0.15">
      <c r="O2464" s="7" t="str">
        <f>"REQ"&amp;TEXT([2]RequestList!$A2465,"0000")</f>
        <v>REQ0000</v>
      </c>
      <c r="P2464" s="7">
        <f>[2]RequestList!$J2465</f>
        <v>0</v>
      </c>
      <c r="Q2464" s="65">
        <f>SUMIF(日報!$R:$R,TEXT(YEAR($Q$2),"0000")&amp;TEXT(MONTH($Q$2),"00")&amp;$O2464,日報!$L:$L)</f>
        <v>0</v>
      </c>
      <c r="R2464" s="65">
        <f ca="1">SUMIF(日報!$J:$J,$O2464,日報!$L:$L)</f>
        <v>0</v>
      </c>
    </row>
    <row r="2465" spans="15:18" x14ac:dyDescent="0.15">
      <c r="O2465" s="7" t="str">
        <f>"REQ"&amp;TEXT([2]RequestList!$A2466,"0000")</f>
        <v>REQ0000</v>
      </c>
      <c r="P2465" s="7">
        <f>[2]RequestList!$J2466</f>
        <v>0</v>
      </c>
      <c r="Q2465" s="65">
        <f>SUMIF(日報!$R:$R,TEXT(YEAR($Q$2),"0000")&amp;TEXT(MONTH($Q$2),"00")&amp;$O2465,日報!$L:$L)</f>
        <v>0</v>
      </c>
      <c r="R2465" s="65">
        <f ca="1">SUMIF(日報!$J:$J,$O2465,日報!$L:$L)</f>
        <v>0</v>
      </c>
    </row>
    <row r="2466" spans="15:18" x14ac:dyDescent="0.15">
      <c r="O2466" s="7" t="str">
        <f>"REQ"&amp;TEXT([2]RequestList!$A2467,"0000")</f>
        <v>REQ0000</v>
      </c>
      <c r="P2466" s="7">
        <f>[2]RequestList!$J2467</f>
        <v>0</v>
      </c>
      <c r="Q2466" s="65">
        <f>SUMIF(日報!$R:$R,TEXT(YEAR($Q$2),"0000")&amp;TEXT(MONTH($Q$2),"00")&amp;$O2466,日報!$L:$L)</f>
        <v>0</v>
      </c>
      <c r="R2466" s="65">
        <f ca="1">SUMIF(日報!$J:$J,$O2466,日報!$L:$L)</f>
        <v>0</v>
      </c>
    </row>
    <row r="2467" spans="15:18" x14ac:dyDescent="0.15">
      <c r="O2467" s="7" t="str">
        <f>"REQ"&amp;TEXT([2]RequestList!$A2468,"0000")</f>
        <v>REQ0000</v>
      </c>
      <c r="P2467" s="7">
        <f>[2]RequestList!$J2468</f>
        <v>0</v>
      </c>
      <c r="Q2467" s="65">
        <f>SUMIF(日報!$R:$R,TEXT(YEAR($Q$2),"0000")&amp;TEXT(MONTH($Q$2),"00")&amp;$O2467,日報!$L:$L)</f>
        <v>0</v>
      </c>
      <c r="R2467" s="65">
        <f ca="1">SUMIF(日報!$J:$J,$O2467,日報!$L:$L)</f>
        <v>0</v>
      </c>
    </row>
    <row r="2468" spans="15:18" x14ac:dyDescent="0.15">
      <c r="O2468" s="7" t="str">
        <f>"REQ"&amp;TEXT([2]RequestList!$A2469,"0000")</f>
        <v>REQ0000</v>
      </c>
      <c r="P2468" s="7">
        <f>[2]RequestList!$J2469</f>
        <v>0</v>
      </c>
      <c r="Q2468" s="65">
        <f>SUMIF(日報!$R:$R,TEXT(YEAR($Q$2),"0000")&amp;TEXT(MONTH($Q$2),"00")&amp;$O2468,日報!$L:$L)</f>
        <v>0</v>
      </c>
      <c r="R2468" s="65">
        <f ca="1">SUMIF(日報!$J:$J,$O2468,日報!$L:$L)</f>
        <v>0</v>
      </c>
    </row>
    <row r="2469" spans="15:18" x14ac:dyDescent="0.15">
      <c r="O2469" s="7" t="str">
        <f>"REQ"&amp;TEXT([2]RequestList!$A2470,"0000")</f>
        <v>REQ0000</v>
      </c>
      <c r="P2469" s="7">
        <f>[2]RequestList!$J2470</f>
        <v>0</v>
      </c>
      <c r="Q2469" s="65">
        <f>SUMIF(日報!$R:$R,TEXT(YEAR($Q$2),"0000")&amp;TEXT(MONTH($Q$2),"00")&amp;$O2469,日報!$L:$L)</f>
        <v>0</v>
      </c>
      <c r="R2469" s="65">
        <f ca="1">SUMIF(日報!$J:$J,$O2469,日報!$L:$L)</f>
        <v>0</v>
      </c>
    </row>
    <row r="2470" spans="15:18" x14ac:dyDescent="0.15">
      <c r="O2470" s="7" t="str">
        <f>"REQ"&amp;TEXT([2]RequestList!$A2471,"0000")</f>
        <v>REQ0000</v>
      </c>
      <c r="P2470" s="7">
        <f>[2]RequestList!$J2471</f>
        <v>0</v>
      </c>
      <c r="Q2470" s="65">
        <f>SUMIF(日報!$R:$R,TEXT(YEAR($Q$2),"0000")&amp;TEXT(MONTH($Q$2),"00")&amp;$O2470,日報!$L:$L)</f>
        <v>0</v>
      </c>
      <c r="R2470" s="65">
        <f ca="1">SUMIF(日報!$J:$J,$O2470,日報!$L:$L)</f>
        <v>0</v>
      </c>
    </row>
    <row r="2471" spans="15:18" x14ac:dyDescent="0.15">
      <c r="O2471" s="7" t="str">
        <f>"REQ"&amp;TEXT([2]RequestList!$A2472,"0000")</f>
        <v>REQ0000</v>
      </c>
      <c r="P2471" s="7">
        <f>[2]RequestList!$J2472</f>
        <v>0</v>
      </c>
      <c r="Q2471" s="65">
        <f>SUMIF(日報!$R:$R,TEXT(YEAR($Q$2),"0000")&amp;TEXT(MONTH($Q$2),"00")&amp;$O2471,日報!$L:$L)</f>
        <v>0</v>
      </c>
      <c r="R2471" s="65">
        <f ca="1">SUMIF(日報!$J:$J,$O2471,日報!$L:$L)</f>
        <v>0</v>
      </c>
    </row>
    <row r="2472" spans="15:18" x14ac:dyDescent="0.15">
      <c r="O2472" s="7" t="str">
        <f>"REQ"&amp;TEXT([2]RequestList!$A2473,"0000")</f>
        <v>REQ0000</v>
      </c>
      <c r="P2472" s="7">
        <f>[2]RequestList!$J2473</f>
        <v>0</v>
      </c>
      <c r="Q2472" s="65">
        <f>SUMIF(日報!$R:$R,TEXT(YEAR($Q$2),"0000")&amp;TEXT(MONTH($Q$2),"00")&amp;$O2472,日報!$L:$L)</f>
        <v>0</v>
      </c>
      <c r="R2472" s="65">
        <f ca="1">SUMIF(日報!$J:$J,$O2472,日報!$L:$L)</f>
        <v>0</v>
      </c>
    </row>
    <row r="2473" spans="15:18" x14ac:dyDescent="0.15">
      <c r="O2473" s="7" t="str">
        <f>"REQ"&amp;TEXT([2]RequestList!$A2474,"0000")</f>
        <v>REQ0000</v>
      </c>
      <c r="P2473" s="7">
        <f>[2]RequestList!$J2474</f>
        <v>0</v>
      </c>
      <c r="Q2473" s="65">
        <f>SUMIF(日報!$R:$R,TEXT(YEAR($Q$2),"0000")&amp;TEXT(MONTH($Q$2),"00")&amp;$O2473,日報!$L:$L)</f>
        <v>0</v>
      </c>
      <c r="R2473" s="65">
        <f ca="1">SUMIF(日報!$J:$J,$O2473,日報!$L:$L)</f>
        <v>0</v>
      </c>
    </row>
    <row r="2474" spans="15:18" x14ac:dyDescent="0.15">
      <c r="O2474" s="7" t="str">
        <f>"REQ"&amp;TEXT([2]RequestList!$A2475,"0000")</f>
        <v>REQ0000</v>
      </c>
      <c r="P2474" s="7">
        <f>[2]RequestList!$J2475</f>
        <v>0</v>
      </c>
      <c r="Q2474" s="65">
        <f>SUMIF(日報!$R:$R,TEXT(YEAR($Q$2),"0000")&amp;TEXT(MONTH($Q$2),"00")&amp;$O2474,日報!$L:$L)</f>
        <v>0</v>
      </c>
      <c r="R2474" s="65">
        <f ca="1">SUMIF(日報!$J:$J,$O2474,日報!$L:$L)</f>
        <v>0</v>
      </c>
    </row>
    <row r="2475" spans="15:18" x14ac:dyDescent="0.15">
      <c r="O2475" s="7" t="str">
        <f>"REQ"&amp;TEXT([2]RequestList!$A2476,"0000")</f>
        <v>REQ0000</v>
      </c>
      <c r="P2475" s="7">
        <f>[2]RequestList!$J2476</f>
        <v>0</v>
      </c>
      <c r="Q2475" s="65">
        <f>SUMIF(日報!$R:$R,TEXT(YEAR($Q$2),"0000")&amp;TEXT(MONTH($Q$2),"00")&amp;$O2475,日報!$L:$L)</f>
        <v>0</v>
      </c>
      <c r="R2475" s="65">
        <f ca="1">SUMIF(日報!$J:$J,$O2475,日報!$L:$L)</f>
        <v>0</v>
      </c>
    </row>
    <row r="2476" spans="15:18" x14ac:dyDescent="0.15">
      <c r="O2476" s="7" t="str">
        <f>"REQ"&amp;TEXT([2]RequestList!$A2477,"0000")</f>
        <v>REQ0000</v>
      </c>
      <c r="P2476" s="7">
        <f>[2]RequestList!$J2477</f>
        <v>0</v>
      </c>
      <c r="Q2476" s="65">
        <f>SUMIF(日報!$R:$R,TEXT(YEAR($Q$2),"0000")&amp;TEXT(MONTH($Q$2),"00")&amp;$O2476,日報!$L:$L)</f>
        <v>0</v>
      </c>
      <c r="R2476" s="65">
        <f ca="1">SUMIF(日報!$J:$J,$O2476,日報!$L:$L)</f>
        <v>0</v>
      </c>
    </row>
    <row r="2477" spans="15:18" x14ac:dyDescent="0.15">
      <c r="O2477" s="7" t="str">
        <f>"REQ"&amp;TEXT([2]RequestList!$A2478,"0000")</f>
        <v>REQ0000</v>
      </c>
      <c r="P2477" s="7">
        <f>[2]RequestList!$J2478</f>
        <v>0</v>
      </c>
      <c r="Q2477" s="65">
        <f>SUMIF(日報!$R:$R,TEXT(YEAR($Q$2),"0000")&amp;TEXT(MONTH($Q$2),"00")&amp;$O2477,日報!$L:$L)</f>
        <v>0</v>
      </c>
      <c r="R2477" s="65">
        <f ca="1">SUMIF(日報!$J:$J,$O2477,日報!$L:$L)</f>
        <v>0</v>
      </c>
    </row>
    <row r="2478" spans="15:18" x14ac:dyDescent="0.15">
      <c r="O2478" s="7" t="str">
        <f>"REQ"&amp;TEXT([2]RequestList!$A2479,"0000")</f>
        <v>REQ0000</v>
      </c>
      <c r="P2478" s="7">
        <f>[2]RequestList!$J2479</f>
        <v>0</v>
      </c>
      <c r="Q2478" s="65">
        <f>SUMIF(日報!$R:$R,TEXT(YEAR($Q$2),"0000")&amp;TEXT(MONTH($Q$2),"00")&amp;$O2478,日報!$L:$L)</f>
        <v>0</v>
      </c>
      <c r="R2478" s="65">
        <f ca="1">SUMIF(日報!$J:$J,$O2478,日報!$L:$L)</f>
        <v>0</v>
      </c>
    </row>
    <row r="2479" spans="15:18" x14ac:dyDescent="0.15">
      <c r="O2479" s="7" t="str">
        <f>"REQ"&amp;TEXT([2]RequestList!$A2480,"0000")</f>
        <v>REQ0000</v>
      </c>
      <c r="P2479" s="7">
        <f>[2]RequestList!$J2480</f>
        <v>0</v>
      </c>
      <c r="Q2479" s="65">
        <f>SUMIF(日報!$R:$R,TEXT(YEAR($Q$2),"0000")&amp;TEXT(MONTH($Q$2),"00")&amp;$O2479,日報!$L:$L)</f>
        <v>0</v>
      </c>
      <c r="R2479" s="65">
        <f ca="1">SUMIF(日報!$J:$J,$O2479,日報!$L:$L)</f>
        <v>0</v>
      </c>
    </row>
    <row r="2480" spans="15:18" x14ac:dyDescent="0.15">
      <c r="O2480" s="7" t="str">
        <f>"REQ"&amp;TEXT([2]RequestList!$A2481,"0000")</f>
        <v>REQ0000</v>
      </c>
      <c r="P2480" s="7">
        <f>[2]RequestList!$J2481</f>
        <v>0</v>
      </c>
      <c r="Q2480" s="65">
        <f>SUMIF(日報!$R:$R,TEXT(YEAR($Q$2),"0000")&amp;TEXT(MONTH($Q$2),"00")&amp;$O2480,日報!$L:$L)</f>
        <v>0</v>
      </c>
      <c r="R2480" s="65">
        <f ca="1">SUMIF(日報!$J:$J,$O2480,日報!$L:$L)</f>
        <v>0</v>
      </c>
    </row>
    <row r="2481" spans="15:18" x14ac:dyDescent="0.15">
      <c r="O2481" s="7" t="str">
        <f>"REQ"&amp;TEXT([2]RequestList!$A2482,"0000")</f>
        <v>REQ0000</v>
      </c>
      <c r="P2481" s="7">
        <f>[2]RequestList!$J2482</f>
        <v>0</v>
      </c>
      <c r="Q2481" s="65">
        <f>SUMIF(日報!$R:$R,TEXT(YEAR($Q$2),"0000")&amp;TEXT(MONTH($Q$2),"00")&amp;$O2481,日報!$L:$L)</f>
        <v>0</v>
      </c>
      <c r="R2481" s="65">
        <f ca="1">SUMIF(日報!$J:$J,$O2481,日報!$L:$L)</f>
        <v>0</v>
      </c>
    </row>
    <row r="2482" spans="15:18" x14ac:dyDescent="0.15">
      <c r="O2482" s="7" t="str">
        <f>"REQ"&amp;TEXT([2]RequestList!$A2483,"0000")</f>
        <v>REQ0000</v>
      </c>
      <c r="P2482" s="7">
        <f>[2]RequestList!$J2483</f>
        <v>0</v>
      </c>
      <c r="Q2482" s="65">
        <f>SUMIF(日報!$R:$R,TEXT(YEAR($Q$2),"0000")&amp;TEXT(MONTH($Q$2),"00")&amp;$O2482,日報!$L:$L)</f>
        <v>0</v>
      </c>
      <c r="R2482" s="65">
        <f ca="1">SUMIF(日報!$J:$J,$O2482,日報!$L:$L)</f>
        <v>0</v>
      </c>
    </row>
    <row r="2483" spans="15:18" x14ac:dyDescent="0.15">
      <c r="O2483" s="7" t="str">
        <f>"REQ"&amp;TEXT([2]RequestList!$A2484,"0000")</f>
        <v>REQ0000</v>
      </c>
      <c r="P2483" s="7">
        <f>[2]RequestList!$J2484</f>
        <v>0</v>
      </c>
      <c r="Q2483" s="65">
        <f>SUMIF(日報!$R:$R,TEXT(YEAR($Q$2),"0000")&amp;TEXT(MONTH($Q$2),"00")&amp;$O2483,日報!$L:$L)</f>
        <v>0</v>
      </c>
      <c r="R2483" s="65">
        <f ca="1">SUMIF(日報!$J:$J,$O2483,日報!$L:$L)</f>
        <v>0</v>
      </c>
    </row>
    <row r="2484" spans="15:18" x14ac:dyDescent="0.15">
      <c r="O2484" s="7" t="str">
        <f>"REQ"&amp;TEXT([2]RequestList!$A2485,"0000")</f>
        <v>REQ0000</v>
      </c>
      <c r="P2484" s="7">
        <f>[2]RequestList!$J2485</f>
        <v>0</v>
      </c>
      <c r="Q2484" s="65">
        <f>SUMIF(日報!$R:$R,TEXT(YEAR($Q$2),"0000")&amp;TEXT(MONTH($Q$2),"00")&amp;$O2484,日報!$L:$L)</f>
        <v>0</v>
      </c>
      <c r="R2484" s="65">
        <f ca="1">SUMIF(日報!$J:$J,$O2484,日報!$L:$L)</f>
        <v>0</v>
      </c>
    </row>
    <row r="2485" spans="15:18" x14ac:dyDescent="0.15">
      <c r="O2485" s="7" t="str">
        <f>"REQ"&amp;TEXT([2]RequestList!$A2486,"0000")</f>
        <v>REQ0000</v>
      </c>
      <c r="P2485" s="7">
        <f>[2]RequestList!$J2486</f>
        <v>0</v>
      </c>
      <c r="Q2485" s="65">
        <f>SUMIF(日報!$R:$R,TEXT(YEAR($Q$2),"0000")&amp;TEXT(MONTH($Q$2),"00")&amp;$O2485,日報!$L:$L)</f>
        <v>0</v>
      </c>
      <c r="R2485" s="65">
        <f ca="1">SUMIF(日報!$J:$J,$O2485,日報!$L:$L)</f>
        <v>0</v>
      </c>
    </row>
    <row r="2486" spans="15:18" x14ac:dyDescent="0.15">
      <c r="O2486" s="7" t="str">
        <f>"REQ"&amp;TEXT([2]RequestList!$A2487,"0000")</f>
        <v>REQ0000</v>
      </c>
      <c r="P2486" s="7">
        <f>[2]RequestList!$J2487</f>
        <v>0</v>
      </c>
      <c r="Q2486" s="65">
        <f>SUMIF(日報!$R:$R,TEXT(YEAR($Q$2),"0000")&amp;TEXT(MONTH($Q$2),"00")&amp;$O2486,日報!$L:$L)</f>
        <v>0</v>
      </c>
      <c r="R2486" s="65">
        <f ca="1">SUMIF(日報!$J:$J,$O2486,日報!$L:$L)</f>
        <v>0</v>
      </c>
    </row>
    <row r="2487" spans="15:18" x14ac:dyDescent="0.15">
      <c r="O2487" s="7" t="str">
        <f>"REQ"&amp;TEXT([2]RequestList!$A2488,"0000")</f>
        <v>REQ0000</v>
      </c>
      <c r="P2487" s="7">
        <f>[2]RequestList!$J2488</f>
        <v>0</v>
      </c>
      <c r="Q2487" s="65">
        <f>SUMIF(日報!$R:$R,TEXT(YEAR($Q$2),"0000")&amp;TEXT(MONTH($Q$2),"00")&amp;$O2487,日報!$L:$L)</f>
        <v>0</v>
      </c>
      <c r="R2487" s="65">
        <f ca="1">SUMIF(日報!$J:$J,$O2487,日報!$L:$L)</f>
        <v>0</v>
      </c>
    </row>
    <row r="2488" spans="15:18" x14ac:dyDescent="0.15">
      <c r="O2488" s="7" t="str">
        <f>"REQ"&amp;TEXT([2]RequestList!$A2489,"0000")</f>
        <v>REQ0000</v>
      </c>
      <c r="P2488" s="7">
        <f>[2]RequestList!$J2489</f>
        <v>0</v>
      </c>
      <c r="Q2488" s="65">
        <f>SUMIF(日報!$R:$R,TEXT(YEAR($Q$2),"0000")&amp;TEXT(MONTH($Q$2),"00")&amp;$O2488,日報!$L:$L)</f>
        <v>0</v>
      </c>
      <c r="R2488" s="65">
        <f ca="1">SUMIF(日報!$J:$J,$O2488,日報!$L:$L)</f>
        <v>0</v>
      </c>
    </row>
    <row r="2489" spans="15:18" x14ac:dyDescent="0.15">
      <c r="O2489" s="7" t="str">
        <f>"REQ"&amp;TEXT([2]RequestList!$A2490,"0000")</f>
        <v>REQ0000</v>
      </c>
      <c r="P2489" s="7">
        <f>[2]RequestList!$J2490</f>
        <v>0</v>
      </c>
      <c r="Q2489" s="65">
        <f>SUMIF(日報!$R:$R,TEXT(YEAR($Q$2),"0000")&amp;TEXT(MONTH($Q$2),"00")&amp;$O2489,日報!$L:$L)</f>
        <v>0</v>
      </c>
      <c r="R2489" s="65">
        <f ca="1">SUMIF(日報!$J:$J,$O2489,日報!$L:$L)</f>
        <v>0</v>
      </c>
    </row>
    <row r="2490" spans="15:18" x14ac:dyDescent="0.15">
      <c r="O2490" s="7" t="str">
        <f>"REQ"&amp;TEXT([2]RequestList!$A2491,"0000")</f>
        <v>REQ0000</v>
      </c>
      <c r="P2490" s="7">
        <f>[2]RequestList!$J2491</f>
        <v>0</v>
      </c>
      <c r="Q2490" s="65">
        <f>SUMIF(日報!$R:$R,TEXT(YEAR($Q$2),"0000")&amp;TEXT(MONTH($Q$2),"00")&amp;$O2490,日報!$L:$L)</f>
        <v>0</v>
      </c>
      <c r="R2490" s="65">
        <f ca="1">SUMIF(日報!$J:$J,$O2490,日報!$L:$L)</f>
        <v>0</v>
      </c>
    </row>
    <row r="2491" spans="15:18" x14ac:dyDescent="0.15">
      <c r="O2491" s="7" t="str">
        <f>"REQ"&amp;TEXT([2]RequestList!$A2492,"0000")</f>
        <v>REQ0000</v>
      </c>
      <c r="P2491" s="7">
        <f>[2]RequestList!$J2492</f>
        <v>0</v>
      </c>
      <c r="Q2491" s="65">
        <f>SUMIF(日報!$R:$R,TEXT(YEAR($Q$2),"0000")&amp;TEXT(MONTH($Q$2),"00")&amp;$O2491,日報!$L:$L)</f>
        <v>0</v>
      </c>
      <c r="R2491" s="65">
        <f ca="1">SUMIF(日報!$J:$J,$O2491,日報!$L:$L)</f>
        <v>0</v>
      </c>
    </row>
    <row r="2492" spans="15:18" x14ac:dyDescent="0.15">
      <c r="O2492" s="7" t="str">
        <f>"REQ"&amp;TEXT([2]RequestList!$A2493,"0000")</f>
        <v>REQ0000</v>
      </c>
      <c r="P2492" s="7">
        <f>[2]RequestList!$J2493</f>
        <v>0</v>
      </c>
      <c r="Q2492" s="65">
        <f>SUMIF(日報!$R:$R,TEXT(YEAR($Q$2),"0000")&amp;TEXT(MONTH($Q$2),"00")&amp;$O2492,日報!$L:$L)</f>
        <v>0</v>
      </c>
      <c r="R2492" s="65">
        <f ca="1">SUMIF(日報!$J:$J,$O2492,日報!$L:$L)</f>
        <v>0</v>
      </c>
    </row>
    <row r="2493" spans="15:18" x14ac:dyDescent="0.15">
      <c r="O2493" s="7" t="str">
        <f>"REQ"&amp;TEXT([2]RequestList!$A2494,"0000")</f>
        <v>REQ0000</v>
      </c>
      <c r="P2493" s="7">
        <f>[2]RequestList!$J2494</f>
        <v>0</v>
      </c>
      <c r="Q2493" s="65">
        <f>SUMIF(日報!$R:$R,TEXT(YEAR($Q$2),"0000")&amp;TEXT(MONTH($Q$2),"00")&amp;$O2493,日報!$L:$L)</f>
        <v>0</v>
      </c>
      <c r="R2493" s="65">
        <f ca="1">SUMIF(日報!$J:$J,$O2493,日報!$L:$L)</f>
        <v>0</v>
      </c>
    </row>
    <row r="2494" spans="15:18" x14ac:dyDescent="0.15">
      <c r="O2494" s="7" t="str">
        <f>"REQ"&amp;TEXT([2]RequestList!$A2495,"0000")</f>
        <v>REQ0000</v>
      </c>
      <c r="P2494" s="7">
        <f>[2]RequestList!$J2495</f>
        <v>0</v>
      </c>
      <c r="Q2494" s="65">
        <f>SUMIF(日報!$R:$R,TEXT(YEAR($Q$2),"0000")&amp;TEXT(MONTH($Q$2),"00")&amp;$O2494,日報!$L:$L)</f>
        <v>0</v>
      </c>
      <c r="R2494" s="65">
        <f ca="1">SUMIF(日報!$J:$J,$O2494,日報!$L:$L)</f>
        <v>0</v>
      </c>
    </row>
    <row r="2495" spans="15:18" x14ac:dyDescent="0.15">
      <c r="O2495" s="7" t="str">
        <f>"REQ"&amp;TEXT([2]RequestList!$A2496,"0000")</f>
        <v>REQ0000</v>
      </c>
      <c r="P2495" s="7">
        <f>[2]RequestList!$J2496</f>
        <v>0</v>
      </c>
      <c r="Q2495" s="65">
        <f>SUMIF(日報!$R:$R,TEXT(YEAR($Q$2),"0000")&amp;TEXT(MONTH($Q$2),"00")&amp;$O2495,日報!$L:$L)</f>
        <v>0</v>
      </c>
      <c r="R2495" s="65">
        <f ca="1">SUMIF(日報!$J:$J,$O2495,日報!$L:$L)</f>
        <v>0</v>
      </c>
    </row>
    <row r="2496" spans="15:18" x14ac:dyDescent="0.15">
      <c r="O2496" s="7" t="str">
        <f>"REQ"&amp;TEXT([2]RequestList!$A2497,"0000")</f>
        <v>REQ0000</v>
      </c>
      <c r="P2496" s="7">
        <f>[2]RequestList!$J2497</f>
        <v>0</v>
      </c>
      <c r="Q2496" s="65">
        <f>SUMIF(日報!$R:$R,TEXT(YEAR($Q$2),"0000")&amp;TEXT(MONTH($Q$2),"00")&amp;$O2496,日報!$L:$L)</f>
        <v>0</v>
      </c>
      <c r="R2496" s="65">
        <f ca="1">SUMIF(日報!$J:$J,$O2496,日報!$L:$L)</f>
        <v>0</v>
      </c>
    </row>
    <row r="2497" spans="15:18" x14ac:dyDescent="0.15">
      <c r="O2497" s="7" t="str">
        <f>"REQ"&amp;TEXT([2]RequestList!$A2498,"0000")</f>
        <v>REQ0000</v>
      </c>
      <c r="P2497" s="7">
        <f>[2]RequestList!$J2498</f>
        <v>0</v>
      </c>
      <c r="Q2497" s="65">
        <f>SUMIF(日報!$R:$R,TEXT(YEAR($Q$2),"0000")&amp;TEXT(MONTH($Q$2),"00")&amp;$O2497,日報!$L:$L)</f>
        <v>0</v>
      </c>
      <c r="R2497" s="65">
        <f ca="1">SUMIF(日報!$J:$J,$O2497,日報!$L:$L)</f>
        <v>0</v>
      </c>
    </row>
    <row r="2498" spans="15:18" x14ac:dyDescent="0.15">
      <c r="O2498" s="7" t="str">
        <f>"REQ"&amp;TEXT([2]RequestList!$A2499,"0000")</f>
        <v>REQ0000</v>
      </c>
      <c r="P2498" s="7">
        <f>[2]RequestList!$J2499</f>
        <v>0</v>
      </c>
      <c r="Q2498" s="65">
        <f>SUMIF(日報!$R:$R,TEXT(YEAR($Q$2),"0000")&amp;TEXT(MONTH($Q$2),"00")&amp;$O2498,日報!$L:$L)</f>
        <v>0</v>
      </c>
      <c r="R2498" s="65">
        <f ca="1">SUMIF(日報!$J:$J,$O2498,日報!$L:$L)</f>
        <v>0</v>
      </c>
    </row>
    <row r="2499" spans="15:18" x14ac:dyDescent="0.15">
      <c r="O2499" s="7" t="str">
        <f>"REQ"&amp;TEXT([2]RequestList!$A2500,"0000")</f>
        <v>REQ0000</v>
      </c>
      <c r="P2499" s="7">
        <f>[2]RequestList!$J2500</f>
        <v>0</v>
      </c>
      <c r="Q2499" s="65">
        <f>SUMIF(日報!$R:$R,TEXT(YEAR($Q$2),"0000")&amp;TEXT(MONTH($Q$2),"00")&amp;$O2499,日報!$L:$L)</f>
        <v>0</v>
      </c>
      <c r="R2499" s="65">
        <f ca="1">SUMIF(日報!$J:$J,$O2499,日報!$L:$L)</f>
        <v>0</v>
      </c>
    </row>
    <row r="2500" spans="15:18" x14ac:dyDescent="0.15">
      <c r="O2500" s="7" t="str">
        <f>"REQ"&amp;TEXT([2]RequestList!$A2501,"0000")</f>
        <v>REQ0000</v>
      </c>
      <c r="P2500" s="7">
        <f>[2]RequestList!$J2501</f>
        <v>0</v>
      </c>
      <c r="Q2500" s="65">
        <f>SUMIF(日報!$R:$R,TEXT(YEAR($Q$2),"0000")&amp;TEXT(MONTH($Q$2),"00")&amp;$O2500,日報!$L:$L)</f>
        <v>0</v>
      </c>
      <c r="R2500" s="65">
        <f ca="1">SUMIF(日報!$J:$J,$O2500,日報!$L:$L)</f>
        <v>0</v>
      </c>
    </row>
    <row r="2501" spans="15:18" x14ac:dyDescent="0.15">
      <c r="O2501" s="7" t="str">
        <f>"REQ"&amp;TEXT([2]RequestList!$A2502,"0000")</f>
        <v>REQ0000</v>
      </c>
      <c r="P2501" s="7">
        <f>[2]RequestList!$J2502</f>
        <v>0</v>
      </c>
      <c r="Q2501" s="65">
        <f>SUMIF(日報!$R:$R,TEXT(YEAR($Q$2),"0000")&amp;TEXT(MONTH($Q$2),"00")&amp;$O2501,日報!$L:$L)</f>
        <v>0</v>
      </c>
      <c r="R2501" s="65">
        <f ca="1">SUMIF(日報!$J:$J,$O2501,日報!$L:$L)</f>
        <v>0</v>
      </c>
    </row>
    <row r="2502" spans="15:18" x14ac:dyDescent="0.15">
      <c r="O2502" s="7" t="str">
        <f>"REQ"&amp;TEXT([2]RequestList!$A2503,"0000")</f>
        <v>REQ0000</v>
      </c>
      <c r="P2502" s="7">
        <f>[2]RequestList!$J2503</f>
        <v>0</v>
      </c>
      <c r="Q2502" s="65">
        <f>SUMIF(日報!$R:$R,TEXT(YEAR($Q$2),"0000")&amp;TEXT(MONTH($Q$2),"00")&amp;$O2502,日報!$L:$L)</f>
        <v>0</v>
      </c>
      <c r="R2502" s="65">
        <f ca="1">SUMIF(日報!$J:$J,$O2502,日報!$L:$L)</f>
        <v>0</v>
      </c>
    </row>
    <row r="2503" spans="15:18" x14ac:dyDescent="0.15">
      <c r="O2503" s="7" t="str">
        <f>"REQ"&amp;TEXT([2]RequestList!$A2504,"0000")</f>
        <v>REQ0000</v>
      </c>
      <c r="P2503" s="7">
        <f>[2]RequestList!$J2504</f>
        <v>0</v>
      </c>
      <c r="Q2503" s="65">
        <f>SUMIF(日報!$R:$R,TEXT(YEAR($Q$2),"0000")&amp;TEXT(MONTH($Q$2),"00")&amp;$O2503,日報!$L:$L)</f>
        <v>0</v>
      </c>
      <c r="R2503" s="65">
        <f ca="1">SUMIF(日報!$J:$J,$O2503,日報!$L:$L)</f>
        <v>0</v>
      </c>
    </row>
    <row r="2504" spans="15:18" x14ac:dyDescent="0.15">
      <c r="O2504" s="7" t="str">
        <f>"REQ"&amp;TEXT([2]RequestList!$A2505,"0000")</f>
        <v>REQ0000</v>
      </c>
      <c r="P2504" s="7">
        <f>[2]RequestList!$J2505</f>
        <v>0</v>
      </c>
      <c r="Q2504" s="65">
        <f>SUMIF(日報!$R:$R,TEXT(YEAR($Q$2),"0000")&amp;TEXT(MONTH($Q$2),"00")&amp;$O2504,日報!$L:$L)</f>
        <v>0</v>
      </c>
      <c r="R2504" s="65">
        <f ca="1">SUMIF(日報!$J:$J,$O2504,日報!$L:$L)</f>
        <v>0</v>
      </c>
    </row>
    <row r="2505" spans="15:18" x14ac:dyDescent="0.15">
      <c r="O2505" s="7" t="str">
        <f>"REQ"&amp;TEXT([2]RequestList!$A2506,"0000")</f>
        <v>REQ0000</v>
      </c>
      <c r="P2505" s="7">
        <f>[2]RequestList!$J2506</f>
        <v>0</v>
      </c>
      <c r="Q2505" s="65">
        <f>SUMIF(日報!$R:$R,TEXT(YEAR($Q$2),"0000")&amp;TEXT(MONTH($Q$2),"00")&amp;$O2505,日報!$L:$L)</f>
        <v>0</v>
      </c>
      <c r="R2505" s="65">
        <f ca="1">SUMIF(日報!$J:$J,$O2505,日報!$L:$L)</f>
        <v>0</v>
      </c>
    </row>
    <row r="2506" spans="15:18" x14ac:dyDescent="0.15">
      <c r="O2506" s="7" t="str">
        <f>"REQ"&amp;TEXT([2]RequestList!$A2507,"0000")</f>
        <v>REQ0000</v>
      </c>
      <c r="P2506" s="7">
        <f>[2]RequestList!$J2507</f>
        <v>0</v>
      </c>
      <c r="Q2506" s="65">
        <f>SUMIF(日報!$R:$R,TEXT(YEAR($Q$2),"0000")&amp;TEXT(MONTH($Q$2),"00")&amp;$O2506,日報!$L:$L)</f>
        <v>0</v>
      </c>
      <c r="R2506" s="65">
        <f ca="1">SUMIF(日報!$J:$J,$O2506,日報!$L:$L)</f>
        <v>0</v>
      </c>
    </row>
    <row r="2507" spans="15:18" x14ac:dyDescent="0.15">
      <c r="O2507" s="7" t="str">
        <f>"REQ"&amp;TEXT([2]RequestList!$A2508,"0000")</f>
        <v>REQ0000</v>
      </c>
      <c r="P2507" s="7">
        <f>[2]RequestList!$J2508</f>
        <v>0</v>
      </c>
      <c r="Q2507" s="65">
        <f>SUMIF(日報!$R:$R,TEXT(YEAR($Q$2),"0000")&amp;TEXT(MONTH($Q$2),"00")&amp;$O2507,日報!$L:$L)</f>
        <v>0</v>
      </c>
      <c r="R2507" s="65">
        <f ca="1">SUMIF(日報!$J:$J,$O2507,日報!$L:$L)</f>
        <v>0</v>
      </c>
    </row>
    <row r="2508" spans="15:18" x14ac:dyDescent="0.15">
      <c r="O2508" s="7" t="str">
        <f>"REQ"&amp;TEXT([2]RequestList!$A2509,"0000")</f>
        <v>REQ0000</v>
      </c>
      <c r="P2508" s="7">
        <f>[2]RequestList!$J2509</f>
        <v>0</v>
      </c>
      <c r="Q2508" s="65">
        <f>SUMIF(日報!$R:$R,TEXT(YEAR($Q$2),"0000")&amp;TEXT(MONTH($Q$2),"00")&amp;$O2508,日報!$L:$L)</f>
        <v>0</v>
      </c>
      <c r="R2508" s="65">
        <f ca="1">SUMIF(日報!$J:$J,$O2508,日報!$L:$L)</f>
        <v>0</v>
      </c>
    </row>
    <row r="2509" spans="15:18" x14ac:dyDescent="0.15">
      <c r="O2509" s="7" t="str">
        <f>"REQ"&amp;TEXT([2]RequestList!$A2510,"0000")</f>
        <v>REQ0000</v>
      </c>
      <c r="P2509" s="7">
        <f>[2]RequestList!$J2510</f>
        <v>0</v>
      </c>
      <c r="Q2509" s="65">
        <f>SUMIF(日報!$R:$R,TEXT(YEAR($Q$2),"0000")&amp;TEXT(MONTH($Q$2),"00")&amp;$O2509,日報!$L:$L)</f>
        <v>0</v>
      </c>
      <c r="R2509" s="65">
        <f ca="1">SUMIF(日報!$J:$J,$O2509,日報!$L:$L)</f>
        <v>0</v>
      </c>
    </row>
    <row r="2510" spans="15:18" x14ac:dyDescent="0.15">
      <c r="O2510" s="7" t="str">
        <f>"REQ"&amp;TEXT([2]RequestList!$A2511,"0000")</f>
        <v>REQ0000</v>
      </c>
      <c r="P2510" s="7">
        <f>[2]RequestList!$J2511</f>
        <v>0</v>
      </c>
      <c r="Q2510" s="65">
        <f>SUMIF(日報!$R:$R,TEXT(YEAR($Q$2),"0000")&amp;TEXT(MONTH($Q$2),"00")&amp;$O2510,日報!$L:$L)</f>
        <v>0</v>
      </c>
      <c r="R2510" s="65">
        <f ca="1">SUMIF(日報!$J:$J,$O2510,日報!$L:$L)</f>
        <v>0</v>
      </c>
    </row>
    <row r="2511" spans="15:18" x14ac:dyDescent="0.15">
      <c r="O2511" s="7" t="str">
        <f>"REQ"&amp;TEXT([2]RequestList!$A2512,"0000")</f>
        <v>REQ0000</v>
      </c>
      <c r="P2511" s="7">
        <f>[2]RequestList!$J2512</f>
        <v>0</v>
      </c>
      <c r="Q2511" s="65">
        <f>SUMIF(日報!$R:$R,TEXT(YEAR($Q$2),"0000")&amp;TEXT(MONTH($Q$2),"00")&amp;$O2511,日報!$L:$L)</f>
        <v>0</v>
      </c>
      <c r="R2511" s="65">
        <f ca="1">SUMIF(日報!$J:$J,$O2511,日報!$L:$L)</f>
        <v>0</v>
      </c>
    </row>
    <row r="2512" spans="15:18" x14ac:dyDescent="0.15">
      <c r="O2512" s="7" t="str">
        <f>"REQ"&amp;TEXT([2]RequestList!$A2513,"0000")</f>
        <v>REQ0000</v>
      </c>
      <c r="P2512" s="7">
        <f>[2]RequestList!$J2513</f>
        <v>0</v>
      </c>
      <c r="Q2512" s="65">
        <f>SUMIF(日報!$R:$R,TEXT(YEAR($Q$2),"0000")&amp;TEXT(MONTH($Q$2),"00")&amp;$O2512,日報!$L:$L)</f>
        <v>0</v>
      </c>
      <c r="R2512" s="65">
        <f ca="1">SUMIF(日報!$J:$J,$O2512,日報!$L:$L)</f>
        <v>0</v>
      </c>
    </row>
    <row r="2513" spans="15:18" x14ac:dyDescent="0.15">
      <c r="O2513" s="7" t="str">
        <f>"REQ"&amp;TEXT([2]RequestList!$A2514,"0000")</f>
        <v>REQ0000</v>
      </c>
      <c r="P2513" s="7">
        <f>[2]RequestList!$J2514</f>
        <v>0</v>
      </c>
      <c r="Q2513" s="65">
        <f>SUMIF(日報!$R:$R,TEXT(YEAR($Q$2),"0000")&amp;TEXT(MONTH($Q$2),"00")&amp;$O2513,日報!$L:$L)</f>
        <v>0</v>
      </c>
      <c r="R2513" s="65">
        <f ca="1">SUMIF(日報!$J:$J,$O2513,日報!$L:$L)</f>
        <v>0</v>
      </c>
    </row>
    <row r="2514" spans="15:18" x14ac:dyDescent="0.15">
      <c r="O2514" s="7" t="str">
        <f>"REQ"&amp;TEXT([2]RequestList!$A2515,"0000")</f>
        <v>REQ0000</v>
      </c>
      <c r="P2514" s="7">
        <f>[2]RequestList!$J2515</f>
        <v>0</v>
      </c>
      <c r="Q2514" s="65">
        <f>SUMIF(日報!$R:$R,TEXT(YEAR($Q$2),"0000")&amp;TEXT(MONTH($Q$2),"00")&amp;$O2514,日報!$L:$L)</f>
        <v>0</v>
      </c>
      <c r="R2514" s="65">
        <f ca="1">SUMIF(日報!$J:$J,$O2514,日報!$L:$L)</f>
        <v>0</v>
      </c>
    </row>
    <row r="2515" spans="15:18" x14ac:dyDescent="0.15">
      <c r="O2515" s="7" t="str">
        <f>"REQ"&amp;TEXT([2]RequestList!$A2516,"0000")</f>
        <v>REQ0000</v>
      </c>
      <c r="P2515" s="7">
        <f>[2]RequestList!$J2516</f>
        <v>0</v>
      </c>
      <c r="Q2515" s="65">
        <f>SUMIF(日報!$R:$R,TEXT(YEAR($Q$2),"0000")&amp;TEXT(MONTH($Q$2),"00")&amp;$O2515,日報!$L:$L)</f>
        <v>0</v>
      </c>
      <c r="R2515" s="65">
        <f ca="1">SUMIF(日報!$J:$J,$O2515,日報!$L:$L)</f>
        <v>0</v>
      </c>
    </row>
    <row r="2516" spans="15:18" x14ac:dyDescent="0.15">
      <c r="O2516" s="7" t="str">
        <f>"REQ"&amp;TEXT([2]RequestList!$A2517,"0000")</f>
        <v>REQ0000</v>
      </c>
      <c r="P2516" s="7">
        <f>[2]RequestList!$J2517</f>
        <v>0</v>
      </c>
      <c r="Q2516" s="65">
        <f>SUMIF(日報!$R:$R,TEXT(YEAR($Q$2),"0000")&amp;TEXT(MONTH($Q$2),"00")&amp;$O2516,日報!$L:$L)</f>
        <v>0</v>
      </c>
      <c r="R2516" s="65">
        <f ca="1">SUMIF(日報!$J:$J,$O2516,日報!$L:$L)</f>
        <v>0</v>
      </c>
    </row>
    <row r="2517" spans="15:18" x14ac:dyDescent="0.15">
      <c r="O2517" s="7" t="str">
        <f>"REQ"&amp;TEXT([2]RequestList!$A2518,"0000")</f>
        <v>REQ0000</v>
      </c>
      <c r="P2517" s="7">
        <f>[2]RequestList!$J2518</f>
        <v>0</v>
      </c>
      <c r="Q2517" s="65">
        <f>SUMIF(日報!$R:$R,TEXT(YEAR($Q$2),"0000")&amp;TEXT(MONTH($Q$2),"00")&amp;$O2517,日報!$L:$L)</f>
        <v>0</v>
      </c>
      <c r="R2517" s="65">
        <f ca="1">SUMIF(日報!$J:$J,$O2517,日報!$L:$L)</f>
        <v>0</v>
      </c>
    </row>
    <row r="2518" spans="15:18" x14ac:dyDescent="0.15">
      <c r="O2518" s="7" t="str">
        <f>"REQ"&amp;TEXT([2]RequestList!$A2519,"0000")</f>
        <v>REQ0000</v>
      </c>
      <c r="P2518" s="7">
        <f>[2]RequestList!$J2519</f>
        <v>0</v>
      </c>
      <c r="Q2518" s="65">
        <f>SUMIF(日報!$R:$R,TEXT(YEAR($Q$2),"0000")&amp;TEXT(MONTH($Q$2),"00")&amp;$O2518,日報!$L:$L)</f>
        <v>0</v>
      </c>
      <c r="R2518" s="65">
        <f ca="1">SUMIF(日報!$J:$J,$O2518,日報!$L:$L)</f>
        <v>0</v>
      </c>
    </row>
    <row r="2519" spans="15:18" x14ac:dyDescent="0.15">
      <c r="O2519" s="7" t="str">
        <f>"REQ"&amp;TEXT([2]RequestList!$A2520,"0000")</f>
        <v>REQ0000</v>
      </c>
      <c r="P2519" s="7">
        <f>[2]RequestList!$J2520</f>
        <v>0</v>
      </c>
      <c r="Q2519" s="65">
        <f>SUMIF(日報!$R:$R,TEXT(YEAR($Q$2),"0000")&amp;TEXT(MONTH($Q$2),"00")&amp;$O2519,日報!$L:$L)</f>
        <v>0</v>
      </c>
      <c r="R2519" s="65">
        <f ca="1">SUMIF(日報!$J:$J,$O2519,日報!$L:$L)</f>
        <v>0</v>
      </c>
    </row>
    <row r="2520" spans="15:18" x14ac:dyDescent="0.15">
      <c r="O2520" s="7" t="str">
        <f>"REQ"&amp;TEXT([2]RequestList!$A2521,"0000")</f>
        <v>REQ0000</v>
      </c>
      <c r="P2520" s="7">
        <f>[2]RequestList!$J2521</f>
        <v>0</v>
      </c>
      <c r="Q2520" s="65">
        <f>SUMIF(日報!$R:$R,TEXT(YEAR($Q$2),"0000")&amp;TEXT(MONTH($Q$2),"00")&amp;$O2520,日報!$L:$L)</f>
        <v>0</v>
      </c>
      <c r="R2520" s="65">
        <f ca="1">SUMIF(日報!$J:$J,$O2520,日報!$L:$L)</f>
        <v>0</v>
      </c>
    </row>
    <row r="2521" spans="15:18" x14ac:dyDescent="0.15">
      <c r="O2521" s="7" t="str">
        <f>"REQ"&amp;TEXT([2]RequestList!$A2522,"0000")</f>
        <v>REQ0000</v>
      </c>
      <c r="P2521" s="7">
        <f>[2]RequestList!$J2522</f>
        <v>0</v>
      </c>
      <c r="Q2521" s="65">
        <f>SUMIF(日報!$R:$R,TEXT(YEAR($Q$2),"0000")&amp;TEXT(MONTH($Q$2),"00")&amp;$O2521,日報!$L:$L)</f>
        <v>0</v>
      </c>
      <c r="R2521" s="65">
        <f ca="1">SUMIF(日報!$J:$J,$O2521,日報!$L:$L)</f>
        <v>0</v>
      </c>
    </row>
    <row r="2522" spans="15:18" x14ac:dyDescent="0.15">
      <c r="O2522" s="7" t="str">
        <f>"REQ"&amp;TEXT([2]RequestList!$A2523,"0000")</f>
        <v>REQ0000</v>
      </c>
      <c r="P2522" s="7">
        <f>[2]RequestList!$J2523</f>
        <v>0</v>
      </c>
      <c r="Q2522" s="65">
        <f>SUMIF(日報!$R:$R,TEXT(YEAR($Q$2),"0000")&amp;TEXT(MONTH($Q$2),"00")&amp;$O2522,日報!$L:$L)</f>
        <v>0</v>
      </c>
      <c r="R2522" s="65">
        <f ca="1">SUMIF(日報!$J:$J,$O2522,日報!$L:$L)</f>
        <v>0</v>
      </c>
    </row>
    <row r="2523" spans="15:18" x14ac:dyDescent="0.15">
      <c r="O2523" s="7" t="str">
        <f>"REQ"&amp;TEXT([2]RequestList!$A2524,"0000")</f>
        <v>REQ0000</v>
      </c>
      <c r="P2523" s="7">
        <f>[2]RequestList!$J2524</f>
        <v>0</v>
      </c>
      <c r="Q2523" s="65">
        <f>SUMIF(日報!$R:$R,TEXT(YEAR($Q$2),"0000")&amp;TEXT(MONTH($Q$2),"00")&amp;$O2523,日報!$L:$L)</f>
        <v>0</v>
      </c>
      <c r="R2523" s="65">
        <f ca="1">SUMIF(日報!$J:$J,$O2523,日報!$L:$L)</f>
        <v>0</v>
      </c>
    </row>
    <row r="2524" spans="15:18" x14ac:dyDescent="0.15">
      <c r="O2524" s="7" t="str">
        <f>"REQ"&amp;TEXT([2]RequestList!$A2525,"0000")</f>
        <v>REQ0000</v>
      </c>
      <c r="P2524" s="7">
        <f>[2]RequestList!$J2525</f>
        <v>0</v>
      </c>
      <c r="Q2524" s="65">
        <f>SUMIF(日報!$R:$R,TEXT(YEAR($Q$2),"0000")&amp;TEXT(MONTH($Q$2),"00")&amp;$O2524,日報!$L:$L)</f>
        <v>0</v>
      </c>
      <c r="R2524" s="65">
        <f ca="1">SUMIF(日報!$J:$J,$O2524,日報!$L:$L)</f>
        <v>0</v>
      </c>
    </row>
    <row r="2525" spans="15:18" x14ac:dyDescent="0.15">
      <c r="O2525" s="7" t="str">
        <f>"REQ"&amp;TEXT([2]RequestList!$A2526,"0000")</f>
        <v>REQ0000</v>
      </c>
      <c r="P2525" s="7">
        <f>[2]RequestList!$J2526</f>
        <v>0</v>
      </c>
      <c r="Q2525" s="65">
        <f>SUMIF(日報!$R:$R,TEXT(YEAR($Q$2),"0000")&amp;TEXT(MONTH($Q$2),"00")&amp;$O2525,日報!$L:$L)</f>
        <v>0</v>
      </c>
      <c r="R2525" s="65">
        <f ca="1">SUMIF(日報!$J:$J,$O2525,日報!$L:$L)</f>
        <v>0</v>
      </c>
    </row>
    <row r="2526" spans="15:18" x14ac:dyDescent="0.15">
      <c r="O2526" s="7" t="str">
        <f>"REQ"&amp;TEXT([2]RequestList!$A2527,"0000")</f>
        <v>REQ0000</v>
      </c>
      <c r="P2526" s="7">
        <f>[2]RequestList!$J2527</f>
        <v>0</v>
      </c>
      <c r="Q2526" s="65">
        <f>SUMIF(日報!$R:$R,TEXT(YEAR($Q$2),"0000")&amp;TEXT(MONTH($Q$2),"00")&amp;$O2526,日報!$L:$L)</f>
        <v>0</v>
      </c>
      <c r="R2526" s="65">
        <f ca="1">SUMIF(日報!$J:$J,$O2526,日報!$L:$L)</f>
        <v>0</v>
      </c>
    </row>
    <row r="2527" spans="15:18" x14ac:dyDescent="0.15">
      <c r="O2527" s="7" t="str">
        <f>"REQ"&amp;TEXT([2]RequestList!$A2528,"0000")</f>
        <v>REQ0000</v>
      </c>
      <c r="P2527" s="7">
        <f>[2]RequestList!$J2528</f>
        <v>0</v>
      </c>
      <c r="Q2527" s="65">
        <f>SUMIF(日報!$R:$R,TEXT(YEAR($Q$2),"0000")&amp;TEXT(MONTH($Q$2),"00")&amp;$O2527,日報!$L:$L)</f>
        <v>0</v>
      </c>
      <c r="R2527" s="65">
        <f ca="1">SUMIF(日報!$J:$J,$O2527,日報!$L:$L)</f>
        <v>0</v>
      </c>
    </row>
    <row r="2528" spans="15:18" x14ac:dyDescent="0.15">
      <c r="O2528" s="7" t="str">
        <f>"REQ"&amp;TEXT([2]RequestList!$A2529,"0000")</f>
        <v>REQ0000</v>
      </c>
      <c r="P2528" s="7">
        <f>[2]RequestList!$J2529</f>
        <v>0</v>
      </c>
      <c r="Q2528" s="65">
        <f>SUMIF(日報!$R:$R,TEXT(YEAR($Q$2),"0000")&amp;TEXT(MONTH($Q$2),"00")&amp;$O2528,日報!$L:$L)</f>
        <v>0</v>
      </c>
      <c r="R2528" s="65">
        <f ca="1">SUMIF(日報!$J:$J,$O2528,日報!$L:$L)</f>
        <v>0</v>
      </c>
    </row>
    <row r="2529" spans="15:18" x14ac:dyDescent="0.15">
      <c r="O2529" s="7" t="str">
        <f>"REQ"&amp;TEXT([2]RequestList!$A2530,"0000")</f>
        <v>REQ0000</v>
      </c>
      <c r="P2529" s="7">
        <f>[2]RequestList!$J2530</f>
        <v>0</v>
      </c>
      <c r="Q2529" s="65">
        <f>SUMIF(日報!$R:$R,TEXT(YEAR($Q$2),"0000")&amp;TEXT(MONTH($Q$2),"00")&amp;$O2529,日報!$L:$L)</f>
        <v>0</v>
      </c>
      <c r="R2529" s="65">
        <f ca="1">SUMIF(日報!$J:$J,$O2529,日報!$L:$L)</f>
        <v>0</v>
      </c>
    </row>
    <row r="2530" spans="15:18" x14ac:dyDescent="0.15">
      <c r="O2530" s="7" t="str">
        <f>"REQ"&amp;TEXT([2]RequestList!$A2531,"0000")</f>
        <v>REQ0000</v>
      </c>
      <c r="P2530" s="7">
        <f>[2]RequestList!$J2531</f>
        <v>0</v>
      </c>
      <c r="Q2530" s="65">
        <f>SUMIF(日報!$R:$R,TEXT(YEAR($Q$2),"0000")&amp;TEXT(MONTH($Q$2),"00")&amp;$O2530,日報!$L:$L)</f>
        <v>0</v>
      </c>
      <c r="R2530" s="65">
        <f ca="1">SUMIF(日報!$J:$J,$O2530,日報!$L:$L)</f>
        <v>0</v>
      </c>
    </row>
    <row r="2531" spans="15:18" x14ac:dyDescent="0.15">
      <c r="O2531" s="7" t="str">
        <f>"REQ"&amp;TEXT([2]RequestList!$A2532,"0000")</f>
        <v>REQ0000</v>
      </c>
      <c r="P2531" s="7">
        <f>[2]RequestList!$J2532</f>
        <v>0</v>
      </c>
      <c r="Q2531" s="65">
        <f>SUMIF(日報!$R:$R,TEXT(YEAR($Q$2),"0000")&amp;TEXT(MONTH($Q$2),"00")&amp;$O2531,日報!$L:$L)</f>
        <v>0</v>
      </c>
      <c r="R2531" s="65">
        <f ca="1">SUMIF(日報!$J:$J,$O2531,日報!$L:$L)</f>
        <v>0</v>
      </c>
    </row>
    <row r="2532" spans="15:18" x14ac:dyDescent="0.15">
      <c r="O2532" s="7" t="str">
        <f>"REQ"&amp;TEXT([2]RequestList!$A2533,"0000")</f>
        <v>REQ0000</v>
      </c>
      <c r="P2532" s="7">
        <f>[2]RequestList!$J2533</f>
        <v>0</v>
      </c>
      <c r="Q2532" s="65">
        <f>SUMIF(日報!$R:$R,TEXT(YEAR($Q$2),"0000")&amp;TEXT(MONTH($Q$2),"00")&amp;$O2532,日報!$L:$L)</f>
        <v>0</v>
      </c>
      <c r="R2532" s="65">
        <f ca="1">SUMIF(日報!$J:$J,$O2532,日報!$L:$L)</f>
        <v>0</v>
      </c>
    </row>
    <row r="2533" spans="15:18" x14ac:dyDescent="0.15">
      <c r="O2533" s="7" t="str">
        <f>"REQ"&amp;TEXT([2]RequestList!$A2534,"0000")</f>
        <v>REQ0000</v>
      </c>
      <c r="P2533" s="7">
        <f>[2]RequestList!$J2534</f>
        <v>0</v>
      </c>
      <c r="Q2533" s="65">
        <f>SUMIF(日報!$R:$R,TEXT(YEAR($Q$2),"0000")&amp;TEXT(MONTH($Q$2),"00")&amp;$O2533,日報!$L:$L)</f>
        <v>0</v>
      </c>
      <c r="R2533" s="65">
        <f ca="1">SUMIF(日報!$J:$J,$O2533,日報!$L:$L)</f>
        <v>0</v>
      </c>
    </row>
    <row r="2534" spans="15:18" x14ac:dyDescent="0.15">
      <c r="O2534" s="7" t="str">
        <f>"REQ"&amp;TEXT([2]RequestList!$A2535,"0000")</f>
        <v>REQ0000</v>
      </c>
      <c r="P2534" s="7">
        <f>[2]RequestList!$J2535</f>
        <v>0</v>
      </c>
      <c r="Q2534" s="65">
        <f>SUMIF(日報!$R:$R,TEXT(YEAR($Q$2),"0000")&amp;TEXT(MONTH($Q$2),"00")&amp;$O2534,日報!$L:$L)</f>
        <v>0</v>
      </c>
      <c r="R2534" s="65">
        <f ca="1">SUMIF(日報!$J:$J,$O2534,日報!$L:$L)</f>
        <v>0</v>
      </c>
    </row>
    <row r="2535" spans="15:18" x14ac:dyDescent="0.15">
      <c r="O2535" s="7" t="str">
        <f>"REQ"&amp;TEXT([2]RequestList!$A2536,"0000")</f>
        <v>REQ0000</v>
      </c>
      <c r="P2535" s="7">
        <f>[2]RequestList!$J2536</f>
        <v>0</v>
      </c>
      <c r="Q2535" s="65">
        <f>SUMIF(日報!$R:$R,TEXT(YEAR($Q$2),"0000")&amp;TEXT(MONTH($Q$2),"00")&amp;$O2535,日報!$L:$L)</f>
        <v>0</v>
      </c>
      <c r="R2535" s="65">
        <f ca="1">SUMIF(日報!$J:$J,$O2535,日報!$L:$L)</f>
        <v>0</v>
      </c>
    </row>
    <row r="2536" spans="15:18" x14ac:dyDescent="0.15">
      <c r="O2536" s="7" t="str">
        <f>"REQ"&amp;TEXT([2]RequestList!$A2537,"0000")</f>
        <v>REQ0000</v>
      </c>
      <c r="P2536" s="7">
        <f>[2]RequestList!$J2537</f>
        <v>0</v>
      </c>
      <c r="Q2536" s="65">
        <f>SUMIF(日報!$R:$R,TEXT(YEAR($Q$2),"0000")&amp;TEXT(MONTH($Q$2),"00")&amp;$O2536,日報!$L:$L)</f>
        <v>0</v>
      </c>
      <c r="R2536" s="65">
        <f ca="1">SUMIF(日報!$J:$J,$O2536,日報!$L:$L)</f>
        <v>0</v>
      </c>
    </row>
    <row r="2537" spans="15:18" x14ac:dyDescent="0.15">
      <c r="O2537" s="7" t="str">
        <f>"REQ"&amp;TEXT([2]RequestList!$A2538,"0000")</f>
        <v>REQ0000</v>
      </c>
      <c r="P2537" s="7">
        <f>[2]RequestList!$J2538</f>
        <v>0</v>
      </c>
      <c r="Q2537" s="65">
        <f>SUMIF(日報!$R:$R,TEXT(YEAR($Q$2),"0000")&amp;TEXT(MONTH($Q$2),"00")&amp;$O2537,日報!$L:$L)</f>
        <v>0</v>
      </c>
      <c r="R2537" s="65">
        <f ca="1">SUMIF(日報!$J:$J,$O2537,日報!$L:$L)</f>
        <v>0</v>
      </c>
    </row>
    <row r="2538" spans="15:18" x14ac:dyDescent="0.15">
      <c r="O2538" s="7" t="str">
        <f>"REQ"&amp;TEXT([2]RequestList!$A2539,"0000")</f>
        <v>REQ0000</v>
      </c>
      <c r="P2538" s="7">
        <f>[2]RequestList!$J2539</f>
        <v>0</v>
      </c>
      <c r="Q2538" s="65">
        <f>SUMIF(日報!$R:$R,TEXT(YEAR($Q$2),"0000")&amp;TEXT(MONTH($Q$2),"00")&amp;$O2538,日報!$L:$L)</f>
        <v>0</v>
      </c>
      <c r="R2538" s="65">
        <f ca="1">SUMIF(日報!$J:$J,$O2538,日報!$L:$L)</f>
        <v>0</v>
      </c>
    </row>
    <row r="2539" spans="15:18" x14ac:dyDescent="0.15">
      <c r="O2539" s="7" t="str">
        <f>"REQ"&amp;TEXT([2]RequestList!$A2540,"0000")</f>
        <v>REQ0000</v>
      </c>
      <c r="P2539" s="7">
        <f>[2]RequestList!$J2540</f>
        <v>0</v>
      </c>
      <c r="Q2539" s="65">
        <f>SUMIF(日報!$R:$R,TEXT(YEAR($Q$2),"0000")&amp;TEXT(MONTH($Q$2),"00")&amp;$O2539,日報!$L:$L)</f>
        <v>0</v>
      </c>
      <c r="R2539" s="65">
        <f ca="1">SUMIF(日報!$J:$J,$O2539,日報!$L:$L)</f>
        <v>0</v>
      </c>
    </row>
    <row r="2540" spans="15:18" x14ac:dyDescent="0.15">
      <c r="O2540" s="7" t="str">
        <f>"REQ"&amp;TEXT([2]RequestList!$A2541,"0000")</f>
        <v>REQ0000</v>
      </c>
      <c r="P2540" s="7">
        <f>[2]RequestList!$J2541</f>
        <v>0</v>
      </c>
      <c r="Q2540" s="65">
        <f>SUMIF(日報!$R:$R,TEXT(YEAR($Q$2),"0000")&amp;TEXT(MONTH($Q$2),"00")&amp;$O2540,日報!$L:$L)</f>
        <v>0</v>
      </c>
      <c r="R2540" s="65">
        <f ca="1">SUMIF(日報!$J:$J,$O2540,日報!$L:$L)</f>
        <v>0</v>
      </c>
    </row>
    <row r="2541" spans="15:18" x14ac:dyDescent="0.15">
      <c r="O2541" s="7" t="str">
        <f>"REQ"&amp;TEXT([2]RequestList!$A2542,"0000")</f>
        <v>REQ0000</v>
      </c>
      <c r="P2541" s="7">
        <f>[2]RequestList!$J2542</f>
        <v>0</v>
      </c>
      <c r="Q2541" s="65">
        <f>SUMIF(日報!$R:$R,TEXT(YEAR($Q$2),"0000")&amp;TEXT(MONTH($Q$2),"00")&amp;$O2541,日報!$L:$L)</f>
        <v>0</v>
      </c>
      <c r="R2541" s="65">
        <f ca="1">SUMIF(日報!$J:$J,$O2541,日報!$L:$L)</f>
        <v>0</v>
      </c>
    </row>
    <row r="2542" spans="15:18" x14ac:dyDescent="0.15">
      <c r="O2542" s="7" t="str">
        <f>"REQ"&amp;TEXT([2]RequestList!$A2543,"0000")</f>
        <v>REQ0000</v>
      </c>
      <c r="P2542" s="7">
        <f>[2]RequestList!$J2543</f>
        <v>0</v>
      </c>
      <c r="Q2542" s="65">
        <f>SUMIF(日報!$R:$R,TEXT(YEAR($Q$2),"0000")&amp;TEXT(MONTH($Q$2),"00")&amp;$O2542,日報!$L:$L)</f>
        <v>0</v>
      </c>
      <c r="R2542" s="65">
        <f ca="1">SUMIF(日報!$J:$J,$O2542,日報!$L:$L)</f>
        <v>0</v>
      </c>
    </row>
    <row r="2543" spans="15:18" x14ac:dyDescent="0.15">
      <c r="O2543" s="7" t="str">
        <f>"REQ"&amp;TEXT([2]RequestList!$A2544,"0000")</f>
        <v>REQ0000</v>
      </c>
      <c r="P2543" s="7">
        <f>[2]RequestList!$J2544</f>
        <v>0</v>
      </c>
      <c r="Q2543" s="65">
        <f>SUMIF(日報!$R:$R,TEXT(YEAR($Q$2),"0000")&amp;TEXT(MONTH($Q$2),"00")&amp;$O2543,日報!$L:$L)</f>
        <v>0</v>
      </c>
      <c r="R2543" s="65">
        <f ca="1">SUMIF(日報!$J:$J,$O2543,日報!$L:$L)</f>
        <v>0</v>
      </c>
    </row>
    <row r="2544" spans="15:18" x14ac:dyDescent="0.15">
      <c r="O2544" s="7" t="str">
        <f>"REQ"&amp;TEXT([2]RequestList!$A2545,"0000")</f>
        <v>REQ0000</v>
      </c>
      <c r="P2544" s="7">
        <f>[2]RequestList!$J2545</f>
        <v>0</v>
      </c>
      <c r="Q2544" s="65">
        <f>SUMIF(日報!$R:$R,TEXT(YEAR($Q$2),"0000")&amp;TEXT(MONTH($Q$2),"00")&amp;$O2544,日報!$L:$L)</f>
        <v>0</v>
      </c>
      <c r="R2544" s="65">
        <f ca="1">SUMIF(日報!$J:$J,$O2544,日報!$L:$L)</f>
        <v>0</v>
      </c>
    </row>
    <row r="2545" spans="15:18" x14ac:dyDescent="0.15">
      <c r="O2545" s="7" t="str">
        <f>"REQ"&amp;TEXT([2]RequestList!$A2546,"0000")</f>
        <v>REQ0000</v>
      </c>
      <c r="P2545" s="7">
        <f>[2]RequestList!$J2546</f>
        <v>0</v>
      </c>
      <c r="Q2545" s="65">
        <f>SUMIF(日報!$R:$R,TEXT(YEAR($Q$2),"0000")&amp;TEXT(MONTH($Q$2),"00")&amp;$O2545,日報!$L:$L)</f>
        <v>0</v>
      </c>
      <c r="R2545" s="65">
        <f ca="1">SUMIF(日報!$J:$J,$O2545,日報!$L:$L)</f>
        <v>0</v>
      </c>
    </row>
    <row r="2546" spans="15:18" x14ac:dyDescent="0.15">
      <c r="O2546" s="7" t="str">
        <f>"REQ"&amp;TEXT([2]RequestList!$A2547,"0000")</f>
        <v>REQ0000</v>
      </c>
      <c r="P2546" s="7">
        <f>[2]RequestList!$J2547</f>
        <v>0</v>
      </c>
      <c r="Q2546" s="65">
        <f>SUMIF(日報!$R:$R,TEXT(YEAR($Q$2),"0000")&amp;TEXT(MONTH($Q$2),"00")&amp;$O2546,日報!$L:$L)</f>
        <v>0</v>
      </c>
      <c r="R2546" s="65">
        <f ca="1">SUMIF(日報!$J:$J,$O2546,日報!$L:$L)</f>
        <v>0</v>
      </c>
    </row>
    <row r="2547" spans="15:18" x14ac:dyDescent="0.15">
      <c r="O2547" s="7" t="str">
        <f>"REQ"&amp;TEXT([2]RequestList!$A2548,"0000")</f>
        <v>REQ0000</v>
      </c>
      <c r="P2547" s="7">
        <f>[2]RequestList!$J2548</f>
        <v>0</v>
      </c>
      <c r="Q2547" s="65">
        <f>SUMIF(日報!$R:$R,TEXT(YEAR($Q$2),"0000")&amp;TEXT(MONTH($Q$2),"00")&amp;$O2547,日報!$L:$L)</f>
        <v>0</v>
      </c>
      <c r="R2547" s="65">
        <f ca="1">SUMIF(日報!$J:$J,$O2547,日報!$L:$L)</f>
        <v>0</v>
      </c>
    </row>
    <row r="2548" spans="15:18" x14ac:dyDescent="0.15">
      <c r="O2548" s="7" t="str">
        <f>"REQ"&amp;TEXT([2]RequestList!$A2549,"0000")</f>
        <v>REQ0000</v>
      </c>
      <c r="P2548" s="7">
        <f>[2]RequestList!$J2549</f>
        <v>0</v>
      </c>
      <c r="Q2548" s="65">
        <f>SUMIF(日報!$R:$R,TEXT(YEAR($Q$2),"0000")&amp;TEXT(MONTH($Q$2),"00")&amp;$O2548,日報!$L:$L)</f>
        <v>0</v>
      </c>
      <c r="R2548" s="65">
        <f ca="1">SUMIF(日報!$J:$J,$O2548,日報!$L:$L)</f>
        <v>0</v>
      </c>
    </row>
    <row r="2549" spans="15:18" x14ac:dyDescent="0.15">
      <c r="O2549" s="7" t="str">
        <f>"REQ"&amp;TEXT([2]RequestList!$A2550,"0000")</f>
        <v>REQ0000</v>
      </c>
      <c r="P2549" s="7">
        <f>[2]RequestList!$J2550</f>
        <v>0</v>
      </c>
      <c r="Q2549" s="65">
        <f>SUMIF(日報!$R:$R,TEXT(YEAR($Q$2),"0000")&amp;TEXT(MONTH($Q$2),"00")&amp;$O2549,日報!$L:$L)</f>
        <v>0</v>
      </c>
      <c r="R2549" s="65">
        <f ca="1">SUMIF(日報!$J:$J,$O2549,日報!$L:$L)</f>
        <v>0</v>
      </c>
    </row>
    <row r="2550" spans="15:18" x14ac:dyDescent="0.15">
      <c r="O2550" s="7" t="str">
        <f>"REQ"&amp;TEXT([2]RequestList!$A2551,"0000")</f>
        <v>REQ0000</v>
      </c>
      <c r="P2550" s="7">
        <f>[2]RequestList!$J2551</f>
        <v>0</v>
      </c>
      <c r="Q2550" s="65">
        <f>SUMIF(日報!$R:$R,TEXT(YEAR($Q$2),"0000")&amp;TEXT(MONTH($Q$2),"00")&amp;$O2550,日報!$L:$L)</f>
        <v>0</v>
      </c>
      <c r="R2550" s="65">
        <f ca="1">SUMIF(日報!$J:$J,$O2550,日報!$L:$L)</f>
        <v>0</v>
      </c>
    </row>
    <row r="2551" spans="15:18" x14ac:dyDescent="0.15">
      <c r="O2551" s="7" t="str">
        <f>"REQ"&amp;TEXT([2]RequestList!$A2552,"0000")</f>
        <v>REQ0000</v>
      </c>
      <c r="P2551" s="7">
        <f>[2]RequestList!$J2552</f>
        <v>0</v>
      </c>
      <c r="Q2551" s="65">
        <f>SUMIF(日報!$R:$R,TEXT(YEAR($Q$2),"0000")&amp;TEXT(MONTH($Q$2),"00")&amp;$O2551,日報!$L:$L)</f>
        <v>0</v>
      </c>
      <c r="R2551" s="65">
        <f ca="1">SUMIF(日報!$J:$J,$O2551,日報!$L:$L)</f>
        <v>0</v>
      </c>
    </row>
    <row r="2552" spans="15:18" x14ac:dyDescent="0.15">
      <c r="O2552" s="7" t="str">
        <f>"REQ"&amp;TEXT([2]RequestList!$A2553,"0000")</f>
        <v>REQ0000</v>
      </c>
      <c r="P2552" s="7">
        <f>[2]RequestList!$J2553</f>
        <v>0</v>
      </c>
      <c r="Q2552" s="65">
        <f>SUMIF(日報!$R:$R,TEXT(YEAR($Q$2),"0000")&amp;TEXT(MONTH($Q$2),"00")&amp;$O2552,日報!$L:$L)</f>
        <v>0</v>
      </c>
      <c r="R2552" s="65">
        <f ca="1">SUMIF(日報!$J:$J,$O2552,日報!$L:$L)</f>
        <v>0</v>
      </c>
    </row>
    <row r="2553" spans="15:18" x14ac:dyDescent="0.15">
      <c r="O2553" s="7" t="str">
        <f>"REQ"&amp;TEXT([2]RequestList!$A2554,"0000")</f>
        <v>REQ0000</v>
      </c>
      <c r="P2553" s="7">
        <f>[2]RequestList!$J2554</f>
        <v>0</v>
      </c>
      <c r="Q2553" s="65">
        <f>SUMIF(日報!$R:$R,TEXT(YEAR($Q$2),"0000")&amp;TEXT(MONTH($Q$2),"00")&amp;$O2553,日報!$L:$L)</f>
        <v>0</v>
      </c>
      <c r="R2553" s="65">
        <f ca="1">SUMIF(日報!$J:$J,$O2553,日報!$L:$L)</f>
        <v>0</v>
      </c>
    </row>
    <row r="2554" spans="15:18" x14ac:dyDescent="0.15">
      <c r="O2554" s="7" t="str">
        <f>"REQ"&amp;TEXT([2]RequestList!$A2555,"0000")</f>
        <v>REQ0000</v>
      </c>
      <c r="P2554" s="7">
        <f>[2]RequestList!$J2555</f>
        <v>0</v>
      </c>
      <c r="Q2554" s="65">
        <f>SUMIF(日報!$R:$R,TEXT(YEAR($Q$2),"0000")&amp;TEXT(MONTH($Q$2),"00")&amp;$O2554,日報!$L:$L)</f>
        <v>0</v>
      </c>
      <c r="R2554" s="65">
        <f ca="1">SUMIF(日報!$J:$J,$O2554,日報!$L:$L)</f>
        <v>0</v>
      </c>
    </row>
    <row r="2555" spans="15:18" x14ac:dyDescent="0.15">
      <c r="O2555" s="7" t="str">
        <f>"REQ"&amp;TEXT([2]RequestList!$A2556,"0000")</f>
        <v>REQ0000</v>
      </c>
      <c r="P2555" s="7">
        <f>[2]RequestList!$J2556</f>
        <v>0</v>
      </c>
      <c r="Q2555" s="65">
        <f>SUMIF(日報!$R:$R,TEXT(YEAR($Q$2),"0000")&amp;TEXT(MONTH($Q$2),"00")&amp;$O2555,日報!$L:$L)</f>
        <v>0</v>
      </c>
      <c r="R2555" s="65">
        <f ca="1">SUMIF(日報!$J:$J,$O2555,日報!$L:$L)</f>
        <v>0</v>
      </c>
    </row>
    <row r="2556" spans="15:18" x14ac:dyDescent="0.15">
      <c r="O2556" s="7" t="str">
        <f>"REQ"&amp;TEXT([2]RequestList!$A2557,"0000")</f>
        <v>REQ0000</v>
      </c>
      <c r="P2556" s="7">
        <f>[2]RequestList!$J2557</f>
        <v>0</v>
      </c>
      <c r="Q2556" s="65">
        <f>SUMIF(日報!$R:$R,TEXT(YEAR($Q$2),"0000")&amp;TEXT(MONTH($Q$2),"00")&amp;$O2556,日報!$L:$L)</f>
        <v>0</v>
      </c>
      <c r="R2556" s="65">
        <f ca="1">SUMIF(日報!$J:$J,$O2556,日報!$L:$L)</f>
        <v>0</v>
      </c>
    </row>
    <row r="2557" spans="15:18" x14ac:dyDescent="0.15">
      <c r="O2557" s="7" t="str">
        <f>"REQ"&amp;TEXT([2]RequestList!$A2558,"0000")</f>
        <v>REQ0000</v>
      </c>
      <c r="P2557" s="7">
        <f>[2]RequestList!$J2558</f>
        <v>0</v>
      </c>
      <c r="Q2557" s="65">
        <f>SUMIF(日報!$R:$R,TEXT(YEAR($Q$2),"0000")&amp;TEXT(MONTH($Q$2),"00")&amp;$O2557,日報!$L:$L)</f>
        <v>0</v>
      </c>
      <c r="R2557" s="65">
        <f ca="1">SUMIF(日報!$J:$J,$O2557,日報!$L:$L)</f>
        <v>0</v>
      </c>
    </row>
    <row r="2558" spans="15:18" x14ac:dyDescent="0.15">
      <c r="O2558" s="7" t="str">
        <f>"REQ"&amp;TEXT([2]RequestList!$A2559,"0000")</f>
        <v>REQ0000</v>
      </c>
      <c r="P2558" s="7">
        <f>[2]RequestList!$J2559</f>
        <v>0</v>
      </c>
      <c r="Q2558" s="65">
        <f>SUMIF(日報!$R:$R,TEXT(YEAR($Q$2),"0000")&amp;TEXT(MONTH($Q$2),"00")&amp;$O2558,日報!$L:$L)</f>
        <v>0</v>
      </c>
      <c r="R2558" s="65">
        <f ca="1">SUMIF(日報!$J:$J,$O2558,日報!$L:$L)</f>
        <v>0</v>
      </c>
    </row>
    <row r="2559" spans="15:18" x14ac:dyDescent="0.15">
      <c r="O2559" s="7" t="str">
        <f>"REQ"&amp;TEXT([2]RequestList!$A2560,"0000")</f>
        <v>REQ0000</v>
      </c>
      <c r="P2559" s="7">
        <f>[2]RequestList!$J2560</f>
        <v>0</v>
      </c>
      <c r="Q2559" s="65">
        <f>SUMIF(日報!$R:$R,TEXT(YEAR($Q$2),"0000")&amp;TEXT(MONTH($Q$2),"00")&amp;$O2559,日報!$L:$L)</f>
        <v>0</v>
      </c>
      <c r="R2559" s="65">
        <f ca="1">SUMIF(日報!$J:$J,$O2559,日報!$L:$L)</f>
        <v>0</v>
      </c>
    </row>
    <row r="2560" spans="15:18" x14ac:dyDescent="0.15">
      <c r="O2560" s="7" t="str">
        <f>"REQ"&amp;TEXT([2]RequestList!$A2561,"0000")</f>
        <v>REQ0000</v>
      </c>
      <c r="P2560" s="7">
        <f>[2]RequestList!$J2561</f>
        <v>0</v>
      </c>
      <c r="Q2560" s="65">
        <f>SUMIF(日報!$R:$R,TEXT(YEAR($Q$2),"0000")&amp;TEXT(MONTH($Q$2),"00")&amp;$O2560,日報!$L:$L)</f>
        <v>0</v>
      </c>
      <c r="R2560" s="65">
        <f ca="1">SUMIF(日報!$J:$J,$O2560,日報!$L:$L)</f>
        <v>0</v>
      </c>
    </row>
    <row r="2561" spans="15:18" x14ac:dyDescent="0.15">
      <c r="O2561" s="7" t="str">
        <f>"REQ"&amp;TEXT([2]RequestList!$A2562,"0000")</f>
        <v>REQ0000</v>
      </c>
      <c r="P2561" s="7">
        <f>[2]RequestList!$J2562</f>
        <v>0</v>
      </c>
      <c r="Q2561" s="65">
        <f>SUMIF(日報!$R:$R,TEXT(YEAR($Q$2),"0000")&amp;TEXT(MONTH($Q$2),"00")&amp;$O2561,日報!$L:$L)</f>
        <v>0</v>
      </c>
      <c r="R2561" s="65">
        <f ca="1">SUMIF(日報!$J:$J,$O2561,日報!$L:$L)</f>
        <v>0</v>
      </c>
    </row>
    <row r="2562" spans="15:18" x14ac:dyDescent="0.15">
      <c r="O2562" s="7" t="str">
        <f>"REQ"&amp;TEXT([2]RequestList!$A2563,"0000")</f>
        <v>REQ0000</v>
      </c>
      <c r="P2562" s="7">
        <f>[2]RequestList!$J2563</f>
        <v>0</v>
      </c>
      <c r="Q2562" s="65">
        <f>SUMIF(日報!$R:$R,TEXT(YEAR($Q$2),"0000")&amp;TEXT(MONTH($Q$2),"00")&amp;$O2562,日報!$L:$L)</f>
        <v>0</v>
      </c>
      <c r="R2562" s="65">
        <f ca="1">SUMIF(日報!$J:$J,$O2562,日報!$L:$L)</f>
        <v>0</v>
      </c>
    </row>
    <row r="2563" spans="15:18" x14ac:dyDescent="0.15">
      <c r="O2563" s="7" t="str">
        <f>"REQ"&amp;TEXT([2]RequestList!$A2564,"0000")</f>
        <v>REQ0000</v>
      </c>
      <c r="P2563" s="7">
        <f>[2]RequestList!$J2564</f>
        <v>0</v>
      </c>
      <c r="Q2563" s="65">
        <f>SUMIF(日報!$R:$R,TEXT(YEAR($Q$2),"0000")&amp;TEXT(MONTH($Q$2),"00")&amp;$O2563,日報!$L:$L)</f>
        <v>0</v>
      </c>
      <c r="R2563" s="65">
        <f ca="1">SUMIF(日報!$J:$J,$O2563,日報!$L:$L)</f>
        <v>0</v>
      </c>
    </row>
    <row r="2564" spans="15:18" x14ac:dyDescent="0.15">
      <c r="O2564" s="7" t="str">
        <f>"REQ"&amp;TEXT([2]RequestList!$A2565,"0000")</f>
        <v>REQ0000</v>
      </c>
      <c r="P2564" s="7">
        <f>[2]RequestList!$J2565</f>
        <v>0</v>
      </c>
      <c r="Q2564" s="65">
        <f>SUMIF(日報!$R:$R,TEXT(YEAR($Q$2),"0000")&amp;TEXT(MONTH($Q$2),"00")&amp;$O2564,日報!$L:$L)</f>
        <v>0</v>
      </c>
      <c r="R2564" s="65">
        <f ca="1">SUMIF(日報!$J:$J,$O2564,日報!$L:$L)</f>
        <v>0</v>
      </c>
    </row>
    <row r="2565" spans="15:18" x14ac:dyDescent="0.15">
      <c r="O2565" s="7" t="str">
        <f>"REQ"&amp;TEXT([2]RequestList!$A2566,"0000")</f>
        <v>REQ0000</v>
      </c>
      <c r="P2565" s="7">
        <f>[2]RequestList!$J2566</f>
        <v>0</v>
      </c>
      <c r="Q2565" s="65">
        <f>SUMIF(日報!$R:$R,TEXT(YEAR($Q$2),"0000")&amp;TEXT(MONTH($Q$2),"00")&amp;$O2565,日報!$L:$L)</f>
        <v>0</v>
      </c>
      <c r="R2565" s="65">
        <f ca="1">SUMIF(日報!$J:$J,$O2565,日報!$L:$L)</f>
        <v>0</v>
      </c>
    </row>
    <row r="2566" spans="15:18" x14ac:dyDescent="0.15">
      <c r="O2566" s="7" t="str">
        <f>"REQ"&amp;TEXT([2]RequestList!$A2567,"0000")</f>
        <v>REQ0000</v>
      </c>
      <c r="P2566" s="7">
        <f>[2]RequestList!$J2567</f>
        <v>0</v>
      </c>
      <c r="Q2566" s="65">
        <f>SUMIF(日報!$R:$R,TEXT(YEAR($Q$2),"0000")&amp;TEXT(MONTH($Q$2),"00")&amp;$O2566,日報!$L:$L)</f>
        <v>0</v>
      </c>
      <c r="R2566" s="65">
        <f ca="1">SUMIF(日報!$J:$J,$O2566,日報!$L:$L)</f>
        <v>0</v>
      </c>
    </row>
    <row r="2567" spans="15:18" x14ac:dyDescent="0.15">
      <c r="O2567" s="7" t="str">
        <f>"REQ"&amp;TEXT([2]RequestList!$A2568,"0000")</f>
        <v>REQ0000</v>
      </c>
      <c r="P2567" s="7">
        <f>[2]RequestList!$J2568</f>
        <v>0</v>
      </c>
      <c r="Q2567" s="65">
        <f>SUMIF(日報!$R:$R,TEXT(YEAR($Q$2),"0000")&amp;TEXT(MONTH($Q$2),"00")&amp;$O2567,日報!$L:$L)</f>
        <v>0</v>
      </c>
      <c r="R2567" s="65">
        <f ca="1">SUMIF(日報!$J:$J,$O2567,日報!$L:$L)</f>
        <v>0</v>
      </c>
    </row>
    <row r="2568" spans="15:18" x14ac:dyDescent="0.15">
      <c r="O2568" s="7" t="str">
        <f>"REQ"&amp;TEXT([2]RequestList!$A2569,"0000")</f>
        <v>REQ0000</v>
      </c>
      <c r="P2568" s="7">
        <f>[2]RequestList!$J2569</f>
        <v>0</v>
      </c>
      <c r="Q2568" s="65">
        <f>SUMIF(日報!$R:$R,TEXT(YEAR($Q$2),"0000")&amp;TEXT(MONTH($Q$2),"00")&amp;$O2568,日報!$L:$L)</f>
        <v>0</v>
      </c>
      <c r="R2568" s="65">
        <f ca="1">SUMIF(日報!$J:$J,$O2568,日報!$L:$L)</f>
        <v>0</v>
      </c>
    </row>
    <row r="2569" spans="15:18" x14ac:dyDescent="0.15">
      <c r="O2569" s="7" t="str">
        <f>"REQ"&amp;TEXT([2]RequestList!$A2570,"0000")</f>
        <v>REQ0000</v>
      </c>
      <c r="P2569" s="7">
        <f>[2]RequestList!$J2570</f>
        <v>0</v>
      </c>
      <c r="Q2569" s="65">
        <f>SUMIF(日報!$R:$R,TEXT(YEAR($Q$2),"0000")&amp;TEXT(MONTH($Q$2),"00")&amp;$O2569,日報!$L:$L)</f>
        <v>0</v>
      </c>
      <c r="R2569" s="65">
        <f ca="1">SUMIF(日報!$J:$J,$O2569,日報!$L:$L)</f>
        <v>0</v>
      </c>
    </row>
    <row r="2570" spans="15:18" x14ac:dyDescent="0.15">
      <c r="O2570" s="7" t="str">
        <f>"REQ"&amp;TEXT([2]RequestList!$A2571,"0000")</f>
        <v>REQ0000</v>
      </c>
      <c r="P2570" s="7">
        <f>[2]RequestList!$J2571</f>
        <v>0</v>
      </c>
      <c r="Q2570" s="65">
        <f>SUMIF(日報!$R:$R,TEXT(YEAR($Q$2),"0000")&amp;TEXT(MONTH($Q$2),"00")&amp;$O2570,日報!$L:$L)</f>
        <v>0</v>
      </c>
      <c r="R2570" s="65">
        <f ca="1">SUMIF(日報!$J:$J,$O2570,日報!$L:$L)</f>
        <v>0</v>
      </c>
    </row>
    <row r="2571" spans="15:18" x14ac:dyDescent="0.15">
      <c r="O2571" s="7" t="str">
        <f>"REQ"&amp;TEXT([2]RequestList!$A2572,"0000")</f>
        <v>REQ0000</v>
      </c>
      <c r="P2571" s="7">
        <f>[2]RequestList!$J2572</f>
        <v>0</v>
      </c>
      <c r="Q2571" s="65">
        <f>SUMIF(日報!$R:$R,TEXT(YEAR($Q$2),"0000")&amp;TEXT(MONTH($Q$2),"00")&amp;$O2571,日報!$L:$L)</f>
        <v>0</v>
      </c>
      <c r="R2571" s="65">
        <f ca="1">SUMIF(日報!$J:$J,$O2571,日報!$L:$L)</f>
        <v>0</v>
      </c>
    </row>
    <row r="2572" spans="15:18" x14ac:dyDescent="0.15">
      <c r="O2572" s="7" t="str">
        <f>"REQ"&amp;TEXT([2]RequestList!$A2573,"0000")</f>
        <v>REQ0000</v>
      </c>
      <c r="P2572" s="7">
        <f>[2]RequestList!$J2573</f>
        <v>0</v>
      </c>
      <c r="Q2572" s="65">
        <f>SUMIF(日報!$R:$R,TEXT(YEAR($Q$2),"0000")&amp;TEXT(MONTH($Q$2),"00")&amp;$O2572,日報!$L:$L)</f>
        <v>0</v>
      </c>
      <c r="R2572" s="65">
        <f ca="1">SUMIF(日報!$J:$J,$O2572,日報!$L:$L)</f>
        <v>0</v>
      </c>
    </row>
    <row r="2573" spans="15:18" x14ac:dyDescent="0.15">
      <c r="O2573" s="7" t="str">
        <f>"REQ"&amp;TEXT([2]RequestList!$A2574,"0000")</f>
        <v>REQ0000</v>
      </c>
      <c r="P2573" s="7">
        <f>[2]RequestList!$J2574</f>
        <v>0</v>
      </c>
      <c r="Q2573" s="65">
        <f>SUMIF(日報!$R:$R,TEXT(YEAR($Q$2),"0000")&amp;TEXT(MONTH($Q$2),"00")&amp;$O2573,日報!$L:$L)</f>
        <v>0</v>
      </c>
      <c r="R2573" s="65">
        <f ca="1">SUMIF(日報!$J:$J,$O2573,日報!$L:$L)</f>
        <v>0</v>
      </c>
    </row>
    <row r="2574" spans="15:18" x14ac:dyDescent="0.15">
      <c r="O2574" s="7" t="str">
        <f>"REQ"&amp;TEXT([2]RequestList!$A2575,"0000")</f>
        <v>REQ0000</v>
      </c>
      <c r="P2574" s="7">
        <f>[2]RequestList!$J2575</f>
        <v>0</v>
      </c>
      <c r="Q2574" s="65">
        <f>SUMIF(日報!$R:$R,TEXT(YEAR($Q$2),"0000")&amp;TEXT(MONTH($Q$2),"00")&amp;$O2574,日報!$L:$L)</f>
        <v>0</v>
      </c>
      <c r="R2574" s="65">
        <f ca="1">SUMIF(日報!$J:$J,$O2574,日報!$L:$L)</f>
        <v>0</v>
      </c>
    </row>
    <row r="2575" spans="15:18" x14ac:dyDescent="0.15">
      <c r="O2575" s="7" t="str">
        <f>"REQ"&amp;TEXT([2]RequestList!$A2576,"0000")</f>
        <v>REQ0000</v>
      </c>
      <c r="P2575" s="7">
        <f>[2]RequestList!$J2576</f>
        <v>0</v>
      </c>
      <c r="Q2575" s="65">
        <f>SUMIF(日報!$R:$R,TEXT(YEAR($Q$2),"0000")&amp;TEXT(MONTH($Q$2),"00")&amp;$O2575,日報!$L:$L)</f>
        <v>0</v>
      </c>
      <c r="R2575" s="65">
        <f ca="1">SUMIF(日報!$J:$J,$O2575,日報!$L:$L)</f>
        <v>0</v>
      </c>
    </row>
    <row r="2576" spans="15:18" x14ac:dyDescent="0.15">
      <c r="O2576" s="7" t="str">
        <f>"REQ"&amp;TEXT([2]RequestList!$A2577,"0000")</f>
        <v>REQ0000</v>
      </c>
      <c r="P2576" s="7">
        <f>[2]RequestList!$J2577</f>
        <v>0</v>
      </c>
      <c r="Q2576" s="65">
        <f>SUMIF(日報!$R:$R,TEXT(YEAR($Q$2),"0000")&amp;TEXT(MONTH($Q$2),"00")&amp;$O2576,日報!$L:$L)</f>
        <v>0</v>
      </c>
      <c r="R2576" s="65">
        <f ca="1">SUMIF(日報!$J:$J,$O2576,日報!$L:$L)</f>
        <v>0</v>
      </c>
    </row>
    <row r="2577" spans="15:18" x14ac:dyDescent="0.15">
      <c r="O2577" s="7" t="str">
        <f>"REQ"&amp;TEXT([2]RequestList!$A2578,"0000")</f>
        <v>REQ0000</v>
      </c>
      <c r="P2577" s="7">
        <f>[2]RequestList!$J2578</f>
        <v>0</v>
      </c>
      <c r="Q2577" s="65">
        <f>SUMIF(日報!$R:$R,TEXT(YEAR($Q$2),"0000")&amp;TEXT(MONTH($Q$2),"00")&amp;$O2577,日報!$L:$L)</f>
        <v>0</v>
      </c>
      <c r="R2577" s="65">
        <f ca="1">SUMIF(日報!$J:$J,$O2577,日報!$L:$L)</f>
        <v>0</v>
      </c>
    </row>
    <row r="2578" spans="15:18" x14ac:dyDescent="0.15">
      <c r="O2578" s="7" t="str">
        <f>"REQ"&amp;TEXT([2]RequestList!$A2579,"0000")</f>
        <v>REQ0000</v>
      </c>
      <c r="P2578" s="7">
        <f>[2]RequestList!$J2579</f>
        <v>0</v>
      </c>
      <c r="Q2578" s="65">
        <f>SUMIF(日報!$R:$R,TEXT(YEAR($Q$2),"0000")&amp;TEXT(MONTH($Q$2),"00")&amp;$O2578,日報!$L:$L)</f>
        <v>0</v>
      </c>
      <c r="R2578" s="65">
        <f ca="1">SUMIF(日報!$J:$J,$O2578,日報!$L:$L)</f>
        <v>0</v>
      </c>
    </row>
    <row r="2579" spans="15:18" x14ac:dyDescent="0.15">
      <c r="O2579" s="7" t="str">
        <f>"REQ"&amp;TEXT([2]RequestList!$A2580,"0000")</f>
        <v>REQ0000</v>
      </c>
      <c r="P2579" s="7">
        <f>[2]RequestList!$J2580</f>
        <v>0</v>
      </c>
      <c r="Q2579" s="65">
        <f>SUMIF(日報!$R:$R,TEXT(YEAR($Q$2),"0000")&amp;TEXT(MONTH($Q$2),"00")&amp;$O2579,日報!$L:$L)</f>
        <v>0</v>
      </c>
      <c r="R2579" s="65">
        <f ca="1">SUMIF(日報!$J:$J,$O2579,日報!$L:$L)</f>
        <v>0</v>
      </c>
    </row>
    <row r="2580" spans="15:18" x14ac:dyDescent="0.15">
      <c r="O2580" s="7" t="str">
        <f>"REQ"&amp;TEXT([2]RequestList!$A2581,"0000")</f>
        <v>REQ0000</v>
      </c>
      <c r="P2580" s="7">
        <f>[2]RequestList!$J2581</f>
        <v>0</v>
      </c>
      <c r="Q2580" s="65">
        <f>SUMIF(日報!$R:$R,TEXT(YEAR($Q$2),"0000")&amp;TEXT(MONTH($Q$2),"00")&amp;$O2580,日報!$L:$L)</f>
        <v>0</v>
      </c>
      <c r="R2580" s="65">
        <f ca="1">SUMIF(日報!$J:$J,$O2580,日報!$L:$L)</f>
        <v>0</v>
      </c>
    </row>
    <row r="2581" spans="15:18" x14ac:dyDescent="0.15">
      <c r="O2581" s="7" t="str">
        <f>"REQ"&amp;TEXT([2]RequestList!$A2582,"0000")</f>
        <v>REQ0000</v>
      </c>
      <c r="P2581" s="7">
        <f>[2]RequestList!$J2582</f>
        <v>0</v>
      </c>
      <c r="Q2581" s="65">
        <f>SUMIF(日報!$R:$R,TEXT(YEAR($Q$2),"0000")&amp;TEXT(MONTH($Q$2),"00")&amp;$O2581,日報!$L:$L)</f>
        <v>0</v>
      </c>
      <c r="R2581" s="65">
        <f ca="1">SUMIF(日報!$J:$J,$O2581,日報!$L:$L)</f>
        <v>0</v>
      </c>
    </row>
    <row r="2582" spans="15:18" x14ac:dyDescent="0.15">
      <c r="O2582" s="7" t="str">
        <f>"REQ"&amp;TEXT([2]RequestList!$A2583,"0000")</f>
        <v>REQ0000</v>
      </c>
      <c r="P2582" s="7">
        <f>[2]RequestList!$J2583</f>
        <v>0</v>
      </c>
      <c r="Q2582" s="65">
        <f>SUMIF(日報!$R:$R,TEXT(YEAR($Q$2),"0000")&amp;TEXT(MONTH($Q$2),"00")&amp;$O2582,日報!$L:$L)</f>
        <v>0</v>
      </c>
      <c r="R2582" s="65">
        <f ca="1">SUMIF(日報!$J:$J,$O2582,日報!$L:$L)</f>
        <v>0</v>
      </c>
    </row>
    <row r="2583" spans="15:18" x14ac:dyDescent="0.15">
      <c r="O2583" s="7" t="str">
        <f>"REQ"&amp;TEXT([2]RequestList!$A2584,"0000")</f>
        <v>REQ0000</v>
      </c>
      <c r="P2583" s="7">
        <f>[2]RequestList!$J2584</f>
        <v>0</v>
      </c>
      <c r="Q2583" s="65">
        <f>SUMIF(日報!$R:$R,TEXT(YEAR($Q$2),"0000")&amp;TEXT(MONTH($Q$2),"00")&amp;$O2583,日報!$L:$L)</f>
        <v>0</v>
      </c>
      <c r="R2583" s="65">
        <f ca="1">SUMIF(日報!$J:$J,$O2583,日報!$L:$L)</f>
        <v>0</v>
      </c>
    </row>
    <row r="2584" spans="15:18" x14ac:dyDescent="0.15">
      <c r="O2584" s="7" t="str">
        <f>"REQ"&amp;TEXT([2]RequestList!$A2585,"0000")</f>
        <v>REQ0000</v>
      </c>
      <c r="P2584" s="7">
        <f>[2]RequestList!$J2585</f>
        <v>0</v>
      </c>
      <c r="Q2584" s="65">
        <f>SUMIF(日報!$R:$R,TEXT(YEAR($Q$2),"0000")&amp;TEXT(MONTH($Q$2),"00")&amp;$O2584,日報!$L:$L)</f>
        <v>0</v>
      </c>
      <c r="R2584" s="65">
        <f ca="1">SUMIF(日報!$J:$J,$O2584,日報!$L:$L)</f>
        <v>0</v>
      </c>
    </row>
    <row r="2585" spans="15:18" x14ac:dyDescent="0.15">
      <c r="O2585" s="7" t="str">
        <f>"REQ"&amp;TEXT([2]RequestList!$A2586,"0000")</f>
        <v>REQ0000</v>
      </c>
      <c r="P2585" s="7">
        <f>[2]RequestList!$J2586</f>
        <v>0</v>
      </c>
      <c r="Q2585" s="65">
        <f>SUMIF(日報!$R:$R,TEXT(YEAR($Q$2),"0000")&amp;TEXT(MONTH($Q$2),"00")&amp;$O2585,日報!$L:$L)</f>
        <v>0</v>
      </c>
      <c r="R2585" s="65">
        <f ca="1">SUMIF(日報!$J:$J,$O2585,日報!$L:$L)</f>
        <v>0</v>
      </c>
    </row>
    <row r="2586" spans="15:18" x14ac:dyDescent="0.15">
      <c r="O2586" s="7" t="str">
        <f>"REQ"&amp;TEXT([2]RequestList!$A2587,"0000")</f>
        <v>REQ0000</v>
      </c>
      <c r="P2586" s="7">
        <f>[2]RequestList!$J2587</f>
        <v>0</v>
      </c>
      <c r="Q2586" s="65">
        <f>SUMIF(日報!$R:$R,TEXT(YEAR($Q$2),"0000")&amp;TEXT(MONTH($Q$2),"00")&amp;$O2586,日報!$L:$L)</f>
        <v>0</v>
      </c>
      <c r="R2586" s="65">
        <f ca="1">SUMIF(日報!$J:$J,$O2586,日報!$L:$L)</f>
        <v>0</v>
      </c>
    </row>
    <row r="2587" spans="15:18" x14ac:dyDescent="0.15">
      <c r="O2587" s="7" t="str">
        <f>"REQ"&amp;TEXT([2]RequestList!$A2588,"0000")</f>
        <v>REQ0000</v>
      </c>
      <c r="P2587" s="7">
        <f>[2]RequestList!$J2588</f>
        <v>0</v>
      </c>
      <c r="Q2587" s="65">
        <f>SUMIF(日報!$R:$R,TEXT(YEAR($Q$2),"0000")&amp;TEXT(MONTH($Q$2),"00")&amp;$O2587,日報!$L:$L)</f>
        <v>0</v>
      </c>
      <c r="R2587" s="65">
        <f ca="1">SUMIF(日報!$J:$J,$O2587,日報!$L:$L)</f>
        <v>0</v>
      </c>
    </row>
    <row r="2588" spans="15:18" x14ac:dyDescent="0.15">
      <c r="O2588" s="7" t="str">
        <f>"REQ"&amp;TEXT([2]RequestList!$A2589,"0000")</f>
        <v>REQ0000</v>
      </c>
      <c r="P2588" s="7">
        <f>[2]RequestList!$J2589</f>
        <v>0</v>
      </c>
      <c r="Q2588" s="65">
        <f>SUMIF(日報!$R:$R,TEXT(YEAR($Q$2),"0000")&amp;TEXT(MONTH($Q$2),"00")&amp;$O2588,日報!$L:$L)</f>
        <v>0</v>
      </c>
      <c r="R2588" s="65">
        <f ca="1">SUMIF(日報!$J:$J,$O2588,日報!$L:$L)</f>
        <v>0</v>
      </c>
    </row>
    <row r="2589" spans="15:18" x14ac:dyDescent="0.15">
      <c r="O2589" s="7" t="str">
        <f>"REQ"&amp;TEXT([2]RequestList!$A2590,"0000")</f>
        <v>REQ0000</v>
      </c>
      <c r="P2589" s="7">
        <f>[2]RequestList!$J2590</f>
        <v>0</v>
      </c>
      <c r="Q2589" s="65">
        <f>SUMIF(日報!$R:$R,TEXT(YEAR($Q$2),"0000")&amp;TEXT(MONTH($Q$2),"00")&amp;$O2589,日報!$L:$L)</f>
        <v>0</v>
      </c>
      <c r="R2589" s="65">
        <f ca="1">SUMIF(日報!$J:$J,$O2589,日報!$L:$L)</f>
        <v>0</v>
      </c>
    </row>
    <row r="2590" spans="15:18" x14ac:dyDescent="0.15">
      <c r="O2590" s="7" t="str">
        <f>"REQ"&amp;TEXT([2]RequestList!$A2591,"0000")</f>
        <v>REQ0000</v>
      </c>
      <c r="P2590" s="7">
        <f>[2]RequestList!$J2591</f>
        <v>0</v>
      </c>
      <c r="Q2590" s="65">
        <f>SUMIF(日報!$R:$R,TEXT(YEAR($Q$2),"0000")&amp;TEXT(MONTH($Q$2),"00")&amp;$O2590,日報!$L:$L)</f>
        <v>0</v>
      </c>
      <c r="R2590" s="65">
        <f ca="1">SUMIF(日報!$J:$J,$O2590,日報!$L:$L)</f>
        <v>0</v>
      </c>
    </row>
    <row r="2591" spans="15:18" x14ac:dyDescent="0.15">
      <c r="O2591" s="7" t="str">
        <f>"REQ"&amp;TEXT([2]RequestList!$A2592,"0000")</f>
        <v>REQ0000</v>
      </c>
      <c r="P2591" s="7">
        <f>[2]RequestList!$J2592</f>
        <v>0</v>
      </c>
      <c r="Q2591" s="65">
        <f>SUMIF(日報!$R:$R,TEXT(YEAR($Q$2),"0000")&amp;TEXT(MONTH($Q$2),"00")&amp;$O2591,日報!$L:$L)</f>
        <v>0</v>
      </c>
      <c r="R2591" s="65">
        <f ca="1">SUMIF(日報!$J:$J,$O2591,日報!$L:$L)</f>
        <v>0</v>
      </c>
    </row>
    <row r="2592" spans="15:18" x14ac:dyDescent="0.15">
      <c r="O2592" s="7" t="str">
        <f>"REQ"&amp;TEXT([2]RequestList!$A2593,"0000")</f>
        <v>REQ0000</v>
      </c>
      <c r="P2592" s="7">
        <f>[2]RequestList!$J2593</f>
        <v>0</v>
      </c>
      <c r="Q2592" s="65">
        <f>SUMIF(日報!$R:$R,TEXT(YEAR($Q$2),"0000")&amp;TEXT(MONTH($Q$2),"00")&amp;$O2592,日報!$L:$L)</f>
        <v>0</v>
      </c>
      <c r="R2592" s="65">
        <f ca="1">SUMIF(日報!$J:$J,$O2592,日報!$L:$L)</f>
        <v>0</v>
      </c>
    </row>
    <row r="2593" spans="15:18" x14ac:dyDescent="0.15">
      <c r="O2593" s="7" t="str">
        <f>"REQ"&amp;TEXT([2]RequestList!$A2594,"0000")</f>
        <v>REQ0000</v>
      </c>
      <c r="P2593" s="7">
        <f>[2]RequestList!$J2594</f>
        <v>0</v>
      </c>
      <c r="Q2593" s="65">
        <f>SUMIF(日報!$R:$R,TEXT(YEAR($Q$2),"0000")&amp;TEXT(MONTH($Q$2),"00")&amp;$O2593,日報!$L:$L)</f>
        <v>0</v>
      </c>
      <c r="R2593" s="65">
        <f ca="1">SUMIF(日報!$J:$J,$O2593,日報!$L:$L)</f>
        <v>0</v>
      </c>
    </row>
    <row r="2594" spans="15:18" x14ac:dyDescent="0.15">
      <c r="O2594" s="7" t="str">
        <f>"REQ"&amp;TEXT([2]RequestList!$A2595,"0000")</f>
        <v>REQ0000</v>
      </c>
      <c r="P2594" s="7">
        <f>[2]RequestList!$J2595</f>
        <v>0</v>
      </c>
      <c r="Q2594" s="65">
        <f>SUMIF(日報!$R:$R,TEXT(YEAR($Q$2),"0000")&amp;TEXT(MONTH($Q$2),"00")&amp;$O2594,日報!$L:$L)</f>
        <v>0</v>
      </c>
      <c r="R2594" s="65">
        <f ca="1">SUMIF(日報!$J:$J,$O2594,日報!$L:$L)</f>
        <v>0</v>
      </c>
    </row>
    <row r="2595" spans="15:18" x14ac:dyDescent="0.15">
      <c r="O2595" s="7" t="str">
        <f>"REQ"&amp;TEXT([2]RequestList!$A2596,"0000")</f>
        <v>REQ0000</v>
      </c>
      <c r="P2595" s="7">
        <f>[2]RequestList!$J2596</f>
        <v>0</v>
      </c>
      <c r="Q2595" s="65">
        <f>SUMIF(日報!$R:$R,TEXT(YEAR($Q$2),"0000")&amp;TEXT(MONTH($Q$2),"00")&amp;$O2595,日報!$L:$L)</f>
        <v>0</v>
      </c>
      <c r="R2595" s="65">
        <f ca="1">SUMIF(日報!$J:$J,$O2595,日報!$L:$L)</f>
        <v>0</v>
      </c>
    </row>
    <row r="2596" spans="15:18" x14ac:dyDescent="0.15">
      <c r="O2596" s="7" t="str">
        <f>"REQ"&amp;TEXT([2]RequestList!$A2597,"0000")</f>
        <v>REQ0000</v>
      </c>
      <c r="P2596" s="7">
        <f>[2]RequestList!$J2597</f>
        <v>0</v>
      </c>
      <c r="Q2596" s="65">
        <f>SUMIF(日報!$R:$R,TEXT(YEAR($Q$2),"0000")&amp;TEXT(MONTH($Q$2),"00")&amp;$O2596,日報!$L:$L)</f>
        <v>0</v>
      </c>
      <c r="R2596" s="65">
        <f ca="1">SUMIF(日報!$J:$J,$O2596,日報!$L:$L)</f>
        <v>0</v>
      </c>
    </row>
    <row r="2597" spans="15:18" x14ac:dyDescent="0.15">
      <c r="O2597" s="7" t="str">
        <f>"REQ"&amp;TEXT([2]RequestList!$A2598,"0000")</f>
        <v>REQ0000</v>
      </c>
      <c r="P2597" s="7">
        <f>[2]RequestList!$J2598</f>
        <v>0</v>
      </c>
      <c r="Q2597" s="65">
        <f>SUMIF(日報!$R:$R,TEXT(YEAR($Q$2),"0000")&amp;TEXT(MONTH($Q$2),"00")&amp;$O2597,日報!$L:$L)</f>
        <v>0</v>
      </c>
      <c r="R2597" s="65">
        <f ca="1">SUMIF(日報!$J:$J,$O2597,日報!$L:$L)</f>
        <v>0</v>
      </c>
    </row>
    <row r="2598" spans="15:18" x14ac:dyDescent="0.15">
      <c r="O2598" s="7" t="str">
        <f>"REQ"&amp;TEXT([2]RequestList!$A2599,"0000")</f>
        <v>REQ0000</v>
      </c>
      <c r="P2598" s="7">
        <f>[2]RequestList!$J2599</f>
        <v>0</v>
      </c>
      <c r="Q2598" s="65">
        <f>SUMIF(日報!$R:$R,TEXT(YEAR($Q$2),"0000")&amp;TEXT(MONTH($Q$2),"00")&amp;$O2598,日報!$L:$L)</f>
        <v>0</v>
      </c>
      <c r="R2598" s="65">
        <f ca="1">SUMIF(日報!$J:$J,$O2598,日報!$L:$L)</f>
        <v>0</v>
      </c>
    </row>
    <row r="2599" spans="15:18" x14ac:dyDescent="0.15">
      <c r="O2599" s="7" t="str">
        <f>"REQ"&amp;TEXT([2]RequestList!$A2600,"0000")</f>
        <v>REQ0000</v>
      </c>
      <c r="P2599" s="7">
        <f>[2]RequestList!$J2600</f>
        <v>0</v>
      </c>
      <c r="Q2599" s="65">
        <f>SUMIF(日報!$R:$R,TEXT(YEAR($Q$2),"0000")&amp;TEXT(MONTH($Q$2),"00")&amp;$O2599,日報!$L:$L)</f>
        <v>0</v>
      </c>
      <c r="R2599" s="65">
        <f ca="1">SUMIF(日報!$J:$J,$O2599,日報!$L:$L)</f>
        <v>0</v>
      </c>
    </row>
    <row r="2600" spans="15:18" x14ac:dyDescent="0.15">
      <c r="O2600" s="7" t="str">
        <f>"REQ"&amp;TEXT([2]RequestList!$A2601,"0000")</f>
        <v>REQ0000</v>
      </c>
      <c r="P2600" s="7">
        <f>[2]RequestList!$J2601</f>
        <v>0</v>
      </c>
      <c r="Q2600" s="65">
        <f>SUMIF(日報!$R:$R,TEXT(YEAR($Q$2),"0000")&amp;TEXT(MONTH($Q$2),"00")&amp;$O2600,日報!$L:$L)</f>
        <v>0</v>
      </c>
      <c r="R2600" s="65">
        <f ca="1">SUMIF(日報!$J:$J,$O2600,日報!$L:$L)</f>
        <v>0</v>
      </c>
    </row>
    <row r="2601" spans="15:18" x14ac:dyDescent="0.15">
      <c r="O2601" s="7" t="str">
        <f>"REQ"&amp;TEXT([2]RequestList!$A2602,"0000")</f>
        <v>REQ0000</v>
      </c>
      <c r="P2601" s="7">
        <f>[2]RequestList!$J2602</f>
        <v>0</v>
      </c>
      <c r="Q2601" s="65">
        <f>SUMIF(日報!$R:$R,TEXT(YEAR($Q$2),"0000")&amp;TEXT(MONTH($Q$2),"00")&amp;$O2601,日報!$L:$L)</f>
        <v>0</v>
      </c>
      <c r="R2601" s="65">
        <f ca="1">SUMIF(日報!$J:$J,$O2601,日報!$L:$L)</f>
        <v>0</v>
      </c>
    </row>
    <row r="2602" spans="15:18" x14ac:dyDescent="0.15">
      <c r="O2602" s="7" t="str">
        <f>"REQ"&amp;TEXT([2]RequestList!$A2603,"0000")</f>
        <v>REQ0000</v>
      </c>
      <c r="P2602" s="7">
        <f>[2]RequestList!$J2603</f>
        <v>0</v>
      </c>
      <c r="Q2602" s="65">
        <f>SUMIF(日報!$R:$R,TEXT(YEAR($Q$2),"0000")&amp;TEXT(MONTH($Q$2),"00")&amp;$O2602,日報!$L:$L)</f>
        <v>0</v>
      </c>
      <c r="R2602" s="65">
        <f ca="1">SUMIF(日報!$J:$J,$O2602,日報!$L:$L)</f>
        <v>0</v>
      </c>
    </row>
    <row r="2603" spans="15:18" x14ac:dyDescent="0.15">
      <c r="O2603" s="7" t="str">
        <f>"REQ"&amp;TEXT([2]RequestList!$A2604,"0000")</f>
        <v>REQ0000</v>
      </c>
      <c r="P2603" s="7">
        <f>[2]RequestList!$J2604</f>
        <v>0</v>
      </c>
      <c r="Q2603" s="65">
        <f>SUMIF(日報!$R:$R,TEXT(YEAR($Q$2),"0000")&amp;TEXT(MONTH($Q$2),"00")&amp;$O2603,日報!$L:$L)</f>
        <v>0</v>
      </c>
      <c r="R2603" s="65">
        <f ca="1">SUMIF(日報!$J:$J,$O2603,日報!$L:$L)</f>
        <v>0</v>
      </c>
    </row>
    <row r="2604" spans="15:18" x14ac:dyDescent="0.15">
      <c r="O2604" s="7" t="str">
        <f>"REQ"&amp;TEXT([2]RequestList!$A2605,"0000")</f>
        <v>REQ0000</v>
      </c>
      <c r="P2604" s="7">
        <f>[2]RequestList!$J2605</f>
        <v>0</v>
      </c>
      <c r="Q2604" s="65">
        <f>SUMIF(日報!$R:$R,TEXT(YEAR($Q$2),"0000")&amp;TEXT(MONTH($Q$2),"00")&amp;$O2604,日報!$L:$L)</f>
        <v>0</v>
      </c>
      <c r="R2604" s="65">
        <f ca="1">SUMIF(日報!$J:$J,$O2604,日報!$L:$L)</f>
        <v>0</v>
      </c>
    </row>
    <row r="2605" spans="15:18" x14ac:dyDescent="0.15">
      <c r="O2605" s="7" t="str">
        <f>"REQ"&amp;TEXT([2]RequestList!$A2606,"0000")</f>
        <v>REQ0000</v>
      </c>
      <c r="P2605" s="7">
        <f>[2]RequestList!$J2606</f>
        <v>0</v>
      </c>
      <c r="Q2605" s="65">
        <f>SUMIF(日報!$R:$R,TEXT(YEAR($Q$2),"0000")&amp;TEXT(MONTH($Q$2),"00")&amp;$O2605,日報!$L:$L)</f>
        <v>0</v>
      </c>
      <c r="R2605" s="65">
        <f ca="1">SUMIF(日報!$J:$J,$O2605,日報!$L:$L)</f>
        <v>0</v>
      </c>
    </row>
    <row r="2606" spans="15:18" x14ac:dyDescent="0.15">
      <c r="O2606" s="7" t="str">
        <f>"REQ"&amp;TEXT([2]RequestList!$A2607,"0000")</f>
        <v>REQ0000</v>
      </c>
      <c r="P2606" s="7">
        <f>[2]RequestList!$J2607</f>
        <v>0</v>
      </c>
      <c r="Q2606" s="65">
        <f>SUMIF(日報!$R:$R,TEXT(YEAR($Q$2),"0000")&amp;TEXT(MONTH($Q$2),"00")&amp;$O2606,日報!$L:$L)</f>
        <v>0</v>
      </c>
      <c r="R2606" s="65">
        <f ca="1">SUMIF(日報!$J:$J,$O2606,日報!$L:$L)</f>
        <v>0</v>
      </c>
    </row>
    <row r="2607" spans="15:18" x14ac:dyDescent="0.15">
      <c r="O2607" s="7" t="str">
        <f>"REQ"&amp;TEXT([2]RequestList!$A2608,"0000")</f>
        <v>REQ0000</v>
      </c>
      <c r="P2607" s="7">
        <f>[2]RequestList!$J2608</f>
        <v>0</v>
      </c>
      <c r="Q2607" s="65">
        <f>SUMIF(日報!$R:$R,TEXT(YEAR($Q$2),"0000")&amp;TEXT(MONTH($Q$2),"00")&amp;$O2607,日報!$L:$L)</f>
        <v>0</v>
      </c>
      <c r="R2607" s="65">
        <f ca="1">SUMIF(日報!$J:$J,$O2607,日報!$L:$L)</f>
        <v>0</v>
      </c>
    </row>
    <row r="2608" spans="15:18" x14ac:dyDescent="0.15">
      <c r="O2608" s="7" t="str">
        <f>"REQ"&amp;TEXT([2]RequestList!$A2609,"0000")</f>
        <v>REQ0000</v>
      </c>
      <c r="P2608" s="7">
        <f>[2]RequestList!$J2609</f>
        <v>0</v>
      </c>
      <c r="Q2608" s="65">
        <f>SUMIF(日報!$R:$R,TEXT(YEAR($Q$2),"0000")&amp;TEXT(MONTH($Q$2),"00")&amp;$O2608,日報!$L:$L)</f>
        <v>0</v>
      </c>
      <c r="R2608" s="65">
        <f ca="1">SUMIF(日報!$J:$J,$O2608,日報!$L:$L)</f>
        <v>0</v>
      </c>
    </row>
    <row r="2609" spans="15:18" x14ac:dyDescent="0.15">
      <c r="O2609" s="7" t="str">
        <f>"REQ"&amp;TEXT([2]RequestList!$A2610,"0000")</f>
        <v>REQ0000</v>
      </c>
      <c r="P2609" s="7">
        <f>[2]RequestList!$J2610</f>
        <v>0</v>
      </c>
      <c r="Q2609" s="65">
        <f>SUMIF(日報!$R:$R,TEXT(YEAR($Q$2),"0000")&amp;TEXT(MONTH($Q$2),"00")&amp;$O2609,日報!$L:$L)</f>
        <v>0</v>
      </c>
      <c r="R2609" s="65">
        <f ca="1">SUMIF(日報!$J:$J,$O2609,日報!$L:$L)</f>
        <v>0</v>
      </c>
    </row>
    <row r="2610" spans="15:18" x14ac:dyDescent="0.15">
      <c r="O2610" s="7" t="str">
        <f>"REQ"&amp;TEXT([2]RequestList!$A2611,"0000")</f>
        <v>REQ0000</v>
      </c>
      <c r="P2610" s="7">
        <f>[2]RequestList!$J2611</f>
        <v>0</v>
      </c>
      <c r="Q2610" s="65">
        <f>SUMIF(日報!$R:$R,TEXT(YEAR($Q$2),"0000")&amp;TEXT(MONTH($Q$2),"00")&amp;$O2610,日報!$L:$L)</f>
        <v>0</v>
      </c>
      <c r="R2610" s="65">
        <f ca="1">SUMIF(日報!$J:$J,$O2610,日報!$L:$L)</f>
        <v>0</v>
      </c>
    </row>
    <row r="2611" spans="15:18" x14ac:dyDescent="0.15">
      <c r="O2611" s="7" t="str">
        <f>"REQ"&amp;TEXT([2]RequestList!$A2612,"0000")</f>
        <v>REQ0000</v>
      </c>
      <c r="P2611" s="7">
        <f>[2]RequestList!$J2612</f>
        <v>0</v>
      </c>
      <c r="Q2611" s="65">
        <f>SUMIF(日報!$R:$R,TEXT(YEAR($Q$2),"0000")&amp;TEXT(MONTH($Q$2),"00")&amp;$O2611,日報!$L:$L)</f>
        <v>0</v>
      </c>
      <c r="R2611" s="65">
        <f ca="1">SUMIF(日報!$J:$J,$O2611,日報!$L:$L)</f>
        <v>0</v>
      </c>
    </row>
    <row r="2612" spans="15:18" x14ac:dyDescent="0.15">
      <c r="O2612" s="7" t="str">
        <f>"REQ"&amp;TEXT([2]RequestList!$A2613,"0000")</f>
        <v>REQ0000</v>
      </c>
      <c r="P2612" s="7">
        <f>[2]RequestList!$J2613</f>
        <v>0</v>
      </c>
      <c r="Q2612" s="65">
        <f>SUMIF(日報!$R:$R,TEXT(YEAR($Q$2),"0000")&amp;TEXT(MONTH($Q$2),"00")&amp;$O2612,日報!$L:$L)</f>
        <v>0</v>
      </c>
      <c r="R2612" s="65">
        <f ca="1">SUMIF(日報!$J:$J,$O2612,日報!$L:$L)</f>
        <v>0</v>
      </c>
    </row>
    <row r="2613" spans="15:18" x14ac:dyDescent="0.15">
      <c r="O2613" s="7" t="str">
        <f>"REQ"&amp;TEXT([2]RequestList!$A2614,"0000")</f>
        <v>REQ0000</v>
      </c>
      <c r="P2613" s="7">
        <f>[2]RequestList!$J2614</f>
        <v>0</v>
      </c>
      <c r="Q2613" s="65">
        <f>SUMIF(日報!$R:$R,TEXT(YEAR($Q$2),"0000")&amp;TEXT(MONTH($Q$2),"00")&amp;$O2613,日報!$L:$L)</f>
        <v>0</v>
      </c>
      <c r="R2613" s="65">
        <f ca="1">SUMIF(日報!$J:$J,$O2613,日報!$L:$L)</f>
        <v>0</v>
      </c>
    </row>
    <row r="2614" spans="15:18" x14ac:dyDescent="0.15">
      <c r="O2614" s="7" t="str">
        <f>"REQ"&amp;TEXT([2]RequestList!$A2615,"0000")</f>
        <v>REQ0000</v>
      </c>
      <c r="P2614" s="7">
        <f>[2]RequestList!$J2615</f>
        <v>0</v>
      </c>
      <c r="Q2614" s="65">
        <f>SUMIF(日報!$R:$R,TEXT(YEAR($Q$2),"0000")&amp;TEXT(MONTH($Q$2),"00")&amp;$O2614,日報!$L:$L)</f>
        <v>0</v>
      </c>
      <c r="R2614" s="65">
        <f ca="1">SUMIF(日報!$J:$J,$O2614,日報!$L:$L)</f>
        <v>0</v>
      </c>
    </row>
    <row r="2615" spans="15:18" x14ac:dyDescent="0.15">
      <c r="O2615" s="7" t="str">
        <f>"REQ"&amp;TEXT([2]RequestList!$A2616,"0000")</f>
        <v>REQ0000</v>
      </c>
      <c r="P2615" s="7">
        <f>[2]RequestList!$J2616</f>
        <v>0</v>
      </c>
      <c r="Q2615" s="65">
        <f>SUMIF(日報!$R:$R,TEXT(YEAR($Q$2),"0000")&amp;TEXT(MONTH($Q$2),"00")&amp;$O2615,日報!$L:$L)</f>
        <v>0</v>
      </c>
      <c r="R2615" s="65">
        <f ca="1">SUMIF(日報!$J:$J,$O2615,日報!$L:$L)</f>
        <v>0</v>
      </c>
    </row>
    <row r="2616" spans="15:18" x14ac:dyDescent="0.15">
      <c r="O2616" s="7" t="str">
        <f>"REQ"&amp;TEXT([2]RequestList!$A2617,"0000")</f>
        <v>REQ0000</v>
      </c>
      <c r="P2616" s="7">
        <f>[2]RequestList!$J2617</f>
        <v>0</v>
      </c>
      <c r="Q2616" s="65">
        <f>SUMIF(日報!$R:$R,TEXT(YEAR($Q$2),"0000")&amp;TEXT(MONTH($Q$2),"00")&amp;$O2616,日報!$L:$L)</f>
        <v>0</v>
      </c>
      <c r="R2616" s="65">
        <f ca="1">SUMIF(日報!$J:$J,$O2616,日報!$L:$L)</f>
        <v>0</v>
      </c>
    </row>
    <row r="2617" spans="15:18" x14ac:dyDescent="0.15">
      <c r="O2617" s="7" t="str">
        <f>"REQ"&amp;TEXT([2]RequestList!$A2618,"0000")</f>
        <v>REQ0000</v>
      </c>
      <c r="P2617" s="7">
        <f>[2]RequestList!$J2618</f>
        <v>0</v>
      </c>
      <c r="Q2617" s="65">
        <f>SUMIF(日報!$R:$R,TEXT(YEAR($Q$2),"0000")&amp;TEXT(MONTH($Q$2),"00")&amp;$O2617,日報!$L:$L)</f>
        <v>0</v>
      </c>
      <c r="R2617" s="65">
        <f ca="1">SUMIF(日報!$J:$J,$O2617,日報!$L:$L)</f>
        <v>0</v>
      </c>
    </row>
    <row r="2618" spans="15:18" x14ac:dyDescent="0.15">
      <c r="O2618" s="7" t="str">
        <f>"REQ"&amp;TEXT([2]RequestList!$A2619,"0000")</f>
        <v>REQ0000</v>
      </c>
      <c r="P2618" s="7">
        <f>[2]RequestList!$J2619</f>
        <v>0</v>
      </c>
      <c r="Q2618" s="65">
        <f>SUMIF(日報!$R:$R,TEXT(YEAR($Q$2),"0000")&amp;TEXT(MONTH($Q$2),"00")&amp;$O2618,日報!$L:$L)</f>
        <v>0</v>
      </c>
      <c r="R2618" s="65">
        <f ca="1">SUMIF(日報!$J:$J,$O2618,日報!$L:$L)</f>
        <v>0</v>
      </c>
    </row>
    <row r="2619" spans="15:18" x14ac:dyDescent="0.15">
      <c r="O2619" s="7" t="str">
        <f>"REQ"&amp;TEXT([2]RequestList!$A2620,"0000")</f>
        <v>REQ0000</v>
      </c>
      <c r="P2619" s="7">
        <f>[2]RequestList!$J2620</f>
        <v>0</v>
      </c>
      <c r="Q2619" s="65">
        <f>SUMIF(日報!$R:$R,TEXT(YEAR($Q$2),"0000")&amp;TEXT(MONTH($Q$2),"00")&amp;$O2619,日報!$L:$L)</f>
        <v>0</v>
      </c>
      <c r="R2619" s="65">
        <f ca="1">SUMIF(日報!$J:$J,$O2619,日報!$L:$L)</f>
        <v>0</v>
      </c>
    </row>
    <row r="2620" spans="15:18" x14ac:dyDescent="0.15">
      <c r="O2620" s="7" t="str">
        <f>"REQ"&amp;TEXT([2]RequestList!$A2621,"0000")</f>
        <v>REQ0000</v>
      </c>
      <c r="P2620" s="7">
        <f>[2]RequestList!$J2621</f>
        <v>0</v>
      </c>
      <c r="Q2620" s="65">
        <f>SUMIF(日報!$R:$R,TEXT(YEAR($Q$2),"0000")&amp;TEXT(MONTH($Q$2),"00")&amp;$O2620,日報!$L:$L)</f>
        <v>0</v>
      </c>
      <c r="R2620" s="65">
        <f ca="1">SUMIF(日報!$J:$J,$O2620,日報!$L:$L)</f>
        <v>0</v>
      </c>
    </row>
    <row r="2621" spans="15:18" x14ac:dyDescent="0.15">
      <c r="O2621" s="7" t="str">
        <f>"REQ"&amp;TEXT([2]RequestList!$A2622,"0000")</f>
        <v>REQ0000</v>
      </c>
      <c r="P2621" s="7">
        <f>[2]RequestList!$J2622</f>
        <v>0</v>
      </c>
      <c r="Q2621" s="65">
        <f>SUMIF(日報!$R:$R,TEXT(YEAR($Q$2),"0000")&amp;TEXT(MONTH($Q$2),"00")&amp;$O2621,日報!$L:$L)</f>
        <v>0</v>
      </c>
      <c r="R2621" s="65">
        <f ca="1">SUMIF(日報!$J:$J,$O2621,日報!$L:$L)</f>
        <v>0</v>
      </c>
    </row>
    <row r="2622" spans="15:18" x14ac:dyDescent="0.15">
      <c r="O2622" s="7" t="str">
        <f>"REQ"&amp;TEXT([2]RequestList!$A2623,"0000")</f>
        <v>REQ0000</v>
      </c>
      <c r="P2622" s="7">
        <f>[2]RequestList!$J2623</f>
        <v>0</v>
      </c>
      <c r="Q2622" s="65">
        <f>SUMIF(日報!$R:$R,TEXT(YEAR($Q$2),"0000")&amp;TEXT(MONTH($Q$2),"00")&amp;$O2622,日報!$L:$L)</f>
        <v>0</v>
      </c>
      <c r="R2622" s="65">
        <f ca="1">SUMIF(日報!$J:$J,$O2622,日報!$L:$L)</f>
        <v>0</v>
      </c>
    </row>
    <row r="2623" spans="15:18" x14ac:dyDescent="0.15">
      <c r="O2623" s="7" t="str">
        <f>"REQ"&amp;TEXT([2]RequestList!$A2624,"0000")</f>
        <v>REQ0000</v>
      </c>
      <c r="P2623" s="7">
        <f>[2]RequestList!$J2624</f>
        <v>0</v>
      </c>
      <c r="Q2623" s="65">
        <f>SUMIF(日報!$R:$R,TEXT(YEAR($Q$2),"0000")&amp;TEXT(MONTH($Q$2),"00")&amp;$O2623,日報!$L:$L)</f>
        <v>0</v>
      </c>
      <c r="R2623" s="65">
        <f ca="1">SUMIF(日報!$J:$J,$O2623,日報!$L:$L)</f>
        <v>0</v>
      </c>
    </row>
    <row r="2624" spans="15:18" x14ac:dyDescent="0.15">
      <c r="O2624" s="7" t="str">
        <f>"REQ"&amp;TEXT([2]RequestList!$A2625,"0000")</f>
        <v>REQ0000</v>
      </c>
      <c r="P2624" s="7">
        <f>[2]RequestList!$J2625</f>
        <v>0</v>
      </c>
      <c r="Q2624" s="65">
        <f>SUMIF(日報!$R:$R,TEXT(YEAR($Q$2),"0000")&amp;TEXT(MONTH($Q$2),"00")&amp;$O2624,日報!$L:$L)</f>
        <v>0</v>
      </c>
      <c r="R2624" s="65">
        <f ca="1">SUMIF(日報!$J:$J,$O2624,日報!$L:$L)</f>
        <v>0</v>
      </c>
    </row>
    <row r="2625" spans="15:18" x14ac:dyDescent="0.15">
      <c r="O2625" s="7" t="str">
        <f>"REQ"&amp;TEXT([2]RequestList!$A2626,"0000")</f>
        <v>REQ0000</v>
      </c>
      <c r="P2625" s="7">
        <f>[2]RequestList!$J2626</f>
        <v>0</v>
      </c>
      <c r="Q2625" s="65">
        <f>SUMIF(日報!$R:$R,TEXT(YEAR($Q$2),"0000")&amp;TEXT(MONTH($Q$2),"00")&amp;$O2625,日報!$L:$L)</f>
        <v>0</v>
      </c>
      <c r="R2625" s="65">
        <f ca="1">SUMIF(日報!$J:$J,$O2625,日報!$L:$L)</f>
        <v>0</v>
      </c>
    </row>
    <row r="2626" spans="15:18" x14ac:dyDescent="0.15">
      <c r="O2626" s="7" t="str">
        <f>"REQ"&amp;TEXT([2]RequestList!$A2627,"0000")</f>
        <v>REQ0000</v>
      </c>
      <c r="P2626" s="7">
        <f>[2]RequestList!$J2627</f>
        <v>0</v>
      </c>
      <c r="Q2626" s="65">
        <f>SUMIF(日報!$R:$R,TEXT(YEAR($Q$2),"0000")&amp;TEXT(MONTH($Q$2),"00")&amp;$O2626,日報!$L:$L)</f>
        <v>0</v>
      </c>
      <c r="R2626" s="65">
        <f ca="1">SUMIF(日報!$J:$J,$O2626,日報!$L:$L)</f>
        <v>0</v>
      </c>
    </row>
    <row r="2627" spans="15:18" x14ac:dyDescent="0.15">
      <c r="O2627" s="7" t="str">
        <f>"REQ"&amp;TEXT([2]RequestList!$A2628,"0000")</f>
        <v>REQ0000</v>
      </c>
      <c r="P2627" s="7">
        <f>[2]RequestList!$J2628</f>
        <v>0</v>
      </c>
      <c r="Q2627" s="65">
        <f>SUMIF(日報!$R:$R,TEXT(YEAR($Q$2),"0000")&amp;TEXT(MONTH($Q$2),"00")&amp;$O2627,日報!$L:$L)</f>
        <v>0</v>
      </c>
      <c r="R2627" s="65">
        <f ca="1">SUMIF(日報!$J:$J,$O2627,日報!$L:$L)</f>
        <v>0</v>
      </c>
    </row>
    <row r="2628" spans="15:18" x14ac:dyDescent="0.15">
      <c r="O2628" s="7" t="str">
        <f>"REQ"&amp;TEXT([2]RequestList!$A2629,"0000")</f>
        <v>REQ0000</v>
      </c>
      <c r="P2628" s="7">
        <f>[2]RequestList!$J2629</f>
        <v>0</v>
      </c>
      <c r="Q2628" s="65">
        <f>SUMIF(日報!$R:$R,TEXT(YEAR($Q$2),"0000")&amp;TEXT(MONTH($Q$2),"00")&amp;$O2628,日報!$L:$L)</f>
        <v>0</v>
      </c>
      <c r="R2628" s="65">
        <f ca="1">SUMIF(日報!$J:$J,$O2628,日報!$L:$L)</f>
        <v>0</v>
      </c>
    </row>
    <row r="2629" spans="15:18" x14ac:dyDescent="0.15">
      <c r="O2629" s="7" t="str">
        <f>"REQ"&amp;TEXT([2]RequestList!$A2630,"0000")</f>
        <v>REQ0000</v>
      </c>
      <c r="P2629" s="7">
        <f>[2]RequestList!$J2630</f>
        <v>0</v>
      </c>
      <c r="Q2629" s="65">
        <f>SUMIF(日報!$R:$R,TEXT(YEAR($Q$2),"0000")&amp;TEXT(MONTH($Q$2),"00")&amp;$O2629,日報!$L:$L)</f>
        <v>0</v>
      </c>
      <c r="R2629" s="65">
        <f ca="1">SUMIF(日報!$J:$J,$O2629,日報!$L:$L)</f>
        <v>0</v>
      </c>
    </row>
    <row r="2630" spans="15:18" x14ac:dyDescent="0.15">
      <c r="O2630" s="7" t="str">
        <f>"REQ"&amp;TEXT([2]RequestList!$A2631,"0000")</f>
        <v>REQ0000</v>
      </c>
      <c r="P2630" s="7">
        <f>[2]RequestList!$J2631</f>
        <v>0</v>
      </c>
      <c r="Q2630" s="65">
        <f>SUMIF(日報!$R:$R,TEXT(YEAR($Q$2),"0000")&amp;TEXT(MONTH($Q$2),"00")&amp;$O2630,日報!$L:$L)</f>
        <v>0</v>
      </c>
      <c r="R2630" s="65">
        <f ca="1">SUMIF(日報!$J:$J,$O2630,日報!$L:$L)</f>
        <v>0</v>
      </c>
    </row>
    <row r="2631" spans="15:18" x14ac:dyDescent="0.15">
      <c r="O2631" s="7" t="str">
        <f>"REQ"&amp;TEXT([2]RequestList!$A2632,"0000")</f>
        <v>REQ0000</v>
      </c>
      <c r="P2631" s="7">
        <f>[2]RequestList!$J2632</f>
        <v>0</v>
      </c>
      <c r="Q2631" s="65">
        <f>SUMIF(日報!$R:$R,TEXT(YEAR($Q$2),"0000")&amp;TEXT(MONTH($Q$2),"00")&amp;$O2631,日報!$L:$L)</f>
        <v>0</v>
      </c>
      <c r="R2631" s="65">
        <f ca="1">SUMIF(日報!$J:$J,$O2631,日報!$L:$L)</f>
        <v>0</v>
      </c>
    </row>
    <row r="2632" spans="15:18" x14ac:dyDescent="0.15">
      <c r="O2632" s="7" t="str">
        <f>"REQ"&amp;TEXT([2]RequestList!$A2633,"0000")</f>
        <v>REQ0000</v>
      </c>
      <c r="P2632" s="7">
        <f>[2]RequestList!$J2633</f>
        <v>0</v>
      </c>
      <c r="Q2632" s="65">
        <f>SUMIF(日報!$R:$R,TEXT(YEAR($Q$2),"0000")&amp;TEXT(MONTH($Q$2),"00")&amp;$O2632,日報!$L:$L)</f>
        <v>0</v>
      </c>
      <c r="R2632" s="65">
        <f ca="1">SUMIF(日報!$J:$J,$O2632,日報!$L:$L)</f>
        <v>0</v>
      </c>
    </row>
    <row r="2633" spans="15:18" x14ac:dyDescent="0.15">
      <c r="O2633" s="7" t="str">
        <f>"REQ"&amp;TEXT([2]RequestList!$A2634,"0000")</f>
        <v>REQ0000</v>
      </c>
      <c r="P2633" s="7">
        <f>[2]RequestList!$J2634</f>
        <v>0</v>
      </c>
      <c r="Q2633" s="65">
        <f>SUMIF(日報!$R:$R,TEXT(YEAR($Q$2),"0000")&amp;TEXT(MONTH($Q$2),"00")&amp;$O2633,日報!$L:$L)</f>
        <v>0</v>
      </c>
      <c r="R2633" s="65">
        <f ca="1">SUMIF(日報!$J:$J,$O2633,日報!$L:$L)</f>
        <v>0</v>
      </c>
    </row>
    <row r="2634" spans="15:18" x14ac:dyDescent="0.15">
      <c r="O2634" s="7" t="str">
        <f>"REQ"&amp;TEXT([2]RequestList!$A2635,"0000")</f>
        <v>REQ0000</v>
      </c>
      <c r="P2634" s="7">
        <f>[2]RequestList!$J2635</f>
        <v>0</v>
      </c>
      <c r="Q2634" s="65">
        <f>SUMIF(日報!$R:$R,TEXT(YEAR($Q$2),"0000")&amp;TEXT(MONTH($Q$2),"00")&amp;$O2634,日報!$L:$L)</f>
        <v>0</v>
      </c>
      <c r="R2634" s="65">
        <f ca="1">SUMIF(日報!$J:$J,$O2634,日報!$L:$L)</f>
        <v>0</v>
      </c>
    </row>
    <row r="2635" spans="15:18" x14ac:dyDescent="0.15">
      <c r="O2635" s="7" t="str">
        <f>"REQ"&amp;TEXT([2]RequestList!$A2636,"0000")</f>
        <v>REQ0000</v>
      </c>
      <c r="P2635" s="7">
        <f>[2]RequestList!$J2636</f>
        <v>0</v>
      </c>
      <c r="Q2635" s="65">
        <f>SUMIF(日報!$R:$R,TEXT(YEAR($Q$2),"0000")&amp;TEXT(MONTH($Q$2),"00")&amp;$O2635,日報!$L:$L)</f>
        <v>0</v>
      </c>
      <c r="R2635" s="65">
        <f ca="1">SUMIF(日報!$J:$J,$O2635,日報!$L:$L)</f>
        <v>0</v>
      </c>
    </row>
    <row r="2636" spans="15:18" x14ac:dyDescent="0.15">
      <c r="O2636" s="7" t="str">
        <f>"REQ"&amp;TEXT([2]RequestList!$A2637,"0000")</f>
        <v>REQ0000</v>
      </c>
      <c r="P2636" s="7">
        <f>[2]RequestList!$J2637</f>
        <v>0</v>
      </c>
      <c r="Q2636" s="65">
        <f>SUMIF(日報!$R:$R,TEXT(YEAR($Q$2),"0000")&amp;TEXT(MONTH($Q$2),"00")&amp;$O2636,日報!$L:$L)</f>
        <v>0</v>
      </c>
      <c r="R2636" s="65">
        <f ca="1">SUMIF(日報!$J:$J,$O2636,日報!$L:$L)</f>
        <v>0</v>
      </c>
    </row>
    <row r="2637" spans="15:18" x14ac:dyDescent="0.15">
      <c r="O2637" s="7" t="str">
        <f>"REQ"&amp;TEXT([2]RequestList!$A2638,"0000")</f>
        <v>REQ0000</v>
      </c>
      <c r="P2637" s="7">
        <f>[2]RequestList!$J2638</f>
        <v>0</v>
      </c>
      <c r="Q2637" s="65">
        <f>SUMIF(日報!$R:$R,TEXT(YEAR($Q$2),"0000")&amp;TEXT(MONTH($Q$2),"00")&amp;$O2637,日報!$L:$L)</f>
        <v>0</v>
      </c>
      <c r="R2637" s="65">
        <f ca="1">SUMIF(日報!$J:$J,$O2637,日報!$L:$L)</f>
        <v>0</v>
      </c>
    </row>
    <row r="2638" spans="15:18" x14ac:dyDescent="0.15">
      <c r="O2638" s="7" t="str">
        <f>"REQ"&amp;TEXT([2]RequestList!$A2639,"0000")</f>
        <v>REQ0000</v>
      </c>
      <c r="P2638" s="7">
        <f>[2]RequestList!$J2639</f>
        <v>0</v>
      </c>
      <c r="Q2638" s="65">
        <f>SUMIF(日報!$R:$R,TEXT(YEAR($Q$2),"0000")&amp;TEXT(MONTH($Q$2),"00")&amp;$O2638,日報!$L:$L)</f>
        <v>0</v>
      </c>
      <c r="R2638" s="65">
        <f ca="1">SUMIF(日報!$J:$J,$O2638,日報!$L:$L)</f>
        <v>0</v>
      </c>
    </row>
    <row r="2639" spans="15:18" x14ac:dyDescent="0.15">
      <c r="O2639" s="7" t="str">
        <f>"REQ"&amp;TEXT([2]RequestList!$A2640,"0000")</f>
        <v>REQ0000</v>
      </c>
      <c r="P2639" s="7">
        <f>[2]RequestList!$J2640</f>
        <v>0</v>
      </c>
      <c r="Q2639" s="65">
        <f>SUMIF(日報!$R:$R,TEXT(YEAR($Q$2),"0000")&amp;TEXT(MONTH($Q$2),"00")&amp;$O2639,日報!$L:$L)</f>
        <v>0</v>
      </c>
      <c r="R2639" s="65">
        <f ca="1">SUMIF(日報!$J:$J,$O2639,日報!$L:$L)</f>
        <v>0</v>
      </c>
    </row>
    <row r="2640" spans="15:18" x14ac:dyDescent="0.15">
      <c r="O2640" s="7" t="str">
        <f>"REQ"&amp;TEXT([2]RequestList!$A2641,"0000")</f>
        <v>REQ0000</v>
      </c>
      <c r="P2640" s="7">
        <f>[2]RequestList!$J2641</f>
        <v>0</v>
      </c>
      <c r="Q2640" s="65">
        <f>SUMIF(日報!$R:$R,TEXT(YEAR($Q$2),"0000")&amp;TEXT(MONTH($Q$2),"00")&amp;$O2640,日報!$L:$L)</f>
        <v>0</v>
      </c>
      <c r="R2640" s="65">
        <f ca="1">SUMIF(日報!$J:$J,$O2640,日報!$L:$L)</f>
        <v>0</v>
      </c>
    </row>
    <row r="2641" spans="15:18" x14ac:dyDescent="0.15">
      <c r="O2641" s="7" t="str">
        <f>"REQ"&amp;TEXT([2]RequestList!$A2642,"0000")</f>
        <v>REQ0000</v>
      </c>
      <c r="P2641" s="7">
        <f>[2]RequestList!$J2642</f>
        <v>0</v>
      </c>
      <c r="Q2641" s="65">
        <f>SUMIF(日報!$R:$R,TEXT(YEAR($Q$2),"0000")&amp;TEXT(MONTH($Q$2),"00")&amp;$O2641,日報!$L:$L)</f>
        <v>0</v>
      </c>
      <c r="R2641" s="65">
        <f ca="1">SUMIF(日報!$J:$J,$O2641,日報!$L:$L)</f>
        <v>0</v>
      </c>
    </row>
    <row r="2642" spans="15:18" x14ac:dyDescent="0.15">
      <c r="O2642" s="7" t="str">
        <f>"REQ"&amp;TEXT([2]RequestList!$A2643,"0000")</f>
        <v>REQ0000</v>
      </c>
      <c r="P2642" s="7">
        <f>[2]RequestList!$J2643</f>
        <v>0</v>
      </c>
      <c r="Q2642" s="65">
        <f>SUMIF(日報!$R:$R,TEXT(YEAR($Q$2),"0000")&amp;TEXT(MONTH($Q$2),"00")&amp;$O2642,日報!$L:$L)</f>
        <v>0</v>
      </c>
      <c r="R2642" s="65">
        <f ca="1">SUMIF(日報!$J:$J,$O2642,日報!$L:$L)</f>
        <v>0</v>
      </c>
    </row>
    <row r="2643" spans="15:18" x14ac:dyDescent="0.15">
      <c r="O2643" s="7" t="str">
        <f>"REQ"&amp;TEXT([2]RequestList!$A2644,"0000")</f>
        <v>REQ0000</v>
      </c>
      <c r="P2643" s="7">
        <f>[2]RequestList!$J2644</f>
        <v>0</v>
      </c>
      <c r="Q2643" s="65">
        <f>SUMIF(日報!$R:$R,TEXT(YEAR($Q$2),"0000")&amp;TEXT(MONTH($Q$2),"00")&amp;$O2643,日報!$L:$L)</f>
        <v>0</v>
      </c>
      <c r="R2643" s="65">
        <f ca="1">SUMIF(日報!$J:$J,$O2643,日報!$L:$L)</f>
        <v>0</v>
      </c>
    </row>
    <row r="2644" spans="15:18" x14ac:dyDescent="0.15">
      <c r="O2644" s="7" t="str">
        <f>"REQ"&amp;TEXT([2]RequestList!$A2645,"0000")</f>
        <v>REQ0000</v>
      </c>
      <c r="P2644" s="7">
        <f>[2]RequestList!$J2645</f>
        <v>0</v>
      </c>
      <c r="Q2644" s="65">
        <f>SUMIF(日報!$R:$R,TEXT(YEAR($Q$2),"0000")&amp;TEXT(MONTH($Q$2),"00")&amp;$O2644,日報!$L:$L)</f>
        <v>0</v>
      </c>
      <c r="R2644" s="65">
        <f ca="1">SUMIF(日報!$J:$J,$O2644,日報!$L:$L)</f>
        <v>0</v>
      </c>
    </row>
    <row r="2645" spans="15:18" x14ac:dyDescent="0.15">
      <c r="O2645" s="7" t="str">
        <f>"REQ"&amp;TEXT([2]RequestList!$A2646,"0000")</f>
        <v>REQ0000</v>
      </c>
      <c r="P2645" s="7">
        <f>[2]RequestList!$J2646</f>
        <v>0</v>
      </c>
      <c r="Q2645" s="65">
        <f>SUMIF(日報!$R:$R,TEXT(YEAR($Q$2),"0000")&amp;TEXT(MONTH($Q$2),"00")&amp;$O2645,日報!$L:$L)</f>
        <v>0</v>
      </c>
      <c r="R2645" s="65">
        <f ca="1">SUMIF(日報!$J:$J,$O2645,日報!$L:$L)</f>
        <v>0</v>
      </c>
    </row>
    <row r="2646" spans="15:18" x14ac:dyDescent="0.15">
      <c r="O2646" s="7" t="str">
        <f>"REQ"&amp;TEXT([2]RequestList!$A2647,"0000")</f>
        <v>REQ0000</v>
      </c>
      <c r="P2646" s="7">
        <f>[2]RequestList!$J2647</f>
        <v>0</v>
      </c>
      <c r="Q2646" s="65">
        <f>SUMIF(日報!$R:$R,TEXT(YEAR($Q$2),"0000")&amp;TEXT(MONTH($Q$2),"00")&amp;$O2646,日報!$L:$L)</f>
        <v>0</v>
      </c>
      <c r="R2646" s="65">
        <f ca="1">SUMIF(日報!$J:$J,$O2646,日報!$L:$L)</f>
        <v>0</v>
      </c>
    </row>
    <row r="2647" spans="15:18" x14ac:dyDescent="0.15">
      <c r="O2647" s="7" t="str">
        <f>"REQ"&amp;TEXT([2]RequestList!$A2648,"0000")</f>
        <v>REQ0000</v>
      </c>
      <c r="P2647" s="7">
        <f>[2]RequestList!$J2648</f>
        <v>0</v>
      </c>
      <c r="Q2647" s="65">
        <f>SUMIF(日報!$R:$R,TEXT(YEAR($Q$2),"0000")&amp;TEXT(MONTH($Q$2),"00")&amp;$O2647,日報!$L:$L)</f>
        <v>0</v>
      </c>
      <c r="R2647" s="65">
        <f ca="1">SUMIF(日報!$J:$J,$O2647,日報!$L:$L)</f>
        <v>0</v>
      </c>
    </row>
    <row r="2648" spans="15:18" x14ac:dyDescent="0.15">
      <c r="O2648" s="7" t="str">
        <f>"REQ"&amp;TEXT([2]RequestList!$A2649,"0000")</f>
        <v>REQ0000</v>
      </c>
      <c r="P2648" s="7">
        <f>[2]RequestList!$J2649</f>
        <v>0</v>
      </c>
      <c r="Q2648" s="65">
        <f>SUMIF(日報!$R:$R,TEXT(YEAR($Q$2),"0000")&amp;TEXT(MONTH($Q$2),"00")&amp;$O2648,日報!$L:$L)</f>
        <v>0</v>
      </c>
      <c r="R2648" s="65">
        <f ca="1">SUMIF(日報!$J:$J,$O2648,日報!$L:$L)</f>
        <v>0</v>
      </c>
    </row>
    <row r="2649" spans="15:18" x14ac:dyDescent="0.15">
      <c r="O2649" s="7" t="str">
        <f>"REQ"&amp;TEXT([2]RequestList!$A2650,"0000")</f>
        <v>REQ0000</v>
      </c>
      <c r="P2649" s="7">
        <f>[2]RequestList!$J2650</f>
        <v>0</v>
      </c>
      <c r="Q2649" s="65">
        <f>SUMIF(日報!$R:$R,TEXT(YEAR($Q$2),"0000")&amp;TEXT(MONTH($Q$2),"00")&amp;$O2649,日報!$L:$L)</f>
        <v>0</v>
      </c>
      <c r="R2649" s="65">
        <f ca="1">SUMIF(日報!$J:$J,$O2649,日報!$L:$L)</f>
        <v>0</v>
      </c>
    </row>
    <row r="2650" spans="15:18" x14ac:dyDescent="0.15">
      <c r="O2650" s="7" t="str">
        <f>"REQ"&amp;TEXT([2]RequestList!$A2651,"0000")</f>
        <v>REQ0000</v>
      </c>
      <c r="P2650" s="7">
        <f>[2]RequestList!$J2651</f>
        <v>0</v>
      </c>
      <c r="Q2650" s="65">
        <f>SUMIF(日報!$R:$R,TEXT(YEAR($Q$2),"0000")&amp;TEXT(MONTH($Q$2),"00")&amp;$O2650,日報!$L:$L)</f>
        <v>0</v>
      </c>
      <c r="R2650" s="65">
        <f ca="1">SUMIF(日報!$J:$J,$O2650,日報!$L:$L)</f>
        <v>0</v>
      </c>
    </row>
    <row r="2651" spans="15:18" x14ac:dyDescent="0.15">
      <c r="O2651" s="7" t="str">
        <f>"REQ"&amp;TEXT([2]RequestList!$A2652,"0000")</f>
        <v>REQ0000</v>
      </c>
      <c r="P2651" s="7">
        <f>[2]RequestList!$J2652</f>
        <v>0</v>
      </c>
      <c r="Q2651" s="65">
        <f>SUMIF(日報!$R:$R,TEXT(YEAR($Q$2),"0000")&amp;TEXT(MONTH($Q$2),"00")&amp;$O2651,日報!$L:$L)</f>
        <v>0</v>
      </c>
      <c r="R2651" s="65">
        <f ca="1">SUMIF(日報!$J:$J,$O2651,日報!$L:$L)</f>
        <v>0</v>
      </c>
    </row>
    <row r="2652" spans="15:18" x14ac:dyDescent="0.15">
      <c r="O2652" s="7" t="str">
        <f>"REQ"&amp;TEXT([2]RequestList!$A2653,"0000")</f>
        <v>REQ0000</v>
      </c>
      <c r="P2652" s="7">
        <f>[2]RequestList!$J2653</f>
        <v>0</v>
      </c>
      <c r="Q2652" s="65">
        <f>SUMIF(日報!$R:$R,TEXT(YEAR($Q$2),"0000")&amp;TEXT(MONTH($Q$2),"00")&amp;$O2652,日報!$L:$L)</f>
        <v>0</v>
      </c>
      <c r="R2652" s="65">
        <f ca="1">SUMIF(日報!$J:$J,$O2652,日報!$L:$L)</f>
        <v>0</v>
      </c>
    </row>
    <row r="2653" spans="15:18" x14ac:dyDescent="0.15">
      <c r="O2653" s="7" t="str">
        <f>"REQ"&amp;TEXT([2]RequestList!$A2654,"0000")</f>
        <v>REQ0000</v>
      </c>
      <c r="P2653" s="7">
        <f>[2]RequestList!$J2654</f>
        <v>0</v>
      </c>
      <c r="Q2653" s="65">
        <f>SUMIF(日報!$R:$R,TEXT(YEAR($Q$2),"0000")&amp;TEXT(MONTH($Q$2),"00")&amp;$O2653,日報!$L:$L)</f>
        <v>0</v>
      </c>
      <c r="R2653" s="65">
        <f ca="1">SUMIF(日報!$J:$J,$O2653,日報!$L:$L)</f>
        <v>0</v>
      </c>
    </row>
    <row r="2654" spans="15:18" x14ac:dyDescent="0.15">
      <c r="O2654" s="7" t="str">
        <f>"REQ"&amp;TEXT([2]RequestList!$A2655,"0000")</f>
        <v>REQ0000</v>
      </c>
      <c r="P2654" s="7">
        <f>[2]RequestList!$J2655</f>
        <v>0</v>
      </c>
      <c r="Q2654" s="65">
        <f>SUMIF(日報!$R:$R,TEXT(YEAR($Q$2),"0000")&amp;TEXT(MONTH($Q$2),"00")&amp;$O2654,日報!$L:$L)</f>
        <v>0</v>
      </c>
      <c r="R2654" s="65">
        <f ca="1">SUMIF(日報!$J:$J,$O2654,日報!$L:$L)</f>
        <v>0</v>
      </c>
    </row>
    <row r="2655" spans="15:18" x14ac:dyDescent="0.15">
      <c r="O2655" s="7" t="str">
        <f>"REQ"&amp;TEXT([2]RequestList!$A2656,"0000")</f>
        <v>REQ0000</v>
      </c>
      <c r="P2655" s="7">
        <f>[2]RequestList!$J2656</f>
        <v>0</v>
      </c>
      <c r="Q2655" s="65">
        <f>SUMIF(日報!$R:$R,TEXT(YEAR($Q$2),"0000")&amp;TEXT(MONTH($Q$2),"00")&amp;$O2655,日報!$L:$L)</f>
        <v>0</v>
      </c>
      <c r="R2655" s="65">
        <f ca="1">SUMIF(日報!$J:$J,$O2655,日報!$L:$L)</f>
        <v>0</v>
      </c>
    </row>
    <row r="2656" spans="15:18" x14ac:dyDescent="0.15">
      <c r="O2656" s="7" t="str">
        <f>"REQ"&amp;TEXT([2]RequestList!$A2657,"0000")</f>
        <v>REQ0000</v>
      </c>
      <c r="P2656" s="7">
        <f>[2]RequestList!$J2657</f>
        <v>0</v>
      </c>
      <c r="Q2656" s="65">
        <f>SUMIF(日報!$R:$R,TEXT(YEAR($Q$2),"0000")&amp;TEXT(MONTH($Q$2),"00")&amp;$O2656,日報!$L:$L)</f>
        <v>0</v>
      </c>
      <c r="R2656" s="65">
        <f ca="1">SUMIF(日報!$J:$J,$O2656,日報!$L:$L)</f>
        <v>0</v>
      </c>
    </row>
    <row r="2657" spans="15:18" x14ac:dyDescent="0.15">
      <c r="O2657" s="7" t="str">
        <f>"REQ"&amp;TEXT([2]RequestList!$A2658,"0000")</f>
        <v>REQ0000</v>
      </c>
      <c r="P2657" s="7">
        <f>[2]RequestList!$J2658</f>
        <v>0</v>
      </c>
      <c r="Q2657" s="65">
        <f>SUMIF(日報!$R:$R,TEXT(YEAR($Q$2),"0000")&amp;TEXT(MONTH($Q$2),"00")&amp;$O2657,日報!$L:$L)</f>
        <v>0</v>
      </c>
      <c r="R2657" s="65">
        <f ca="1">SUMIF(日報!$J:$J,$O2657,日報!$L:$L)</f>
        <v>0</v>
      </c>
    </row>
    <row r="2658" spans="15:18" x14ac:dyDescent="0.15">
      <c r="O2658" s="7" t="str">
        <f>"REQ"&amp;TEXT([2]RequestList!$A2659,"0000")</f>
        <v>REQ0000</v>
      </c>
      <c r="P2658" s="7">
        <f>[2]RequestList!$J2659</f>
        <v>0</v>
      </c>
      <c r="Q2658" s="65">
        <f>SUMIF(日報!$R:$R,TEXT(YEAR($Q$2),"0000")&amp;TEXT(MONTH($Q$2),"00")&amp;$O2658,日報!$L:$L)</f>
        <v>0</v>
      </c>
      <c r="R2658" s="65">
        <f ca="1">SUMIF(日報!$J:$J,$O2658,日報!$L:$L)</f>
        <v>0</v>
      </c>
    </row>
    <row r="2659" spans="15:18" x14ac:dyDescent="0.15">
      <c r="O2659" s="7" t="str">
        <f>"REQ"&amp;TEXT([2]RequestList!$A2660,"0000")</f>
        <v>REQ0000</v>
      </c>
      <c r="P2659" s="7">
        <f>[2]RequestList!$J2660</f>
        <v>0</v>
      </c>
      <c r="Q2659" s="65">
        <f>SUMIF(日報!$R:$R,TEXT(YEAR($Q$2),"0000")&amp;TEXT(MONTH($Q$2),"00")&amp;$O2659,日報!$L:$L)</f>
        <v>0</v>
      </c>
      <c r="R2659" s="65">
        <f ca="1">SUMIF(日報!$J:$J,$O2659,日報!$L:$L)</f>
        <v>0</v>
      </c>
    </row>
    <row r="2660" spans="15:18" x14ac:dyDescent="0.15">
      <c r="O2660" s="7" t="str">
        <f>"REQ"&amp;TEXT([2]RequestList!$A2661,"0000")</f>
        <v>REQ0000</v>
      </c>
      <c r="P2660" s="7">
        <f>[2]RequestList!$J2661</f>
        <v>0</v>
      </c>
      <c r="Q2660" s="65">
        <f>SUMIF(日報!$R:$R,TEXT(YEAR($Q$2),"0000")&amp;TEXT(MONTH($Q$2),"00")&amp;$O2660,日報!$L:$L)</f>
        <v>0</v>
      </c>
      <c r="R2660" s="65">
        <f ca="1">SUMIF(日報!$J:$J,$O2660,日報!$L:$L)</f>
        <v>0</v>
      </c>
    </row>
    <row r="2661" spans="15:18" x14ac:dyDescent="0.15">
      <c r="O2661" s="7" t="str">
        <f>"REQ"&amp;TEXT([2]RequestList!$A2662,"0000")</f>
        <v>REQ0000</v>
      </c>
      <c r="P2661" s="7">
        <f>[2]RequestList!$J2662</f>
        <v>0</v>
      </c>
      <c r="Q2661" s="65">
        <f>SUMIF(日報!$R:$R,TEXT(YEAR($Q$2),"0000")&amp;TEXT(MONTH($Q$2),"00")&amp;$O2661,日報!$L:$L)</f>
        <v>0</v>
      </c>
      <c r="R2661" s="65">
        <f ca="1">SUMIF(日報!$J:$J,$O2661,日報!$L:$L)</f>
        <v>0</v>
      </c>
    </row>
    <row r="2662" spans="15:18" x14ac:dyDescent="0.15">
      <c r="O2662" s="7" t="str">
        <f>"REQ"&amp;TEXT([2]RequestList!$A2663,"0000")</f>
        <v>REQ0000</v>
      </c>
      <c r="P2662" s="7">
        <f>[2]RequestList!$J2663</f>
        <v>0</v>
      </c>
      <c r="Q2662" s="65">
        <f>SUMIF(日報!$R:$R,TEXT(YEAR($Q$2),"0000")&amp;TEXT(MONTH($Q$2),"00")&amp;$O2662,日報!$L:$L)</f>
        <v>0</v>
      </c>
      <c r="R2662" s="65">
        <f ca="1">SUMIF(日報!$J:$J,$O2662,日報!$L:$L)</f>
        <v>0</v>
      </c>
    </row>
    <row r="2663" spans="15:18" x14ac:dyDescent="0.15">
      <c r="O2663" s="7" t="str">
        <f>"REQ"&amp;TEXT([2]RequestList!$A2664,"0000")</f>
        <v>REQ0000</v>
      </c>
      <c r="P2663" s="7">
        <f>[2]RequestList!$J2664</f>
        <v>0</v>
      </c>
      <c r="Q2663" s="65">
        <f>SUMIF(日報!$R:$R,TEXT(YEAR($Q$2),"0000")&amp;TEXT(MONTH($Q$2),"00")&amp;$O2663,日報!$L:$L)</f>
        <v>0</v>
      </c>
      <c r="R2663" s="65">
        <f ca="1">SUMIF(日報!$J:$J,$O2663,日報!$L:$L)</f>
        <v>0</v>
      </c>
    </row>
    <row r="2664" spans="15:18" x14ac:dyDescent="0.15">
      <c r="O2664" s="7" t="str">
        <f>"REQ"&amp;TEXT([2]RequestList!$A2665,"0000")</f>
        <v>REQ0000</v>
      </c>
      <c r="P2664" s="7">
        <f>[2]RequestList!$J2665</f>
        <v>0</v>
      </c>
      <c r="Q2664" s="65">
        <f>SUMIF(日報!$R:$R,TEXT(YEAR($Q$2),"0000")&amp;TEXT(MONTH($Q$2),"00")&amp;$O2664,日報!$L:$L)</f>
        <v>0</v>
      </c>
      <c r="R2664" s="65">
        <f ca="1">SUMIF(日報!$J:$J,$O2664,日報!$L:$L)</f>
        <v>0</v>
      </c>
    </row>
    <row r="2665" spans="15:18" x14ac:dyDescent="0.15">
      <c r="O2665" s="7" t="str">
        <f>"REQ"&amp;TEXT([2]RequestList!$A2666,"0000")</f>
        <v>REQ0000</v>
      </c>
      <c r="P2665" s="7">
        <f>[2]RequestList!$J2666</f>
        <v>0</v>
      </c>
      <c r="Q2665" s="65">
        <f>SUMIF(日報!$R:$R,TEXT(YEAR($Q$2),"0000")&amp;TEXT(MONTH($Q$2),"00")&amp;$O2665,日報!$L:$L)</f>
        <v>0</v>
      </c>
      <c r="R2665" s="65">
        <f ca="1">SUMIF(日報!$J:$J,$O2665,日報!$L:$L)</f>
        <v>0</v>
      </c>
    </row>
    <row r="2666" spans="15:18" x14ac:dyDescent="0.15">
      <c r="O2666" s="7" t="str">
        <f>"REQ"&amp;TEXT([2]RequestList!$A2667,"0000")</f>
        <v>REQ0000</v>
      </c>
      <c r="P2666" s="7">
        <f>[2]RequestList!$J2667</f>
        <v>0</v>
      </c>
      <c r="Q2666" s="65">
        <f>SUMIF(日報!$R:$R,TEXT(YEAR($Q$2),"0000")&amp;TEXT(MONTH($Q$2),"00")&amp;$O2666,日報!$L:$L)</f>
        <v>0</v>
      </c>
      <c r="R2666" s="65">
        <f ca="1">SUMIF(日報!$J:$J,$O2666,日報!$L:$L)</f>
        <v>0</v>
      </c>
    </row>
    <row r="2667" spans="15:18" x14ac:dyDescent="0.15">
      <c r="O2667" s="7" t="str">
        <f>"REQ"&amp;TEXT([2]RequestList!$A2668,"0000")</f>
        <v>REQ0000</v>
      </c>
      <c r="P2667" s="7">
        <f>[2]RequestList!$J2668</f>
        <v>0</v>
      </c>
      <c r="Q2667" s="65">
        <f>SUMIF(日報!$R:$R,TEXT(YEAR($Q$2),"0000")&amp;TEXT(MONTH($Q$2),"00")&amp;$O2667,日報!$L:$L)</f>
        <v>0</v>
      </c>
      <c r="R2667" s="65">
        <f ca="1">SUMIF(日報!$J:$J,$O2667,日報!$L:$L)</f>
        <v>0</v>
      </c>
    </row>
    <row r="2668" spans="15:18" x14ac:dyDescent="0.15">
      <c r="O2668" s="7" t="str">
        <f>"REQ"&amp;TEXT([2]RequestList!$A2669,"0000")</f>
        <v>REQ0000</v>
      </c>
      <c r="P2668" s="7">
        <f>[2]RequestList!$J2669</f>
        <v>0</v>
      </c>
      <c r="Q2668" s="65">
        <f>SUMIF(日報!$R:$R,TEXT(YEAR($Q$2),"0000")&amp;TEXT(MONTH($Q$2),"00")&amp;$O2668,日報!$L:$L)</f>
        <v>0</v>
      </c>
      <c r="R2668" s="65">
        <f ca="1">SUMIF(日報!$J:$J,$O2668,日報!$L:$L)</f>
        <v>0</v>
      </c>
    </row>
    <row r="2669" spans="15:18" x14ac:dyDescent="0.15">
      <c r="O2669" s="7" t="str">
        <f>"REQ"&amp;TEXT([2]RequestList!$A2670,"0000")</f>
        <v>REQ0000</v>
      </c>
      <c r="P2669" s="7">
        <f>[2]RequestList!$J2670</f>
        <v>0</v>
      </c>
      <c r="Q2669" s="65">
        <f>SUMIF(日報!$R:$R,TEXT(YEAR($Q$2),"0000")&amp;TEXT(MONTH($Q$2),"00")&amp;$O2669,日報!$L:$L)</f>
        <v>0</v>
      </c>
      <c r="R2669" s="65">
        <f ca="1">SUMIF(日報!$J:$J,$O2669,日報!$L:$L)</f>
        <v>0</v>
      </c>
    </row>
    <row r="2670" spans="15:18" x14ac:dyDescent="0.15">
      <c r="O2670" s="7" t="str">
        <f>"REQ"&amp;TEXT([2]RequestList!$A2671,"0000")</f>
        <v>REQ0000</v>
      </c>
      <c r="P2670" s="7">
        <f>[2]RequestList!$J2671</f>
        <v>0</v>
      </c>
      <c r="Q2670" s="65">
        <f>SUMIF(日報!$R:$R,TEXT(YEAR($Q$2),"0000")&amp;TEXT(MONTH($Q$2),"00")&amp;$O2670,日報!$L:$L)</f>
        <v>0</v>
      </c>
      <c r="R2670" s="65">
        <f ca="1">SUMIF(日報!$J:$J,$O2670,日報!$L:$L)</f>
        <v>0</v>
      </c>
    </row>
    <row r="2671" spans="15:18" x14ac:dyDescent="0.15">
      <c r="O2671" s="7" t="str">
        <f>"REQ"&amp;TEXT([2]RequestList!$A2672,"0000")</f>
        <v>REQ0000</v>
      </c>
      <c r="P2671" s="7">
        <f>[2]RequestList!$J2672</f>
        <v>0</v>
      </c>
      <c r="Q2671" s="65">
        <f>SUMIF(日報!$R:$R,TEXT(YEAR($Q$2),"0000")&amp;TEXT(MONTH($Q$2),"00")&amp;$O2671,日報!$L:$L)</f>
        <v>0</v>
      </c>
      <c r="R2671" s="65">
        <f ca="1">SUMIF(日報!$J:$J,$O2671,日報!$L:$L)</f>
        <v>0</v>
      </c>
    </row>
    <row r="2672" spans="15:18" x14ac:dyDescent="0.15">
      <c r="O2672" s="7" t="str">
        <f>"REQ"&amp;TEXT([2]RequestList!$A2673,"0000")</f>
        <v>REQ0000</v>
      </c>
      <c r="P2672" s="7">
        <f>[2]RequestList!$J2673</f>
        <v>0</v>
      </c>
      <c r="Q2672" s="65">
        <f>SUMIF(日報!$R:$R,TEXT(YEAR($Q$2),"0000")&amp;TEXT(MONTH($Q$2),"00")&amp;$O2672,日報!$L:$L)</f>
        <v>0</v>
      </c>
      <c r="R2672" s="65">
        <f ca="1">SUMIF(日報!$J:$J,$O2672,日報!$L:$L)</f>
        <v>0</v>
      </c>
    </row>
    <row r="2673" spans="15:18" x14ac:dyDescent="0.15">
      <c r="O2673" s="7" t="str">
        <f>"REQ"&amp;TEXT([2]RequestList!$A2674,"0000")</f>
        <v>REQ0000</v>
      </c>
      <c r="P2673" s="7">
        <f>[2]RequestList!$J2674</f>
        <v>0</v>
      </c>
      <c r="Q2673" s="65">
        <f>SUMIF(日報!$R:$R,TEXT(YEAR($Q$2),"0000")&amp;TEXT(MONTH($Q$2),"00")&amp;$O2673,日報!$L:$L)</f>
        <v>0</v>
      </c>
      <c r="R2673" s="65">
        <f ca="1">SUMIF(日報!$J:$J,$O2673,日報!$L:$L)</f>
        <v>0</v>
      </c>
    </row>
    <row r="2674" spans="15:18" x14ac:dyDescent="0.15">
      <c r="O2674" s="7" t="str">
        <f>"REQ"&amp;TEXT([2]RequestList!$A2675,"0000")</f>
        <v>REQ0000</v>
      </c>
      <c r="P2674" s="7">
        <f>[2]RequestList!$J2675</f>
        <v>0</v>
      </c>
      <c r="Q2674" s="65">
        <f>SUMIF(日報!$R:$R,TEXT(YEAR($Q$2),"0000")&amp;TEXT(MONTH($Q$2),"00")&amp;$O2674,日報!$L:$L)</f>
        <v>0</v>
      </c>
      <c r="R2674" s="65">
        <f ca="1">SUMIF(日報!$J:$J,$O2674,日報!$L:$L)</f>
        <v>0</v>
      </c>
    </row>
    <row r="2675" spans="15:18" x14ac:dyDescent="0.15">
      <c r="O2675" s="7" t="str">
        <f>"REQ"&amp;TEXT([2]RequestList!$A2676,"0000")</f>
        <v>REQ0000</v>
      </c>
      <c r="P2675" s="7">
        <f>[2]RequestList!$J2676</f>
        <v>0</v>
      </c>
      <c r="Q2675" s="65">
        <f>SUMIF(日報!$R:$R,TEXT(YEAR($Q$2),"0000")&amp;TEXT(MONTH($Q$2),"00")&amp;$O2675,日報!$L:$L)</f>
        <v>0</v>
      </c>
      <c r="R2675" s="65">
        <f ca="1">SUMIF(日報!$J:$J,$O2675,日報!$L:$L)</f>
        <v>0</v>
      </c>
    </row>
    <row r="2676" spans="15:18" x14ac:dyDescent="0.15">
      <c r="O2676" s="7" t="str">
        <f>"REQ"&amp;TEXT([2]RequestList!$A2677,"0000")</f>
        <v>REQ0000</v>
      </c>
      <c r="P2676" s="7">
        <f>[2]RequestList!$J2677</f>
        <v>0</v>
      </c>
      <c r="Q2676" s="65">
        <f>SUMIF(日報!$R:$R,TEXT(YEAR($Q$2),"0000")&amp;TEXT(MONTH($Q$2),"00")&amp;$O2676,日報!$L:$L)</f>
        <v>0</v>
      </c>
      <c r="R2676" s="65">
        <f ca="1">SUMIF(日報!$J:$J,$O2676,日報!$L:$L)</f>
        <v>0</v>
      </c>
    </row>
    <row r="2677" spans="15:18" x14ac:dyDescent="0.15">
      <c r="O2677" s="7" t="str">
        <f>"REQ"&amp;TEXT([2]RequestList!$A2678,"0000")</f>
        <v>REQ0000</v>
      </c>
      <c r="P2677" s="7">
        <f>[2]RequestList!$J2678</f>
        <v>0</v>
      </c>
      <c r="Q2677" s="65">
        <f>SUMIF(日報!$R:$R,TEXT(YEAR($Q$2),"0000")&amp;TEXT(MONTH($Q$2),"00")&amp;$O2677,日報!$L:$L)</f>
        <v>0</v>
      </c>
      <c r="R2677" s="65">
        <f ca="1">SUMIF(日報!$J:$J,$O2677,日報!$L:$L)</f>
        <v>0</v>
      </c>
    </row>
    <row r="2678" spans="15:18" x14ac:dyDescent="0.15">
      <c r="O2678" s="7" t="str">
        <f>"REQ"&amp;TEXT([2]RequestList!$A2679,"0000")</f>
        <v>REQ0000</v>
      </c>
      <c r="P2678" s="7">
        <f>[2]RequestList!$J2679</f>
        <v>0</v>
      </c>
      <c r="Q2678" s="65">
        <f>SUMIF(日報!$R:$R,TEXT(YEAR($Q$2),"0000")&amp;TEXT(MONTH($Q$2),"00")&amp;$O2678,日報!$L:$L)</f>
        <v>0</v>
      </c>
      <c r="R2678" s="65">
        <f ca="1">SUMIF(日報!$J:$J,$O2678,日報!$L:$L)</f>
        <v>0</v>
      </c>
    </row>
    <row r="2679" spans="15:18" x14ac:dyDescent="0.15">
      <c r="O2679" s="7" t="str">
        <f>"REQ"&amp;TEXT([2]RequestList!$A2680,"0000")</f>
        <v>REQ0000</v>
      </c>
      <c r="P2679" s="7">
        <f>[2]RequestList!$J2680</f>
        <v>0</v>
      </c>
      <c r="Q2679" s="65">
        <f>SUMIF(日報!$R:$R,TEXT(YEAR($Q$2),"0000")&amp;TEXT(MONTH($Q$2),"00")&amp;$O2679,日報!$L:$L)</f>
        <v>0</v>
      </c>
      <c r="R2679" s="65">
        <f ca="1">SUMIF(日報!$J:$J,$O2679,日報!$L:$L)</f>
        <v>0</v>
      </c>
    </row>
    <row r="2680" spans="15:18" x14ac:dyDescent="0.15">
      <c r="O2680" s="7" t="str">
        <f>"REQ"&amp;TEXT([2]RequestList!$A2681,"0000")</f>
        <v>REQ0000</v>
      </c>
      <c r="P2680" s="7">
        <f>[2]RequestList!$J2681</f>
        <v>0</v>
      </c>
      <c r="Q2680" s="65">
        <f>SUMIF(日報!$R:$R,TEXT(YEAR($Q$2),"0000")&amp;TEXT(MONTH($Q$2),"00")&amp;$O2680,日報!$L:$L)</f>
        <v>0</v>
      </c>
      <c r="R2680" s="65">
        <f ca="1">SUMIF(日報!$J:$J,$O2680,日報!$L:$L)</f>
        <v>0</v>
      </c>
    </row>
    <row r="2681" spans="15:18" x14ac:dyDescent="0.15">
      <c r="O2681" s="7" t="str">
        <f>"REQ"&amp;TEXT([2]RequestList!$A2682,"0000")</f>
        <v>REQ0000</v>
      </c>
      <c r="P2681" s="7">
        <f>[2]RequestList!$J2682</f>
        <v>0</v>
      </c>
      <c r="Q2681" s="65">
        <f>SUMIF(日報!$R:$R,TEXT(YEAR($Q$2),"0000")&amp;TEXT(MONTH($Q$2),"00")&amp;$O2681,日報!$L:$L)</f>
        <v>0</v>
      </c>
      <c r="R2681" s="65">
        <f ca="1">SUMIF(日報!$J:$J,$O2681,日報!$L:$L)</f>
        <v>0</v>
      </c>
    </row>
    <row r="2682" spans="15:18" x14ac:dyDescent="0.15">
      <c r="O2682" s="7" t="str">
        <f>"REQ"&amp;TEXT([2]RequestList!$A2683,"0000")</f>
        <v>REQ0000</v>
      </c>
      <c r="P2682" s="7">
        <f>[2]RequestList!$J2683</f>
        <v>0</v>
      </c>
      <c r="Q2682" s="65">
        <f>SUMIF(日報!$R:$R,TEXT(YEAR($Q$2),"0000")&amp;TEXT(MONTH($Q$2),"00")&amp;$O2682,日報!$L:$L)</f>
        <v>0</v>
      </c>
      <c r="R2682" s="65">
        <f ca="1">SUMIF(日報!$J:$J,$O2682,日報!$L:$L)</f>
        <v>0</v>
      </c>
    </row>
    <row r="2683" spans="15:18" x14ac:dyDescent="0.15">
      <c r="O2683" s="7" t="str">
        <f>"REQ"&amp;TEXT([2]RequestList!$A2684,"0000")</f>
        <v>REQ0000</v>
      </c>
      <c r="P2683" s="7">
        <f>[2]RequestList!$J2684</f>
        <v>0</v>
      </c>
      <c r="Q2683" s="65">
        <f>SUMIF(日報!$R:$R,TEXT(YEAR($Q$2),"0000")&amp;TEXT(MONTH($Q$2),"00")&amp;$O2683,日報!$L:$L)</f>
        <v>0</v>
      </c>
      <c r="R2683" s="65">
        <f ca="1">SUMIF(日報!$J:$J,$O2683,日報!$L:$L)</f>
        <v>0</v>
      </c>
    </row>
    <row r="2684" spans="15:18" x14ac:dyDescent="0.15">
      <c r="O2684" s="7" t="str">
        <f>"REQ"&amp;TEXT([2]RequestList!$A2685,"0000")</f>
        <v>REQ0000</v>
      </c>
      <c r="P2684" s="7">
        <f>[2]RequestList!$J2685</f>
        <v>0</v>
      </c>
      <c r="Q2684" s="65">
        <f>SUMIF(日報!$R:$R,TEXT(YEAR($Q$2),"0000")&amp;TEXT(MONTH($Q$2),"00")&amp;$O2684,日報!$L:$L)</f>
        <v>0</v>
      </c>
      <c r="R2684" s="65">
        <f ca="1">SUMIF(日報!$J:$J,$O2684,日報!$L:$L)</f>
        <v>0</v>
      </c>
    </row>
    <row r="2685" spans="15:18" x14ac:dyDescent="0.15">
      <c r="O2685" s="7" t="str">
        <f>"REQ"&amp;TEXT([2]RequestList!$A2686,"0000")</f>
        <v>REQ0000</v>
      </c>
      <c r="P2685" s="7">
        <f>[2]RequestList!$J2686</f>
        <v>0</v>
      </c>
      <c r="Q2685" s="65">
        <f>SUMIF(日報!$R:$R,TEXT(YEAR($Q$2),"0000")&amp;TEXT(MONTH($Q$2),"00")&amp;$O2685,日報!$L:$L)</f>
        <v>0</v>
      </c>
      <c r="R2685" s="65">
        <f ca="1">SUMIF(日報!$J:$J,$O2685,日報!$L:$L)</f>
        <v>0</v>
      </c>
    </row>
    <row r="2686" spans="15:18" x14ac:dyDescent="0.15">
      <c r="O2686" s="7" t="str">
        <f>"REQ"&amp;TEXT([2]RequestList!$A2687,"0000")</f>
        <v>REQ0000</v>
      </c>
      <c r="P2686" s="7">
        <f>[2]RequestList!$J2687</f>
        <v>0</v>
      </c>
      <c r="Q2686" s="65">
        <f>SUMIF(日報!$R:$R,TEXT(YEAR($Q$2),"0000")&amp;TEXT(MONTH($Q$2),"00")&amp;$O2686,日報!$L:$L)</f>
        <v>0</v>
      </c>
      <c r="R2686" s="65">
        <f ca="1">SUMIF(日報!$J:$J,$O2686,日報!$L:$L)</f>
        <v>0</v>
      </c>
    </row>
    <row r="2687" spans="15:18" x14ac:dyDescent="0.15">
      <c r="O2687" s="7" t="str">
        <f>"REQ"&amp;TEXT([2]RequestList!$A2688,"0000")</f>
        <v>REQ0000</v>
      </c>
      <c r="P2687" s="7">
        <f>[2]RequestList!$J2688</f>
        <v>0</v>
      </c>
      <c r="Q2687" s="65">
        <f>SUMIF(日報!$R:$R,TEXT(YEAR($Q$2),"0000")&amp;TEXT(MONTH($Q$2),"00")&amp;$O2687,日報!$L:$L)</f>
        <v>0</v>
      </c>
      <c r="R2687" s="65">
        <f ca="1">SUMIF(日報!$J:$J,$O2687,日報!$L:$L)</f>
        <v>0</v>
      </c>
    </row>
    <row r="2688" spans="15:18" x14ac:dyDescent="0.15">
      <c r="O2688" s="7" t="str">
        <f>"REQ"&amp;TEXT([2]RequestList!$A2689,"0000")</f>
        <v>REQ0000</v>
      </c>
      <c r="P2688" s="7">
        <f>[2]RequestList!$J2689</f>
        <v>0</v>
      </c>
      <c r="Q2688" s="65">
        <f>SUMIF(日報!$R:$R,TEXT(YEAR($Q$2),"0000")&amp;TEXT(MONTH($Q$2),"00")&amp;$O2688,日報!$L:$L)</f>
        <v>0</v>
      </c>
      <c r="R2688" s="65">
        <f ca="1">SUMIF(日報!$J:$J,$O2688,日報!$L:$L)</f>
        <v>0</v>
      </c>
    </row>
    <row r="2689" spans="15:18" x14ac:dyDescent="0.15">
      <c r="O2689" s="7" t="str">
        <f>"REQ"&amp;TEXT([2]RequestList!$A2690,"0000")</f>
        <v>REQ0000</v>
      </c>
      <c r="P2689" s="7">
        <f>[2]RequestList!$J2690</f>
        <v>0</v>
      </c>
      <c r="Q2689" s="65">
        <f>SUMIF(日報!$R:$R,TEXT(YEAR($Q$2),"0000")&amp;TEXT(MONTH($Q$2),"00")&amp;$O2689,日報!$L:$L)</f>
        <v>0</v>
      </c>
      <c r="R2689" s="65">
        <f ca="1">SUMIF(日報!$J:$J,$O2689,日報!$L:$L)</f>
        <v>0</v>
      </c>
    </row>
    <row r="2690" spans="15:18" x14ac:dyDescent="0.15">
      <c r="O2690" s="7" t="str">
        <f>"REQ"&amp;TEXT([2]RequestList!$A2691,"0000")</f>
        <v>REQ0000</v>
      </c>
      <c r="P2690" s="7">
        <f>[2]RequestList!$J2691</f>
        <v>0</v>
      </c>
      <c r="Q2690" s="65">
        <f>SUMIF(日報!$R:$R,TEXT(YEAR($Q$2),"0000")&amp;TEXT(MONTH($Q$2),"00")&amp;$O2690,日報!$L:$L)</f>
        <v>0</v>
      </c>
      <c r="R2690" s="65">
        <f ca="1">SUMIF(日報!$J:$J,$O2690,日報!$L:$L)</f>
        <v>0</v>
      </c>
    </row>
    <row r="2691" spans="15:18" x14ac:dyDescent="0.15">
      <c r="O2691" s="7" t="str">
        <f>"REQ"&amp;TEXT([2]RequestList!$A2692,"0000")</f>
        <v>REQ0000</v>
      </c>
      <c r="P2691" s="7">
        <f>[2]RequestList!$J2692</f>
        <v>0</v>
      </c>
      <c r="Q2691" s="65">
        <f>SUMIF(日報!$R:$R,TEXT(YEAR($Q$2),"0000")&amp;TEXT(MONTH($Q$2),"00")&amp;$O2691,日報!$L:$L)</f>
        <v>0</v>
      </c>
      <c r="R2691" s="65">
        <f ca="1">SUMIF(日報!$J:$J,$O2691,日報!$L:$L)</f>
        <v>0</v>
      </c>
    </row>
    <row r="2692" spans="15:18" x14ac:dyDescent="0.15">
      <c r="O2692" s="7" t="str">
        <f>"REQ"&amp;TEXT([2]RequestList!$A2693,"0000")</f>
        <v>REQ0000</v>
      </c>
      <c r="P2692" s="7">
        <f>[2]RequestList!$J2693</f>
        <v>0</v>
      </c>
      <c r="Q2692" s="65">
        <f>SUMIF(日報!$R:$R,TEXT(YEAR($Q$2),"0000")&amp;TEXT(MONTH($Q$2),"00")&amp;$O2692,日報!$L:$L)</f>
        <v>0</v>
      </c>
      <c r="R2692" s="65">
        <f ca="1">SUMIF(日報!$J:$J,$O2692,日報!$L:$L)</f>
        <v>0</v>
      </c>
    </row>
    <row r="2693" spans="15:18" x14ac:dyDescent="0.15">
      <c r="O2693" s="7" t="str">
        <f>"REQ"&amp;TEXT([2]RequestList!$A2694,"0000")</f>
        <v>REQ0000</v>
      </c>
      <c r="P2693" s="7">
        <f>[2]RequestList!$J2694</f>
        <v>0</v>
      </c>
      <c r="Q2693" s="65">
        <f>SUMIF(日報!$R:$R,TEXT(YEAR($Q$2),"0000")&amp;TEXT(MONTH($Q$2),"00")&amp;$O2693,日報!$L:$L)</f>
        <v>0</v>
      </c>
      <c r="R2693" s="65">
        <f ca="1">SUMIF(日報!$J:$J,$O2693,日報!$L:$L)</f>
        <v>0</v>
      </c>
    </row>
    <row r="2694" spans="15:18" x14ac:dyDescent="0.15">
      <c r="O2694" s="7" t="str">
        <f>"REQ"&amp;TEXT([2]RequestList!$A2695,"0000")</f>
        <v>REQ0000</v>
      </c>
      <c r="P2694" s="7">
        <f>[2]RequestList!$J2695</f>
        <v>0</v>
      </c>
      <c r="Q2694" s="65">
        <f>SUMIF(日報!$R:$R,TEXT(YEAR($Q$2),"0000")&amp;TEXT(MONTH($Q$2),"00")&amp;$O2694,日報!$L:$L)</f>
        <v>0</v>
      </c>
      <c r="R2694" s="65">
        <f ca="1">SUMIF(日報!$J:$J,$O2694,日報!$L:$L)</f>
        <v>0</v>
      </c>
    </row>
    <row r="2695" spans="15:18" x14ac:dyDescent="0.15">
      <c r="O2695" s="7" t="str">
        <f>"REQ"&amp;TEXT([2]RequestList!$A2696,"0000")</f>
        <v>REQ0000</v>
      </c>
      <c r="P2695" s="7">
        <f>[2]RequestList!$J2696</f>
        <v>0</v>
      </c>
      <c r="Q2695" s="65">
        <f>SUMIF(日報!$R:$R,TEXT(YEAR($Q$2),"0000")&amp;TEXT(MONTH($Q$2),"00")&amp;$O2695,日報!$L:$L)</f>
        <v>0</v>
      </c>
      <c r="R2695" s="65">
        <f ca="1">SUMIF(日報!$J:$J,$O2695,日報!$L:$L)</f>
        <v>0</v>
      </c>
    </row>
    <row r="2696" spans="15:18" x14ac:dyDescent="0.15">
      <c r="O2696" s="7" t="str">
        <f>"REQ"&amp;TEXT([2]RequestList!$A2697,"0000")</f>
        <v>REQ0000</v>
      </c>
      <c r="P2696" s="7">
        <f>[2]RequestList!$J2697</f>
        <v>0</v>
      </c>
      <c r="Q2696" s="65">
        <f>SUMIF(日報!$R:$R,TEXT(YEAR($Q$2),"0000")&amp;TEXT(MONTH($Q$2),"00")&amp;$O2696,日報!$L:$L)</f>
        <v>0</v>
      </c>
      <c r="R2696" s="65">
        <f ca="1">SUMIF(日報!$J:$J,$O2696,日報!$L:$L)</f>
        <v>0</v>
      </c>
    </row>
    <row r="2697" spans="15:18" x14ac:dyDescent="0.15">
      <c r="O2697" s="7" t="str">
        <f>"REQ"&amp;TEXT([2]RequestList!$A2698,"0000")</f>
        <v>REQ0000</v>
      </c>
      <c r="P2697" s="7">
        <f>[2]RequestList!$J2698</f>
        <v>0</v>
      </c>
      <c r="Q2697" s="65">
        <f>SUMIF(日報!$R:$R,TEXT(YEAR($Q$2),"0000")&amp;TEXT(MONTH($Q$2),"00")&amp;$O2697,日報!$L:$L)</f>
        <v>0</v>
      </c>
      <c r="R2697" s="65">
        <f ca="1">SUMIF(日報!$J:$J,$O2697,日報!$L:$L)</f>
        <v>0</v>
      </c>
    </row>
    <row r="2698" spans="15:18" x14ac:dyDescent="0.15">
      <c r="O2698" s="7" t="str">
        <f>"REQ"&amp;TEXT([2]RequestList!$A2699,"0000")</f>
        <v>REQ0000</v>
      </c>
      <c r="P2698" s="7">
        <f>[2]RequestList!$J2699</f>
        <v>0</v>
      </c>
      <c r="Q2698" s="65">
        <f>SUMIF(日報!$R:$R,TEXT(YEAR($Q$2),"0000")&amp;TEXT(MONTH($Q$2),"00")&amp;$O2698,日報!$L:$L)</f>
        <v>0</v>
      </c>
      <c r="R2698" s="65">
        <f ca="1">SUMIF(日報!$J:$J,$O2698,日報!$L:$L)</f>
        <v>0</v>
      </c>
    </row>
    <row r="2699" spans="15:18" x14ac:dyDescent="0.15">
      <c r="O2699" s="7" t="str">
        <f>"REQ"&amp;TEXT([2]RequestList!$A2700,"0000")</f>
        <v>REQ0000</v>
      </c>
      <c r="P2699" s="7">
        <f>[2]RequestList!$J2700</f>
        <v>0</v>
      </c>
      <c r="Q2699" s="65">
        <f>SUMIF(日報!$R:$R,TEXT(YEAR($Q$2),"0000")&amp;TEXT(MONTH($Q$2),"00")&amp;$O2699,日報!$L:$L)</f>
        <v>0</v>
      </c>
      <c r="R2699" s="65">
        <f ca="1">SUMIF(日報!$J:$J,$O2699,日報!$L:$L)</f>
        <v>0</v>
      </c>
    </row>
    <row r="2700" spans="15:18" x14ac:dyDescent="0.15">
      <c r="O2700" s="7" t="str">
        <f>"REQ"&amp;TEXT([2]RequestList!$A2701,"0000")</f>
        <v>REQ0000</v>
      </c>
      <c r="P2700" s="7">
        <f>[2]RequestList!$J2701</f>
        <v>0</v>
      </c>
      <c r="Q2700" s="65">
        <f>SUMIF(日報!$R:$R,TEXT(YEAR($Q$2),"0000")&amp;TEXT(MONTH($Q$2),"00")&amp;$O2700,日報!$L:$L)</f>
        <v>0</v>
      </c>
      <c r="R2700" s="65">
        <f ca="1">SUMIF(日報!$J:$J,$O2700,日報!$L:$L)</f>
        <v>0</v>
      </c>
    </row>
    <row r="2701" spans="15:18" x14ac:dyDescent="0.15">
      <c r="O2701" s="7" t="str">
        <f>"REQ"&amp;TEXT([2]RequestList!$A2702,"0000")</f>
        <v>REQ0000</v>
      </c>
      <c r="P2701" s="7">
        <f>[2]RequestList!$J2702</f>
        <v>0</v>
      </c>
      <c r="Q2701" s="65">
        <f>SUMIF(日報!$R:$R,TEXT(YEAR($Q$2),"0000")&amp;TEXT(MONTH($Q$2),"00")&amp;$O2701,日報!$L:$L)</f>
        <v>0</v>
      </c>
      <c r="R2701" s="65">
        <f ca="1">SUMIF(日報!$J:$J,$O2701,日報!$L:$L)</f>
        <v>0</v>
      </c>
    </row>
    <row r="2702" spans="15:18" x14ac:dyDescent="0.15">
      <c r="O2702" s="7" t="str">
        <f>"REQ"&amp;TEXT([2]RequestList!$A2703,"0000")</f>
        <v>REQ0000</v>
      </c>
      <c r="P2702" s="7">
        <f>[2]RequestList!$J2703</f>
        <v>0</v>
      </c>
      <c r="Q2702" s="65">
        <f>SUMIF(日報!$R:$R,TEXT(YEAR($Q$2),"0000")&amp;TEXT(MONTH($Q$2),"00")&amp;$O2702,日報!$L:$L)</f>
        <v>0</v>
      </c>
      <c r="R2702" s="65">
        <f ca="1">SUMIF(日報!$J:$J,$O2702,日報!$L:$L)</f>
        <v>0</v>
      </c>
    </row>
    <row r="2703" spans="15:18" x14ac:dyDescent="0.15">
      <c r="O2703" s="7" t="str">
        <f>"REQ"&amp;TEXT([2]RequestList!$A2704,"0000")</f>
        <v>REQ0000</v>
      </c>
      <c r="P2703" s="7">
        <f>[2]RequestList!$J2704</f>
        <v>0</v>
      </c>
      <c r="Q2703" s="65">
        <f>SUMIF(日報!$R:$R,TEXT(YEAR($Q$2),"0000")&amp;TEXT(MONTH($Q$2),"00")&amp;$O2703,日報!$L:$L)</f>
        <v>0</v>
      </c>
      <c r="R2703" s="65">
        <f ca="1">SUMIF(日報!$J:$J,$O2703,日報!$L:$L)</f>
        <v>0</v>
      </c>
    </row>
    <row r="2704" spans="15:18" x14ac:dyDescent="0.15">
      <c r="O2704" s="7" t="str">
        <f>"REQ"&amp;TEXT([2]RequestList!$A2705,"0000")</f>
        <v>REQ0000</v>
      </c>
      <c r="P2704" s="7">
        <f>[2]RequestList!$J2705</f>
        <v>0</v>
      </c>
      <c r="Q2704" s="65">
        <f>SUMIF(日報!$R:$R,TEXT(YEAR($Q$2),"0000")&amp;TEXT(MONTH($Q$2),"00")&amp;$O2704,日報!$L:$L)</f>
        <v>0</v>
      </c>
      <c r="R2704" s="65">
        <f ca="1">SUMIF(日報!$J:$J,$O2704,日報!$L:$L)</f>
        <v>0</v>
      </c>
    </row>
    <row r="2705" spans="15:18" x14ac:dyDescent="0.15">
      <c r="O2705" s="7" t="str">
        <f>"REQ"&amp;TEXT([2]RequestList!$A2706,"0000")</f>
        <v>REQ0000</v>
      </c>
      <c r="P2705" s="7">
        <f>[2]RequestList!$J2706</f>
        <v>0</v>
      </c>
      <c r="Q2705" s="65">
        <f>SUMIF(日報!$R:$R,TEXT(YEAR($Q$2),"0000")&amp;TEXT(MONTH($Q$2),"00")&amp;$O2705,日報!$L:$L)</f>
        <v>0</v>
      </c>
      <c r="R2705" s="65">
        <f ca="1">SUMIF(日報!$J:$J,$O2705,日報!$L:$L)</f>
        <v>0</v>
      </c>
    </row>
    <row r="2706" spans="15:18" x14ac:dyDescent="0.15">
      <c r="O2706" s="7" t="str">
        <f>"REQ"&amp;TEXT([2]RequestList!$A2707,"0000")</f>
        <v>REQ0000</v>
      </c>
      <c r="P2706" s="7">
        <f>[2]RequestList!$J2707</f>
        <v>0</v>
      </c>
      <c r="Q2706" s="65">
        <f>SUMIF(日報!$R:$R,TEXT(YEAR($Q$2),"0000")&amp;TEXT(MONTH($Q$2),"00")&amp;$O2706,日報!$L:$L)</f>
        <v>0</v>
      </c>
      <c r="R2706" s="65">
        <f ca="1">SUMIF(日報!$J:$J,$O2706,日報!$L:$L)</f>
        <v>0</v>
      </c>
    </row>
    <row r="2707" spans="15:18" x14ac:dyDescent="0.15">
      <c r="O2707" s="7" t="str">
        <f>"REQ"&amp;TEXT([2]RequestList!$A2708,"0000")</f>
        <v>REQ0000</v>
      </c>
      <c r="P2707" s="7">
        <f>[2]RequestList!$J2708</f>
        <v>0</v>
      </c>
      <c r="Q2707" s="65">
        <f>SUMIF(日報!$R:$R,TEXT(YEAR($Q$2),"0000")&amp;TEXT(MONTH($Q$2),"00")&amp;$O2707,日報!$L:$L)</f>
        <v>0</v>
      </c>
      <c r="R2707" s="65">
        <f ca="1">SUMIF(日報!$J:$J,$O2707,日報!$L:$L)</f>
        <v>0</v>
      </c>
    </row>
    <row r="2708" spans="15:18" x14ac:dyDescent="0.15">
      <c r="O2708" s="7" t="str">
        <f>"REQ"&amp;TEXT([2]RequestList!$A2709,"0000")</f>
        <v>REQ0000</v>
      </c>
      <c r="P2708" s="7">
        <f>[2]RequestList!$J2709</f>
        <v>0</v>
      </c>
      <c r="Q2708" s="65">
        <f>SUMIF(日報!$R:$R,TEXT(YEAR($Q$2),"0000")&amp;TEXT(MONTH($Q$2),"00")&amp;$O2708,日報!$L:$L)</f>
        <v>0</v>
      </c>
      <c r="R2708" s="65">
        <f ca="1">SUMIF(日報!$J:$J,$O2708,日報!$L:$L)</f>
        <v>0</v>
      </c>
    </row>
    <row r="2709" spans="15:18" x14ac:dyDescent="0.15">
      <c r="O2709" s="7" t="str">
        <f>"REQ"&amp;TEXT([2]RequestList!$A2710,"0000")</f>
        <v>REQ0000</v>
      </c>
      <c r="P2709" s="7">
        <f>[2]RequestList!$J2710</f>
        <v>0</v>
      </c>
      <c r="Q2709" s="65">
        <f>SUMIF(日報!$R:$R,TEXT(YEAR($Q$2),"0000")&amp;TEXT(MONTH($Q$2),"00")&amp;$O2709,日報!$L:$L)</f>
        <v>0</v>
      </c>
      <c r="R2709" s="65">
        <f ca="1">SUMIF(日報!$J:$J,$O2709,日報!$L:$L)</f>
        <v>0</v>
      </c>
    </row>
    <row r="2710" spans="15:18" x14ac:dyDescent="0.15">
      <c r="O2710" s="7" t="str">
        <f>"REQ"&amp;TEXT([2]RequestList!$A2711,"0000")</f>
        <v>REQ0000</v>
      </c>
      <c r="P2710" s="7">
        <f>[2]RequestList!$J2711</f>
        <v>0</v>
      </c>
      <c r="Q2710" s="65">
        <f>SUMIF(日報!$R:$R,TEXT(YEAR($Q$2),"0000")&amp;TEXT(MONTH($Q$2),"00")&amp;$O2710,日報!$L:$L)</f>
        <v>0</v>
      </c>
      <c r="R2710" s="65">
        <f ca="1">SUMIF(日報!$J:$J,$O2710,日報!$L:$L)</f>
        <v>0</v>
      </c>
    </row>
    <row r="2711" spans="15:18" x14ac:dyDescent="0.15">
      <c r="O2711" s="7" t="str">
        <f>"REQ"&amp;TEXT([2]RequestList!$A2712,"0000")</f>
        <v>REQ0000</v>
      </c>
      <c r="P2711" s="7">
        <f>[2]RequestList!$J2712</f>
        <v>0</v>
      </c>
      <c r="Q2711" s="65">
        <f>SUMIF(日報!$R:$R,TEXT(YEAR($Q$2),"0000")&amp;TEXT(MONTH($Q$2),"00")&amp;$O2711,日報!$L:$L)</f>
        <v>0</v>
      </c>
      <c r="R2711" s="65">
        <f ca="1">SUMIF(日報!$J:$J,$O2711,日報!$L:$L)</f>
        <v>0</v>
      </c>
    </row>
    <row r="2712" spans="15:18" x14ac:dyDescent="0.15">
      <c r="O2712" s="7" t="str">
        <f>"REQ"&amp;TEXT([2]RequestList!$A2713,"0000")</f>
        <v>REQ0000</v>
      </c>
      <c r="P2712" s="7">
        <f>[2]RequestList!$J2713</f>
        <v>0</v>
      </c>
      <c r="Q2712" s="65">
        <f>SUMIF(日報!$R:$R,TEXT(YEAR($Q$2),"0000")&amp;TEXT(MONTH($Q$2),"00")&amp;$O2712,日報!$L:$L)</f>
        <v>0</v>
      </c>
      <c r="R2712" s="65">
        <f ca="1">SUMIF(日報!$J:$J,$O2712,日報!$L:$L)</f>
        <v>0</v>
      </c>
    </row>
    <row r="2713" spans="15:18" x14ac:dyDescent="0.15">
      <c r="O2713" s="7" t="str">
        <f>"REQ"&amp;TEXT([2]RequestList!$A2714,"0000")</f>
        <v>REQ0000</v>
      </c>
      <c r="P2713" s="7">
        <f>[2]RequestList!$J2714</f>
        <v>0</v>
      </c>
      <c r="Q2713" s="65">
        <f>SUMIF(日報!$R:$R,TEXT(YEAR($Q$2),"0000")&amp;TEXT(MONTH($Q$2),"00")&amp;$O2713,日報!$L:$L)</f>
        <v>0</v>
      </c>
      <c r="R2713" s="65">
        <f ca="1">SUMIF(日報!$J:$J,$O2713,日報!$L:$L)</f>
        <v>0</v>
      </c>
    </row>
    <row r="2714" spans="15:18" x14ac:dyDescent="0.15">
      <c r="O2714" s="7" t="str">
        <f>"REQ"&amp;TEXT([2]RequestList!$A2715,"0000")</f>
        <v>REQ0000</v>
      </c>
      <c r="P2714" s="7">
        <f>[2]RequestList!$J2715</f>
        <v>0</v>
      </c>
      <c r="Q2714" s="65">
        <f>SUMIF(日報!$R:$R,TEXT(YEAR($Q$2),"0000")&amp;TEXT(MONTH($Q$2),"00")&amp;$O2714,日報!$L:$L)</f>
        <v>0</v>
      </c>
      <c r="R2714" s="65">
        <f ca="1">SUMIF(日報!$J:$J,$O2714,日報!$L:$L)</f>
        <v>0</v>
      </c>
    </row>
    <row r="2715" spans="15:18" x14ac:dyDescent="0.15">
      <c r="O2715" s="7" t="str">
        <f>"REQ"&amp;TEXT([2]RequestList!$A2716,"0000")</f>
        <v>REQ0000</v>
      </c>
      <c r="P2715" s="7">
        <f>[2]RequestList!$J2716</f>
        <v>0</v>
      </c>
      <c r="Q2715" s="65">
        <f>SUMIF(日報!$R:$R,TEXT(YEAR($Q$2),"0000")&amp;TEXT(MONTH($Q$2),"00")&amp;$O2715,日報!$L:$L)</f>
        <v>0</v>
      </c>
      <c r="R2715" s="65">
        <f ca="1">SUMIF(日報!$J:$J,$O2715,日報!$L:$L)</f>
        <v>0</v>
      </c>
    </row>
    <row r="2716" spans="15:18" x14ac:dyDescent="0.15">
      <c r="O2716" s="7" t="str">
        <f>"REQ"&amp;TEXT([2]RequestList!$A2717,"0000")</f>
        <v>REQ0000</v>
      </c>
      <c r="P2716" s="7">
        <f>[2]RequestList!$J2717</f>
        <v>0</v>
      </c>
      <c r="Q2716" s="65">
        <f>SUMIF(日報!$R:$R,TEXT(YEAR($Q$2),"0000")&amp;TEXT(MONTH($Q$2),"00")&amp;$O2716,日報!$L:$L)</f>
        <v>0</v>
      </c>
      <c r="R2716" s="65">
        <f ca="1">SUMIF(日報!$J:$J,$O2716,日報!$L:$L)</f>
        <v>0</v>
      </c>
    </row>
    <row r="2717" spans="15:18" x14ac:dyDescent="0.15">
      <c r="O2717" s="7" t="str">
        <f>"REQ"&amp;TEXT([2]RequestList!$A2718,"0000")</f>
        <v>REQ0000</v>
      </c>
      <c r="P2717" s="7">
        <f>[2]RequestList!$J2718</f>
        <v>0</v>
      </c>
      <c r="Q2717" s="65">
        <f>SUMIF(日報!$R:$R,TEXT(YEAR($Q$2),"0000")&amp;TEXT(MONTH($Q$2),"00")&amp;$O2717,日報!$L:$L)</f>
        <v>0</v>
      </c>
      <c r="R2717" s="65">
        <f ca="1">SUMIF(日報!$J:$J,$O2717,日報!$L:$L)</f>
        <v>0</v>
      </c>
    </row>
    <row r="2718" spans="15:18" x14ac:dyDescent="0.15">
      <c r="O2718" s="7" t="str">
        <f>"REQ"&amp;TEXT([2]RequestList!$A2719,"0000")</f>
        <v>REQ0000</v>
      </c>
      <c r="P2718" s="7">
        <f>[2]RequestList!$J2719</f>
        <v>0</v>
      </c>
      <c r="Q2718" s="65">
        <f>SUMIF(日報!$R:$R,TEXT(YEAR($Q$2),"0000")&amp;TEXT(MONTH($Q$2),"00")&amp;$O2718,日報!$L:$L)</f>
        <v>0</v>
      </c>
      <c r="R2718" s="65">
        <f ca="1">SUMIF(日報!$J:$J,$O2718,日報!$L:$L)</f>
        <v>0</v>
      </c>
    </row>
    <row r="2719" spans="15:18" x14ac:dyDescent="0.15">
      <c r="O2719" s="7" t="str">
        <f>"REQ"&amp;TEXT([2]RequestList!$A2720,"0000")</f>
        <v>REQ0000</v>
      </c>
      <c r="P2719" s="7">
        <f>[2]RequestList!$J2720</f>
        <v>0</v>
      </c>
      <c r="Q2719" s="65">
        <f>SUMIF(日報!$R:$R,TEXT(YEAR($Q$2),"0000")&amp;TEXT(MONTH($Q$2),"00")&amp;$O2719,日報!$L:$L)</f>
        <v>0</v>
      </c>
      <c r="R2719" s="65">
        <f ca="1">SUMIF(日報!$J:$J,$O2719,日報!$L:$L)</f>
        <v>0</v>
      </c>
    </row>
    <row r="2720" spans="15:18" x14ac:dyDescent="0.15">
      <c r="O2720" s="7" t="str">
        <f>"REQ"&amp;TEXT([2]RequestList!$A2721,"0000")</f>
        <v>REQ0000</v>
      </c>
      <c r="P2720" s="7">
        <f>[2]RequestList!$J2721</f>
        <v>0</v>
      </c>
      <c r="Q2720" s="65">
        <f>SUMIF(日報!$R:$R,TEXT(YEAR($Q$2),"0000")&amp;TEXT(MONTH($Q$2),"00")&amp;$O2720,日報!$L:$L)</f>
        <v>0</v>
      </c>
      <c r="R2720" s="65">
        <f ca="1">SUMIF(日報!$J:$J,$O2720,日報!$L:$L)</f>
        <v>0</v>
      </c>
    </row>
    <row r="2721" spans="15:18" x14ac:dyDescent="0.15">
      <c r="O2721" s="7" t="str">
        <f>"REQ"&amp;TEXT([2]RequestList!$A2722,"0000")</f>
        <v>REQ0000</v>
      </c>
      <c r="P2721" s="7">
        <f>[2]RequestList!$J2722</f>
        <v>0</v>
      </c>
      <c r="Q2721" s="65">
        <f>SUMIF(日報!$R:$R,TEXT(YEAR($Q$2),"0000")&amp;TEXT(MONTH($Q$2),"00")&amp;$O2721,日報!$L:$L)</f>
        <v>0</v>
      </c>
      <c r="R2721" s="65">
        <f ca="1">SUMIF(日報!$J:$J,$O2721,日報!$L:$L)</f>
        <v>0</v>
      </c>
    </row>
    <row r="2722" spans="15:18" x14ac:dyDescent="0.15">
      <c r="O2722" s="7" t="str">
        <f>"REQ"&amp;TEXT([2]RequestList!$A2723,"0000")</f>
        <v>REQ0000</v>
      </c>
      <c r="P2722" s="7">
        <f>[2]RequestList!$J2723</f>
        <v>0</v>
      </c>
      <c r="Q2722" s="65">
        <f>SUMIF(日報!$R:$R,TEXT(YEAR($Q$2),"0000")&amp;TEXT(MONTH($Q$2),"00")&amp;$O2722,日報!$L:$L)</f>
        <v>0</v>
      </c>
      <c r="R2722" s="65">
        <f ca="1">SUMIF(日報!$J:$J,$O2722,日報!$L:$L)</f>
        <v>0</v>
      </c>
    </row>
    <row r="2723" spans="15:18" x14ac:dyDescent="0.15">
      <c r="O2723" s="7" t="str">
        <f>"REQ"&amp;TEXT([2]RequestList!$A2724,"0000")</f>
        <v>REQ0000</v>
      </c>
      <c r="P2723" s="7">
        <f>[2]RequestList!$J2724</f>
        <v>0</v>
      </c>
      <c r="Q2723" s="65">
        <f>SUMIF(日報!$R:$R,TEXT(YEAR($Q$2),"0000")&amp;TEXT(MONTH($Q$2),"00")&amp;$O2723,日報!$L:$L)</f>
        <v>0</v>
      </c>
      <c r="R2723" s="65">
        <f ca="1">SUMIF(日報!$J:$J,$O2723,日報!$L:$L)</f>
        <v>0</v>
      </c>
    </row>
    <row r="2724" spans="15:18" x14ac:dyDescent="0.15">
      <c r="O2724" s="7" t="str">
        <f>"REQ"&amp;TEXT([2]RequestList!$A2725,"0000")</f>
        <v>REQ0000</v>
      </c>
      <c r="P2724" s="7">
        <f>[2]RequestList!$J2725</f>
        <v>0</v>
      </c>
      <c r="Q2724" s="65">
        <f>SUMIF(日報!$R:$R,TEXT(YEAR($Q$2),"0000")&amp;TEXT(MONTH($Q$2),"00")&amp;$O2724,日報!$L:$L)</f>
        <v>0</v>
      </c>
      <c r="R2724" s="65">
        <f ca="1">SUMIF(日報!$J:$J,$O2724,日報!$L:$L)</f>
        <v>0</v>
      </c>
    </row>
    <row r="2725" spans="15:18" x14ac:dyDescent="0.15">
      <c r="O2725" s="7" t="str">
        <f>"REQ"&amp;TEXT([2]RequestList!$A2726,"0000")</f>
        <v>REQ0000</v>
      </c>
      <c r="P2725" s="7">
        <f>[2]RequestList!$J2726</f>
        <v>0</v>
      </c>
      <c r="Q2725" s="65">
        <f>SUMIF(日報!$R:$R,TEXT(YEAR($Q$2),"0000")&amp;TEXT(MONTH($Q$2),"00")&amp;$O2725,日報!$L:$L)</f>
        <v>0</v>
      </c>
      <c r="R2725" s="65">
        <f ca="1">SUMIF(日報!$J:$J,$O2725,日報!$L:$L)</f>
        <v>0</v>
      </c>
    </row>
    <row r="2726" spans="15:18" x14ac:dyDescent="0.15">
      <c r="O2726" s="7" t="str">
        <f>"REQ"&amp;TEXT([2]RequestList!$A2727,"0000")</f>
        <v>REQ0000</v>
      </c>
      <c r="P2726" s="7">
        <f>[2]RequestList!$J2727</f>
        <v>0</v>
      </c>
      <c r="Q2726" s="65">
        <f>SUMIF(日報!$R:$R,TEXT(YEAR($Q$2),"0000")&amp;TEXT(MONTH($Q$2),"00")&amp;$O2726,日報!$L:$L)</f>
        <v>0</v>
      </c>
      <c r="R2726" s="65">
        <f ca="1">SUMIF(日報!$J:$J,$O2726,日報!$L:$L)</f>
        <v>0</v>
      </c>
    </row>
    <row r="2727" spans="15:18" x14ac:dyDescent="0.15">
      <c r="O2727" s="7" t="str">
        <f>"REQ"&amp;TEXT([2]RequestList!$A2728,"0000")</f>
        <v>REQ0000</v>
      </c>
      <c r="P2727" s="7">
        <f>[2]RequestList!$J2728</f>
        <v>0</v>
      </c>
      <c r="Q2727" s="65">
        <f>SUMIF(日報!$R:$R,TEXT(YEAR($Q$2),"0000")&amp;TEXT(MONTH($Q$2),"00")&amp;$O2727,日報!$L:$L)</f>
        <v>0</v>
      </c>
      <c r="R2727" s="65">
        <f ca="1">SUMIF(日報!$J:$J,$O2727,日報!$L:$L)</f>
        <v>0</v>
      </c>
    </row>
    <row r="2728" spans="15:18" x14ac:dyDescent="0.15">
      <c r="O2728" s="7" t="str">
        <f>"REQ"&amp;TEXT([2]RequestList!$A2729,"0000")</f>
        <v>REQ0000</v>
      </c>
      <c r="P2728" s="7">
        <f>[2]RequestList!$J2729</f>
        <v>0</v>
      </c>
      <c r="Q2728" s="65">
        <f>SUMIF(日報!$R:$R,TEXT(YEAR($Q$2),"0000")&amp;TEXT(MONTH($Q$2),"00")&amp;$O2728,日報!$L:$L)</f>
        <v>0</v>
      </c>
      <c r="R2728" s="65">
        <f ca="1">SUMIF(日報!$J:$J,$O2728,日報!$L:$L)</f>
        <v>0</v>
      </c>
    </row>
    <row r="2729" spans="15:18" x14ac:dyDescent="0.15">
      <c r="O2729" s="7" t="str">
        <f>"REQ"&amp;TEXT([2]RequestList!$A2730,"0000")</f>
        <v>REQ0000</v>
      </c>
      <c r="P2729" s="7">
        <f>[2]RequestList!$J2730</f>
        <v>0</v>
      </c>
      <c r="Q2729" s="65">
        <f>SUMIF(日報!$R:$R,TEXT(YEAR($Q$2),"0000")&amp;TEXT(MONTH($Q$2),"00")&amp;$O2729,日報!$L:$L)</f>
        <v>0</v>
      </c>
      <c r="R2729" s="65">
        <f ca="1">SUMIF(日報!$J:$J,$O2729,日報!$L:$L)</f>
        <v>0</v>
      </c>
    </row>
    <row r="2730" spans="15:18" x14ac:dyDescent="0.15">
      <c r="O2730" s="7" t="str">
        <f>"REQ"&amp;TEXT([2]RequestList!$A2731,"0000")</f>
        <v>REQ0000</v>
      </c>
      <c r="P2730" s="7">
        <f>[2]RequestList!$J2731</f>
        <v>0</v>
      </c>
      <c r="Q2730" s="65">
        <f>SUMIF(日報!$R:$R,TEXT(YEAR($Q$2),"0000")&amp;TEXT(MONTH($Q$2),"00")&amp;$O2730,日報!$L:$L)</f>
        <v>0</v>
      </c>
      <c r="R2730" s="65">
        <f ca="1">SUMIF(日報!$J:$J,$O2730,日報!$L:$L)</f>
        <v>0</v>
      </c>
    </row>
    <row r="2731" spans="15:18" x14ac:dyDescent="0.15">
      <c r="O2731" s="7" t="str">
        <f>"REQ"&amp;TEXT([2]RequestList!$A2732,"0000")</f>
        <v>REQ0000</v>
      </c>
      <c r="P2731" s="7">
        <f>[2]RequestList!$J2732</f>
        <v>0</v>
      </c>
      <c r="Q2731" s="65">
        <f>SUMIF(日報!$R:$R,TEXT(YEAR($Q$2),"0000")&amp;TEXT(MONTH($Q$2),"00")&amp;$O2731,日報!$L:$L)</f>
        <v>0</v>
      </c>
      <c r="R2731" s="65">
        <f ca="1">SUMIF(日報!$J:$J,$O2731,日報!$L:$L)</f>
        <v>0</v>
      </c>
    </row>
    <row r="2732" spans="15:18" x14ac:dyDescent="0.15">
      <c r="O2732" s="7" t="str">
        <f>"REQ"&amp;TEXT([2]RequestList!$A2733,"0000")</f>
        <v>REQ0000</v>
      </c>
      <c r="P2732" s="7">
        <f>[2]RequestList!$J2733</f>
        <v>0</v>
      </c>
      <c r="Q2732" s="65">
        <f>SUMIF(日報!$R:$R,TEXT(YEAR($Q$2),"0000")&amp;TEXT(MONTH($Q$2),"00")&amp;$O2732,日報!$L:$L)</f>
        <v>0</v>
      </c>
      <c r="R2732" s="65">
        <f ca="1">SUMIF(日報!$J:$J,$O2732,日報!$L:$L)</f>
        <v>0</v>
      </c>
    </row>
    <row r="2733" spans="15:18" x14ac:dyDescent="0.15">
      <c r="O2733" s="7" t="str">
        <f>"REQ"&amp;TEXT([2]RequestList!$A2734,"0000")</f>
        <v>REQ0000</v>
      </c>
      <c r="P2733" s="7">
        <f>[2]RequestList!$J2734</f>
        <v>0</v>
      </c>
      <c r="Q2733" s="65">
        <f>SUMIF(日報!$R:$R,TEXT(YEAR($Q$2),"0000")&amp;TEXT(MONTH($Q$2),"00")&amp;$O2733,日報!$L:$L)</f>
        <v>0</v>
      </c>
      <c r="R2733" s="65">
        <f ca="1">SUMIF(日報!$J:$J,$O2733,日報!$L:$L)</f>
        <v>0</v>
      </c>
    </row>
    <row r="2734" spans="15:18" x14ac:dyDescent="0.15">
      <c r="O2734" s="7" t="str">
        <f>"REQ"&amp;TEXT([2]RequestList!$A2735,"0000")</f>
        <v>REQ0000</v>
      </c>
      <c r="P2734" s="7">
        <f>[2]RequestList!$J2735</f>
        <v>0</v>
      </c>
      <c r="Q2734" s="65">
        <f>SUMIF(日報!$R:$R,TEXT(YEAR($Q$2),"0000")&amp;TEXT(MONTH($Q$2),"00")&amp;$O2734,日報!$L:$L)</f>
        <v>0</v>
      </c>
      <c r="R2734" s="65">
        <f ca="1">SUMIF(日報!$J:$J,$O2734,日報!$L:$L)</f>
        <v>0</v>
      </c>
    </row>
    <row r="2735" spans="15:18" x14ac:dyDescent="0.15">
      <c r="O2735" s="7" t="str">
        <f>"REQ"&amp;TEXT([2]RequestList!$A2736,"0000")</f>
        <v>REQ0000</v>
      </c>
      <c r="P2735" s="7">
        <f>[2]RequestList!$J2736</f>
        <v>0</v>
      </c>
      <c r="Q2735" s="65">
        <f>SUMIF(日報!$R:$R,TEXT(YEAR($Q$2),"0000")&amp;TEXT(MONTH($Q$2),"00")&amp;$O2735,日報!$L:$L)</f>
        <v>0</v>
      </c>
      <c r="R2735" s="65">
        <f ca="1">SUMIF(日報!$J:$J,$O2735,日報!$L:$L)</f>
        <v>0</v>
      </c>
    </row>
    <row r="2736" spans="15:18" x14ac:dyDescent="0.15">
      <c r="O2736" s="7" t="str">
        <f>"REQ"&amp;TEXT([2]RequestList!$A2737,"0000")</f>
        <v>REQ0000</v>
      </c>
      <c r="P2736" s="7">
        <f>[2]RequestList!$J2737</f>
        <v>0</v>
      </c>
      <c r="Q2736" s="65">
        <f>SUMIF(日報!$R:$R,TEXT(YEAR($Q$2),"0000")&amp;TEXT(MONTH($Q$2),"00")&amp;$O2736,日報!$L:$L)</f>
        <v>0</v>
      </c>
      <c r="R2736" s="65">
        <f ca="1">SUMIF(日報!$J:$J,$O2736,日報!$L:$L)</f>
        <v>0</v>
      </c>
    </row>
    <row r="2737" spans="15:18" x14ac:dyDescent="0.15">
      <c r="O2737" s="7" t="str">
        <f>"REQ"&amp;TEXT([2]RequestList!$A2738,"0000")</f>
        <v>REQ0000</v>
      </c>
      <c r="P2737" s="7">
        <f>[2]RequestList!$J2738</f>
        <v>0</v>
      </c>
      <c r="Q2737" s="65">
        <f>SUMIF(日報!$R:$R,TEXT(YEAR($Q$2),"0000")&amp;TEXT(MONTH($Q$2),"00")&amp;$O2737,日報!$L:$L)</f>
        <v>0</v>
      </c>
      <c r="R2737" s="65">
        <f ca="1">SUMIF(日報!$J:$J,$O2737,日報!$L:$L)</f>
        <v>0</v>
      </c>
    </row>
    <row r="2738" spans="15:18" x14ac:dyDescent="0.15">
      <c r="O2738" s="7" t="str">
        <f>"REQ"&amp;TEXT([2]RequestList!$A2739,"0000")</f>
        <v>REQ0000</v>
      </c>
      <c r="P2738" s="7">
        <f>[2]RequestList!$J2739</f>
        <v>0</v>
      </c>
      <c r="Q2738" s="65">
        <f>SUMIF(日報!$R:$R,TEXT(YEAR($Q$2),"0000")&amp;TEXT(MONTH($Q$2),"00")&amp;$O2738,日報!$L:$L)</f>
        <v>0</v>
      </c>
      <c r="R2738" s="65">
        <f ca="1">SUMIF(日報!$J:$J,$O2738,日報!$L:$L)</f>
        <v>0</v>
      </c>
    </row>
    <row r="2739" spans="15:18" x14ac:dyDescent="0.15">
      <c r="O2739" s="7" t="str">
        <f>"REQ"&amp;TEXT([2]RequestList!$A2740,"0000")</f>
        <v>REQ0000</v>
      </c>
      <c r="P2739" s="7">
        <f>[2]RequestList!$J2740</f>
        <v>0</v>
      </c>
      <c r="Q2739" s="65">
        <f>SUMIF(日報!$R:$R,TEXT(YEAR($Q$2),"0000")&amp;TEXT(MONTH($Q$2),"00")&amp;$O2739,日報!$L:$L)</f>
        <v>0</v>
      </c>
      <c r="R2739" s="65">
        <f ca="1">SUMIF(日報!$J:$J,$O2739,日報!$L:$L)</f>
        <v>0</v>
      </c>
    </row>
    <row r="2740" spans="15:18" x14ac:dyDescent="0.15">
      <c r="O2740" s="7" t="str">
        <f>"REQ"&amp;TEXT([2]RequestList!$A2741,"0000")</f>
        <v>REQ0000</v>
      </c>
      <c r="P2740" s="7">
        <f>[2]RequestList!$J2741</f>
        <v>0</v>
      </c>
      <c r="Q2740" s="65">
        <f>SUMIF(日報!$R:$R,TEXT(YEAR($Q$2),"0000")&amp;TEXT(MONTH($Q$2),"00")&amp;$O2740,日報!$L:$L)</f>
        <v>0</v>
      </c>
      <c r="R2740" s="65">
        <f ca="1">SUMIF(日報!$J:$J,$O2740,日報!$L:$L)</f>
        <v>0</v>
      </c>
    </row>
    <row r="2741" spans="15:18" x14ac:dyDescent="0.15">
      <c r="O2741" s="7" t="str">
        <f>"REQ"&amp;TEXT([2]RequestList!$A2742,"0000")</f>
        <v>REQ0000</v>
      </c>
      <c r="P2741" s="7">
        <f>[2]RequestList!$J2742</f>
        <v>0</v>
      </c>
      <c r="Q2741" s="65">
        <f>SUMIF(日報!$R:$R,TEXT(YEAR($Q$2),"0000")&amp;TEXT(MONTH($Q$2),"00")&amp;$O2741,日報!$L:$L)</f>
        <v>0</v>
      </c>
      <c r="R2741" s="65">
        <f ca="1">SUMIF(日報!$J:$J,$O2741,日報!$L:$L)</f>
        <v>0</v>
      </c>
    </row>
    <row r="2742" spans="15:18" x14ac:dyDescent="0.15">
      <c r="O2742" s="7" t="str">
        <f>"REQ"&amp;TEXT([2]RequestList!$A2743,"0000")</f>
        <v>REQ0000</v>
      </c>
      <c r="P2742" s="7">
        <f>[2]RequestList!$J2743</f>
        <v>0</v>
      </c>
      <c r="Q2742" s="65">
        <f>SUMIF(日報!$R:$R,TEXT(YEAR($Q$2),"0000")&amp;TEXT(MONTH($Q$2),"00")&amp;$O2742,日報!$L:$L)</f>
        <v>0</v>
      </c>
      <c r="R2742" s="65">
        <f ca="1">SUMIF(日報!$J:$J,$O2742,日報!$L:$L)</f>
        <v>0</v>
      </c>
    </row>
    <row r="2743" spans="15:18" x14ac:dyDescent="0.15">
      <c r="O2743" s="7" t="str">
        <f>"REQ"&amp;TEXT([2]RequestList!$A2744,"0000")</f>
        <v>REQ0000</v>
      </c>
      <c r="P2743" s="7">
        <f>[2]RequestList!$J2744</f>
        <v>0</v>
      </c>
      <c r="Q2743" s="65">
        <f>SUMIF(日報!$R:$R,TEXT(YEAR($Q$2),"0000")&amp;TEXT(MONTH($Q$2),"00")&amp;$O2743,日報!$L:$L)</f>
        <v>0</v>
      </c>
      <c r="R2743" s="65">
        <f ca="1">SUMIF(日報!$J:$J,$O2743,日報!$L:$L)</f>
        <v>0</v>
      </c>
    </row>
    <row r="2744" spans="15:18" x14ac:dyDescent="0.15">
      <c r="O2744" s="7" t="str">
        <f>"REQ"&amp;TEXT([2]RequestList!$A2745,"0000")</f>
        <v>REQ0000</v>
      </c>
      <c r="P2744" s="7">
        <f>[2]RequestList!$J2745</f>
        <v>0</v>
      </c>
      <c r="Q2744" s="65">
        <f>SUMIF(日報!$R:$R,TEXT(YEAR($Q$2),"0000")&amp;TEXT(MONTH($Q$2),"00")&amp;$O2744,日報!$L:$L)</f>
        <v>0</v>
      </c>
      <c r="R2744" s="65">
        <f ca="1">SUMIF(日報!$J:$J,$O2744,日報!$L:$L)</f>
        <v>0</v>
      </c>
    </row>
    <row r="2745" spans="15:18" x14ac:dyDescent="0.15">
      <c r="O2745" s="7" t="str">
        <f>"REQ"&amp;TEXT([2]RequestList!$A2746,"0000")</f>
        <v>REQ0000</v>
      </c>
      <c r="P2745" s="7">
        <f>[2]RequestList!$J2746</f>
        <v>0</v>
      </c>
      <c r="Q2745" s="65">
        <f>SUMIF(日報!$R:$R,TEXT(YEAR($Q$2),"0000")&amp;TEXT(MONTH($Q$2),"00")&amp;$O2745,日報!$L:$L)</f>
        <v>0</v>
      </c>
      <c r="R2745" s="65">
        <f ca="1">SUMIF(日報!$J:$J,$O2745,日報!$L:$L)</f>
        <v>0</v>
      </c>
    </row>
    <row r="2746" spans="15:18" x14ac:dyDescent="0.15">
      <c r="O2746" s="7" t="str">
        <f>"REQ"&amp;TEXT([2]RequestList!$A2747,"0000")</f>
        <v>REQ0000</v>
      </c>
      <c r="P2746" s="7">
        <f>[2]RequestList!$J2747</f>
        <v>0</v>
      </c>
      <c r="Q2746" s="65">
        <f>SUMIF(日報!$R:$R,TEXT(YEAR($Q$2),"0000")&amp;TEXT(MONTH($Q$2),"00")&amp;$O2746,日報!$L:$L)</f>
        <v>0</v>
      </c>
      <c r="R2746" s="65">
        <f ca="1">SUMIF(日報!$J:$J,$O2746,日報!$L:$L)</f>
        <v>0</v>
      </c>
    </row>
    <row r="2747" spans="15:18" x14ac:dyDescent="0.15">
      <c r="O2747" s="7" t="str">
        <f>"REQ"&amp;TEXT([2]RequestList!$A2748,"0000")</f>
        <v>REQ0000</v>
      </c>
      <c r="P2747" s="7">
        <f>[2]RequestList!$J2748</f>
        <v>0</v>
      </c>
      <c r="Q2747" s="65">
        <f>SUMIF(日報!$R:$R,TEXT(YEAR($Q$2),"0000")&amp;TEXT(MONTH($Q$2),"00")&amp;$O2747,日報!$L:$L)</f>
        <v>0</v>
      </c>
      <c r="R2747" s="65">
        <f ca="1">SUMIF(日報!$J:$J,$O2747,日報!$L:$L)</f>
        <v>0</v>
      </c>
    </row>
    <row r="2748" spans="15:18" x14ac:dyDescent="0.15">
      <c r="O2748" s="7" t="str">
        <f>"REQ"&amp;TEXT([2]RequestList!$A2749,"0000")</f>
        <v>REQ0000</v>
      </c>
      <c r="P2748" s="7">
        <f>[2]RequestList!$J2749</f>
        <v>0</v>
      </c>
      <c r="Q2748" s="65">
        <f>SUMIF(日報!$R:$R,TEXT(YEAR($Q$2),"0000")&amp;TEXT(MONTH($Q$2),"00")&amp;$O2748,日報!$L:$L)</f>
        <v>0</v>
      </c>
      <c r="R2748" s="65">
        <f ca="1">SUMIF(日報!$J:$J,$O2748,日報!$L:$L)</f>
        <v>0</v>
      </c>
    </row>
    <row r="2749" spans="15:18" x14ac:dyDescent="0.15">
      <c r="O2749" s="7" t="str">
        <f>"REQ"&amp;TEXT([2]RequestList!$A2750,"0000")</f>
        <v>REQ0000</v>
      </c>
      <c r="P2749" s="7">
        <f>[2]RequestList!$J2750</f>
        <v>0</v>
      </c>
      <c r="Q2749" s="65">
        <f>SUMIF(日報!$R:$R,TEXT(YEAR($Q$2),"0000")&amp;TEXT(MONTH($Q$2),"00")&amp;$O2749,日報!$L:$L)</f>
        <v>0</v>
      </c>
      <c r="R2749" s="65">
        <f ca="1">SUMIF(日報!$J:$J,$O2749,日報!$L:$L)</f>
        <v>0</v>
      </c>
    </row>
    <row r="2750" spans="15:18" x14ac:dyDescent="0.15">
      <c r="O2750" s="7" t="str">
        <f>"REQ"&amp;TEXT([2]RequestList!$A2751,"0000")</f>
        <v>REQ0000</v>
      </c>
      <c r="P2750" s="7">
        <f>[2]RequestList!$J2751</f>
        <v>0</v>
      </c>
      <c r="Q2750" s="65">
        <f>SUMIF(日報!$R:$R,TEXT(YEAR($Q$2),"0000")&amp;TEXT(MONTH($Q$2),"00")&amp;$O2750,日報!$L:$L)</f>
        <v>0</v>
      </c>
      <c r="R2750" s="65">
        <f ca="1">SUMIF(日報!$J:$J,$O2750,日報!$L:$L)</f>
        <v>0</v>
      </c>
    </row>
    <row r="2751" spans="15:18" x14ac:dyDescent="0.15">
      <c r="O2751" s="7" t="str">
        <f>"REQ"&amp;TEXT([2]RequestList!$A2752,"0000")</f>
        <v>REQ0000</v>
      </c>
      <c r="P2751" s="7">
        <f>[2]RequestList!$J2752</f>
        <v>0</v>
      </c>
      <c r="Q2751" s="65">
        <f>SUMIF(日報!$R:$R,TEXT(YEAR($Q$2),"0000")&amp;TEXT(MONTH($Q$2),"00")&amp;$O2751,日報!$L:$L)</f>
        <v>0</v>
      </c>
      <c r="R2751" s="65">
        <f ca="1">SUMIF(日報!$J:$J,$O2751,日報!$L:$L)</f>
        <v>0</v>
      </c>
    </row>
    <row r="2752" spans="15:18" x14ac:dyDescent="0.15">
      <c r="O2752" s="7" t="str">
        <f>"REQ"&amp;TEXT([2]RequestList!$A2753,"0000")</f>
        <v>REQ0000</v>
      </c>
      <c r="P2752" s="7">
        <f>[2]RequestList!$J2753</f>
        <v>0</v>
      </c>
      <c r="Q2752" s="65">
        <f>SUMIF(日報!$R:$R,TEXT(YEAR($Q$2),"0000")&amp;TEXT(MONTH($Q$2),"00")&amp;$O2752,日報!$L:$L)</f>
        <v>0</v>
      </c>
      <c r="R2752" s="65">
        <f ca="1">SUMIF(日報!$J:$J,$O2752,日報!$L:$L)</f>
        <v>0</v>
      </c>
    </row>
    <row r="2753" spans="15:18" x14ac:dyDescent="0.15">
      <c r="O2753" s="7" t="str">
        <f>"REQ"&amp;TEXT([2]RequestList!$A2754,"0000")</f>
        <v>REQ0000</v>
      </c>
      <c r="P2753" s="7">
        <f>[2]RequestList!$J2754</f>
        <v>0</v>
      </c>
      <c r="Q2753" s="65">
        <f>SUMIF(日報!$R:$R,TEXT(YEAR($Q$2),"0000")&amp;TEXT(MONTH($Q$2),"00")&amp;$O2753,日報!$L:$L)</f>
        <v>0</v>
      </c>
      <c r="R2753" s="65">
        <f ca="1">SUMIF(日報!$J:$J,$O2753,日報!$L:$L)</f>
        <v>0</v>
      </c>
    </row>
    <row r="2754" spans="15:18" x14ac:dyDescent="0.15">
      <c r="O2754" s="7" t="str">
        <f>"REQ"&amp;TEXT([2]RequestList!$A2755,"0000")</f>
        <v>REQ0000</v>
      </c>
      <c r="P2754" s="7">
        <f>[2]RequestList!$J2755</f>
        <v>0</v>
      </c>
      <c r="Q2754" s="65">
        <f>SUMIF(日報!$R:$R,TEXT(YEAR($Q$2),"0000")&amp;TEXT(MONTH($Q$2),"00")&amp;$O2754,日報!$L:$L)</f>
        <v>0</v>
      </c>
      <c r="R2754" s="65">
        <f ca="1">SUMIF(日報!$J:$J,$O2754,日報!$L:$L)</f>
        <v>0</v>
      </c>
    </row>
    <row r="2755" spans="15:18" x14ac:dyDescent="0.15">
      <c r="O2755" s="7" t="str">
        <f>"REQ"&amp;TEXT([2]RequestList!$A2756,"0000")</f>
        <v>REQ0000</v>
      </c>
      <c r="P2755" s="7">
        <f>[2]RequestList!$J2756</f>
        <v>0</v>
      </c>
      <c r="Q2755" s="65">
        <f>SUMIF(日報!$R:$R,TEXT(YEAR($Q$2),"0000")&amp;TEXT(MONTH($Q$2),"00")&amp;$O2755,日報!$L:$L)</f>
        <v>0</v>
      </c>
      <c r="R2755" s="65">
        <f ca="1">SUMIF(日報!$J:$J,$O2755,日報!$L:$L)</f>
        <v>0</v>
      </c>
    </row>
    <row r="2756" spans="15:18" x14ac:dyDescent="0.15">
      <c r="O2756" s="7" t="str">
        <f>"REQ"&amp;TEXT([2]RequestList!$A2757,"0000")</f>
        <v>REQ0000</v>
      </c>
      <c r="P2756" s="7">
        <f>[2]RequestList!$J2757</f>
        <v>0</v>
      </c>
      <c r="Q2756" s="65">
        <f>SUMIF(日報!$R:$R,TEXT(YEAR($Q$2),"0000")&amp;TEXT(MONTH($Q$2),"00")&amp;$O2756,日報!$L:$L)</f>
        <v>0</v>
      </c>
      <c r="R2756" s="65">
        <f ca="1">SUMIF(日報!$J:$J,$O2756,日報!$L:$L)</f>
        <v>0</v>
      </c>
    </row>
    <row r="2757" spans="15:18" x14ac:dyDescent="0.15">
      <c r="O2757" s="7" t="str">
        <f>"REQ"&amp;TEXT([2]RequestList!$A2758,"0000")</f>
        <v>REQ0000</v>
      </c>
      <c r="P2757" s="7">
        <f>[2]RequestList!$J2758</f>
        <v>0</v>
      </c>
      <c r="Q2757" s="65">
        <f>SUMIF(日報!$R:$R,TEXT(YEAR($Q$2),"0000")&amp;TEXT(MONTH($Q$2),"00")&amp;$O2757,日報!$L:$L)</f>
        <v>0</v>
      </c>
      <c r="R2757" s="65">
        <f ca="1">SUMIF(日報!$J:$J,$O2757,日報!$L:$L)</f>
        <v>0</v>
      </c>
    </row>
    <row r="2758" spans="15:18" x14ac:dyDescent="0.15">
      <c r="O2758" s="7" t="str">
        <f>"REQ"&amp;TEXT([2]RequestList!$A2759,"0000")</f>
        <v>REQ0000</v>
      </c>
      <c r="P2758" s="7">
        <f>[2]RequestList!$J2759</f>
        <v>0</v>
      </c>
      <c r="Q2758" s="65">
        <f>SUMIF(日報!$R:$R,TEXT(YEAR($Q$2),"0000")&amp;TEXT(MONTH($Q$2),"00")&amp;$O2758,日報!$L:$L)</f>
        <v>0</v>
      </c>
      <c r="R2758" s="65">
        <f ca="1">SUMIF(日報!$J:$J,$O2758,日報!$L:$L)</f>
        <v>0</v>
      </c>
    </row>
    <row r="2759" spans="15:18" x14ac:dyDescent="0.15">
      <c r="O2759" s="7" t="str">
        <f>"REQ"&amp;TEXT([2]RequestList!$A2760,"0000")</f>
        <v>REQ0000</v>
      </c>
      <c r="P2759" s="7">
        <f>[2]RequestList!$J2760</f>
        <v>0</v>
      </c>
      <c r="Q2759" s="65">
        <f>SUMIF(日報!$R:$R,TEXT(YEAR($Q$2),"0000")&amp;TEXT(MONTH($Q$2),"00")&amp;$O2759,日報!$L:$L)</f>
        <v>0</v>
      </c>
      <c r="R2759" s="65">
        <f ca="1">SUMIF(日報!$J:$J,$O2759,日報!$L:$L)</f>
        <v>0</v>
      </c>
    </row>
    <row r="2760" spans="15:18" x14ac:dyDescent="0.15">
      <c r="O2760" s="7" t="str">
        <f>"REQ"&amp;TEXT([2]RequestList!$A2761,"0000")</f>
        <v>REQ0000</v>
      </c>
      <c r="P2760" s="7">
        <f>[2]RequestList!$J2761</f>
        <v>0</v>
      </c>
      <c r="Q2760" s="65">
        <f>SUMIF(日報!$R:$R,TEXT(YEAR($Q$2),"0000")&amp;TEXT(MONTH($Q$2),"00")&amp;$O2760,日報!$L:$L)</f>
        <v>0</v>
      </c>
      <c r="R2760" s="65">
        <f ca="1">SUMIF(日報!$J:$J,$O2760,日報!$L:$L)</f>
        <v>0</v>
      </c>
    </row>
    <row r="2761" spans="15:18" x14ac:dyDescent="0.15">
      <c r="O2761" s="7" t="str">
        <f>"REQ"&amp;TEXT([2]RequestList!$A2762,"0000")</f>
        <v>REQ0000</v>
      </c>
      <c r="P2761" s="7">
        <f>[2]RequestList!$J2762</f>
        <v>0</v>
      </c>
      <c r="Q2761" s="65">
        <f>SUMIF(日報!$R:$R,TEXT(YEAR($Q$2),"0000")&amp;TEXT(MONTH($Q$2),"00")&amp;$O2761,日報!$L:$L)</f>
        <v>0</v>
      </c>
      <c r="R2761" s="65">
        <f ca="1">SUMIF(日報!$J:$J,$O2761,日報!$L:$L)</f>
        <v>0</v>
      </c>
    </row>
    <row r="2762" spans="15:18" x14ac:dyDescent="0.15">
      <c r="O2762" s="7" t="str">
        <f>"REQ"&amp;TEXT([2]RequestList!$A2763,"0000")</f>
        <v>REQ0000</v>
      </c>
      <c r="P2762" s="7">
        <f>[2]RequestList!$J2763</f>
        <v>0</v>
      </c>
      <c r="Q2762" s="65">
        <f>SUMIF(日報!$R:$R,TEXT(YEAR($Q$2),"0000")&amp;TEXT(MONTH($Q$2),"00")&amp;$O2762,日報!$L:$L)</f>
        <v>0</v>
      </c>
      <c r="R2762" s="65">
        <f ca="1">SUMIF(日報!$J:$J,$O2762,日報!$L:$L)</f>
        <v>0</v>
      </c>
    </row>
    <row r="2763" spans="15:18" x14ac:dyDescent="0.15">
      <c r="O2763" s="7" t="str">
        <f>"REQ"&amp;TEXT([2]RequestList!$A2764,"0000")</f>
        <v>REQ0000</v>
      </c>
      <c r="P2763" s="7">
        <f>[2]RequestList!$J2764</f>
        <v>0</v>
      </c>
      <c r="Q2763" s="65">
        <f>SUMIF(日報!$R:$R,TEXT(YEAR($Q$2),"0000")&amp;TEXT(MONTH($Q$2),"00")&amp;$O2763,日報!$L:$L)</f>
        <v>0</v>
      </c>
      <c r="R2763" s="65">
        <f ca="1">SUMIF(日報!$J:$J,$O2763,日報!$L:$L)</f>
        <v>0</v>
      </c>
    </row>
    <row r="2764" spans="15:18" x14ac:dyDescent="0.15">
      <c r="O2764" s="7" t="str">
        <f>"REQ"&amp;TEXT([2]RequestList!$A2765,"0000")</f>
        <v>REQ0000</v>
      </c>
      <c r="P2764" s="7">
        <f>[2]RequestList!$J2765</f>
        <v>0</v>
      </c>
      <c r="Q2764" s="65">
        <f>SUMIF(日報!$R:$R,TEXT(YEAR($Q$2),"0000")&amp;TEXT(MONTH($Q$2),"00")&amp;$O2764,日報!$L:$L)</f>
        <v>0</v>
      </c>
      <c r="R2764" s="65">
        <f ca="1">SUMIF(日報!$J:$J,$O2764,日報!$L:$L)</f>
        <v>0</v>
      </c>
    </row>
    <row r="2765" spans="15:18" x14ac:dyDescent="0.15">
      <c r="O2765" s="7" t="str">
        <f>"REQ"&amp;TEXT([2]RequestList!$A2766,"0000")</f>
        <v>REQ0000</v>
      </c>
      <c r="P2765" s="7">
        <f>[2]RequestList!$J2766</f>
        <v>0</v>
      </c>
      <c r="Q2765" s="65">
        <f>SUMIF(日報!$R:$R,TEXT(YEAR($Q$2),"0000")&amp;TEXT(MONTH($Q$2),"00")&amp;$O2765,日報!$L:$L)</f>
        <v>0</v>
      </c>
      <c r="R2765" s="65">
        <f ca="1">SUMIF(日報!$J:$J,$O2765,日報!$L:$L)</f>
        <v>0</v>
      </c>
    </row>
    <row r="2766" spans="15:18" x14ac:dyDescent="0.15">
      <c r="O2766" s="7" t="str">
        <f>"REQ"&amp;TEXT([2]RequestList!$A2767,"0000")</f>
        <v>REQ0000</v>
      </c>
      <c r="P2766" s="7">
        <f>[2]RequestList!$J2767</f>
        <v>0</v>
      </c>
      <c r="Q2766" s="65">
        <f>SUMIF(日報!$R:$R,TEXT(YEAR($Q$2),"0000")&amp;TEXT(MONTH($Q$2),"00")&amp;$O2766,日報!$L:$L)</f>
        <v>0</v>
      </c>
      <c r="R2766" s="65">
        <f ca="1">SUMIF(日報!$J:$J,$O2766,日報!$L:$L)</f>
        <v>0</v>
      </c>
    </row>
    <row r="2767" spans="15:18" x14ac:dyDescent="0.15">
      <c r="O2767" s="7" t="str">
        <f>"REQ"&amp;TEXT([2]RequestList!$A2768,"0000")</f>
        <v>REQ0000</v>
      </c>
      <c r="P2767" s="7">
        <f>[2]RequestList!$J2768</f>
        <v>0</v>
      </c>
      <c r="Q2767" s="65">
        <f>SUMIF(日報!$R:$R,TEXT(YEAR($Q$2),"0000")&amp;TEXT(MONTH($Q$2),"00")&amp;$O2767,日報!$L:$L)</f>
        <v>0</v>
      </c>
      <c r="R2767" s="65">
        <f ca="1">SUMIF(日報!$J:$J,$O2767,日報!$L:$L)</f>
        <v>0</v>
      </c>
    </row>
    <row r="2768" spans="15:18" x14ac:dyDescent="0.15">
      <c r="O2768" s="7" t="str">
        <f>"REQ"&amp;TEXT([2]RequestList!$A2769,"0000")</f>
        <v>REQ0000</v>
      </c>
      <c r="P2768" s="7">
        <f>[2]RequestList!$J2769</f>
        <v>0</v>
      </c>
      <c r="Q2768" s="65">
        <f>SUMIF(日報!$R:$R,TEXT(YEAR($Q$2),"0000")&amp;TEXT(MONTH($Q$2),"00")&amp;$O2768,日報!$L:$L)</f>
        <v>0</v>
      </c>
      <c r="R2768" s="65">
        <f ca="1">SUMIF(日報!$J:$J,$O2768,日報!$L:$L)</f>
        <v>0</v>
      </c>
    </row>
    <row r="2769" spans="15:18" x14ac:dyDescent="0.15">
      <c r="O2769" s="7" t="str">
        <f>"REQ"&amp;TEXT([2]RequestList!$A2770,"0000")</f>
        <v>REQ0000</v>
      </c>
      <c r="P2769" s="7">
        <f>[2]RequestList!$J2770</f>
        <v>0</v>
      </c>
      <c r="Q2769" s="65">
        <f>SUMIF(日報!$R:$R,TEXT(YEAR($Q$2),"0000")&amp;TEXT(MONTH($Q$2),"00")&amp;$O2769,日報!$L:$L)</f>
        <v>0</v>
      </c>
      <c r="R2769" s="65">
        <f ca="1">SUMIF(日報!$J:$J,$O2769,日報!$L:$L)</f>
        <v>0</v>
      </c>
    </row>
    <row r="2770" spans="15:18" x14ac:dyDescent="0.15">
      <c r="O2770" s="7" t="str">
        <f>"REQ"&amp;TEXT([2]RequestList!$A2771,"0000")</f>
        <v>REQ0000</v>
      </c>
      <c r="P2770" s="7">
        <f>[2]RequestList!$J2771</f>
        <v>0</v>
      </c>
      <c r="Q2770" s="65">
        <f>SUMIF(日報!$R:$R,TEXT(YEAR($Q$2),"0000")&amp;TEXT(MONTH($Q$2),"00")&amp;$O2770,日報!$L:$L)</f>
        <v>0</v>
      </c>
      <c r="R2770" s="65">
        <f ca="1">SUMIF(日報!$J:$J,$O2770,日報!$L:$L)</f>
        <v>0</v>
      </c>
    </row>
    <row r="2771" spans="15:18" x14ac:dyDescent="0.15">
      <c r="O2771" s="7" t="str">
        <f>"REQ"&amp;TEXT([2]RequestList!$A2772,"0000")</f>
        <v>REQ0000</v>
      </c>
      <c r="P2771" s="7">
        <f>[2]RequestList!$J2772</f>
        <v>0</v>
      </c>
      <c r="Q2771" s="65">
        <f>SUMIF(日報!$R:$R,TEXT(YEAR($Q$2),"0000")&amp;TEXT(MONTH($Q$2),"00")&amp;$O2771,日報!$L:$L)</f>
        <v>0</v>
      </c>
      <c r="R2771" s="65">
        <f ca="1">SUMIF(日報!$J:$J,$O2771,日報!$L:$L)</f>
        <v>0</v>
      </c>
    </row>
    <row r="2772" spans="15:18" x14ac:dyDescent="0.15">
      <c r="O2772" s="7" t="str">
        <f>"REQ"&amp;TEXT([2]RequestList!$A2773,"0000")</f>
        <v>REQ0000</v>
      </c>
      <c r="P2772" s="7">
        <f>[2]RequestList!$J2773</f>
        <v>0</v>
      </c>
      <c r="Q2772" s="65">
        <f>SUMIF(日報!$R:$R,TEXT(YEAR($Q$2),"0000")&amp;TEXT(MONTH($Q$2),"00")&amp;$O2772,日報!$L:$L)</f>
        <v>0</v>
      </c>
      <c r="R2772" s="65">
        <f ca="1">SUMIF(日報!$J:$J,$O2772,日報!$L:$L)</f>
        <v>0</v>
      </c>
    </row>
    <row r="2773" spans="15:18" x14ac:dyDescent="0.15">
      <c r="O2773" s="7" t="str">
        <f>"REQ"&amp;TEXT([2]RequestList!$A2774,"0000")</f>
        <v>REQ0000</v>
      </c>
      <c r="P2773" s="7">
        <f>[2]RequestList!$J2774</f>
        <v>0</v>
      </c>
      <c r="Q2773" s="65">
        <f>SUMIF(日報!$R:$R,TEXT(YEAR($Q$2),"0000")&amp;TEXT(MONTH($Q$2),"00")&amp;$O2773,日報!$L:$L)</f>
        <v>0</v>
      </c>
      <c r="R2773" s="65">
        <f ca="1">SUMIF(日報!$J:$J,$O2773,日報!$L:$L)</f>
        <v>0</v>
      </c>
    </row>
    <row r="2774" spans="15:18" x14ac:dyDescent="0.15">
      <c r="O2774" s="7" t="str">
        <f>"REQ"&amp;TEXT([2]RequestList!$A2775,"0000")</f>
        <v>REQ0000</v>
      </c>
      <c r="P2774" s="7">
        <f>[2]RequestList!$J2775</f>
        <v>0</v>
      </c>
      <c r="Q2774" s="65">
        <f>SUMIF(日報!$R:$R,TEXT(YEAR($Q$2),"0000")&amp;TEXT(MONTH($Q$2),"00")&amp;$O2774,日報!$L:$L)</f>
        <v>0</v>
      </c>
      <c r="R2774" s="65">
        <f ca="1">SUMIF(日報!$J:$J,$O2774,日報!$L:$L)</f>
        <v>0</v>
      </c>
    </row>
    <row r="2775" spans="15:18" x14ac:dyDescent="0.15">
      <c r="O2775" s="7" t="str">
        <f>"REQ"&amp;TEXT([2]RequestList!$A2776,"0000")</f>
        <v>REQ0000</v>
      </c>
      <c r="P2775" s="7">
        <f>[2]RequestList!$J2776</f>
        <v>0</v>
      </c>
      <c r="Q2775" s="65">
        <f>SUMIF(日報!$R:$R,TEXT(YEAR($Q$2),"0000")&amp;TEXT(MONTH($Q$2),"00")&amp;$O2775,日報!$L:$L)</f>
        <v>0</v>
      </c>
      <c r="R2775" s="65">
        <f ca="1">SUMIF(日報!$J:$J,$O2775,日報!$L:$L)</f>
        <v>0</v>
      </c>
    </row>
    <row r="2776" spans="15:18" x14ac:dyDescent="0.15">
      <c r="O2776" s="7" t="str">
        <f>"REQ"&amp;TEXT([2]RequestList!$A2777,"0000")</f>
        <v>REQ0000</v>
      </c>
      <c r="P2776" s="7">
        <f>[2]RequestList!$J2777</f>
        <v>0</v>
      </c>
      <c r="Q2776" s="65">
        <f>SUMIF(日報!$R:$R,TEXT(YEAR($Q$2),"0000")&amp;TEXT(MONTH($Q$2),"00")&amp;$O2776,日報!$L:$L)</f>
        <v>0</v>
      </c>
      <c r="R2776" s="65">
        <f ca="1">SUMIF(日報!$J:$J,$O2776,日報!$L:$L)</f>
        <v>0</v>
      </c>
    </row>
    <row r="2777" spans="15:18" x14ac:dyDescent="0.15">
      <c r="O2777" s="7" t="str">
        <f>"REQ"&amp;TEXT([2]RequestList!$A2778,"0000")</f>
        <v>REQ0000</v>
      </c>
      <c r="P2777" s="7">
        <f>[2]RequestList!$J2778</f>
        <v>0</v>
      </c>
      <c r="Q2777" s="65">
        <f>SUMIF(日報!$R:$R,TEXT(YEAR($Q$2),"0000")&amp;TEXT(MONTH($Q$2),"00")&amp;$O2777,日報!$L:$L)</f>
        <v>0</v>
      </c>
      <c r="R2777" s="65">
        <f ca="1">SUMIF(日報!$J:$J,$O2777,日報!$L:$L)</f>
        <v>0</v>
      </c>
    </row>
    <row r="2778" spans="15:18" x14ac:dyDescent="0.15">
      <c r="O2778" s="7" t="str">
        <f>"REQ"&amp;TEXT([2]RequestList!$A2779,"0000")</f>
        <v>REQ0000</v>
      </c>
      <c r="P2778" s="7">
        <f>[2]RequestList!$J2779</f>
        <v>0</v>
      </c>
      <c r="Q2778" s="65">
        <f>SUMIF(日報!$R:$R,TEXT(YEAR($Q$2),"0000")&amp;TEXT(MONTH($Q$2),"00")&amp;$O2778,日報!$L:$L)</f>
        <v>0</v>
      </c>
      <c r="R2778" s="65">
        <f ca="1">SUMIF(日報!$J:$J,$O2778,日報!$L:$L)</f>
        <v>0</v>
      </c>
    </row>
    <row r="2779" spans="15:18" x14ac:dyDescent="0.15">
      <c r="O2779" s="7" t="str">
        <f>"REQ"&amp;TEXT([2]RequestList!$A2780,"0000")</f>
        <v>REQ0000</v>
      </c>
      <c r="P2779" s="7">
        <f>[2]RequestList!$J2780</f>
        <v>0</v>
      </c>
      <c r="Q2779" s="65">
        <f>SUMIF(日報!$R:$R,TEXT(YEAR($Q$2),"0000")&amp;TEXT(MONTH($Q$2),"00")&amp;$O2779,日報!$L:$L)</f>
        <v>0</v>
      </c>
      <c r="R2779" s="65">
        <f ca="1">SUMIF(日報!$J:$J,$O2779,日報!$L:$L)</f>
        <v>0</v>
      </c>
    </row>
    <row r="2780" spans="15:18" x14ac:dyDescent="0.15">
      <c r="O2780" s="7" t="str">
        <f>"REQ"&amp;TEXT([2]RequestList!$A2781,"0000")</f>
        <v>REQ0000</v>
      </c>
      <c r="P2780" s="7">
        <f>[2]RequestList!$J2781</f>
        <v>0</v>
      </c>
      <c r="Q2780" s="65">
        <f>SUMIF(日報!$R:$R,TEXT(YEAR($Q$2),"0000")&amp;TEXT(MONTH($Q$2),"00")&amp;$O2780,日報!$L:$L)</f>
        <v>0</v>
      </c>
      <c r="R2780" s="65">
        <f ca="1">SUMIF(日報!$J:$J,$O2780,日報!$L:$L)</f>
        <v>0</v>
      </c>
    </row>
    <row r="2781" spans="15:18" x14ac:dyDescent="0.15">
      <c r="O2781" s="7" t="str">
        <f>"REQ"&amp;TEXT([2]RequestList!$A2782,"0000")</f>
        <v>REQ0000</v>
      </c>
      <c r="P2781" s="7">
        <f>[2]RequestList!$J2782</f>
        <v>0</v>
      </c>
      <c r="Q2781" s="65">
        <f>SUMIF(日報!$R:$R,TEXT(YEAR($Q$2),"0000")&amp;TEXT(MONTH($Q$2),"00")&amp;$O2781,日報!$L:$L)</f>
        <v>0</v>
      </c>
      <c r="R2781" s="65">
        <f ca="1">SUMIF(日報!$J:$J,$O2781,日報!$L:$L)</f>
        <v>0</v>
      </c>
    </row>
    <row r="2782" spans="15:18" x14ac:dyDescent="0.15">
      <c r="O2782" s="7" t="str">
        <f>"REQ"&amp;TEXT([2]RequestList!$A2783,"0000")</f>
        <v>REQ0000</v>
      </c>
      <c r="P2782" s="7">
        <f>[2]RequestList!$J2783</f>
        <v>0</v>
      </c>
      <c r="Q2782" s="65">
        <f>SUMIF(日報!$R:$R,TEXT(YEAR($Q$2),"0000")&amp;TEXT(MONTH($Q$2),"00")&amp;$O2782,日報!$L:$L)</f>
        <v>0</v>
      </c>
      <c r="R2782" s="65">
        <f ca="1">SUMIF(日報!$J:$J,$O2782,日報!$L:$L)</f>
        <v>0</v>
      </c>
    </row>
    <row r="2783" spans="15:18" x14ac:dyDescent="0.15">
      <c r="O2783" s="7" t="str">
        <f>"REQ"&amp;TEXT([2]RequestList!$A2784,"0000")</f>
        <v>REQ0000</v>
      </c>
      <c r="P2783" s="7">
        <f>[2]RequestList!$J2784</f>
        <v>0</v>
      </c>
      <c r="Q2783" s="65">
        <f>SUMIF(日報!$R:$R,TEXT(YEAR($Q$2),"0000")&amp;TEXT(MONTH($Q$2),"00")&amp;$O2783,日報!$L:$L)</f>
        <v>0</v>
      </c>
      <c r="R2783" s="65">
        <f ca="1">SUMIF(日報!$J:$J,$O2783,日報!$L:$L)</f>
        <v>0</v>
      </c>
    </row>
    <row r="2784" spans="15:18" x14ac:dyDescent="0.15">
      <c r="O2784" s="7" t="str">
        <f>"REQ"&amp;TEXT([2]RequestList!$A2785,"0000")</f>
        <v>REQ0000</v>
      </c>
      <c r="P2784" s="7">
        <f>[2]RequestList!$J2785</f>
        <v>0</v>
      </c>
      <c r="Q2784" s="65">
        <f>SUMIF(日報!$R:$R,TEXT(YEAR($Q$2),"0000")&amp;TEXT(MONTH($Q$2),"00")&amp;$O2784,日報!$L:$L)</f>
        <v>0</v>
      </c>
      <c r="R2784" s="65">
        <f ca="1">SUMIF(日報!$J:$J,$O2784,日報!$L:$L)</f>
        <v>0</v>
      </c>
    </row>
    <row r="2785" spans="15:18" x14ac:dyDescent="0.15">
      <c r="O2785" s="7" t="str">
        <f>"REQ"&amp;TEXT([2]RequestList!$A2786,"0000")</f>
        <v>REQ0000</v>
      </c>
      <c r="P2785" s="7">
        <f>[2]RequestList!$J2786</f>
        <v>0</v>
      </c>
      <c r="Q2785" s="65">
        <f>SUMIF(日報!$R:$R,TEXT(YEAR($Q$2),"0000")&amp;TEXT(MONTH($Q$2),"00")&amp;$O2785,日報!$L:$L)</f>
        <v>0</v>
      </c>
      <c r="R2785" s="65">
        <f ca="1">SUMIF(日報!$J:$J,$O2785,日報!$L:$L)</f>
        <v>0</v>
      </c>
    </row>
    <row r="2786" spans="15:18" x14ac:dyDescent="0.15">
      <c r="O2786" s="7" t="str">
        <f>"REQ"&amp;TEXT([2]RequestList!$A2787,"0000")</f>
        <v>REQ0000</v>
      </c>
      <c r="P2786" s="7">
        <f>[2]RequestList!$J2787</f>
        <v>0</v>
      </c>
      <c r="Q2786" s="65">
        <f>SUMIF(日報!$R:$R,TEXT(YEAR($Q$2),"0000")&amp;TEXT(MONTH($Q$2),"00")&amp;$O2786,日報!$L:$L)</f>
        <v>0</v>
      </c>
      <c r="R2786" s="65">
        <f ca="1">SUMIF(日報!$J:$J,$O2786,日報!$L:$L)</f>
        <v>0</v>
      </c>
    </row>
    <row r="2787" spans="15:18" x14ac:dyDescent="0.15">
      <c r="O2787" s="7" t="str">
        <f>"REQ"&amp;TEXT([2]RequestList!$A2788,"0000")</f>
        <v>REQ0000</v>
      </c>
      <c r="P2787" s="7">
        <f>[2]RequestList!$J2788</f>
        <v>0</v>
      </c>
      <c r="Q2787" s="65">
        <f>SUMIF(日報!$R:$R,TEXT(YEAR($Q$2),"0000")&amp;TEXT(MONTH($Q$2),"00")&amp;$O2787,日報!$L:$L)</f>
        <v>0</v>
      </c>
      <c r="R2787" s="65">
        <f ca="1">SUMIF(日報!$J:$J,$O2787,日報!$L:$L)</f>
        <v>0</v>
      </c>
    </row>
    <row r="2788" spans="15:18" x14ac:dyDescent="0.15">
      <c r="O2788" s="7" t="str">
        <f>"REQ"&amp;TEXT([2]RequestList!$A2789,"0000")</f>
        <v>REQ0000</v>
      </c>
      <c r="P2788" s="7">
        <f>[2]RequestList!$J2789</f>
        <v>0</v>
      </c>
      <c r="Q2788" s="65">
        <f>SUMIF(日報!$R:$R,TEXT(YEAR($Q$2),"0000")&amp;TEXT(MONTH($Q$2),"00")&amp;$O2788,日報!$L:$L)</f>
        <v>0</v>
      </c>
      <c r="R2788" s="65">
        <f ca="1">SUMIF(日報!$J:$J,$O2788,日報!$L:$L)</f>
        <v>0</v>
      </c>
    </row>
    <row r="2789" spans="15:18" x14ac:dyDescent="0.15">
      <c r="O2789" s="7" t="str">
        <f>"REQ"&amp;TEXT([2]RequestList!$A2790,"0000")</f>
        <v>REQ0000</v>
      </c>
      <c r="P2789" s="7">
        <f>[2]RequestList!$J2790</f>
        <v>0</v>
      </c>
      <c r="Q2789" s="65">
        <f>SUMIF(日報!$R:$R,TEXT(YEAR($Q$2),"0000")&amp;TEXT(MONTH($Q$2),"00")&amp;$O2789,日報!$L:$L)</f>
        <v>0</v>
      </c>
      <c r="R2789" s="65">
        <f ca="1">SUMIF(日報!$J:$J,$O2789,日報!$L:$L)</f>
        <v>0</v>
      </c>
    </row>
    <row r="2790" spans="15:18" x14ac:dyDescent="0.15">
      <c r="O2790" s="7" t="str">
        <f>"REQ"&amp;TEXT([2]RequestList!$A2791,"0000")</f>
        <v>REQ0000</v>
      </c>
      <c r="P2790" s="7">
        <f>[2]RequestList!$J2791</f>
        <v>0</v>
      </c>
      <c r="Q2790" s="65">
        <f>SUMIF(日報!$R:$R,TEXT(YEAR($Q$2),"0000")&amp;TEXT(MONTH($Q$2),"00")&amp;$O2790,日報!$L:$L)</f>
        <v>0</v>
      </c>
      <c r="R2790" s="65">
        <f ca="1">SUMIF(日報!$J:$J,$O2790,日報!$L:$L)</f>
        <v>0</v>
      </c>
    </row>
    <row r="2791" spans="15:18" x14ac:dyDescent="0.15">
      <c r="O2791" s="7" t="str">
        <f>"REQ"&amp;TEXT([2]RequestList!$A2792,"0000")</f>
        <v>REQ0000</v>
      </c>
      <c r="P2791" s="7">
        <f>[2]RequestList!$J2792</f>
        <v>0</v>
      </c>
      <c r="Q2791" s="65">
        <f>SUMIF(日報!$R:$R,TEXT(YEAR($Q$2),"0000")&amp;TEXT(MONTH($Q$2),"00")&amp;$O2791,日報!$L:$L)</f>
        <v>0</v>
      </c>
      <c r="R2791" s="65">
        <f ca="1">SUMIF(日報!$J:$J,$O2791,日報!$L:$L)</f>
        <v>0</v>
      </c>
    </row>
    <row r="2792" spans="15:18" x14ac:dyDescent="0.15">
      <c r="O2792" s="7" t="str">
        <f>"REQ"&amp;TEXT([2]RequestList!$A2793,"0000")</f>
        <v>REQ0000</v>
      </c>
      <c r="P2792" s="7">
        <f>[2]RequestList!$J2793</f>
        <v>0</v>
      </c>
      <c r="Q2792" s="65">
        <f>SUMIF(日報!$R:$R,TEXT(YEAR($Q$2),"0000")&amp;TEXT(MONTH($Q$2),"00")&amp;$O2792,日報!$L:$L)</f>
        <v>0</v>
      </c>
      <c r="R2792" s="65">
        <f ca="1">SUMIF(日報!$J:$J,$O2792,日報!$L:$L)</f>
        <v>0</v>
      </c>
    </row>
    <row r="2793" spans="15:18" x14ac:dyDescent="0.15">
      <c r="O2793" s="7" t="str">
        <f>"REQ"&amp;TEXT([2]RequestList!$A2794,"0000")</f>
        <v>REQ0000</v>
      </c>
      <c r="P2793" s="7">
        <f>[2]RequestList!$J2794</f>
        <v>0</v>
      </c>
      <c r="Q2793" s="65">
        <f>SUMIF(日報!$R:$R,TEXT(YEAR($Q$2),"0000")&amp;TEXT(MONTH($Q$2),"00")&amp;$O2793,日報!$L:$L)</f>
        <v>0</v>
      </c>
      <c r="R2793" s="65">
        <f ca="1">SUMIF(日報!$J:$J,$O2793,日報!$L:$L)</f>
        <v>0</v>
      </c>
    </row>
    <row r="2794" spans="15:18" x14ac:dyDescent="0.15">
      <c r="O2794" s="7" t="str">
        <f>"REQ"&amp;TEXT([2]RequestList!$A2795,"0000")</f>
        <v>REQ0000</v>
      </c>
      <c r="P2794" s="7">
        <f>[2]RequestList!$J2795</f>
        <v>0</v>
      </c>
      <c r="Q2794" s="65">
        <f>SUMIF(日報!$R:$R,TEXT(YEAR($Q$2),"0000")&amp;TEXT(MONTH($Q$2),"00")&amp;$O2794,日報!$L:$L)</f>
        <v>0</v>
      </c>
      <c r="R2794" s="65">
        <f ca="1">SUMIF(日報!$J:$J,$O2794,日報!$L:$L)</f>
        <v>0</v>
      </c>
    </row>
    <row r="2795" spans="15:18" x14ac:dyDescent="0.15">
      <c r="O2795" s="7" t="str">
        <f>"REQ"&amp;TEXT([2]RequestList!$A2796,"0000")</f>
        <v>REQ0000</v>
      </c>
      <c r="P2795" s="7">
        <f>[2]RequestList!$J2796</f>
        <v>0</v>
      </c>
      <c r="Q2795" s="65">
        <f>SUMIF(日報!$R:$R,TEXT(YEAR($Q$2),"0000")&amp;TEXT(MONTH($Q$2),"00")&amp;$O2795,日報!$L:$L)</f>
        <v>0</v>
      </c>
      <c r="R2795" s="65">
        <f ca="1">SUMIF(日報!$J:$J,$O2795,日報!$L:$L)</f>
        <v>0</v>
      </c>
    </row>
    <row r="2796" spans="15:18" x14ac:dyDescent="0.15">
      <c r="O2796" s="7" t="str">
        <f>"REQ"&amp;TEXT([2]RequestList!$A2797,"0000")</f>
        <v>REQ0000</v>
      </c>
      <c r="P2796" s="7">
        <f>[2]RequestList!$J2797</f>
        <v>0</v>
      </c>
      <c r="Q2796" s="65">
        <f>SUMIF(日報!$R:$R,TEXT(YEAR($Q$2),"0000")&amp;TEXT(MONTH($Q$2),"00")&amp;$O2796,日報!$L:$L)</f>
        <v>0</v>
      </c>
      <c r="R2796" s="65">
        <f ca="1">SUMIF(日報!$J:$J,$O2796,日報!$L:$L)</f>
        <v>0</v>
      </c>
    </row>
    <row r="2797" spans="15:18" x14ac:dyDescent="0.15">
      <c r="O2797" s="7" t="str">
        <f>"REQ"&amp;TEXT([2]RequestList!$A2798,"0000")</f>
        <v>REQ0000</v>
      </c>
      <c r="P2797" s="7">
        <f>[2]RequestList!$J2798</f>
        <v>0</v>
      </c>
      <c r="Q2797" s="65">
        <f>SUMIF(日報!$R:$R,TEXT(YEAR($Q$2),"0000")&amp;TEXT(MONTH($Q$2),"00")&amp;$O2797,日報!$L:$L)</f>
        <v>0</v>
      </c>
      <c r="R2797" s="65">
        <f ca="1">SUMIF(日報!$J:$J,$O2797,日報!$L:$L)</f>
        <v>0</v>
      </c>
    </row>
    <row r="2798" spans="15:18" x14ac:dyDescent="0.15">
      <c r="O2798" s="7" t="str">
        <f>"REQ"&amp;TEXT([2]RequestList!$A2799,"0000")</f>
        <v>REQ0000</v>
      </c>
      <c r="P2798" s="7">
        <f>[2]RequestList!$J2799</f>
        <v>0</v>
      </c>
      <c r="Q2798" s="65">
        <f>SUMIF(日報!$R:$R,TEXT(YEAR($Q$2),"0000")&amp;TEXT(MONTH($Q$2),"00")&amp;$O2798,日報!$L:$L)</f>
        <v>0</v>
      </c>
      <c r="R2798" s="65">
        <f ca="1">SUMIF(日報!$J:$J,$O2798,日報!$L:$L)</f>
        <v>0</v>
      </c>
    </row>
    <row r="2799" spans="15:18" x14ac:dyDescent="0.15">
      <c r="O2799" s="7" t="str">
        <f>"REQ"&amp;TEXT([2]RequestList!$A2800,"0000")</f>
        <v>REQ0000</v>
      </c>
      <c r="P2799" s="7">
        <f>[2]RequestList!$J2800</f>
        <v>0</v>
      </c>
      <c r="Q2799" s="65">
        <f>SUMIF(日報!$R:$R,TEXT(YEAR($Q$2),"0000")&amp;TEXT(MONTH($Q$2),"00")&amp;$O2799,日報!$L:$L)</f>
        <v>0</v>
      </c>
      <c r="R2799" s="65">
        <f ca="1">SUMIF(日報!$J:$J,$O2799,日報!$L:$L)</f>
        <v>0</v>
      </c>
    </row>
    <row r="2800" spans="15:18" x14ac:dyDescent="0.15">
      <c r="O2800" s="7" t="str">
        <f>"REQ"&amp;TEXT([2]RequestList!$A2801,"0000")</f>
        <v>REQ0000</v>
      </c>
      <c r="P2800" s="7">
        <f>[2]RequestList!$J2801</f>
        <v>0</v>
      </c>
      <c r="Q2800" s="65">
        <f>SUMIF(日報!$R:$R,TEXT(YEAR($Q$2),"0000")&amp;TEXT(MONTH($Q$2),"00")&amp;$O2800,日報!$L:$L)</f>
        <v>0</v>
      </c>
      <c r="R2800" s="65">
        <f ca="1">SUMIF(日報!$J:$J,$O2800,日報!$L:$L)</f>
        <v>0</v>
      </c>
    </row>
    <row r="2801" spans="15:18" x14ac:dyDescent="0.15">
      <c r="O2801" s="7" t="str">
        <f>"REQ"&amp;TEXT([2]RequestList!$A2802,"0000")</f>
        <v>REQ0000</v>
      </c>
      <c r="P2801" s="7">
        <f>[2]RequestList!$J2802</f>
        <v>0</v>
      </c>
      <c r="Q2801" s="65">
        <f>SUMIF(日報!$R:$R,TEXT(YEAR($Q$2),"0000")&amp;TEXT(MONTH($Q$2),"00")&amp;$O2801,日報!$L:$L)</f>
        <v>0</v>
      </c>
      <c r="R2801" s="65">
        <f ca="1">SUMIF(日報!$J:$J,$O2801,日報!$L:$L)</f>
        <v>0</v>
      </c>
    </row>
    <row r="2802" spans="15:18" x14ac:dyDescent="0.15">
      <c r="O2802" s="7" t="str">
        <f>"REQ"&amp;TEXT([2]RequestList!$A2803,"0000")</f>
        <v>REQ0000</v>
      </c>
      <c r="P2802" s="7">
        <f>[2]RequestList!$J2803</f>
        <v>0</v>
      </c>
      <c r="Q2802" s="65">
        <f>SUMIF(日報!$R:$R,TEXT(YEAR($Q$2),"0000")&amp;TEXT(MONTH($Q$2),"00")&amp;$O2802,日報!$L:$L)</f>
        <v>0</v>
      </c>
      <c r="R2802" s="65">
        <f ca="1">SUMIF(日報!$J:$J,$O2802,日報!$L:$L)</f>
        <v>0</v>
      </c>
    </row>
    <row r="2803" spans="15:18" x14ac:dyDescent="0.15">
      <c r="O2803" s="7" t="str">
        <f>"REQ"&amp;TEXT([2]RequestList!$A2804,"0000")</f>
        <v>REQ0000</v>
      </c>
      <c r="P2803" s="7">
        <f>[2]RequestList!$J2804</f>
        <v>0</v>
      </c>
      <c r="Q2803" s="65">
        <f>SUMIF(日報!$R:$R,TEXT(YEAR($Q$2),"0000")&amp;TEXT(MONTH($Q$2),"00")&amp;$O2803,日報!$L:$L)</f>
        <v>0</v>
      </c>
      <c r="R2803" s="65">
        <f ca="1">SUMIF(日報!$J:$J,$O2803,日報!$L:$L)</f>
        <v>0</v>
      </c>
    </row>
    <row r="2804" spans="15:18" x14ac:dyDescent="0.15">
      <c r="O2804" s="7" t="str">
        <f>"REQ"&amp;TEXT([2]RequestList!$A2805,"0000")</f>
        <v>REQ0000</v>
      </c>
      <c r="P2804" s="7">
        <f>[2]RequestList!$J2805</f>
        <v>0</v>
      </c>
      <c r="Q2804" s="65">
        <f>SUMIF(日報!$R:$R,TEXT(YEAR($Q$2),"0000")&amp;TEXT(MONTH($Q$2),"00")&amp;$O2804,日報!$L:$L)</f>
        <v>0</v>
      </c>
      <c r="R2804" s="65">
        <f ca="1">SUMIF(日報!$J:$J,$O2804,日報!$L:$L)</f>
        <v>0</v>
      </c>
    </row>
    <row r="2805" spans="15:18" x14ac:dyDescent="0.15">
      <c r="O2805" s="7" t="str">
        <f>"REQ"&amp;TEXT([2]RequestList!$A2806,"0000")</f>
        <v>REQ0000</v>
      </c>
      <c r="P2805" s="7">
        <f>[2]RequestList!$J2806</f>
        <v>0</v>
      </c>
      <c r="Q2805" s="65">
        <f>SUMIF(日報!$R:$R,TEXT(YEAR($Q$2),"0000")&amp;TEXT(MONTH($Q$2),"00")&amp;$O2805,日報!$L:$L)</f>
        <v>0</v>
      </c>
      <c r="R2805" s="65">
        <f ca="1">SUMIF(日報!$J:$J,$O2805,日報!$L:$L)</f>
        <v>0</v>
      </c>
    </row>
    <row r="2806" spans="15:18" x14ac:dyDescent="0.15">
      <c r="O2806" s="7" t="str">
        <f>"REQ"&amp;TEXT([2]RequestList!$A2807,"0000")</f>
        <v>REQ0000</v>
      </c>
      <c r="P2806" s="7">
        <f>[2]RequestList!$J2807</f>
        <v>0</v>
      </c>
      <c r="Q2806" s="65">
        <f>SUMIF(日報!$R:$R,TEXT(YEAR($Q$2),"0000")&amp;TEXT(MONTH($Q$2),"00")&amp;$O2806,日報!$L:$L)</f>
        <v>0</v>
      </c>
      <c r="R2806" s="65">
        <f ca="1">SUMIF(日報!$J:$J,$O2806,日報!$L:$L)</f>
        <v>0</v>
      </c>
    </row>
    <row r="2807" spans="15:18" x14ac:dyDescent="0.15">
      <c r="O2807" s="7" t="str">
        <f>"REQ"&amp;TEXT([2]RequestList!$A2808,"0000")</f>
        <v>REQ0000</v>
      </c>
      <c r="P2807" s="7">
        <f>[2]RequestList!$J2808</f>
        <v>0</v>
      </c>
      <c r="Q2807" s="65">
        <f>SUMIF(日報!$R:$R,TEXT(YEAR($Q$2),"0000")&amp;TEXT(MONTH($Q$2),"00")&amp;$O2807,日報!$L:$L)</f>
        <v>0</v>
      </c>
      <c r="R2807" s="65">
        <f ca="1">SUMIF(日報!$J:$J,$O2807,日報!$L:$L)</f>
        <v>0</v>
      </c>
    </row>
    <row r="2808" spans="15:18" x14ac:dyDescent="0.15">
      <c r="O2808" s="7" t="str">
        <f>"REQ"&amp;TEXT([2]RequestList!$A2809,"0000")</f>
        <v>REQ0000</v>
      </c>
      <c r="P2808" s="7">
        <f>[2]RequestList!$J2809</f>
        <v>0</v>
      </c>
      <c r="Q2808" s="65">
        <f>SUMIF(日報!$R:$R,TEXT(YEAR($Q$2),"0000")&amp;TEXT(MONTH($Q$2),"00")&amp;$O2808,日報!$L:$L)</f>
        <v>0</v>
      </c>
      <c r="R2808" s="65">
        <f ca="1">SUMIF(日報!$J:$J,$O2808,日報!$L:$L)</f>
        <v>0</v>
      </c>
    </row>
    <row r="2809" spans="15:18" x14ac:dyDescent="0.15">
      <c r="O2809" s="7" t="str">
        <f>"REQ"&amp;TEXT([2]RequestList!$A2810,"0000")</f>
        <v>REQ0000</v>
      </c>
      <c r="P2809" s="7">
        <f>[2]RequestList!$J2810</f>
        <v>0</v>
      </c>
      <c r="Q2809" s="65">
        <f>SUMIF(日報!$R:$R,TEXT(YEAR($Q$2),"0000")&amp;TEXT(MONTH($Q$2),"00")&amp;$O2809,日報!$L:$L)</f>
        <v>0</v>
      </c>
      <c r="R2809" s="65">
        <f ca="1">SUMIF(日報!$J:$J,$O2809,日報!$L:$L)</f>
        <v>0</v>
      </c>
    </row>
    <row r="2810" spans="15:18" x14ac:dyDescent="0.15">
      <c r="O2810" s="7" t="str">
        <f>"REQ"&amp;TEXT([2]RequestList!$A2811,"0000")</f>
        <v>REQ0000</v>
      </c>
      <c r="P2810" s="7">
        <f>[2]RequestList!$J2811</f>
        <v>0</v>
      </c>
      <c r="Q2810" s="65">
        <f>SUMIF(日報!$R:$R,TEXT(YEAR($Q$2),"0000")&amp;TEXT(MONTH($Q$2),"00")&amp;$O2810,日報!$L:$L)</f>
        <v>0</v>
      </c>
      <c r="R2810" s="65">
        <f ca="1">SUMIF(日報!$J:$J,$O2810,日報!$L:$L)</f>
        <v>0</v>
      </c>
    </row>
    <row r="2811" spans="15:18" x14ac:dyDescent="0.15">
      <c r="O2811" s="7" t="str">
        <f>"REQ"&amp;TEXT([2]RequestList!$A2812,"0000")</f>
        <v>REQ0000</v>
      </c>
      <c r="P2811" s="7">
        <f>[2]RequestList!$J2812</f>
        <v>0</v>
      </c>
      <c r="Q2811" s="65">
        <f>SUMIF(日報!$R:$R,TEXT(YEAR($Q$2),"0000")&amp;TEXT(MONTH($Q$2),"00")&amp;$O2811,日報!$L:$L)</f>
        <v>0</v>
      </c>
      <c r="R2811" s="65">
        <f ca="1">SUMIF(日報!$J:$J,$O2811,日報!$L:$L)</f>
        <v>0</v>
      </c>
    </row>
    <row r="2812" spans="15:18" x14ac:dyDescent="0.15">
      <c r="O2812" s="7" t="str">
        <f>"REQ"&amp;TEXT([2]RequestList!$A2813,"0000")</f>
        <v>REQ0000</v>
      </c>
      <c r="P2812" s="7">
        <f>[2]RequestList!$J2813</f>
        <v>0</v>
      </c>
      <c r="Q2812" s="65">
        <f>SUMIF(日報!$R:$R,TEXT(YEAR($Q$2),"0000")&amp;TEXT(MONTH($Q$2),"00")&amp;$O2812,日報!$L:$L)</f>
        <v>0</v>
      </c>
      <c r="R2812" s="65">
        <f ca="1">SUMIF(日報!$J:$J,$O2812,日報!$L:$L)</f>
        <v>0</v>
      </c>
    </row>
    <row r="2813" spans="15:18" x14ac:dyDescent="0.15">
      <c r="O2813" s="7" t="str">
        <f>"REQ"&amp;TEXT([2]RequestList!$A2814,"0000")</f>
        <v>REQ0000</v>
      </c>
      <c r="P2813" s="7">
        <f>[2]RequestList!$J2814</f>
        <v>0</v>
      </c>
      <c r="Q2813" s="65">
        <f>SUMIF(日報!$R:$R,TEXT(YEAR($Q$2),"0000")&amp;TEXT(MONTH($Q$2),"00")&amp;$O2813,日報!$L:$L)</f>
        <v>0</v>
      </c>
      <c r="R2813" s="65">
        <f ca="1">SUMIF(日報!$J:$J,$O2813,日報!$L:$L)</f>
        <v>0</v>
      </c>
    </row>
    <row r="2814" spans="15:18" x14ac:dyDescent="0.15">
      <c r="O2814" s="7" t="str">
        <f>"REQ"&amp;TEXT([2]RequestList!$A2815,"0000")</f>
        <v>REQ0000</v>
      </c>
      <c r="P2814" s="7">
        <f>[2]RequestList!$J2815</f>
        <v>0</v>
      </c>
      <c r="Q2814" s="65">
        <f>SUMIF(日報!$R:$R,TEXT(YEAR($Q$2),"0000")&amp;TEXT(MONTH($Q$2),"00")&amp;$O2814,日報!$L:$L)</f>
        <v>0</v>
      </c>
      <c r="R2814" s="65">
        <f ca="1">SUMIF(日報!$J:$J,$O2814,日報!$L:$L)</f>
        <v>0</v>
      </c>
    </row>
    <row r="2815" spans="15:18" x14ac:dyDescent="0.15">
      <c r="O2815" s="7" t="str">
        <f>"REQ"&amp;TEXT([2]RequestList!$A2816,"0000")</f>
        <v>REQ0000</v>
      </c>
      <c r="P2815" s="7">
        <f>[2]RequestList!$J2816</f>
        <v>0</v>
      </c>
      <c r="Q2815" s="65">
        <f>SUMIF(日報!$R:$R,TEXT(YEAR($Q$2),"0000")&amp;TEXT(MONTH($Q$2),"00")&amp;$O2815,日報!$L:$L)</f>
        <v>0</v>
      </c>
      <c r="R2815" s="65">
        <f ca="1">SUMIF(日報!$J:$J,$O2815,日報!$L:$L)</f>
        <v>0</v>
      </c>
    </row>
    <row r="2816" spans="15:18" x14ac:dyDescent="0.15">
      <c r="O2816" s="7" t="str">
        <f>"REQ"&amp;TEXT([2]RequestList!$A2817,"0000")</f>
        <v>REQ0000</v>
      </c>
      <c r="P2816" s="7">
        <f>[2]RequestList!$J2817</f>
        <v>0</v>
      </c>
      <c r="Q2816" s="65">
        <f>SUMIF(日報!$R:$R,TEXT(YEAR($Q$2),"0000")&amp;TEXT(MONTH($Q$2),"00")&amp;$O2816,日報!$L:$L)</f>
        <v>0</v>
      </c>
      <c r="R2816" s="65">
        <f ca="1">SUMIF(日報!$J:$J,$O2816,日報!$L:$L)</f>
        <v>0</v>
      </c>
    </row>
    <row r="2817" spans="15:18" x14ac:dyDescent="0.15">
      <c r="O2817" s="7" t="str">
        <f>"REQ"&amp;TEXT([2]RequestList!$A2818,"0000")</f>
        <v>REQ0000</v>
      </c>
      <c r="P2817" s="7">
        <f>[2]RequestList!$J2818</f>
        <v>0</v>
      </c>
      <c r="Q2817" s="65">
        <f>SUMIF(日報!$R:$R,TEXT(YEAR($Q$2),"0000")&amp;TEXT(MONTH($Q$2),"00")&amp;$O2817,日報!$L:$L)</f>
        <v>0</v>
      </c>
      <c r="R2817" s="65">
        <f ca="1">SUMIF(日報!$J:$J,$O2817,日報!$L:$L)</f>
        <v>0</v>
      </c>
    </row>
    <row r="2818" spans="15:18" x14ac:dyDescent="0.15">
      <c r="O2818" s="7" t="str">
        <f>"REQ"&amp;TEXT([2]RequestList!$A2819,"0000")</f>
        <v>REQ0000</v>
      </c>
      <c r="P2818" s="7">
        <f>[2]RequestList!$J2819</f>
        <v>0</v>
      </c>
      <c r="Q2818" s="65">
        <f>SUMIF(日報!$R:$R,TEXT(YEAR($Q$2),"0000")&amp;TEXT(MONTH($Q$2),"00")&amp;$O2818,日報!$L:$L)</f>
        <v>0</v>
      </c>
      <c r="R2818" s="65">
        <f ca="1">SUMIF(日報!$J:$J,$O2818,日報!$L:$L)</f>
        <v>0</v>
      </c>
    </row>
    <row r="2819" spans="15:18" x14ac:dyDescent="0.15">
      <c r="O2819" s="7" t="str">
        <f>"REQ"&amp;TEXT([2]RequestList!$A2820,"0000")</f>
        <v>REQ0000</v>
      </c>
      <c r="P2819" s="7">
        <f>[2]RequestList!$J2820</f>
        <v>0</v>
      </c>
      <c r="Q2819" s="65">
        <f>SUMIF(日報!$R:$R,TEXT(YEAR($Q$2),"0000")&amp;TEXT(MONTH($Q$2),"00")&amp;$O2819,日報!$L:$L)</f>
        <v>0</v>
      </c>
      <c r="R2819" s="65">
        <f ca="1">SUMIF(日報!$J:$J,$O2819,日報!$L:$L)</f>
        <v>0</v>
      </c>
    </row>
    <row r="2820" spans="15:18" x14ac:dyDescent="0.15">
      <c r="O2820" s="7" t="str">
        <f>"REQ"&amp;TEXT([2]RequestList!$A2821,"0000")</f>
        <v>REQ0000</v>
      </c>
      <c r="P2820" s="7">
        <f>[2]RequestList!$J2821</f>
        <v>0</v>
      </c>
      <c r="Q2820" s="65">
        <f>SUMIF(日報!$R:$R,TEXT(YEAR($Q$2),"0000")&amp;TEXT(MONTH($Q$2),"00")&amp;$O2820,日報!$L:$L)</f>
        <v>0</v>
      </c>
      <c r="R2820" s="65">
        <f ca="1">SUMIF(日報!$J:$J,$O2820,日報!$L:$L)</f>
        <v>0</v>
      </c>
    </row>
    <row r="2821" spans="15:18" x14ac:dyDescent="0.15">
      <c r="O2821" s="7" t="str">
        <f>"REQ"&amp;TEXT([2]RequestList!$A2822,"0000")</f>
        <v>REQ0000</v>
      </c>
      <c r="P2821" s="7">
        <f>[2]RequestList!$J2822</f>
        <v>0</v>
      </c>
      <c r="Q2821" s="65">
        <f>SUMIF(日報!$R:$R,TEXT(YEAR($Q$2),"0000")&amp;TEXT(MONTH($Q$2),"00")&amp;$O2821,日報!$L:$L)</f>
        <v>0</v>
      </c>
      <c r="R2821" s="65">
        <f ca="1">SUMIF(日報!$J:$J,$O2821,日報!$L:$L)</f>
        <v>0</v>
      </c>
    </row>
    <row r="2822" spans="15:18" x14ac:dyDescent="0.15">
      <c r="O2822" s="7" t="str">
        <f>"REQ"&amp;TEXT([2]RequestList!$A2823,"0000")</f>
        <v>REQ0000</v>
      </c>
      <c r="P2822" s="7">
        <f>[2]RequestList!$J2823</f>
        <v>0</v>
      </c>
      <c r="Q2822" s="65">
        <f>SUMIF(日報!$R:$R,TEXT(YEAR($Q$2),"0000")&amp;TEXT(MONTH($Q$2),"00")&amp;$O2822,日報!$L:$L)</f>
        <v>0</v>
      </c>
      <c r="R2822" s="65">
        <f ca="1">SUMIF(日報!$J:$J,$O2822,日報!$L:$L)</f>
        <v>0</v>
      </c>
    </row>
    <row r="2823" spans="15:18" x14ac:dyDescent="0.15">
      <c r="O2823" s="7" t="str">
        <f>"REQ"&amp;TEXT([2]RequestList!$A2824,"0000")</f>
        <v>REQ0000</v>
      </c>
      <c r="P2823" s="7">
        <f>[2]RequestList!$J2824</f>
        <v>0</v>
      </c>
      <c r="Q2823" s="65">
        <f>SUMIF(日報!$R:$R,TEXT(YEAR($Q$2),"0000")&amp;TEXT(MONTH($Q$2),"00")&amp;$O2823,日報!$L:$L)</f>
        <v>0</v>
      </c>
      <c r="R2823" s="65">
        <f ca="1">SUMIF(日報!$J:$J,$O2823,日報!$L:$L)</f>
        <v>0</v>
      </c>
    </row>
    <row r="2824" spans="15:18" x14ac:dyDescent="0.15">
      <c r="O2824" s="7" t="str">
        <f>"REQ"&amp;TEXT([2]RequestList!$A2825,"0000")</f>
        <v>REQ0000</v>
      </c>
      <c r="P2824" s="7">
        <f>[2]RequestList!$J2825</f>
        <v>0</v>
      </c>
      <c r="Q2824" s="65">
        <f>SUMIF(日報!$R:$R,TEXT(YEAR($Q$2),"0000")&amp;TEXT(MONTH($Q$2),"00")&amp;$O2824,日報!$L:$L)</f>
        <v>0</v>
      </c>
      <c r="R2824" s="65">
        <f ca="1">SUMIF(日報!$J:$J,$O2824,日報!$L:$L)</f>
        <v>0</v>
      </c>
    </row>
    <row r="2825" spans="15:18" x14ac:dyDescent="0.15">
      <c r="O2825" s="7" t="str">
        <f>"REQ"&amp;TEXT([2]RequestList!$A2826,"0000")</f>
        <v>REQ0000</v>
      </c>
      <c r="P2825" s="7">
        <f>[2]RequestList!$J2826</f>
        <v>0</v>
      </c>
      <c r="Q2825" s="65">
        <f>SUMIF(日報!$R:$R,TEXT(YEAR($Q$2),"0000")&amp;TEXT(MONTH($Q$2),"00")&amp;$O2825,日報!$L:$L)</f>
        <v>0</v>
      </c>
      <c r="R2825" s="65">
        <f ca="1">SUMIF(日報!$J:$J,$O2825,日報!$L:$L)</f>
        <v>0</v>
      </c>
    </row>
    <row r="2826" spans="15:18" x14ac:dyDescent="0.15">
      <c r="O2826" s="7" t="str">
        <f>"REQ"&amp;TEXT([2]RequestList!$A2827,"0000")</f>
        <v>REQ0000</v>
      </c>
      <c r="P2826" s="7">
        <f>[2]RequestList!$J2827</f>
        <v>0</v>
      </c>
      <c r="Q2826" s="65">
        <f>SUMIF(日報!$R:$R,TEXT(YEAR($Q$2),"0000")&amp;TEXT(MONTH($Q$2),"00")&amp;$O2826,日報!$L:$L)</f>
        <v>0</v>
      </c>
      <c r="R2826" s="65">
        <f ca="1">SUMIF(日報!$J:$J,$O2826,日報!$L:$L)</f>
        <v>0</v>
      </c>
    </row>
    <row r="2827" spans="15:18" x14ac:dyDescent="0.15">
      <c r="O2827" s="7" t="str">
        <f>"REQ"&amp;TEXT([2]RequestList!$A2828,"0000")</f>
        <v>REQ0000</v>
      </c>
      <c r="P2827" s="7">
        <f>[2]RequestList!$J2828</f>
        <v>0</v>
      </c>
      <c r="Q2827" s="65">
        <f>SUMIF(日報!$R:$R,TEXT(YEAR($Q$2),"0000")&amp;TEXT(MONTH($Q$2),"00")&amp;$O2827,日報!$L:$L)</f>
        <v>0</v>
      </c>
      <c r="R2827" s="65">
        <f ca="1">SUMIF(日報!$J:$J,$O2827,日報!$L:$L)</f>
        <v>0</v>
      </c>
    </row>
    <row r="2828" spans="15:18" x14ac:dyDescent="0.15">
      <c r="O2828" s="7" t="str">
        <f>"REQ"&amp;TEXT([2]RequestList!$A2829,"0000")</f>
        <v>REQ0000</v>
      </c>
      <c r="P2828" s="7">
        <f>[2]RequestList!$J2829</f>
        <v>0</v>
      </c>
      <c r="Q2828" s="65">
        <f>SUMIF(日報!$R:$R,TEXT(YEAR($Q$2),"0000")&amp;TEXT(MONTH($Q$2),"00")&amp;$O2828,日報!$L:$L)</f>
        <v>0</v>
      </c>
      <c r="R2828" s="65">
        <f ca="1">SUMIF(日報!$J:$J,$O2828,日報!$L:$L)</f>
        <v>0</v>
      </c>
    </row>
    <row r="2829" spans="15:18" x14ac:dyDescent="0.15">
      <c r="O2829" s="7" t="str">
        <f>"REQ"&amp;TEXT([2]RequestList!$A2830,"0000")</f>
        <v>REQ0000</v>
      </c>
      <c r="P2829" s="7">
        <f>[2]RequestList!$J2830</f>
        <v>0</v>
      </c>
      <c r="Q2829" s="65">
        <f>SUMIF(日報!$R:$R,TEXT(YEAR($Q$2),"0000")&amp;TEXT(MONTH($Q$2),"00")&amp;$O2829,日報!$L:$L)</f>
        <v>0</v>
      </c>
      <c r="R2829" s="65">
        <f ca="1">SUMIF(日報!$J:$J,$O2829,日報!$L:$L)</f>
        <v>0</v>
      </c>
    </row>
    <row r="2830" spans="15:18" x14ac:dyDescent="0.15">
      <c r="O2830" s="7" t="str">
        <f>"REQ"&amp;TEXT([2]RequestList!$A2831,"0000")</f>
        <v>REQ0000</v>
      </c>
      <c r="P2830" s="7">
        <f>[2]RequestList!$J2831</f>
        <v>0</v>
      </c>
      <c r="Q2830" s="65">
        <f>SUMIF(日報!$R:$R,TEXT(YEAR($Q$2),"0000")&amp;TEXT(MONTH($Q$2),"00")&amp;$O2830,日報!$L:$L)</f>
        <v>0</v>
      </c>
      <c r="R2830" s="65">
        <f ca="1">SUMIF(日報!$J:$J,$O2830,日報!$L:$L)</f>
        <v>0</v>
      </c>
    </row>
    <row r="2831" spans="15:18" x14ac:dyDescent="0.15">
      <c r="O2831" s="7" t="str">
        <f>"REQ"&amp;TEXT([2]RequestList!$A2832,"0000")</f>
        <v>REQ0000</v>
      </c>
      <c r="P2831" s="7">
        <f>[2]RequestList!$J2832</f>
        <v>0</v>
      </c>
      <c r="Q2831" s="65">
        <f>SUMIF(日報!$R:$R,TEXT(YEAR($Q$2),"0000")&amp;TEXT(MONTH($Q$2),"00")&amp;$O2831,日報!$L:$L)</f>
        <v>0</v>
      </c>
      <c r="R2831" s="65">
        <f ca="1">SUMIF(日報!$J:$J,$O2831,日報!$L:$L)</f>
        <v>0</v>
      </c>
    </row>
    <row r="2832" spans="15:18" x14ac:dyDescent="0.15">
      <c r="O2832" s="7" t="str">
        <f>"REQ"&amp;TEXT([2]RequestList!$A2833,"0000")</f>
        <v>REQ0000</v>
      </c>
      <c r="P2832" s="7">
        <f>[2]RequestList!$J2833</f>
        <v>0</v>
      </c>
      <c r="Q2832" s="65">
        <f>SUMIF(日報!$R:$R,TEXT(YEAR($Q$2),"0000")&amp;TEXT(MONTH($Q$2),"00")&amp;$O2832,日報!$L:$L)</f>
        <v>0</v>
      </c>
      <c r="R2832" s="65">
        <f ca="1">SUMIF(日報!$J:$J,$O2832,日報!$L:$L)</f>
        <v>0</v>
      </c>
    </row>
    <row r="2833" spans="15:18" x14ac:dyDescent="0.15">
      <c r="O2833" s="7" t="str">
        <f>"REQ"&amp;TEXT([2]RequestList!$A2834,"0000")</f>
        <v>REQ0000</v>
      </c>
      <c r="P2833" s="7">
        <f>[2]RequestList!$J2834</f>
        <v>0</v>
      </c>
      <c r="Q2833" s="65">
        <f>SUMIF(日報!$R:$R,TEXT(YEAR($Q$2),"0000")&amp;TEXT(MONTH($Q$2),"00")&amp;$O2833,日報!$L:$L)</f>
        <v>0</v>
      </c>
      <c r="R2833" s="65">
        <f ca="1">SUMIF(日報!$J:$J,$O2833,日報!$L:$L)</f>
        <v>0</v>
      </c>
    </row>
    <row r="2834" spans="15:18" x14ac:dyDescent="0.15">
      <c r="O2834" s="7" t="str">
        <f>"REQ"&amp;TEXT([2]RequestList!$A2835,"0000")</f>
        <v>REQ0000</v>
      </c>
      <c r="P2834" s="7">
        <f>[2]RequestList!$J2835</f>
        <v>0</v>
      </c>
      <c r="Q2834" s="65">
        <f>SUMIF(日報!$R:$R,TEXT(YEAR($Q$2),"0000")&amp;TEXT(MONTH($Q$2),"00")&amp;$O2834,日報!$L:$L)</f>
        <v>0</v>
      </c>
      <c r="R2834" s="65">
        <f ca="1">SUMIF(日報!$J:$J,$O2834,日報!$L:$L)</f>
        <v>0</v>
      </c>
    </row>
    <row r="2835" spans="15:18" x14ac:dyDescent="0.15">
      <c r="O2835" s="7" t="str">
        <f>"REQ"&amp;TEXT([2]RequestList!$A2836,"0000")</f>
        <v>REQ0000</v>
      </c>
      <c r="P2835" s="7">
        <f>[2]RequestList!$J2836</f>
        <v>0</v>
      </c>
      <c r="Q2835" s="65">
        <f>SUMIF(日報!$R:$R,TEXT(YEAR($Q$2),"0000")&amp;TEXT(MONTH($Q$2),"00")&amp;$O2835,日報!$L:$L)</f>
        <v>0</v>
      </c>
      <c r="R2835" s="65">
        <f ca="1">SUMIF(日報!$J:$J,$O2835,日報!$L:$L)</f>
        <v>0</v>
      </c>
    </row>
    <row r="2836" spans="15:18" x14ac:dyDescent="0.15">
      <c r="O2836" s="7" t="str">
        <f>"REQ"&amp;TEXT([2]RequestList!$A2837,"0000")</f>
        <v>REQ0000</v>
      </c>
      <c r="P2836" s="7">
        <f>[2]RequestList!$J2837</f>
        <v>0</v>
      </c>
      <c r="Q2836" s="65">
        <f>SUMIF(日報!$R:$R,TEXT(YEAR($Q$2),"0000")&amp;TEXT(MONTH($Q$2),"00")&amp;$O2836,日報!$L:$L)</f>
        <v>0</v>
      </c>
      <c r="R2836" s="65">
        <f ca="1">SUMIF(日報!$J:$J,$O2836,日報!$L:$L)</f>
        <v>0</v>
      </c>
    </row>
    <row r="2837" spans="15:18" x14ac:dyDescent="0.15">
      <c r="O2837" s="7" t="str">
        <f>"REQ"&amp;TEXT([2]RequestList!$A2838,"0000")</f>
        <v>REQ0000</v>
      </c>
      <c r="P2837" s="7">
        <f>[2]RequestList!$J2838</f>
        <v>0</v>
      </c>
      <c r="Q2837" s="65">
        <f>SUMIF(日報!$R:$R,TEXT(YEAR($Q$2),"0000")&amp;TEXT(MONTH($Q$2),"00")&amp;$O2837,日報!$L:$L)</f>
        <v>0</v>
      </c>
      <c r="R2837" s="65">
        <f ca="1">SUMIF(日報!$J:$J,$O2837,日報!$L:$L)</f>
        <v>0</v>
      </c>
    </row>
    <row r="2838" spans="15:18" x14ac:dyDescent="0.15">
      <c r="O2838" s="7" t="str">
        <f>"REQ"&amp;TEXT([2]RequestList!$A2839,"0000")</f>
        <v>REQ0000</v>
      </c>
      <c r="P2838" s="7">
        <f>[2]RequestList!$J2839</f>
        <v>0</v>
      </c>
      <c r="Q2838" s="65">
        <f>SUMIF(日報!$R:$R,TEXT(YEAR($Q$2),"0000")&amp;TEXT(MONTH($Q$2),"00")&amp;$O2838,日報!$L:$L)</f>
        <v>0</v>
      </c>
      <c r="R2838" s="65">
        <f ca="1">SUMIF(日報!$J:$J,$O2838,日報!$L:$L)</f>
        <v>0</v>
      </c>
    </row>
    <row r="2839" spans="15:18" x14ac:dyDescent="0.15">
      <c r="O2839" s="7" t="str">
        <f>"REQ"&amp;TEXT([2]RequestList!$A2840,"0000")</f>
        <v>REQ0000</v>
      </c>
      <c r="P2839" s="7">
        <f>[2]RequestList!$J2840</f>
        <v>0</v>
      </c>
      <c r="Q2839" s="65">
        <f>SUMIF(日報!$R:$R,TEXT(YEAR($Q$2),"0000")&amp;TEXT(MONTH($Q$2),"00")&amp;$O2839,日報!$L:$L)</f>
        <v>0</v>
      </c>
      <c r="R2839" s="65">
        <f ca="1">SUMIF(日報!$J:$J,$O2839,日報!$L:$L)</f>
        <v>0</v>
      </c>
    </row>
    <row r="2840" spans="15:18" x14ac:dyDescent="0.15">
      <c r="O2840" s="7" t="str">
        <f>"REQ"&amp;TEXT([2]RequestList!$A2841,"0000")</f>
        <v>REQ0000</v>
      </c>
      <c r="P2840" s="7">
        <f>[2]RequestList!$J2841</f>
        <v>0</v>
      </c>
      <c r="Q2840" s="65">
        <f>SUMIF(日報!$R:$R,TEXT(YEAR($Q$2),"0000")&amp;TEXT(MONTH($Q$2),"00")&amp;$O2840,日報!$L:$L)</f>
        <v>0</v>
      </c>
      <c r="R2840" s="65">
        <f ca="1">SUMIF(日報!$J:$J,$O2840,日報!$L:$L)</f>
        <v>0</v>
      </c>
    </row>
    <row r="2841" spans="15:18" x14ac:dyDescent="0.15">
      <c r="O2841" s="7" t="str">
        <f>"REQ"&amp;TEXT([2]RequestList!$A2842,"0000")</f>
        <v>REQ0000</v>
      </c>
      <c r="P2841" s="7">
        <f>[2]RequestList!$J2842</f>
        <v>0</v>
      </c>
      <c r="Q2841" s="65">
        <f>SUMIF(日報!$R:$R,TEXT(YEAR($Q$2),"0000")&amp;TEXT(MONTH($Q$2),"00")&amp;$O2841,日報!$L:$L)</f>
        <v>0</v>
      </c>
      <c r="R2841" s="65">
        <f ca="1">SUMIF(日報!$J:$J,$O2841,日報!$L:$L)</f>
        <v>0</v>
      </c>
    </row>
    <row r="2842" spans="15:18" x14ac:dyDescent="0.15">
      <c r="O2842" s="7" t="str">
        <f>"REQ"&amp;TEXT([2]RequestList!$A2843,"0000")</f>
        <v>REQ0000</v>
      </c>
      <c r="P2842" s="7">
        <f>[2]RequestList!$J2843</f>
        <v>0</v>
      </c>
      <c r="Q2842" s="65">
        <f>SUMIF(日報!$R:$R,TEXT(YEAR($Q$2),"0000")&amp;TEXT(MONTH($Q$2),"00")&amp;$O2842,日報!$L:$L)</f>
        <v>0</v>
      </c>
      <c r="R2842" s="65">
        <f ca="1">SUMIF(日報!$J:$J,$O2842,日報!$L:$L)</f>
        <v>0</v>
      </c>
    </row>
    <row r="2843" spans="15:18" x14ac:dyDescent="0.15">
      <c r="O2843" s="7" t="str">
        <f>"REQ"&amp;TEXT([2]RequestList!$A2844,"0000")</f>
        <v>REQ0000</v>
      </c>
      <c r="P2843" s="7">
        <f>[2]RequestList!$J2844</f>
        <v>0</v>
      </c>
      <c r="Q2843" s="65">
        <f>SUMIF(日報!$R:$R,TEXT(YEAR($Q$2),"0000")&amp;TEXT(MONTH($Q$2),"00")&amp;$O2843,日報!$L:$L)</f>
        <v>0</v>
      </c>
      <c r="R2843" s="65">
        <f ca="1">SUMIF(日報!$J:$J,$O2843,日報!$L:$L)</f>
        <v>0</v>
      </c>
    </row>
    <row r="2844" spans="15:18" x14ac:dyDescent="0.15">
      <c r="O2844" s="7" t="str">
        <f>"REQ"&amp;TEXT([2]RequestList!$A2845,"0000")</f>
        <v>REQ0000</v>
      </c>
      <c r="P2844" s="7">
        <f>[2]RequestList!$J2845</f>
        <v>0</v>
      </c>
      <c r="Q2844" s="65">
        <f>SUMIF(日報!$R:$R,TEXT(YEAR($Q$2),"0000")&amp;TEXT(MONTH($Q$2),"00")&amp;$O2844,日報!$L:$L)</f>
        <v>0</v>
      </c>
      <c r="R2844" s="65">
        <f ca="1">SUMIF(日報!$J:$J,$O2844,日報!$L:$L)</f>
        <v>0</v>
      </c>
    </row>
    <row r="2845" spans="15:18" x14ac:dyDescent="0.15">
      <c r="O2845" s="7" t="str">
        <f>"REQ"&amp;TEXT([2]RequestList!$A2846,"0000")</f>
        <v>REQ0000</v>
      </c>
      <c r="P2845" s="7">
        <f>[2]RequestList!$J2846</f>
        <v>0</v>
      </c>
      <c r="Q2845" s="65">
        <f>SUMIF(日報!$R:$R,TEXT(YEAR($Q$2),"0000")&amp;TEXT(MONTH($Q$2),"00")&amp;$O2845,日報!$L:$L)</f>
        <v>0</v>
      </c>
      <c r="R2845" s="65">
        <f ca="1">SUMIF(日報!$J:$J,$O2845,日報!$L:$L)</f>
        <v>0</v>
      </c>
    </row>
    <row r="2846" spans="15:18" x14ac:dyDescent="0.15">
      <c r="O2846" s="7" t="str">
        <f>"REQ"&amp;TEXT([2]RequestList!$A2847,"0000")</f>
        <v>REQ0000</v>
      </c>
      <c r="P2846" s="7">
        <f>[2]RequestList!$J2847</f>
        <v>0</v>
      </c>
      <c r="Q2846" s="65">
        <f>SUMIF(日報!$R:$R,TEXT(YEAR($Q$2),"0000")&amp;TEXT(MONTH($Q$2),"00")&amp;$O2846,日報!$L:$L)</f>
        <v>0</v>
      </c>
      <c r="R2846" s="65">
        <f ca="1">SUMIF(日報!$J:$J,$O2846,日報!$L:$L)</f>
        <v>0</v>
      </c>
    </row>
    <row r="2847" spans="15:18" x14ac:dyDescent="0.15">
      <c r="O2847" s="7" t="str">
        <f>"REQ"&amp;TEXT([2]RequestList!$A2848,"0000")</f>
        <v>REQ0000</v>
      </c>
      <c r="P2847" s="7">
        <f>[2]RequestList!$J2848</f>
        <v>0</v>
      </c>
      <c r="Q2847" s="65">
        <f>SUMIF(日報!$R:$R,TEXT(YEAR($Q$2),"0000")&amp;TEXT(MONTH($Q$2),"00")&amp;$O2847,日報!$L:$L)</f>
        <v>0</v>
      </c>
      <c r="R2847" s="65">
        <f ca="1">SUMIF(日報!$J:$J,$O2847,日報!$L:$L)</f>
        <v>0</v>
      </c>
    </row>
    <row r="2848" spans="15:18" x14ac:dyDescent="0.15">
      <c r="O2848" s="7" t="str">
        <f>"REQ"&amp;TEXT([2]RequestList!$A2849,"0000")</f>
        <v>REQ0000</v>
      </c>
      <c r="P2848" s="7">
        <f>[2]RequestList!$J2849</f>
        <v>0</v>
      </c>
      <c r="Q2848" s="65">
        <f>SUMIF(日報!$R:$R,TEXT(YEAR($Q$2),"0000")&amp;TEXT(MONTH($Q$2),"00")&amp;$O2848,日報!$L:$L)</f>
        <v>0</v>
      </c>
      <c r="R2848" s="65">
        <f ca="1">SUMIF(日報!$J:$J,$O2848,日報!$L:$L)</f>
        <v>0</v>
      </c>
    </row>
    <row r="2849" spans="15:18" x14ac:dyDescent="0.15">
      <c r="O2849" s="7" t="str">
        <f>"REQ"&amp;TEXT([2]RequestList!$A2850,"0000")</f>
        <v>REQ0000</v>
      </c>
      <c r="P2849" s="7">
        <f>[2]RequestList!$J2850</f>
        <v>0</v>
      </c>
      <c r="Q2849" s="65">
        <f>SUMIF(日報!$R:$R,TEXT(YEAR($Q$2),"0000")&amp;TEXT(MONTH($Q$2),"00")&amp;$O2849,日報!$L:$L)</f>
        <v>0</v>
      </c>
      <c r="R2849" s="65">
        <f ca="1">SUMIF(日報!$J:$J,$O2849,日報!$L:$L)</f>
        <v>0</v>
      </c>
    </row>
    <row r="2850" spans="15:18" x14ac:dyDescent="0.15">
      <c r="O2850" s="7" t="str">
        <f>"REQ"&amp;TEXT([2]RequestList!$A2851,"0000")</f>
        <v>REQ0000</v>
      </c>
      <c r="P2850" s="7">
        <f>[2]RequestList!$J2851</f>
        <v>0</v>
      </c>
      <c r="Q2850" s="65">
        <f>SUMIF(日報!$R:$R,TEXT(YEAR($Q$2),"0000")&amp;TEXT(MONTH($Q$2),"00")&amp;$O2850,日報!$L:$L)</f>
        <v>0</v>
      </c>
      <c r="R2850" s="65">
        <f ca="1">SUMIF(日報!$J:$J,$O2850,日報!$L:$L)</f>
        <v>0</v>
      </c>
    </row>
    <row r="2851" spans="15:18" x14ac:dyDescent="0.15">
      <c r="O2851" s="7" t="str">
        <f>"REQ"&amp;TEXT([2]RequestList!$A2852,"0000")</f>
        <v>REQ0000</v>
      </c>
      <c r="P2851" s="7">
        <f>[2]RequestList!$J2852</f>
        <v>0</v>
      </c>
      <c r="Q2851" s="65">
        <f>SUMIF(日報!$R:$R,TEXT(YEAR($Q$2),"0000")&amp;TEXT(MONTH($Q$2),"00")&amp;$O2851,日報!$L:$L)</f>
        <v>0</v>
      </c>
      <c r="R2851" s="65">
        <f ca="1">SUMIF(日報!$J:$J,$O2851,日報!$L:$L)</f>
        <v>0</v>
      </c>
    </row>
    <row r="2852" spans="15:18" x14ac:dyDescent="0.15">
      <c r="O2852" s="7" t="str">
        <f>"REQ"&amp;TEXT([2]RequestList!$A2853,"0000")</f>
        <v>REQ0000</v>
      </c>
      <c r="P2852" s="7">
        <f>[2]RequestList!$J2853</f>
        <v>0</v>
      </c>
      <c r="Q2852" s="65">
        <f>SUMIF(日報!$R:$R,TEXT(YEAR($Q$2),"0000")&amp;TEXT(MONTH($Q$2),"00")&amp;$O2852,日報!$L:$L)</f>
        <v>0</v>
      </c>
      <c r="R2852" s="65">
        <f ca="1">SUMIF(日報!$J:$J,$O2852,日報!$L:$L)</f>
        <v>0</v>
      </c>
    </row>
    <row r="2853" spans="15:18" x14ac:dyDescent="0.15">
      <c r="O2853" s="7" t="str">
        <f>"REQ"&amp;TEXT([2]RequestList!$A2854,"0000")</f>
        <v>REQ0000</v>
      </c>
      <c r="P2853" s="7">
        <f>[2]RequestList!$J2854</f>
        <v>0</v>
      </c>
      <c r="Q2853" s="65">
        <f>SUMIF(日報!$R:$R,TEXT(YEAR($Q$2),"0000")&amp;TEXT(MONTH($Q$2),"00")&amp;$O2853,日報!$L:$L)</f>
        <v>0</v>
      </c>
      <c r="R2853" s="65">
        <f ca="1">SUMIF(日報!$J:$J,$O2853,日報!$L:$L)</f>
        <v>0</v>
      </c>
    </row>
    <row r="2854" spans="15:18" x14ac:dyDescent="0.15">
      <c r="O2854" s="7" t="str">
        <f>"REQ"&amp;TEXT([2]RequestList!$A2855,"0000")</f>
        <v>REQ0000</v>
      </c>
      <c r="P2854" s="7">
        <f>[2]RequestList!$J2855</f>
        <v>0</v>
      </c>
      <c r="Q2854" s="65">
        <f>SUMIF(日報!$R:$R,TEXT(YEAR($Q$2),"0000")&amp;TEXT(MONTH($Q$2),"00")&amp;$O2854,日報!$L:$L)</f>
        <v>0</v>
      </c>
      <c r="R2854" s="65">
        <f ca="1">SUMIF(日報!$J:$J,$O2854,日報!$L:$L)</f>
        <v>0</v>
      </c>
    </row>
    <row r="2855" spans="15:18" x14ac:dyDescent="0.15">
      <c r="O2855" s="7" t="str">
        <f>"REQ"&amp;TEXT([2]RequestList!$A2856,"0000")</f>
        <v>REQ0000</v>
      </c>
      <c r="P2855" s="7">
        <f>[2]RequestList!$J2856</f>
        <v>0</v>
      </c>
      <c r="Q2855" s="65">
        <f>SUMIF(日報!$R:$R,TEXT(YEAR($Q$2),"0000")&amp;TEXT(MONTH($Q$2),"00")&amp;$O2855,日報!$L:$L)</f>
        <v>0</v>
      </c>
      <c r="R2855" s="65">
        <f ca="1">SUMIF(日報!$J:$J,$O2855,日報!$L:$L)</f>
        <v>0</v>
      </c>
    </row>
    <row r="2856" spans="15:18" x14ac:dyDescent="0.15">
      <c r="O2856" s="7" t="str">
        <f>"REQ"&amp;TEXT([2]RequestList!$A2857,"0000")</f>
        <v>REQ0000</v>
      </c>
      <c r="P2856" s="7">
        <f>[2]RequestList!$J2857</f>
        <v>0</v>
      </c>
      <c r="Q2856" s="65">
        <f>SUMIF(日報!$R:$R,TEXT(YEAR($Q$2),"0000")&amp;TEXT(MONTH($Q$2),"00")&amp;$O2856,日報!$L:$L)</f>
        <v>0</v>
      </c>
      <c r="R2856" s="65">
        <f ca="1">SUMIF(日報!$J:$J,$O2856,日報!$L:$L)</f>
        <v>0</v>
      </c>
    </row>
    <row r="2857" spans="15:18" x14ac:dyDescent="0.15">
      <c r="O2857" s="7" t="str">
        <f>"REQ"&amp;TEXT([2]RequestList!$A2858,"0000")</f>
        <v>REQ0000</v>
      </c>
      <c r="P2857" s="7">
        <f>[2]RequestList!$J2858</f>
        <v>0</v>
      </c>
      <c r="Q2857" s="65">
        <f>SUMIF(日報!$R:$R,TEXT(YEAR($Q$2),"0000")&amp;TEXT(MONTH($Q$2),"00")&amp;$O2857,日報!$L:$L)</f>
        <v>0</v>
      </c>
      <c r="R2857" s="65">
        <f ca="1">SUMIF(日報!$J:$J,$O2857,日報!$L:$L)</f>
        <v>0</v>
      </c>
    </row>
    <row r="2858" spans="15:18" x14ac:dyDescent="0.15">
      <c r="O2858" s="7" t="str">
        <f>"REQ"&amp;TEXT([2]RequestList!$A2859,"0000")</f>
        <v>REQ0000</v>
      </c>
      <c r="P2858" s="7">
        <f>[2]RequestList!$J2859</f>
        <v>0</v>
      </c>
      <c r="Q2858" s="65">
        <f>SUMIF(日報!$R:$R,TEXT(YEAR($Q$2),"0000")&amp;TEXT(MONTH($Q$2),"00")&amp;$O2858,日報!$L:$L)</f>
        <v>0</v>
      </c>
      <c r="R2858" s="65">
        <f ca="1">SUMIF(日報!$J:$J,$O2858,日報!$L:$L)</f>
        <v>0</v>
      </c>
    </row>
    <row r="2859" spans="15:18" x14ac:dyDescent="0.15">
      <c r="O2859" s="7" t="str">
        <f>"REQ"&amp;TEXT([2]RequestList!$A2860,"0000")</f>
        <v>REQ0000</v>
      </c>
      <c r="P2859" s="7">
        <f>[2]RequestList!$J2860</f>
        <v>0</v>
      </c>
      <c r="Q2859" s="65">
        <f>SUMIF(日報!$R:$R,TEXT(YEAR($Q$2),"0000")&amp;TEXT(MONTH($Q$2),"00")&amp;$O2859,日報!$L:$L)</f>
        <v>0</v>
      </c>
      <c r="R2859" s="65">
        <f ca="1">SUMIF(日報!$J:$J,$O2859,日報!$L:$L)</f>
        <v>0</v>
      </c>
    </row>
    <row r="2860" spans="15:18" x14ac:dyDescent="0.15">
      <c r="O2860" s="7" t="str">
        <f>"REQ"&amp;TEXT([2]RequestList!$A2861,"0000")</f>
        <v>REQ0000</v>
      </c>
      <c r="P2860" s="7">
        <f>[2]RequestList!$J2861</f>
        <v>0</v>
      </c>
      <c r="Q2860" s="65">
        <f>SUMIF(日報!$R:$R,TEXT(YEAR($Q$2),"0000")&amp;TEXT(MONTH($Q$2),"00")&amp;$O2860,日報!$L:$L)</f>
        <v>0</v>
      </c>
      <c r="R2860" s="65">
        <f ca="1">SUMIF(日報!$J:$J,$O2860,日報!$L:$L)</f>
        <v>0</v>
      </c>
    </row>
    <row r="2861" spans="15:18" x14ac:dyDescent="0.15">
      <c r="O2861" s="7" t="str">
        <f>"REQ"&amp;TEXT([2]RequestList!$A2862,"0000")</f>
        <v>REQ0000</v>
      </c>
      <c r="P2861" s="7">
        <f>[2]RequestList!$J2862</f>
        <v>0</v>
      </c>
      <c r="Q2861" s="65">
        <f>SUMIF(日報!$R:$R,TEXT(YEAR($Q$2),"0000")&amp;TEXT(MONTH($Q$2),"00")&amp;$O2861,日報!$L:$L)</f>
        <v>0</v>
      </c>
      <c r="R2861" s="65">
        <f ca="1">SUMIF(日報!$J:$J,$O2861,日報!$L:$L)</f>
        <v>0</v>
      </c>
    </row>
    <row r="2862" spans="15:18" x14ac:dyDescent="0.15">
      <c r="O2862" s="7" t="str">
        <f>"REQ"&amp;TEXT([2]RequestList!$A2863,"0000")</f>
        <v>REQ0000</v>
      </c>
      <c r="P2862" s="7">
        <f>[2]RequestList!$J2863</f>
        <v>0</v>
      </c>
      <c r="Q2862" s="65">
        <f>SUMIF(日報!$R:$R,TEXT(YEAR($Q$2),"0000")&amp;TEXT(MONTH($Q$2),"00")&amp;$O2862,日報!$L:$L)</f>
        <v>0</v>
      </c>
      <c r="R2862" s="65">
        <f ca="1">SUMIF(日報!$J:$J,$O2862,日報!$L:$L)</f>
        <v>0</v>
      </c>
    </row>
    <row r="2863" spans="15:18" x14ac:dyDescent="0.15">
      <c r="O2863" s="7" t="str">
        <f>"REQ"&amp;TEXT([2]RequestList!$A2864,"0000")</f>
        <v>REQ0000</v>
      </c>
      <c r="P2863" s="7">
        <f>[2]RequestList!$J2864</f>
        <v>0</v>
      </c>
      <c r="Q2863" s="65">
        <f>SUMIF(日報!$R:$R,TEXT(YEAR($Q$2),"0000")&amp;TEXT(MONTH($Q$2),"00")&amp;$O2863,日報!$L:$L)</f>
        <v>0</v>
      </c>
      <c r="R2863" s="65">
        <f ca="1">SUMIF(日報!$J:$J,$O2863,日報!$L:$L)</f>
        <v>0</v>
      </c>
    </row>
    <row r="2864" spans="15:18" x14ac:dyDescent="0.15">
      <c r="O2864" s="7" t="str">
        <f>"REQ"&amp;TEXT([2]RequestList!$A2865,"0000")</f>
        <v>REQ0000</v>
      </c>
      <c r="P2864" s="7">
        <f>[2]RequestList!$J2865</f>
        <v>0</v>
      </c>
      <c r="Q2864" s="65">
        <f>SUMIF(日報!$R:$R,TEXT(YEAR($Q$2),"0000")&amp;TEXT(MONTH($Q$2),"00")&amp;$O2864,日報!$L:$L)</f>
        <v>0</v>
      </c>
      <c r="R2864" s="65">
        <f ca="1">SUMIF(日報!$J:$J,$O2864,日報!$L:$L)</f>
        <v>0</v>
      </c>
    </row>
    <row r="2865" spans="15:18" x14ac:dyDescent="0.15">
      <c r="O2865" s="7" t="str">
        <f>"REQ"&amp;TEXT([2]RequestList!$A2866,"0000")</f>
        <v>REQ0000</v>
      </c>
      <c r="P2865" s="7">
        <f>[2]RequestList!$J2866</f>
        <v>0</v>
      </c>
      <c r="Q2865" s="65">
        <f>SUMIF(日報!$R:$R,TEXT(YEAR($Q$2),"0000")&amp;TEXT(MONTH($Q$2),"00")&amp;$O2865,日報!$L:$L)</f>
        <v>0</v>
      </c>
      <c r="R2865" s="65">
        <f ca="1">SUMIF(日報!$J:$J,$O2865,日報!$L:$L)</f>
        <v>0</v>
      </c>
    </row>
    <row r="2866" spans="15:18" x14ac:dyDescent="0.15">
      <c r="O2866" s="7" t="str">
        <f>"REQ"&amp;TEXT([2]RequestList!$A2867,"0000")</f>
        <v>REQ0000</v>
      </c>
      <c r="P2866" s="7">
        <f>[2]RequestList!$J2867</f>
        <v>0</v>
      </c>
      <c r="Q2866" s="65">
        <f>SUMIF(日報!$R:$R,TEXT(YEAR($Q$2),"0000")&amp;TEXT(MONTH($Q$2),"00")&amp;$O2866,日報!$L:$L)</f>
        <v>0</v>
      </c>
      <c r="R2866" s="65">
        <f ca="1">SUMIF(日報!$J:$J,$O2866,日報!$L:$L)</f>
        <v>0</v>
      </c>
    </row>
    <row r="2867" spans="15:18" x14ac:dyDescent="0.15">
      <c r="O2867" s="7" t="str">
        <f>"REQ"&amp;TEXT([2]RequestList!$A2868,"0000")</f>
        <v>REQ0000</v>
      </c>
      <c r="P2867" s="7">
        <f>[2]RequestList!$J2868</f>
        <v>0</v>
      </c>
      <c r="Q2867" s="65">
        <f>SUMIF(日報!$R:$R,TEXT(YEAR($Q$2),"0000")&amp;TEXT(MONTH($Q$2),"00")&amp;$O2867,日報!$L:$L)</f>
        <v>0</v>
      </c>
      <c r="R2867" s="65">
        <f ca="1">SUMIF(日報!$J:$J,$O2867,日報!$L:$L)</f>
        <v>0</v>
      </c>
    </row>
    <row r="2868" spans="15:18" x14ac:dyDescent="0.15">
      <c r="O2868" s="7" t="str">
        <f>"REQ"&amp;TEXT([2]RequestList!$A2869,"0000")</f>
        <v>REQ0000</v>
      </c>
      <c r="P2868" s="7">
        <f>[2]RequestList!$J2869</f>
        <v>0</v>
      </c>
      <c r="Q2868" s="65">
        <f>SUMIF(日報!$R:$R,TEXT(YEAR($Q$2),"0000")&amp;TEXT(MONTH($Q$2),"00")&amp;$O2868,日報!$L:$L)</f>
        <v>0</v>
      </c>
      <c r="R2868" s="65">
        <f ca="1">SUMIF(日報!$J:$J,$O2868,日報!$L:$L)</f>
        <v>0</v>
      </c>
    </row>
    <row r="2869" spans="15:18" x14ac:dyDescent="0.15">
      <c r="O2869" s="7" t="str">
        <f>"REQ"&amp;TEXT([2]RequestList!$A2870,"0000")</f>
        <v>REQ0000</v>
      </c>
      <c r="P2869" s="7">
        <f>[2]RequestList!$J2870</f>
        <v>0</v>
      </c>
      <c r="Q2869" s="65">
        <f>SUMIF(日報!$R:$R,TEXT(YEAR($Q$2),"0000")&amp;TEXT(MONTH($Q$2),"00")&amp;$O2869,日報!$L:$L)</f>
        <v>0</v>
      </c>
      <c r="R2869" s="65">
        <f ca="1">SUMIF(日報!$J:$J,$O2869,日報!$L:$L)</f>
        <v>0</v>
      </c>
    </row>
    <row r="2870" spans="15:18" x14ac:dyDescent="0.15">
      <c r="O2870" s="7" t="str">
        <f>"REQ"&amp;TEXT([2]RequestList!$A2871,"0000")</f>
        <v>REQ0000</v>
      </c>
      <c r="P2870" s="7">
        <f>[2]RequestList!$J2871</f>
        <v>0</v>
      </c>
      <c r="Q2870" s="65">
        <f>SUMIF(日報!$R:$R,TEXT(YEAR($Q$2),"0000")&amp;TEXT(MONTH($Q$2),"00")&amp;$O2870,日報!$L:$L)</f>
        <v>0</v>
      </c>
      <c r="R2870" s="65">
        <f ca="1">SUMIF(日報!$J:$J,$O2870,日報!$L:$L)</f>
        <v>0</v>
      </c>
    </row>
    <row r="2871" spans="15:18" x14ac:dyDescent="0.15">
      <c r="O2871" s="7" t="str">
        <f>"REQ"&amp;TEXT([2]RequestList!$A2872,"0000")</f>
        <v>REQ0000</v>
      </c>
      <c r="P2871" s="7">
        <f>[2]RequestList!$J2872</f>
        <v>0</v>
      </c>
      <c r="Q2871" s="65">
        <f>SUMIF(日報!$R:$R,TEXT(YEAR($Q$2),"0000")&amp;TEXT(MONTH($Q$2),"00")&amp;$O2871,日報!$L:$L)</f>
        <v>0</v>
      </c>
      <c r="R2871" s="65">
        <f ca="1">SUMIF(日報!$J:$J,$O2871,日報!$L:$L)</f>
        <v>0</v>
      </c>
    </row>
    <row r="2872" spans="15:18" x14ac:dyDescent="0.15">
      <c r="O2872" s="7" t="str">
        <f>"REQ"&amp;TEXT([2]RequestList!$A2873,"0000")</f>
        <v>REQ0000</v>
      </c>
      <c r="P2872" s="7">
        <f>[2]RequestList!$J2873</f>
        <v>0</v>
      </c>
      <c r="Q2872" s="65">
        <f>SUMIF(日報!$R:$R,TEXT(YEAR($Q$2),"0000")&amp;TEXT(MONTH($Q$2),"00")&amp;$O2872,日報!$L:$L)</f>
        <v>0</v>
      </c>
      <c r="R2872" s="65">
        <f ca="1">SUMIF(日報!$J:$J,$O2872,日報!$L:$L)</f>
        <v>0</v>
      </c>
    </row>
    <row r="2873" spans="15:18" x14ac:dyDescent="0.15">
      <c r="O2873" s="7" t="str">
        <f>"REQ"&amp;TEXT([2]RequestList!$A2874,"0000")</f>
        <v>REQ0000</v>
      </c>
      <c r="P2873" s="7">
        <f>[2]RequestList!$J2874</f>
        <v>0</v>
      </c>
      <c r="Q2873" s="65">
        <f>SUMIF(日報!$R:$R,TEXT(YEAR($Q$2),"0000")&amp;TEXT(MONTH($Q$2),"00")&amp;$O2873,日報!$L:$L)</f>
        <v>0</v>
      </c>
      <c r="R2873" s="65">
        <f ca="1">SUMIF(日報!$J:$J,$O2873,日報!$L:$L)</f>
        <v>0</v>
      </c>
    </row>
    <row r="2874" spans="15:18" x14ac:dyDescent="0.15">
      <c r="O2874" s="7" t="str">
        <f>"REQ"&amp;TEXT([2]RequestList!$A2875,"0000")</f>
        <v>REQ0000</v>
      </c>
      <c r="P2874" s="7">
        <f>[2]RequestList!$J2875</f>
        <v>0</v>
      </c>
      <c r="Q2874" s="65">
        <f>SUMIF(日報!$R:$R,TEXT(YEAR($Q$2),"0000")&amp;TEXT(MONTH($Q$2),"00")&amp;$O2874,日報!$L:$L)</f>
        <v>0</v>
      </c>
      <c r="R2874" s="65">
        <f ca="1">SUMIF(日報!$J:$J,$O2874,日報!$L:$L)</f>
        <v>0</v>
      </c>
    </row>
    <row r="2875" spans="15:18" x14ac:dyDescent="0.15">
      <c r="O2875" s="7" t="str">
        <f>"REQ"&amp;TEXT([2]RequestList!$A2876,"0000")</f>
        <v>REQ0000</v>
      </c>
      <c r="P2875" s="7">
        <f>[2]RequestList!$J2876</f>
        <v>0</v>
      </c>
      <c r="Q2875" s="65">
        <f>SUMIF(日報!$R:$R,TEXT(YEAR($Q$2),"0000")&amp;TEXT(MONTH($Q$2),"00")&amp;$O2875,日報!$L:$L)</f>
        <v>0</v>
      </c>
      <c r="R2875" s="65">
        <f ca="1">SUMIF(日報!$J:$J,$O2875,日報!$L:$L)</f>
        <v>0</v>
      </c>
    </row>
    <row r="2876" spans="15:18" x14ac:dyDescent="0.15">
      <c r="O2876" s="7" t="str">
        <f>"REQ"&amp;TEXT([2]RequestList!$A2877,"0000")</f>
        <v>REQ0000</v>
      </c>
      <c r="P2876" s="7">
        <f>[2]RequestList!$J2877</f>
        <v>0</v>
      </c>
      <c r="Q2876" s="65">
        <f>SUMIF(日報!$R:$R,TEXT(YEAR($Q$2),"0000")&amp;TEXT(MONTH($Q$2),"00")&amp;$O2876,日報!$L:$L)</f>
        <v>0</v>
      </c>
      <c r="R2876" s="65">
        <f ca="1">SUMIF(日報!$J:$J,$O2876,日報!$L:$L)</f>
        <v>0</v>
      </c>
    </row>
    <row r="2877" spans="15:18" x14ac:dyDescent="0.15">
      <c r="O2877" s="7" t="str">
        <f>"REQ"&amp;TEXT([2]RequestList!$A2878,"0000")</f>
        <v>REQ0000</v>
      </c>
      <c r="P2877" s="7">
        <f>[2]RequestList!$J2878</f>
        <v>0</v>
      </c>
      <c r="Q2877" s="65">
        <f>SUMIF(日報!$R:$R,TEXT(YEAR($Q$2),"0000")&amp;TEXT(MONTH($Q$2),"00")&amp;$O2877,日報!$L:$L)</f>
        <v>0</v>
      </c>
      <c r="R2877" s="65">
        <f ca="1">SUMIF(日報!$J:$J,$O2877,日報!$L:$L)</f>
        <v>0</v>
      </c>
    </row>
    <row r="2878" spans="15:18" x14ac:dyDescent="0.15">
      <c r="O2878" s="7" t="str">
        <f>"REQ"&amp;TEXT([2]RequestList!$A2879,"0000")</f>
        <v>REQ0000</v>
      </c>
      <c r="P2878" s="7">
        <f>[2]RequestList!$J2879</f>
        <v>0</v>
      </c>
      <c r="Q2878" s="65">
        <f>SUMIF(日報!$R:$R,TEXT(YEAR($Q$2),"0000")&amp;TEXT(MONTH($Q$2),"00")&amp;$O2878,日報!$L:$L)</f>
        <v>0</v>
      </c>
      <c r="R2878" s="65">
        <f ca="1">SUMIF(日報!$J:$J,$O2878,日報!$L:$L)</f>
        <v>0</v>
      </c>
    </row>
    <row r="2879" spans="15:18" x14ac:dyDescent="0.15">
      <c r="O2879" s="7" t="str">
        <f>"REQ"&amp;TEXT([2]RequestList!$A2880,"0000")</f>
        <v>REQ0000</v>
      </c>
      <c r="P2879" s="7">
        <f>[2]RequestList!$J2880</f>
        <v>0</v>
      </c>
      <c r="Q2879" s="65">
        <f>SUMIF(日報!$R:$R,TEXT(YEAR($Q$2),"0000")&amp;TEXT(MONTH($Q$2),"00")&amp;$O2879,日報!$L:$L)</f>
        <v>0</v>
      </c>
      <c r="R2879" s="65">
        <f ca="1">SUMIF(日報!$J:$J,$O2879,日報!$L:$L)</f>
        <v>0</v>
      </c>
    </row>
    <row r="2880" spans="15:18" x14ac:dyDescent="0.15">
      <c r="O2880" s="7" t="str">
        <f>"REQ"&amp;TEXT([2]RequestList!$A2881,"0000")</f>
        <v>REQ0000</v>
      </c>
      <c r="P2880" s="7">
        <f>[2]RequestList!$J2881</f>
        <v>0</v>
      </c>
      <c r="Q2880" s="65">
        <f>SUMIF(日報!$R:$R,TEXT(YEAR($Q$2),"0000")&amp;TEXT(MONTH($Q$2),"00")&amp;$O2880,日報!$L:$L)</f>
        <v>0</v>
      </c>
      <c r="R2880" s="65">
        <f ca="1">SUMIF(日報!$J:$J,$O2880,日報!$L:$L)</f>
        <v>0</v>
      </c>
    </row>
    <row r="2881" spans="15:18" x14ac:dyDescent="0.15">
      <c r="O2881" s="7" t="str">
        <f>"REQ"&amp;TEXT([2]RequestList!$A2882,"0000")</f>
        <v>REQ0000</v>
      </c>
      <c r="P2881" s="7">
        <f>[2]RequestList!$J2882</f>
        <v>0</v>
      </c>
      <c r="Q2881" s="65">
        <f>SUMIF(日報!$R:$R,TEXT(YEAR($Q$2),"0000")&amp;TEXT(MONTH($Q$2),"00")&amp;$O2881,日報!$L:$L)</f>
        <v>0</v>
      </c>
      <c r="R2881" s="65">
        <f ca="1">SUMIF(日報!$J:$J,$O2881,日報!$L:$L)</f>
        <v>0</v>
      </c>
    </row>
    <row r="2882" spans="15:18" x14ac:dyDescent="0.15">
      <c r="O2882" s="7" t="str">
        <f>"REQ"&amp;TEXT([2]RequestList!$A2883,"0000")</f>
        <v>REQ0000</v>
      </c>
      <c r="P2882" s="7">
        <f>[2]RequestList!$J2883</f>
        <v>0</v>
      </c>
      <c r="Q2882" s="65">
        <f>SUMIF(日報!$R:$R,TEXT(YEAR($Q$2),"0000")&amp;TEXT(MONTH($Q$2),"00")&amp;$O2882,日報!$L:$L)</f>
        <v>0</v>
      </c>
      <c r="R2882" s="65">
        <f ca="1">SUMIF(日報!$J:$J,$O2882,日報!$L:$L)</f>
        <v>0</v>
      </c>
    </row>
    <row r="2883" spans="15:18" x14ac:dyDescent="0.15">
      <c r="O2883" s="7" t="str">
        <f>"REQ"&amp;TEXT([2]RequestList!$A2884,"0000")</f>
        <v>REQ0000</v>
      </c>
      <c r="P2883" s="7">
        <f>[2]RequestList!$J2884</f>
        <v>0</v>
      </c>
      <c r="Q2883" s="65">
        <f>SUMIF(日報!$R:$R,TEXT(YEAR($Q$2),"0000")&amp;TEXT(MONTH($Q$2),"00")&amp;$O2883,日報!$L:$L)</f>
        <v>0</v>
      </c>
      <c r="R2883" s="65">
        <f ca="1">SUMIF(日報!$J:$J,$O2883,日報!$L:$L)</f>
        <v>0</v>
      </c>
    </row>
    <row r="2884" spans="15:18" x14ac:dyDescent="0.15">
      <c r="O2884" s="7" t="str">
        <f>"REQ"&amp;TEXT([2]RequestList!$A2885,"0000")</f>
        <v>REQ0000</v>
      </c>
      <c r="P2884" s="7">
        <f>[2]RequestList!$J2885</f>
        <v>0</v>
      </c>
      <c r="Q2884" s="65">
        <f>SUMIF(日報!$R:$R,TEXT(YEAR($Q$2),"0000")&amp;TEXT(MONTH($Q$2),"00")&amp;$O2884,日報!$L:$L)</f>
        <v>0</v>
      </c>
      <c r="R2884" s="65">
        <f ca="1">SUMIF(日報!$J:$J,$O2884,日報!$L:$L)</f>
        <v>0</v>
      </c>
    </row>
    <row r="2885" spans="15:18" x14ac:dyDescent="0.15">
      <c r="O2885" s="7" t="str">
        <f>"REQ"&amp;TEXT([2]RequestList!$A2886,"0000")</f>
        <v>REQ0000</v>
      </c>
      <c r="P2885" s="7">
        <f>[2]RequestList!$J2886</f>
        <v>0</v>
      </c>
      <c r="Q2885" s="65">
        <f>SUMIF(日報!$R:$R,TEXT(YEAR($Q$2),"0000")&amp;TEXT(MONTH($Q$2),"00")&amp;$O2885,日報!$L:$L)</f>
        <v>0</v>
      </c>
      <c r="R2885" s="65">
        <f ca="1">SUMIF(日報!$J:$J,$O2885,日報!$L:$L)</f>
        <v>0</v>
      </c>
    </row>
    <row r="2886" spans="15:18" x14ac:dyDescent="0.15">
      <c r="O2886" s="7" t="str">
        <f>"REQ"&amp;TEXT([2]RequestList!$A2887,"0000")</f>
        <v>REQ0000</v>
      </c>
      <c r="P2886" s="7">
        <f>[2]RequestList!$J2887</f>
        <v>0</v>
      </c>
      <c r="Q2886" s="65">
        <f>SUMIF(日報!$R:$R,TEXT(YEAR($Q$2),"0000")&amp;TEXT(MONTH($Q$2),"00")&amp;$O2886,日報!$L:$L)</f>
        <v>0</v>
      </c>
      <c r="R2886" s="65">
        <f ca="1">SUMIF(日報!$J:$J,$O2886,日報!$L:$L)</f>
        <v>0</v>
      </c>
    </row>
    <row r="2887" spans="15:18" x14ac:dyDescent="0.15">
      <c r="O2887" s="7" t="str">
        <f>"REQ"&amp;TEXT([2]RequestList!$A2888,"0000")</f>
        <v>REQ0000</v>
      </c>
      <c r="P2887" s="7">
        <f>[2]RequestList!$J2888</f>
        <v>0</v>
      </c>
      <c r="Q2887" s="65">
        <f>SUMIF(日報!$R:$R,TEXT(YEAR($Q$2),"0000")&amp;TEXT(MONTH($Q$2),"00")&amp;$O2887,日報!$L:$L)</f>
        <v>0</v>
      </c>
      <c r="R2887" s="65">
        <f ca="1">SUMIF(日報!$J:$J,$O2887,日報!$L:$L)</f>
        <v>0</v>
      </c>
    </row>
    <row r="2888" spans="15:18" x14ac:dyDescent="0.15">
      <c r="O2888" s="7" t="str">
        <f>"REQ"&amp;TEXT([2]RequestList!$A2889,"0000")</f>
        <v>REQ0000</v>
      </c>
      <c r="P2888" s="7">
        <f>[2]RequestList!$J2889</f>
        <v>0</v>
      </c>
      <c r="Q2888" s="65">
        <f>SUMIF(日報!$R:$R,TEXT(YEAR($Q$2),"0000")&amp;TEXT(MONTH($Q$2),"00")&amp;$O2888,日報!$L:$L)</f>
        <v>0</v>
      </c>
      <c r="R2888" s="65">
        <f ca="1">SUMIF(日報!$J:$J,$O2888,日報!$L:$L)</f>
        <v>0</v>
      </c>
    </row>
    <row r="2889" spans="15:18" x14ac:dyDescent="0.15">
      <c r="O2889" s="7" t="str">
        <f>"REQ"&amp;TEXT([2]RequestList!$A2890,"0000")</f>
        <v>REQ0000</v>
      </c>
      <c r="P2889" s="7">
        <f>[2]RequestList!$J2890</f>
        <v>0</v>
      </c>
      <c r="Q2889" s="65">
        <f>SUMIF(日報!$R:$R,TEXT(YEAR($Q$2),"0000")&amp;TEXT(MONTH($Q$2),"00")&amp;$O2889,日報!$L:$L)</f>
        <v>0</v>
      </c>
      <c r="R2889" s="65">
        <f ca="1">SUMIF(日報!$J:$J,$O2889,日報!$L:$L)</f>
        <v>0</v>
      </c>
    </row>
    <row r="2890" spans="15:18" x14ac:dyDescent="0.15">
      <c r="O2890" s="7" t="str">
        <f>"REQ"&amp;TEXT([2]RequestList!$A2891,"0000")</f>
        <v>REQ0000</v>
      </c>
      <c r="P2890" s="7">
        <f>[2]RequestList!$J2891</f>
        <v>0</v>
      </c>
      <c r="Q2890" s="65">
        <f>SUMIF(日報!$R:$R,TEXT(YEAR($Q$2),"0000")&amp;TEXT(MONTH($Q$2),"00")&amp;$O2890,日報!$L:$L)</f>
        <v>0</v>
      </c>
      <c r="R2890" s="65">
        <f ca="1">SUMIF(日報!$J:$J,$O2890,日報!$L:$L)</f>
        <v>0</v>
      </c>
    </row>
    <row r="2891" spans="15:18" x14ac:dyDescent="0.15">
      <c r="O2891" s="7" t="str">
        <f>"REQ"&amp;TEXT([2]RequestList!$A2892,"0000")</f>
        <v>REQ0000</v>
      </c>
      <c r="P2891" s="7">
        <f>[2]RequestList!$J2892</f>
        <v>0</v>
      </c>
      <c r="Q2891" s="65">
        <f>SUMIF(日報!$R:$R,TEXT(YEAR($Q$2),"0000")&amp;TEXT(MONTH($Q$2),"00")&amp;$O2891,日報!$L:$L)</f>
        <v>0</v>
      </c>
      <c r="R2891" s="65">
        <f ca="1">SUMIF(日報!$J:$J,$O2891,日報!$L:$L)</f>
        <v>0</v>
      </c>
    </row>
    <row r="2892" spans="15:18" x14ac:dyDescent="0.15">
      <c r="O2892" s="7" t="str">
        <f>"REQ"&amp;TEXT([2]RequestList!$A2893,"0000")</f>
        <v>REQ0000</v>
      </c>
      <c r="P2892" s="7">
        <f>[2]RequestList!$J2893</f>
        <v>0</v>
      </c>
      <c r="Q2892" s="65">
        <f>SUMIF(日報!$R:$R,TEXT(YEAR($Q$2),"0000")&amp;TEXT(MONTH($Q$2),"00")&amp;$O2892,日報!$L:$L)</f>
        <v>0</v>
      </c>
      <c r="R2892" s="65">
        <f ca="1">SUMIF(日報!$J:$J,$O2892,日報!$L:$L)</f>
        <v>0</v>
      </c>
    </row>
    <row r="2893" spans="15:18" x14ac:dyDescent="0.15">
      <c r="O2893" s="7" t="str">
        <f>"REQ"&amp;TEXT([2]RequestList!$A2894,"0000")</f>
        <v>REQ0000</v>
      </c>
      <c r="P2893" s="7">
        <f>[2]RequestList!$J2894</f>
        <v>0</v>
      </c>
      <c r="Q2893" s="65">
        <f>SUMIF(日報!$R:$R,TEXT(YEAR($Q$2),"0000")&amp;TEXT(MONTH($Q$2),"00")&amp;$O2893,日報!$L:$L)</f>
        <v>0</v>
      </c>
      <c r="R2893" s="65">
        <f ca="1">SUMIF(日報!$J:$J,$O2893,日報!$L:$L)</f>
        <v>0</v>
      </c>
    </row>
    <row r="2894" spans="15:18" x14ac:dyDescent="0.15">
      <c r="O2894" s="7" t="str">
        <f>"REQ"&amp;TEXT([2]RequestList!$A2895,"0000")</f>
        <v>REQ0000</v>
      </c>
      <c r="P2894" s="7">
        <f>[2]RequestList!$J2895</f>
        <v>0</v>
      </c>
      <c r="Q2894" s="65">
        <f>SUMIF(日報!$R:$R,TEXT(YEAR($Q$2),"0000")&amp;TEXT(MONTH($Q$2),"00")&amp;$O2894,日報!$L:$L)</f>
        <v>0</v>
      </c>
      <c r="R2894" s="65">
        <f ca="1">SUMIF(日報!$J:$J,$O2894,日報!$L:$L)</f>
        <v>0</v>
      </c>
    </row>
    <row r="2895" spans="15:18" x14ac:dyDescent="0.15">
      <c r="O2895" s="7" t="str">
        <f>"REQ"&amp;TEXT([2]RequestList!$A2896,"0000")</f>
        <v>REQ0000</v>
      </c>
      <c r="P2895" s="7">
        <f>[2]RequestList!$J2896</f>
        <v>0</v>
      </c>
      <c r="Q2895" s="65">
        <f>SUMIF(日報!$R:$R,TEXT(YEAR($Q$2),"0000")&amp;TEXT(MONTH($Q$2),"00")&amp;$O2895,日報!$L:$L)</f>
        <v>0</v>
      </c>
      <c r="R2895" s="65">
        <f ca="1">SUMIF(日報!$J:$J,$O2895,日報!$L:$L)</f>
        <v>0</v>
      </c>
    </row>
    <row r="2896" spans="15:18" x14ac:dyDescent="0.15">
      <c r="O2896" s="7" t="str">
        <f>"REQ"&amp;TEXT([2]RequestList!$A2897,"0000")</f>
        <v>REQ0000</v>
      </c>
      <c r="P2896" s="7">
        <f>[2]RequestList!$J2897</f>
        <v>0</v>
      </c>
      <c r="Q2896" s="65">
        <f>SUMIF(日報!$R:$R,TEXT(YEAR($Q$2),"0000")&amp;TEXT(MONTH($Q$2),"00")&amp;$O2896,日報!$L:$L)</f>
        <v>0</v>
      </c>
      <c r="R2896" s="65">
        <f ca="1">SUMIF(日報!$J:$J,$O2896,日報!$L:$L)</f>
        <v>0</v>
      </c>
    </row>
    <row r="2897" spans="15:18" x14ac:dyDescent="0.15">
      <c r="O2897" s="7" t="str">
        <f>"REQ"&amp;TEXT([2]RequestList!$A2898,"0000")</f>
        <v>REQ0000</v>
      </c>
      <c r="P2897" s="7">
        <f>[2]RequestList!$J2898</f>
        <v>0</v>
      </c>
      <c r="Q2897" s="65">
        <f>SUMIF(日報!$R:$R,TEXT(YEAR($Q$2),"0000")&amp;TEXT(MONTH($Q$2),"00")&amp;$O2897,日報!$L:$L)</f>
        <v>0</v>
      </c>
      <c r="R2897" s="65">
        <f ca="1">SUMIF(日報!$J:$J,$O2897,日報!$L:$L)</f>
        <v>0</v>
      </c>
    </row>
    <row r="2898" spans="15:18" x14ac:dyDescent="0.15">
      <c r="O2898" s="7" t="str">
        <f>"REQ"&amp;TEXT([2]RequestList!$A2899,"0000")</f>
        <v>REQ0000</v>
      </c>
      <c r="P2898" s="7">
        <f>[2]RequestList!$J2899</f>
        <v>0</v>
      </c>
      <c r="Q2898" s="65">
        <f>SUMIF(日報!$R:$R,TEXT(YEAR($Q$2),"0000")&amp;TEXT(MONTH($Q$2),"00")&amp;$O2898,日報!$L:$L)</f>
        <v>0</v>
      </c>
      <c r="R2898" s="65">
        <f ca="1">SUMIF(日報!$J:$J,$O2898,日報!$L:$L)</f>
        <v>0</v>
      </c>
    </row>
    <row r="2899" spans="15:18" x14ac:dyDescent="0.15">
      <c r="O2899" s="7" t="str">
        <f>"REQ"&amp;TEXT([2]RequestList!$A2900,"0000")</f>
        <v>REQ0000</v>
      </c>
      <c r="P2899" s="7">
        <f>[2]RequestList!$J2900</f>
        <v>0</v>
      </c>
      <c r="Q2899" s="65">
        <f>SUMIF(日報!$R:$R,TEXT(YEAR($Q$2),"0000")&amp;TEXT(MONTH($Q$2),"00")&amp;$O2899,日報!$L:$L)</f>
        <v>0</v>
      </c>
      <c r="R2899" s="65">
        <f ca="1">SUMIF(日報!$J:$J,$O2899,日報!$L:$L)</f>
        <v>0</v>
      </c>
    </row>
    <row r="2900" spans="15:18" x14ac:dyDescent="0.15">
      <c r="O2900" s="7" t="str">
        <f>"REQ"&amp;TEXT([2]RequestList!$A2901,"0000")</f>
        <v>REQ0000</v>
      </c>
      <c r="P2900" s="7">
        <f>[2]RequestList!$J2901</f>
        <v>0</v>
      </c>
      <c r="Q2900" s="65">
        <f>SUMIF(日報!$R:$R,TEXT(YEAR($Q$2),"0000")&amp;TEXT(MONTH($Q$2),"00")&amp;$O2900,日報!$L:$L)</f>
        <v>0</v>
      </c>
      <c r="R2900" s="65">
        <f ca="1">SUMIF(日報!$J:$J,$O2900,日報!$L:$L)</f>
        <v>0</v>
      </c>
    </row>
    <row r="2901" spans="15:18" x14ac:dyDescent="0.15">
      <c r="O2901" s="7" t="str">
        <f>"REQ"&amp;TEXT([2]RequestList!$A2902,"0000")</f>
        <v>REQ0000</v>
      </c>
      <c r="P2901" s="7">
        <f>[2]RequestList!$J2902</f>
        <v>0</v>
      </c>
      <c r="Q2901" s="65">
        <f>SUMIF(日報!$R:$R,TEXT(YEAR($Q$2),"0000")&amp;TEXT(MONTH($Q$2),"00")&amp;$O2901,日報!$L:$L)</f>
        <v>0</v>
      </c>
      <c r="R2901" s="65">
        <f ca="1">SUMIF(日報!$J:$J,$O2901,日報!$L:$L)</f>
        <v>0</v>
      </c>
    </row>
    <row r="2902" spans="15:18" x14ac:dyDescent="0.15">
      <c r="O2902" s="7" t="str">
        <f>"REQ"&amp;TEXT([2]RequestList!$A2903,"0000")</f>
        <v>REQ0000</v>
      </c>
      <c r="P2902" s="7">
        <f>[2]RequestList!$J2903</f>
        <v>0</v>
      </c>
      <c r="Q2902" s="65">
        <f>SUMIF(日報!$R:$R,TEXT(YEAR($Q$2),"0000")&amp;TEXT(MONTH($Q$2),"00")&amp;$O2902,日報!$L:$L)</f>
        <v>0</v>
      </c>
      <c r="R2902" s="65">
        <f ca="1">SUMIF(日報!$J:$J,$O2902,日報!$L:$L)</f>
        <v>0</v>
      </c>
    </row>
    <row r="2903" spans="15:18" x14ac:dyDescent="0.15">
      <c r="O2903" s="7" t="str">
        <f>"REQ"&amp;TEXT([2]RequestList!$A2904,"0000")</f>
        <v>REQ0000</v>
      </c>
      <c r="P2903" s="7">
        <f>[2]RequestList!$J2904</f>
        <v>0</v>
      </c>
      <c r="Q2903" s="65">
        <f>SUMIF(日報!$R:$R,TEXT(YEAR($Q$2),"0000")&amp;TEXT(MONTH($Q$2),"00")&amp;$O2903,日報!$L:$L)</f>
        <v>0</v>
      </c>
      <c r="R2903" s="65">
        <f ca="1">SUMIF(日報!$J:$J,$O2903,日報!$L:$L)</f>
        <v>0</v>
      </c>
    </row>
    <row r="2904" spans="15:18" x14ac:dyDescent="0.15">
      <c r="O2904" s="7" t="str">
        <f>"REQ"&amp;TEXT([2]RequestList!$A2905,"0000")</f>
        <v>REQ0000</v>
      </c>
      <c r="P2904" s="7">
        <f>[2]RequestList!$J2905</f>
        <v>0</v>
      </c>
      <c r="Q2904" s="65">
        <f>SUMIF(日報!$R:$R,TEXT(YEAR($Q$2),"0000")&amp;TEXT(MONTH($Q$2),"00")&amp;$O2904,日報!$L:$L)</f>
        <v>0</v>
      </c>
      <c r="R2904" s="65">
        <f ca="1">SUMIF(日報!$J:$J,$O2904,日報!$L:$L)</f>
        <v>0</v>
      </c>
    </row>
    <row r="2905" spans="15:18" x14ac:dyDescent="0.15">
      <c r="O2905" s="7" t="str">
        <f>"REQ"&amp;TEXT([2]RequestList!$A2906,"0000")</f>
        <v>REQ0000</v>
      </c>
      <c r="P2905" s="7">
        <f>[2]RequestList!$J2906</f>
        <v>0</v>
      </c>
      <c r="Q2905" s="65">
        <f>SUMIF(日報!$R:$R,TEXT(YEAR($Q$2),"0000")&amp;TEXT(MONTH($Q$2),"00")&amp;$O2905,日報!$L:$L)</f>
        <v>0</v>
      </c>
      <c r="R2905" s="65">
        <f ca="1">SUMIF(日報!$J:$J,$O2905,日報!$L:$L)</f>
        <v>0</v>
      </c>
    </row>
    <row r="2906" spans="15:18" x14ac:dyDescent="0.15">
      <c r="O2906" s="7" t="str">
        <f>"REQ"&amp;TEXT([2]RequestList!$A2907,"0000")</f>
        <v>REQ0000</v>
      </c>
      <c r="P2906" s="7">
        <f>[2]RequestList!$J2907</f>
        <v>0</v>
      </c>
      <c r="Q2906" s="65">
        <f>SUMIF(日報!$R:$R,TEXT(YEAR($Q$2),"0000")&amp;TEXT(MONTH($Q$2),"00")&amp;$O2906,日報!$L:$L)</f>
        <v>0</v>
      </c>
      <c r="R2906" s="65">
        <f ca="1">SUMIF(日報!$J:$J,$O2906,日報!$L:$L)</f>
        <v>0</v>
      </c>
    </row>
    <row r="2907" spans="15:18" x14ac:dyDescent="0.15">
      <c r="O2907" s="7" t="str">
        <f>"REQ"&amp;TEXT([2]RequestList!$A2908,"0000")</f>
        <v>REQ0000</v>
      </c>
      <c r="P2907" s="7">
        <f>[2]RequestList!$J2908</f>
        <v>0</v>
      </c>
      <c r="Q2907" s="65">
        <f>SUMIF(日報!$R:$R,TEXT(YEAR($Q$2),"0000")&amp;TEXT(MONTH($Q$2),"00")&amp;$O2907,日報!$L:$L)</f>
        <v>0</v>
      </c>
      <c r="R2907" s="65">
        <f ca="1">SUMIF(日報!$J:$J,$O2907,日報!$L:$L)</f>
        <v>0</v>
      </c>
    </row>
    <row r="2908" spans="15:18" x14ac:dyDescent="0.15">
      <c r="O2908" s="7" t="str">
        <f>"REQ"&amp;TEXT([2]RequestList!$A2909,"0000")</f>
        <v>REQ0000</v>
      </c>
      <c r="P2908" s="7">
        <f>[2]RequestList!$J2909</f>
        <v>0</v>
      </c>
      <c r="Q2908" s="65">
        <f>SUMIF(日報!$R:$R,TEXT(YEAR($Q$2),"0000")&amp;TEXT(MONTH($Q$2),"00")&amp;$O2908,日報!$L:$L)</f>
        <v>0</v>
      </c>
      <c r="R2908" s="65">
        <f ca="1">SUMIF(日報!$J:$J,$O2908,日報!$L:$L)</f>
        <v>0</v>
      </c>
    </row>
    <row r="2909" spans="15:18" x14ac:dyDescent="0.15">
      <c r="O2909" s="7" t="str">
        <f>"REQ"&amp;TEXT([2]RequestList!$A2910,"0000")</f>
        <v>REQ0000</v>
      </c>
      <c r="P2909" s="7">
        <f>[2]RequestList!$J2910</f>
        <v>0</v>
      </c>
      <c r="Q2909" s="65">
        <f>SUMIF(日報!$R:$R,TEXT(YEAR($Q$2),"0000")&amp;TEXT(MONTH($Q$2),"00")&amp;$O2909,日報!$L:$L)</f>
        <v>0</v>
      </c>
      <c r="R2909" s="65">
        <f ca="1">SUMIF(日報!$J:$J,$O2909,日報!$L:$L)</f>
        <v>0</v>
      </c>
    </row>
    <row r="2910" spans="15:18" x14ac:dyDescent="0.15">
      <c r="O2910" s="7" t="str">
        <f>"REQ"&amp;TEXT([2]RequestList!$A2911,"0000")</f>
        <v>REQ0000</v>
      </c>
      <c r="P2910" s="7">
        <f>[2]RequestList!$J2911</f>
        <v>0</v>
      </c>
      <c r="Q2910" s="65">
        <f>SUMIF(日報!$R:$R,TEXT(YEAR($Q$2),"0000")&amp;TEXT(MONTH($Q$2),"00")&amp;$O2910,日報!$L:$L)</f>
        <v>0</v>
      </c>
      <c r="R2910" s="65">
        <f ca="1">SUMIF(日報!$J:$J,$O2910,日報!$L:$L)</f>
        <v>0</v>
      </c>
    </row>
    <row r="2911" spans="15:18" x14ac:dyDescent="0.15">
      <c r="O2911" s="7" t="str">
        <f>"REQ"&amp;TEXT([2]RequestList!$A2912,"0000")</f>
        <v>REQ0000</v>
      </c>
      <c r="P2911" s="7">
        <f>[2]RequestList!$J2912</f>
        <v>0</v>
      </c>
      <c r="Q2911" s="65">
        <f>SUMIF(日報!$R:$R,TEXT(YEAR($Q$2),"0000")&amp;TEXT(MONTH($Q$2),"00")&amp;$O2911,日報!$L:$L)</f>
        <v>0</v>
      </c>
      <c r="R2911" s="65">
        <f ca="1">SUMIF(日報!$J:$J,$O2911,日報!$L:$L)</f>
        <v>0</v>
      </c>
    </row>
    <row r="2912" spans="15:18" x14ac:dyDescent="0.15">
      <c r="O2912" s="7" t="str">
        <f>"REQ"&amp;TEXT([2]RequestList!$A2913,"0000")</f>
        <v>REQ0000</v>
      </c>
      <c r="P2912" s="7">
        <f>[2]RequestList!$J2913</f>
        <v>0</v>
      </c>
      <c r="Q2912" s="65">
        <f>SUMIF(日報!$R:$R,TEXT(YEAR($Q$2),"0000")&amp;TEXT(MONTH($Q$2),"00")&amp;$O2912,日報!$L:$L)</f>
        <v>0</v>
      </c>
      <c r="R2912" s="65">
        <f ca="1">SUMIF(日報!$J:$J,$O2912,日報!$L:$L)</f>
        <v>0</v>
      </c>
    </row>
    <row r="2913" spans="15:18" x14ac:dyDescent="0.15">
      <c r="O2913" s="7" t="str">
        <f>"REQ"&amp;TEXT([2]RequestList!$A2914,"0000")</f>
        <v>REQ0000</v>
      </c>
      <c r="P2913" s="7">
        <f>[2]RequestList!$J2914</f>
        <v>0</v>
      </c>
      <c r="Q2913" s="65">
        <f>SUMIF(日報!$R:$R,TEXT(YEAR($Q$2),"0000")&amp;TEXT(MONTH($Q$2),"00")&amp;$O2913,日報!$L:$L)</f>
        <v>0</v>
      </c>
      <c r="R2913" s="65">
        <f ca="1">SUMIF(日報!$J:$J,$O2913,日報!$L:$L)</f>
        <v>0</v>
      </c>
    </row>
    <row r="2914" spans="15:18" x14ac:dyDescent="0.15">
      <c r="O2914" s="7" t="str">
        <f>"REQ"&amp;TEXT([2]RequestList!$A2915,"0000")</f>
        <v>REQ0000</v>
      </c>
      <c r="P2914" s="7">
        <f>[2]RequestList!$J2915</f>
        <v>0</v>
      </c>
      <c r="Q2914" s="65">
        <f>SUMIF(日報!$R:$R,TEXT(YEAR($Q$2),"0000")&amp;TEXT(MONTH($Q$2),"00")&amp;$O2914,日報!$L:$L)</f>
        <v>0</v>
      </c>
      <c r="R2914" s="65">
        <f ca="1">SUMIF(日報!$J:$J,$O2914,日報!$L:$L)</f>
        <v>0</v>
      </c>
    </row>
    <row r="2915" spans="15:18" x14ac:dyDescent="0.15">
      <c r="O2915" s="7" t="str">
        <f>"REQ"&amp;TEXT([2]RequestList!$A2916,"0000")</f>
        <v>REQ0000</v>
      </c>
      <c r="P2915" s="7">
        <f>[2]RequestList!$J2916</f>
        <v>0</v>
      </c>
      <c r="Q2915" s="65">
        <f>SUMIF(日報!$R:$R,TEXT(YEAR($Q$2),"0000")&amp;TEXT(MONTH($Q$2),"00")&amp;$O2915,日報!$L:$L)</f>
        <v>0</v>
      </c>
      <c r="R2915" s="65">
        <f ca="1">SUMIF(日報!$J:$J,$O2915,日報!$L:$L)</f>
        <v>0</v>
      </c>
    </row>
    <row r="2916" spans="15:18" x14ac:dyDescent="0.15">
      <c r="O2916" s="7" t="str">
        <f>"REQ"&amp;TEXT([2]RequestList!$A2917,"0000")</f>
        <v>REQ0000</v>
      </c>
      <c r="P2916" s="7">
        <f>[2]RequestList!$J2917</f>
        <v>0</v>
      </c>
      <c r="Q2916" s="65">
        <f>SUMIF(日報!$R:$R,TEXT(YEAR($Q$2),"0000")&amp;TEXT(MONTH($Q$2),"00")&amp;$O2916,日報!$L:$L)</f>
        <v>0</v>
      </c>
      <c r="R2916" s="65">
        <f ca="1">SUMIF(日報!$J:$J,$O2916,日報!$L:$L)</f>
        <v>0</v>
      </c>
    </row>
    <row r="2917" spans="15:18" x14ac:dyDescent="0.15">
      <c r="O2917" s="7" t="str">
        <f>"REQ"&amp;TEXT([2]RequestList!$A2918,"0000")</f>
        <v>REQ0000</v>
      </c>
      <c r="P2917" s="7">
        <f>[2]RequestList!$J2918</f>
        <v>0</v>
      </c>
      <c r="Q2917" s="65">
        <f>SUMIF(日報!$R:$R,TEXT(YEAR($Q$2),"0000")&amp;TEXT(MONTH($Q$2),"00")&amp;$O2917,日報!$L:$L)</f>
        <v>0</v>
      </c>
      <c r="R2917" s="65">
        <f ca="1">SUMIF(日報!$J:$J,$O2917,日報!$L:$L)</f>
        <v>0</v>
      </c>
    </row>
    <row r="2918" spans="15:18" x14ac:dyDescent="0.15">
      <c r="O2918" s="7" t="str">
        <f>"REQ"&amp;TEXT([2]RequestList!$A2919,"0000")</f>
        <v>REQ0000</v>
      </c>
      <c r="P2918" s="7">
        <f>[2]RequestList!$J2919</f>
        <v>0</v>
      </c>
      <c r="Q2918" s="65">
        <f>SUMIF(日報!$R:$R,TEXT(YEAR($Q$2),"0000")&amp;TEXT(MONTH($Q$2),"00")&amp;$O2918,日報!$L:$L)</f>
        <v>0</v>
      </c>
      <c r="R2918" s="65">
        <f ca="1">SUMIF(日報!$J:$J,$O2918,日報!$L:$L)</f>
        <v>0</v>
      </c>
    </row>
    <row r="2919" spans="15:18" x14ac:dyDescent="0.15">
      <c r="O2919" s="7" t="str">
        <f>"REQ"&amp;TEXT([2]RequestList!$A2920,"0000")</f>
        <v>REQ0000</v>
      </c>
      <c r="P2919" s="7">
        <f>[2]RequestList!$J2920</f>
        <v>0</v>
      </c>
      <c r="Q2919" s="65">
        <f>SUMIF(日報!$R:$R,TEXT(YEAR($Q$2),"0000")&amp;TEXT(MONTH($Q$2),"00")&amp;$O2919,日報!$L:$L)</f>
        <v>0</v>
      </c>
      <c r="R2919" s="65">
        <f ca="1">SUMIF(日報!$J:$J,$O2919,日報!$L:$L)</f>
        <v>0</v>
      </c>
    </row>
    <row r="2920" spans="15:18" x14ac:dyDescent="0.15">
      <c r="O2920" s="7" t="str">
        <f>"REQ"&amp;TEXT([2]RequestList!$A2921,"0000")</f>
        <v>REQ0000</v>
      </c>
      <c r="P2920" s="7">
        <f>[2]RequestList!$J2921</f>
        <v>0</v>
      </c>
      <c r="Q2920" s="65">
        <f>SUMIF(日報!$R:$R,TEXT(YEAR($Q$2),"0000")&amp;TEXT(MONTH($Q$2),"00")&amp;$O2920,日報!$L:$L)</f>
        <v>0</v>
      </c>
      <c r="R2920" s="65">
        <f ca="1">SUMIF(日報!$J:$J,$O2920,日報!$L:$L)</f>
        <v>0</v>
      </c>
    </row>
    <row r="2921" spans="15:18" x14ac:dyDescent="0.15">
      <c r="O2921" s="7" t="str">
        <f>"REQ"&amp;TEXT([2]RequestList!$A2922,"0000")</f>
        <v>REQ0000</v>
      </c>
      <c r="P2921" s="7">
        <f>[2]RequestList!$J2922</f>
        <v>0</v>
      </c>
      <c r="Q2921" s="65">
        <f>SUMIF(日報!$R:$R,TEXT(YEAR($Q$2),"0000")&amp;TEXT(MONTH($Q$2),"00")&amp;$O2921,日報!$L:$L)</f>
        <v>0</v>
      </c>
      <c r="R2921" s="65">
        <f ca="1">SUMIF(日報!$J:$J,$O2921,日報!$L:$L)</f>
        <v>0</v>
      </c>
    </row>
    <row r="2922" spans="15:18" x14ac:dyDescent="0.15">
      <c r="O2922" s="7" t="str">
        <f>"REQ"&amp;TEXT([2]RequestList!$A2923,"0000")</f>
        <v>REQ0000</v>
      </c>
      <c r="P2922" s="7">
        <f>[2]RequestList!$J2923</f>
        <v>0</v>
      </c>
      <c r="Q2922" s="65">
        <f>SUMIF(日報!$R:$R,TEXT(YEAR($Q$2),"0000")&amp;TEXT(MONTH($Q$2),"00")&amp;$O2922,日報!$L:$L)</f>
        <v>0</v>
      </c>
      <c r="R2922" s="65">
        <f ca="1">SUMIF(日報!$J:$J,$O2922,日報!$L:$L)</f>
        <v>0</v>
      </c>
    </row>
    <row r="2923" spans="15:18" x14ac:dyDescent="0.15">
      <c r="O2923" s="7" t="str">
        <f>"REQ"&amp;TEXT([2]RequestList!$A2924,"0000")</f>
        <v>REQ0000</v>
      </c>
      <c r="P2923" s="7">
        <f>[2]RequestList!$J2924</f>
        <v>0</v>
      </c>
      <c r="Q2923" s="65">
        <f>SUMIF(日報!$R:$R,TEXT(YEAR($Q$2),"0000")&amp;TEXT(MONTH($Q$2),"00")&amp;$O2923,日報!$L:$L)</f>
        <v>0</v>
      </c>
      <c r="R2923" s="65">
        <f ca="1">SUMIF(日報!$J:$J,$O2923,日報!$L:$L)</f>
        <v>0</v>
      </c>
    </row>
    <row r="2924" spans="15:18" x14ac:dyDescent="0.15">
      <c r="O2924" s="7" t="str">
        <f>"REQ"&amp;TEXT([2]RequestList!$A2925,"0000")</f>
        <v>REQ0000</v>
      </c>
      <c r="P2924" s="7">
        <f>[2]RequestList!$J2925</f>
        <v>0</v>
      </c>
      <c r="Q2924" s="65">
        <f>SUMIF(日報!$R:$R,TEXT(YEAR($Q$2),"0000")&amp;TEXT(MONTH($Q$2),"00")&amp;$O2924,日報!$L:$L)</f>
        <v>0</v>
      </c>
      <c r="R2924" s="65">
        <f ca="1">SUMIF(日報!$J:$J,$O2924,日報!$L:$L)</f>
        <v>0</v>
      </c>
    </row>
    <row r="2925" spans="15:18" x14ac:dyDescent="0.15">
      <c r="O2925" s="7" t="str">
        <f>"REQ"&amp;TEXT([2]RequestList!$A2926,"0000")</f>
        <v>REQ0000</v>
      </c>
      <c r="P2925" s="7">
        <f>[2]RequestList!$J2926</f>
        <v>0</v>
      </c>
      <c r="Q2925" s="65">
        <f>SUMIF(日報!$R:$R,TEXT(YEAR($Q$2),"0000")&amp;TEXT(MONTH($Q$2),"00")&amp;$O2925,日報!$L:$L)</f>
        <v>0</v>
      </c>
      <c r="R2925" s="65">
        <f ca="1">SUMIF(日報!$J:$J,$O2925,日報!$L:$L)</f>
        <v>0</v>
      </c>
    </row>
    <row r="2926" spans="15:18" x14ac:dyDescent="0.15">
      <c r="O2926" s="7" t="str">
        <f>"REQ"&amp;TEXT([2]RequestList!$A2927,"0000")</f>
        <v>REQ0000</v>
      </c>
      <c r="P2926" s="7">
        <f>[2]RequestList!$J2927</f>
        <v>0</v>
      </c>
      <c r="Q2926" s="65">
        <f>SUMIF(日報!$R:$R,TEXT(YEAR($Q$2),"0000")&amp;TEXT(MONTH($Q$2),"00")&amp;$O2926,日報!$L:$L)</f>
        <v>0</v>
      </c>
      <c r="R2926" s="65">
        <f ca="1">SUMIF(日報!$J:$J,$O2926,日報!$L:$L)</f>
        <v>0</v>
      </c>
    </row>
    <row r="2927" spans="15:18" x14ac:dyDescent="0.15">
      <c r="O2927" s="7" t="str">
        <f>"REQ"&amp;TEXT([2]RequestList!$A2928,"0000")</f>
        <v>REQ0000</v>
      </c>
      <c r="P2927" s="7">
        <f>[2]RequestList!$J2928</f>
        <v>0</v>
      </c>
      <c r="Q2927" s="65">
        <f>SUMIF(日報!$R:$R,TEXT(YEAR($Q$2),"0000")&amp;TEXT(MONTH($Q$2),"00")&amp;$O2927,日報!$L:$L)</f>
        <v>0</v>
      </c>
      <c r="R2927" s="65">
        <f ca="1">SUMIF(日報!$J:$J,$O2927,日報!$L:$L)</f>
        <v>0</v>
      </c>
    </row>
    <row r="2928" spans="15:18" x14ac:dyDescent="0.15">
      <c r="O2928" s="7" t="str">
        <f>"REQ"&amp;TEXT([2]RequestList!$A2929,"0000")</f>
        <v>REQ0000</v>
      </c>
      <c r="P2928" s="7">
        <f>[2]RequestList!$J2929</f>
        <v>0</v>
      </c>
      <c r="Q2928" s="65">
        <f>SUMIF(日報!$R:$R,TEXT(YEAR($Q$2),"0000")&amp;TEXT(MONTH($Q$2),"00")&amp;$O2928,日報!$L:$L)</f>
        <v>0</v>
      </c>
      <c r="R2928" s="65">
        <f ca="1">SUMIF(日報!$J:$J,$O2928,日報!$L:$L)</f>
        <v>0</v>
      </c>
    </row>
    <row r="2929" spans="15:18" x14ac:dyDescent="0.15">
      <c r="O2929" s="7" t="str">
        <f>"REQ"&amp;TEXT([2]RequestList!$A2930,"0000")</f>
        <v>REQ0000</v>
      </c>
      <c r="P2929" s="7">
        <f>[2]RequestList!$J2930</f>
        <v>0</v>
      </c>
      <c r="Q2929" s="65">
        <f>SUMIF(日報!$R:$R,TEXT(YEAR($Q$2),"0000")&amp;TEXT(MONTH($Q$2),"00")&amp;$O2929,日報!$L:$L)</f>
        <v>0</v>
      </c>
      <c r="R2929" s="65">
        <f ca="1">SUMIF(日報!$J:$J,$O2929,日報!$L:$L)</f>
        <v>0</v>
      </c>
    </row>
    <row r="2930" spans="15:18" x14ac:dyDescent="0.15">
      <c r="O2930" s="7" t="str">
        <f>"REQ"&amp;TEXT([2]RequestList!$A2931,"0000")</f>
        <v>REQ0000</v>
      </c>
      <c r="P2930" s="7">
        <f>[2]RequestList!$J2931</f>
        <v>0</v>
      </c>
      <c r="Q2930" s="65">
        <f>SUMIF(日報!$R:$R,TEXT(YEAR($Q$2),"0000")&amp;TEXT(MONTH($Q$2),"00")&amp;$O2930,日報!$L:$L)</f>
        <v>0</v>
      </c>
      <c r="R2930" s="65">
        <f ca="1">SUMIF(日報!$J:$J,$O2930,日報!$L:$L)</f>
        <v>0</v>
      </c>
    </row>
    <row r="2931" spans="15:18" x14ac:dyDescent="0.15">
      <c r="O2931" s="7" t="str">
        <f>"REQ"&amp;TEXT([2]RequestList!$A2932,"0000")</f>
        <v>REQ0000</v>
      </c>
      <c r="P2931" s="7">
        <f>[2]RequestList!$J2932</f>
        <v>0</v>
      </c>
      <c r="Q2931" s="65">
        <f>SUMIF(日報!$R:$R,TEXT(YEAR($Q$2),"0000")&amp;TEXT(MONTH($Q$2),"00")&amp;$O2931,日報!$L:$L)</f>
        <v>0</v>
      </c>
      <c r="R2931" s="65">
        <f ca="1">SUMIF(日報!$J:$J,$O2931,日報!$L:$L)</f>
        <v>0</v>
      </c>
    </row>
    <row r="2932" spans="15:18" x14ac:dyDescent="0.15">
      <c r="O2932" s="7" t="str">
        <f>"REQ"&amp;TEXT([2]RequestList!$A2933,"0000")</f>
        <v>REQ0000</v>
      </c>
      <c r="P2932" s="7">
        <f>[2]RequestList!$J2933</f>
        <v>0</v>
      </c>
      <c r="Q2932" s="65">
        <f>SUMIF(日報!$R:$R,TEXT(YEAR($Q$2),"0000")&amp;TEXT(MONTH($Q$2),"00")&amp;$O2932,日報!$L:$L)</f>
        <v>0</v>
      </c>
      <c r="R2932" s="65">
        <f ca="1">SUMIF(日報!$J:$J,$O2932,日報!$L:$L)</f>
        <v>0</v>
      </c>
    </row>
    <row r="2933" spans="15:18" x14ac:dyDescent="0.15">
      <c r="O2933" s="7" t="str">
        <f>"REQ"&amp;TEXT([2]RequestList!$A2934,"0000")</f>
        <v>REQ0000</v>
      </c>
      <c r="P2933" s="7">
        <f>[2]RequestList!$J2934</f>
        <v>0</v>
      </c>
      <c r="Q2933" s="65">
        <f>SUMIF(日報!$R:$R,TEXT(YEAR($Q$2),"0000")&amp;TEXT(MONTH($Q$2),"00")&amp;$O2933,日報!$L:$L)</f>
        <v>0</v>
      </c>
      <c r="R2933" s="65">
        <f ca="1">SUMIF(日報!$J:$J,$O2933,日報!$L:$L)</f>
        <v>0</v>
      </c>
    </row>
    <row r="2934" spans="15:18" x14ac:dyDescent="0.15">
      <c r="O2934" s="7" t="str">
        <f>"REQ"&amp;TEXT([2]RequestList!$A2935,"0000")</f>
        <v>REQ0000</v>
      </c>
      <c r="P2934" s="7">
        <f>[2]RequestList!$J2935</f>
        <v>0</v>
      </c>
      <c r="Q2934" s="65">
        <f>SUMIF(日報!$R:$R,TEXT(YEAR($Q$2),"0000")&amp;TEXT(MONTH($Q$2),"00")&amp;$O2934,日報!$L:$L)</f>
        <v>0</v>
      </c>
      <c r="R2934" s="65">
        <f ca="1">SUMIF(日報!$J:$J,$O2934,日報!$L:$L)</f>
        <v>0</v>
      </c>
    </row>
    <row r="2935" spans="15:18" x14ac:dyDescent="0.15">
      <c r="O2935" s="7" t="str">
        <f>"REQ"&amp;TEXT([2]RequestList!$A2936,"0000")</f>
        <v>REQ0000</v>
      </c>
      <c r="P2935" s="7">
        <f>[2]RequestList!$J2936</f>
        <v>0</v>
      </c>
      <c r="Q2935" s="65">
        <f>SUMIF(日報!$R:$R,TEXT(YEAR($Q$2),"0000")&amp;TEXT(MONTH($Q$2),"00")&amp;$O2935,日報!$L:$L)</f>
        <v>0</v>
      </c>
      <c r="R2935" s="65">
        <f ca="1">SUMIF(日報!$J:$J,$O2935,日報!$L:$L)</f>
        <v>0</v>
      </c>
    </row>
    <row r="2936" spans="15:18" x14ac:dyDescent="0.15">
      <c r="O2936" s="7" t="str">
        <f>"REQ"&amp;TEXT([2]RequestList!$A2937,"0000")</f>
        <v>REQ0000</v>
      </c>
      <c r="P2936" s="7">
        <f>[2]RequestList!$J2937</f>
        <v>0</v>
      </c>
      <c r="Q2936" s="65">
        <f>SUMIF(日報!$R:$R,TEXT(YEAR($Q$2),"0000")&amp;TEXT(MONTH($Q$2),"00")&amp;$O2936,日報!$L:$L)</f>
        <v>0</v>
      </c>
      <c r="R2936" s="65">
        <f ca="1">SUMIF(日報!$J:$J,$O2936,日報!$L:$L)</f>
        <v>0</v>
      </c>
    </row>
    <row r="2937" spans="15:18" x14ac:dyDescent="0.15">
      <c r="O2937" s="7" t="str">
        <f>"REQ"&amp;TEXT([2]RequestList!$A2938,"0000")</f>
        <v>REQ0000</v>
      </c>
      <c r="P2937" s="7">
        <f>[2]RequestList!$J2938</f>
        <v>0</v>
      </c>
      <c r="Q2937" s="65">
        <f>SUMIF(日報!$R:$R,TEXT(YEAR($Q$2),"0000")&amp;TEXT(MONTH($Q$2),"00")&amp;$O2937,日報!$L:$L)</f>
        <v>0</v>
      </c>
      <c r="R2937" s="65">
        <f ca="1">SUMIF(日報!$J:$J,$O2937,日報!$L:$L)</f>
        <v>0</v>
      </c>
    </row>
    <row r="2938" spans="15:18" x14ac:dyDescent="0.15">
      <c r="O2938" s="7" t="str">
        <f>"REQ"&amp;TEXT([2]RequestList!$A2939,"0000")</f>
        <v>REQ0000</v>
      </c>
      <c r="P2938" s="7">
        <f>[2]RequestList!$J2939</f>
        <v>0</v>
      </c>
      <c r="Q2938" s="65">
        <f>SUMIF(日報!$R:$R,TEXT(YEAR($Q$2),"0000")&amp;TEXT(MONTH($Q$2),"00")&amp;$O2938,日報!$L:$L)</f>
        <v>0</v>
      </c>
      <c r="R2938" s="65">
        <f ca="1">SUMIF(日報!$J:$J,$O2938,日報!$L:$L)</f>
        <v>0</v>
      </c>
    </row>
    <row r="2939" spans="15:18" x14ac:dyDescent="0.15">
      <c r="O2939" s="7" t="str">
        <f>"REQ"&amp;TEXT([2]RequestList!$A2940,"0000")</f>
        <v>REQ0000</v>
      </c>
      <c r="P2939" s="7">
        <f>[2]RequestList!$J2940</f>
        <v>0</v>
      </c>
      <c r="Q2939" s="65">
        <f>SUMIF(日報!$R:$R,TEXT(YEAR($Q$2),"0000")&amp;TEXT(MONTH($Q$2),"00")&amp;$O2939,日報!$L:$L)</f>
        <v>0</v>
      </c>
      <c r="R2939" s="65">
        <f ca="1">SUMIF(日報!$J:$J,$O2939,日報!$L:$L)</f>
        <v>0</v>
      </c>
    </row>
    <row r="2940" spans="15:18" x14ac:dyDescent="0.15">
      <c r="O2940" s="7" t="str">
        <f>"REQ"&amp;TEXT([2]RequestList!$A2941,"0000")</f>
        <v>REQ0000</v>
      </c>
      <c r="P2940" s="7">
        <f>[2]RequestList!$J2941</f>
        <v>0</v>
      </c>
      <c r="Q2940" s="65">
        <f>SUMIF(日報!$R:$R,TEXT(YEAR($Q$2),"0000")&amp;TEXT(MONTH($Q$2),"00")&amp;$O2940,日報!$L:$L)</f>
        <v>0</v>
      </c>
      <c r="R2940" s="65">
        <f ca="1">SUMIF(日報!$J:$J,$O2940,日報!$L:$L)</f>
        <v>0</v>
      </c>
    </row>
    <row r="2941" spans="15:18" x14ac:dyDescent="0.15">
      <c r="O2941" s="7" t="str">
        <f>"REQ"&amp;TEXT([2]RequestList!$A2942,"0000")</f>
        <v>REQ0000</v>
      </c>
      <c r="P2941" s="7">
        <f>[2]RequestList!$J2942</f>
        <v>0</v>
      </c>
      <c r="Q2941" s="65">
        <f>SUMIF(日報!$R:$R,TEXT(YEAR($Q$2),"0000")&amp;TEXT(MONTH($Q$2),"00")&amp;$O2941,日報!$L:$L)</f>
        <v>0</v>
      </c>
      <c r="R2941" s="65">
        <f ca="1">SUMIF(日報!$J:$J,$O2941,日報!$L:$L)</f>
        <v>0</v>
      </c>
    </row>
    <row r="2942" spans="15:18" x14ac:dyDescent="0.15">
      <c r="O2942" s="7" t="str">
        <f>"REQ"&amp;TEXT([2]RequestList!$A2943,"0000")</f>
        <v>REQ0000</v>
      </c>
      <c r="P2942" s="7">
        <f>[2]RequestList!$J2943</f>
        <v>0</v>
      </c>
      <c r="Q2942" s="65">
        <f>SUMIF(日報!$R:$R,TEXT(YEAR($Q$2),"0000")&amp;TEXT(MONTH($Q$2),"00")&amp;$O2942,日報!$L:$L)</f>
        <v>0</v>
      </c>
      <c r="R2942" s="65">
        <f ca="1">SUMIF(日報!$J:$J,$O2942,日報!$L:$L)</f>
        <v>0</v>
      </c>
    </row>
    <row r="2943" spans="15:18" x14ac:dyDescent="0.15">
      <c r="O2943" s="7" t="str">
        <f>"REQ"&amp;TEXT([2]RequestList!$A2944,"0000")</f>
        <v>REQ0000</v>
      </c>
      <c r="P2943" s="7">
        <f>[2]RequestList!$J2944</f>
        <v>0</v>
      </c>
      <c r="Q2943" s="65">
        <f>SUMIF(日報!$R:$R,TEXT(YEAR($Q$2),"0000")&amp;TEXT(MONTH($Q$2),"00")&amp;$O2943,日報!$L:$L)</f>
        <v>0</v>
      </c>
      <c r="R2943" s="65">
        <f ca="1">SUMIF(日報!$J:$J,$O2943,日報!$L:$L)</f>
        <v>0</v>
      </c>
    </row>
    <row r="2944" spans="15:18" x14ac:dyDescent="0.15">
      <c r="O2944" s="7" t="str">
        <f>"REQ"&amp;TEXT([2]RequestList!$A2945,"0000")</f>
        <v>REQ0000</v>
      </c>
      <c r="P2944" s="7">
        <f>[2]RequestList!$J2945</f>
        <v>0</v>
      </c>
      <c r="Q2944" s="65">
        <f>SUMIF(日報!$R:$R,TEXT(YEAR($Q$2),"0000")&amp;TEXT(MONTH($Q$2),"00")&amp;$O2944,日報!$L:$L)</f>
        <v>0</v>
      </c>
      <c r="R2944" s="65">
        <f ca="1">SUMIF(日報!$J:$J,$O2944,日報!$L:$L)</f>
        <v>0</v>
      </c>
    </row>
    <row r="2945" spans="15:18" x14ac:dyDescent="0.15">
      <c r="O2945" s="7" t="str">
        <f>"REQ"&amp;TEXT([2]RequestList!$A2946,"0000")</f>
        <v>REQ0000</v>
      </c>
      <c r="P2945" s="7">
        <f>[2]RequestList!$J2946</f>
        <v>0</v>
      </c>
      <c r="Q2945" s="65">
        <f>SUMIF(日報!$R:$R,TEXT(YEAR($Q$2),"0000")&amp;TEXT(MONTH($Q$2),"00")&amp;$O2945,日報!$L:$L)</f>
        <v>0</v>
      </c>
      <c r="R2945" s="65">
        <f ca="1">SUMIF(日報!$J:$J,$O2945,日報!$L:$L)</f>
        <v>0</v>
      </c>
    </row>
    <row r="2946" spans="15:18" x14ac:dyDescent="0.15">
      <c r="O2946" s="7" t="str">
        <f>"REQ"&amp;TEXT([2]RequestList!$A2947,"0000")</f>
        <v>REQ0000</v>
      </c>
      <c r="P2946" s="7">
        <f>[2]RequestList!$J2947</f>
        <v>0</v>
      </c>
      <c r="Q2946" s="65">
        <f>SUMIF(日報!$R:$R,TEXT(YEAR($Q$2),"0000")&amp;TEXT(MONTH($Q$2),"00")&amp;$O2946,日報!$L:$L)</f>
        <v>0</v>
      </c>
      <c r="R2946" s="65">
        <f ca="1">SUMIF(日報!$J:$J,$O2946,日報!$L:$L)</f>
        <v>0</v>
      </c>
    </row>
    <row r="2947" spans="15:18" x14ac:dyDescent="0.15">
      <c r="O2947" s="7" t="str">
        <f>"REQ"&amp;TEXT([2]RequestList!$A2948,"0000")</f>
        <v>REQ0000</v>
      </c>
      <c r="P2947" s="7">
        <f>[2]RequestList!$J2948</f>
        <v>0</v>
      </c>
      <c r="Q2947" s="65">
        <f>SUMIF(日報!$R:$R,TEXT(YEAR($Q$2),"0000")&amp;TEXT(MONTH($Q$2),"00")&amp;$O2947,日報!$L:$L)</f>
        <v>0</v>
      </c>
      <c r="R2947" s="65">
        <f ca="1">SUMIF(日報!$J:$J,$O2947,日報!$L:$L)</f>
        <v>0</v>
      </c>
    </row>
    <row r="2948" spans="15:18" x14ac:dyDescent="0.15">
      <c r="O2948" s="7" t="str">
        <f>"REQ"&amp;TEXT([2]RequestList!$A2949,"0000")</f>
        <v>REQ0000</v>
      </c>
      <c r="P2948" s="7">
        <f>[2]RequestList!$J2949</f>
        <v>0</v>
      </c>
      <c r="Q2948" s="65">
        <f>SUMIF(日報!$R:$R,TEXT(YEAR($Q$2),"0000")&amp;TEXT(MONTH($Q$2),"00")&amp;$O2948,日報!$L:$L)</f>
        <v>0</v>
      </c>
      <c r="R2948" s="65">
        <f ca="1">SUMIF(日報!$J:$J,$O2948,日報!$L:$L)</f>
        <v>0</v>
      </c>
    </row>
    <row r="2949" spans="15:18" x14ac:dyDescent="0.15">
      <c r="O2949" s="7" t="str">
        <f>"REQ"&amp;TEXT([2]RequestList!$A2950,"0000")</f>
        <v>REQ0000</v>
      </c>
      <c r="P2949" s="7">
        <f>[2]RequestList!$J2950</f>
        <v>0</v>
      </c>
      <c r="Q2949" s="65">
        <f>SUMIF(日報!$R:$R,TEXT(YEAR($Q$2),"0000")&amp;TEXT(MONTH($Q$2),"00")&amp;$O2949,日報!$L:$L)</f>
        <v>0</v>
      </c>
      <c r="R2949" s="65">
        <f ca="1">SUMIF(日報!$J:$J,$O2949,日報!$L:$L)</f>
        <v>0</v>
      </c>
    </row>
    <row r="2950" spans="15:18" x14ac:dyDescent="0.15">
      <c r="O2950" s="7" t="str">
        <f>"REQ"&amp;TEXT([2]RequestList!$A2951,"0000")</f>
        <v>REQ0000</v>
      </c>
      <c r="P2950" s="7">
        <f>[2]RequestList!$J2951</f>
        <v>0</v>
      </c>
      <c r="Q2950" s="65">
        <f>SUMIF(日報!$R:$R,TEXT(YEAR($Q$2),"0000")&amp;TEXT(MONTH($Q$2),"00")&amp;$O2950,日報!$L:$L)</f>
        <v>0</v>
      </c>
      <c r="R2950" s="65">
        <f ca="1">SUMIF(日報!$J:$J,$O2950,日報!$L:$L)</f>
        <v>0</v>
      </c>
    </row>
    <row r="2951" spans="15:18" x14ac:dyDescent="0.15">
      <c r="O2951" s="7" t="str">
        <f>"REQ"&amp;TEXT([2]RequestList!$A2952,"0000")</f>
        <v>REQ0000</v>
      </c>
      <c r="P2951" s="7">
        <f>[2]RequestList!$J2952</f>
        <v>0</v>
      </c>
      <c r="Q2951" s="65">
        <f>SUMIF(日報!$R:$R,TEXT(YEAR($Q$2),"0000")&amp;TEXT(MONTH($Q$2),"00")&amp;$O2951,日報!$L:$L)</f>
        <v>0</v>
      </c>
      <c r="R2951" s="65">
        <f ca="1">SUMIF(日報!$J:$J,$O2951,日報!$L:$L)</f>
        <v>0</v>
      </c>
    </row>
    <row r="2952" spans="15:18" x14ac:dyDescent="0.15">
      <c r="O2952" s="7" t="str">
        <f>"REQ"&amp;TEXT([2]RequestList!$A2953,"0000")</f>
        <v>REQ0000</v>
      </c>
      <c r="P2952" s="7">
        <f>[2]RequestList!$J2953</f>
        <v>0</v>
      </c>
      <c r="Q2952" s="65">
        <f>SUMIF(日報!$R:$R,TEXT(YEAR($Q$2),"0000")&amp;TEXT(MONTH($Q$2),"00")&amp;$O2952,日報!$L:$L)</f>
        <v>0</v>
      </c>
      <c r="R2952" s="65">
        <f ca="1">SUMIF(日報!$J:$J,$O2952,日報!$L:$L)</f>
        <v>0</v>
      </c>
    </row>
    <row r="2953" spans="15:18" x14ac:dyDescent="0.15">
      <c r="O2953" s="7" t="str">
        <f>"REQ"&amp;TEXT([2]RequestList!$A2954,"0000")</f>
        <v>REQ0000</v>
      </c>
      <c r="P2953" s="7">
        <f>[2]RequestList!$J2954</f>
        <v>0</v>
      </c>
      <c r="Q2953" s="65">
        <f>SUMIF(日報!$R:$R,TEXT(YEAR($Q$2),"0000")&amp;TEXT(MONTH($Q$2),"00")&amp;$O2953,日報!$L:$L)</f>
        <v>0</v>
      </c>
      <c r="R2953" s="65">
        <f ca="1">SUMIF(日報!$J:$J,$O2953,日報!$L:$L)</f>
        <v>0</v>
      </c>
    </row>
    <row r="2954" spans="15:18" x14ac:dyDescent="0.15">
      <c r="O2954" s="7" t="str">
        <f>"REQ"&amp;TEXT([2]RequestList!$A2955,"0000")</f>
        <v>REQ0000</v>
      </c>
      <c r="P2954" s="7">
        <f>[2]RequestList!$J2955</f>
        <v>0</v>
      </c>
      <c r="Q2954" s="65">
        <f>SUMIF(日報!$R:$R,TEXT(YEAR($Q$2),"0000")&amp;TEXT(MONTH($Q$2),"00")&amp;$O2954,日報!$L:$L)</f>
        <v>0</v>
      </c>
      <c r="R2954" s="65">
        <f ca="1">SUMIF(日報!$J:$J,$O2954,日報!$L:$L)</f>
        <v>0</v>
      </c>
    </row>
    <row r="2955" spans="15:18" x14ac:dyDescent="0.15">
      <c r="O2955" s="7" t="str">
        <f>"REQ"&amp;TEXT([2]RequestList!$A2956,"0000")</f>
        <v>REQ0000</v>
      </c>
      <c r="P2955" s="7">
        <f>[2]RequestList!$J2956</f>
        <v>0</v>
      </c>
      <c r="Q2955" s="65">
        <f>SUMIF(日報!$R:$R,TEXT(YEAR($Q$2),"0000")&amp;TEXT(MONTH($Q$2),"00")&amp;$O2955,日報!$L:$L)</f>
        <v>0</v>
      </c>
      <c r="R2955" s="65">
        <f ca="1">SUMIF(日報!$J:$J,$O2955,日報!$L:$L)</f>
        <v>0</v>
      </c>
    </row>
    <row r="2956" spans="15:18" x14ac:dyDescent="0.15">
      <c r="O2956" s="7" t="str">
        <f>"REQ"&amp;TEXT([2]RequestList!$A2957,"0000")</f>
        <v>REQ0000</v>
      </c>
      <c r="P2956" s="7">
        <f>[2]RequestList!$J2957</f>
        <v>0</v>
      </c>
      <c r="Q2956" s="65">
        <f>SUMIF(日報!$R:$R,TEXT(YEAR($Q$2),"0000")&amp;TEXT(MONTH($Q$2),"00")&amp;$O2956,日報!$L:$L)</f>
        <v>0</v>
      </c>
      <c r="R2956" s="65">
        <f ca="1">SUMIF(日報!$J:$J,$O2956,日報!$L:$L)</f>
        <v>0</v>
      </c>
    </row>
    <row r="2957" spans="15:18" x14ac:dyDescent="0.15">
      <c r="O2957" s="7" t="str">
        <f>"REQ"&amp;TEXT([2]RequestList!$A2958,"0000")</f>
        <v>REQ0000</v>
      </c>
      <c r="P2957" s="7">
        <f>[2]RequestList!$J2958</f>
        <v>0</v>
      </c>
      <c r="Q2957" s="65">
        <f>SUMIF(日報!$R:$R,TEXT(YEAR($Q$2),"0000")&amp;TEXT(MONTH($Q$2),"00")&amp;$O2957,日報!$L:$L)</f>
        <v>0</v>
      </c>
      <c r="R2957" s="65">
        <f ca="1">SUMIF(日報!$J:$J,$O2957,日報!$L:$L)</f>
        <v>0</v>
      </c>
    </row>
    <row r="2958" spans="15:18" x14ac:dyDescent="0.15">
      <c r="O2958" s="7" t="str">
        <f>"REQ"&amp;TEXT([2]RequestList!$A2959,"0000")</f>
        <v>REQ0000</v>
      </c>
      <c r="P2958" s="7">
        <f>[2]RequestList!$J2959</f>
        <v>0</v>
      </c>
      <c r="Q2958" s="65">
        <f>SUMIF(日報!$R:$R,TEXT(YEAR($Q$2),"0000")&amp;TEXT(MONTH($Q$2),"00")&amp;$O2958,日報!$L:$L)</f>
        <v>0</v>
      </c>
      <c r="R2958" s="65">
        <f ca="1">SUMIF(日報!$J:$J,$O2958,日報!$L:$L)</f>
        <v>0</v>
      </c>
    </row>
    <row r="2959" spans="15:18" x14ac:dyDescent="0.15">
      <c r="O2959" s="7" t="str">
        <f>"REQ"&amp;TEXT([2]RequestList!$A2960,"0000")</f>
        <v>REQ0000</v>
      </c>
      <c r="P2959" s="7">
        <f>[2]RequestList!$J2960</f>
        <v>0</v>
      </c>
      <c r="Q2959" s="65">
        <f>SUMIF(日報!$R:$R,TEXT(YEAR($Q$2),"0000")&amp;TEXT(MONTH($Q$2),"00")&amp;$O2959,日報!$L:$L)</f>
        <v>0</v>
      </c>
      <c r="R2959" s="65">
        <f ca="1">SUMIF(日報!$J:$J,$O2959,日報!$L:$L)</f>
        <v>0</v>
      </c>
    </row>
    <row r="2960" spans="15:18" x14ac:dyDescent="0.15">
      <c r="O2960" s="7" t="str">
        <f>"REQ"&amp;TEXT([2]RequestList!$A2961,"0000")</f>
        <v>REQ0000</v>
      </c>
      <c r="P2960" s="7">
        <f>[2]RequestList!$J2961</f>
        <v>0</v>
      </c>
      <c r="Q2960" s="65">
        <f>SUMIF(日報!$R:$R,TEXT(YEAR($Q$2),"0000")&amp;TEXT(MONTH($Q$2),"00")&amp;$O2960,日報!$L:$L)</f>
        <v>0</v>
      </c>
      <c r="R2960" s="65">
        <f ca="1">SUMIF(日報!$J:$J,$O2960,日報!$L:$L)</f>
        <v>0</v>
      </c>
    </row>
    <row r="2961" spans="15:18" x14ac:dyDescent="0.15">
      <c r="O2961" s="7" t="str">
        <f>"REQ"&amp;TEXT([2]RequestList!$A2962,"0000")</f>
        <v>REQ0000</v>
      </c>
      <c r="P2961" s="7">
        <f>[2]RequestList!$J2962</f>
        <v>0</v>
      </c>
      <c r="Q2961" s="65">
        <f>SUMIF(日報!$R:$R,TEXT(YEAR($Q$2),"0000")&amp;TEXT(MONTH($Q$2),"00")&amp;$O2961,日報!$L:$L)</f>
        <v>0</v>
      </c>
      <c r="R2961" s="65">
        <f ca="1">SUMIF(日報!$J:$J,$O2961,日報!$L:$L)</f>
        <v>0</v>
      </c>
    </row>
    <row r="2962" spans="15:18" x14ac:dyDescent="0.15">
      <c r="O2962" s="7" t="str">
        <f>"REQ"&amp;TEXT([2]RequestList!$A2963,"0000")</f>
        <v>REQ0000</v>
      </c>
      <c r="P2962" s="7">
        <f>[2]RequestList!$J2963</f>
        <v>0</v>
      </c>
      <c r="Q2962" s="65">
        <f>SUMIF(日報!$R:$R,TEXT(YEAR($Q$2),"0000")&amp;TEXT(MONTH($Q$2),"00")&amp;$O2962,日報!$L:$L)</f>
        <v>0</v>
      </c>
      <c r="R2962" s="65">
        <f ca="1">SUMIF(日報!$J:$J,$O2962,日報!$L:$L)</f>
        <v>0</v>
      </c>
    </row>
    <row r="2963" spans="15:18" x14ac:dyDescent="0.15">
      <c r="O2963" s="7" t="str">
        <f>"REQ"&amp;TEXT([2]RequestList!$A2964,"0000")</f>
        <v>REQ0000</v>
      </c>
      <c r="P2963" s="7">
        <f>[2]RequestList!$J2964</f>
        <v>0</v>
      </c>
      <c r="Q2963" s="65">
        <f>SUMIF(日報!$R:$R,TEXT(YEAR($Q$2),"0000")&amp;TEXT(MONTH($Q$2),"00")&amp;$O2963,日報!$L:$L)</f>
        <v>0</v>
      </c>
      <c r="R2963" s="65">
        <f ca="1">SUMIF(日報!$J:$J,$O2963,日報!$L:$L)</f>
        <v>0</v>
      </c>
    </row>
    <row r="2964" spans="15:18" x14ac:dyDescent="0.15">
      <c r="O2964" s="7" t="str">
        <f>"REQ"&amp;TEXT([2]RequestList!$A2965,"0000")</f>
        <v>REQ0000</v>
      </c>
      <c r="P2964" s="7">
        <f>[2]RequestList!$J2965</f>
        <v>0</v>
      </c>
      <c r="Q2964" s="65">
        <f>SUMIF(日報!$R:$R,TEXT(YEAR($Q$2),"0000")&amp;TEXT(MONTH($Q$2),"00")&amp;$O2964,日報!$L:$L)</f>
        <v>0</v>
      </c>
      <c r="R2964" s="65">
        <f ca="1">SUMIF(日報!$J:$J,$O2964,日報!$L:$L)</f>
        <v>0</v>
      </c>
    </row>
    <row r="2965" spans="15:18" x14ac:dyDescent="0.15">
      <c r="O2965" s="7" t="str">
        <f>"REQ"&amp;TEXT([2]RequestList!$A2966,"0000")</f>
        <v>REQ0000</v>
      </c>
      <c r="P2965" s="7">
        <f>[2]RequestList!$J2966</f>
        <v>0</v>
      </c>
      <c r="Q2965" s="65">
        <f>SUMIF(日報!$R:$R,TEXT(YEAR($Q$2),"0000")&amp;TEXT(MONTH($Q$2),"00")&amp;$O2965,日報!$L:$L)</f>
        <v>0</v>
      </c>
      <c r="R2965" s="65">
        <f ca="1">SUMIF(日報!$J:$J,$O2965,日報!$L:$L)</f>
        <v>0</v>
      </c>
    </row>
    <row r="2966" spans="15:18" x14ac:dyDescent="0.15">
      <c r="O2966" s="7" t="str">
        <f>"REQ"&amp;TEXT([2]RequestList!$A2967,"0000")</f>
        <v>REQ0000</v>
      </c>
      <c r="P2966" s="7">
        <f>[2]RequestList!$J2967</f>
        <v>0</v>
      </c>
      <c r="Q2966" s="65">
        <f>SUMIF(日報!$R:$R,TEXT(YEAR($Q$2),"0000")&amp;TEXT(MONTH($Q$2),"00")&amp;$O2966,日報!$L:$L)</f>
        <v>0</v>
      </c>
      <c r="R2966" s="65">
        <f ca="1">SUMIF(日報!$J:$J,$O2966,日報!$L:$L)</f>
        <v>0</v>
      </c>
    </row>
    <row r="2967" spans="15:18" x14ac:dyDescent="0.15">
      <c r="O2967" s="7" t="str">
        <f>"REQ"&amp;TEXT([2]RequestList!$A2968,"0000")</f>
        <v>REQ0000</v>
      </c>
      <c r="P2967" s="7">
        <f>[2]RequestList!$J2968</f>
        <v>0</v>
      </c>
      <c r="Q2967" s="65">
        <f>SUMIF(日報!$R:$R,TEXT(YEAR($Q$2),"0000")&amp;TEXT(MONTH($Q$2),"00")&amp;$O2967,日報!$L:$L)</f>
        <v>0</v>
      </c>
      <c r="R2967" s="65">
        <f ca="1">SUMIF(日報!$J:$J,$O2967,日報!$L:$L)</f>
        <v>0</v>
      </c>
    </row>
    <row r="2968" spans="15:18" x14ac:dyDescent="0.15">
      <c r="O2968" s="7" t="str">
        <f>"REQ"&amp;TEXT([2]RequestList!$A2969,"0000")</f>
        <v>REQ0000</v>
      </c>
      <c r="P2968" s="7">
        <f>[2]RequestList!$J2969</f>
        <v>0</v>
      </c>
      <c r="Q2968" s="65">
        <f>SUMIF(日報!$R:$R,TEXT(YEAR($Q$2),"0000")&amp;TEXT(MONTH($Q$2),"00")&amp;$O2968,日報!$L:$L)</f>
        <v>0</v>
      </c>
      <c r="R2968" s="65">
        <f ca="1">SUMIF(日報!$J:$J,$O2968,日報!$L:$L)</f>
        <v>0</v>
      </c>
    </row>
    <row r="2969" spans="15:18" x14ac:dyDescent="0.15">
      <c r="O2969" s="7" t="str">
        <f>"REQ"&amp;TEXT([2]RequestList!$A2970,"0000")</f>
        <v>REQ0000</v>
      </c>
      <c r="P2969" s="7">
        <f>[2]RequestList!$J2970</f>
        <v>0</v>
      </c>
      <c r="Q2969" s="65">
        <f>SUMIF(日報!$R:$R,TEXT(YEAR($Q$2),"0000")&amp;TEXT(MONTH($Q$2),"00")&amp;$O2969,日報!$L:$L)</f>
        <v>0</v>
      </c>
      <c r="R2969" s="65">
        <f ca="1">SUMIF(日報!$J:$J,$O2969,日報!$L:$L)</f>
        <v>0</v>
      </c>
    </row>
    <row r="2970" spans="15:18" x14ac:dyDescent="0.15">
      <c r="O2970" s="7" t="str">
        <f>"REQ"&amp;TEXT([2]RequestList!$A2971,"0000")</f>
        <v>REQ0000</v>
      </c>
      <c r="P2970" s="7">
        <f>[2]RequestList!$J2971</f>
        <v>0</v>
      </c>
      <c r="Q2970" s="65">
        <f>SUMIF(日報!$R:$R,TEXT(YEAR($Q$2),"0000")&amp;TEXT(MONTH($Q$2),"00")&amp;$O2970,日報!$L:$L)</f>
        <v>0</v>
      </c>
      <c r="R2970" s="65">
        <f ca="1">SUMIF(日報!$J:$J,$O2970,日報!$L:$L)</f>
        <v>0</v>
      </c>
    </row>
    <row r="2971" spans="15:18" x14ac:dyDescent="0.15">
      <c r="O2971" s="7" t="str">
        <f>"REQ"&amp;TEXT([2]RequestList!$A2972,"0000")</f>
        <v>REQ0000</v>
      </c>
      <c r="P2971" s="7">
        <f>[2]RequestList!$J2972</f>
        <v>0</v>
      </c>
      <c r="Q2971" s="65">
        <f>SUMIF(日報!$R:$R,TEXT(YEAR($Q$2),"0000")&amp;TEXT(MONTH($Q$2),"00")&amp;$O2971,日報!$L:$L)</f>
        <v>0</v>
      </c>
      <c r="R2971" s="65">
        <f ca="1">SUMIF(日報!$J:$J,$O2971,日報!$L:$L)</f>
        <v>0</v>
      </c>
    </row>
    <row r="2972" spans="15:18" x14ac:dyDescent="0.15">
      <c r="O2972" s="7" t="str">
        <f>"REQ"&amp;TEXT([2]RequestList!$A2973,"0000")</f>
        <v>REQ0000</v>
      </c>
      <c r="P2972" s="7">
        <f>[2]RequestList!$J2973</f>
        <v>0</v>
      </c>
      <c r="Q2972" s="65">
        <f>SUMIF(日報!$R:$R,TEXT(YEAR($Q$2),"0000")&amp;TEXT(MONTH($Q$2),"00")&amp;$O2972,日報!$L:$L)</f>
        <v>0</v>
      </c>
      <c r="R2972" s="65">
        <f ca="1">SUMIF(日報!$J:$J,$O2972,日報!$L:$L)</f>
        <v>0</v>
      </c>
    </row>
    <row r="2973" spans="15:18" x14ac:dyDescent="0.15">
      <c r="O2973" s="7" t="str">
        <f>"REQ"&amp;TEXT([2]RequestList!$A2974,"0000")</f>
        <v>REQ0000</v>
      </c>
      <c r="P2973" s="7">
        <f>[2]RequestList!$J2974</f>
        <v>0</v>
      </c>
      <c r="Q2973" s="65">
        <f>SUMIF(日報!$R:$R,TEXT(YEAR($Q$2),"0000")&amp;TEXT(MONTH($Q$2),"00")&amp;$O2973,日報!$L:$L)</f>
        <v>0</v>
      </c>
      <c r="R2973" s="65">
        <f ca="1">SUMIF(日報!$J:$J,$O2973,日報!$L:$L)</f>
        <v>0</v>
      </c>
    </row>
    <row r="2974" spans="15:18" x14ac:dyDescent="0.15">
      <c r="O2974" s="7" t="str">
        <f>"REQ"&amp;TEXT([2]RequestList!$A2975,"0000")</f>
        <v>REQ0000</v>
      </c>
      <c r="P2974" s="7">
        <f>[2]RequestList!$J2975</f>
        <v>0</v>
      </c>
      <c r="Q2974" s="65">
        <f>SUMIF(日報!$R:$R,TEXT(YEAR($Q$2),"0000")&amp;TEXT(MONTH($Q$2),"00")&amp;$O2974,日報!$L:$L)</f>
        <v>0</v>
      </c>
      <c r="R2974" s="65">
        <f ca="1">SUMIF(日報!$J:$J,$O2974,日報!$L:$L)</f>
        <v>0</v>
      </c>
    </row>
    <row r="2975" spans="15:18" x14ac:dyDescent="0.15">
      <c r="O2975" s="7" t="str">
        <f>"REQ"&amp;TEXT([2]RequestList!$A2976,"0000")</f>
        <v>REQ0000</v>
      </c>
      <c r="P2975" s="7">
        <f>[2]RequestList!$J2976</f>
        <v>0</v>
      </c>
      <c r="Q2975" s="65">
        <f>SUMIF(日報!$R:$R,TEXT(YEAR($Q$2),"0000")&amp;TEXT(MONTH($Q$2),"00")&amp;$O2975,日報!$L:$L)</f>
        <v>0</v>
      </c>
      <c r="R2975" s="65">
        <f ca="1">SUMIF(日報!$J:$J,$O2975,日報!$L:$L)</f>
        <v>0</v>
      </c>
    </row>
    <row r="2976" spans="15:18" x14ac:dyDescent="0.15">
      <c r="O2976" s="7" t="str">
        <f>"REQ"&amp;TEXT([2]RequestList!$A2977,"0000")</f>
        <v>REQ0000</v>
      </c>
      <c r="P2976" s="7">
        <f>[2]RequestList!$J2977</f>
        <v>0</v>
      </c>
      <c r="Q2976" s="65">
        <f>SUMIF(日報!$R:$R,TEXT(YEAR($Q$2),"0000")&amp;TEXT(MONTH($Q$2),"00")&amp;$O2976,日報!$L:$L)</f>
        <v>0</v>
      </c>
      <c r="R2976" s="65">
        <f ca="1">SUMIF(日報!$J:$J,$O2976,日報!$L:$L)</f>
        <v>0</v>
      </c>
    </row>
    <row r="2977" spans="15:18" x14ac:dyDescent="0.15">
      <c r="O2977" s="7" t="str">
        <f>"REQ"&amp;TEXT([2]RequestList!$A2978,"0000")</f>
        <v>REQ0000</v>
      </c>
      <c r="P2977" s="7">
        <f>[2]RequestList!$J2978</f>
        <v>0</v>
      </c>
      <c r="Q2977" s="65">
        <f>SUMIF(日報!$R:$R,TEXT(YEAR($Q$2),"0000")&amp;TEXT(MONTH($Q$2),"00")&amp;$O2977,日報!$L:$L)</f>
        <v>0</v>
      </c>
      <c r="R2977" s="65">
        <f ca="1">SUMIF(日報!$J:$J,$O2977,日報!$L:$L)</f>
        <v>0</v>
      </c>
    </row>
    <row r="2978" spans="15:18" x14ac:dyDescent="0.15">
      <c r="O2978" s="7" t="str">
        <f>"REQ"&amp;TEXT([2]RequestList!$A2979,"0000")</f>
        <v>REQ0000</v>
      </c>
      <c r="P2978" s="7">
        <f>[2]RequestList!$J2979</f>
        <v>0</v>
      </c>
      <c r="Q2978" s="65">
        <f>SUMIF(日報!$R:$R,TEXT(YEAR($Q$2),"0000")&amp;TEXT(MONTH($Q$2),"00")&amp;$O2978,日報!$L:$L)</f>
        <v>0</v>
      </c>
      <c r="R2978" s="65">
        <f ca="1">SUMIF(日報!$J:$J,$O2978,日報!$L:$L)</f>
        <v>0</v>
      </c>
    </row>
    <row r="2979" spans="15:18" x14ac:dyDescent="0.15">
      <c r="O2979" s="7" t="str">
        <f>"REQ"&amp;TEXT([2]RequestList!$A2980,"0000")</f>
        <v>REQ0000</v>
      </c>
      <c r="P2979" s="7">
        <f>[2]RequestList!$J2980</f>
        <v>0</v>
      </c>
      <c r="Q2979" s="65">
        <f>SUMIF(日報!$R:$R,TEXT(YEAR($Q$2),"0000")&amp;TEXT(MONTH($Q$2),"00")&amp;$O2979,日報!$L:$L)</f>
        <v>0</v>
      </c>
      <c r="R2979" s="65">
        <f ca="1">SUMIF(日報!$J:$J,$O2979,日報!$L:$L)</f>
        <v>0</v>
      </c>
    </row>
    <row r="2980" spans="15:18" x14ac:dyDescent="0.15">
      <c r="O2980" s="7" t="str">
        <f>"REQ"&amp;TEXT([2]RequestList!$A2981,"0000")</f>
        <v>REQ0000</v>
      </c>
      <c r="P2980" s="7">
        <f>[2]RequestList!$J2981</f>
        <v>0</v>
      </c>
      <c r="Q2980" s="65">
        <f>SUMIF(日報!$R:$R,TEXT(YEAR($Q$2),"0000")&amp;TEXT(MONTH($Q$2),"00")&amp;$O2980,日報!$L:$L)</f>
        <v>0</v>
      </c>
      <c r="R2980" s="65">
        <f ca="1">SUMIF(日報!$J:$J,$O2980,日報!$L:$L)</f>
        <v>0</v>
      </c>
    </row>
    <row r="2981" spans="15:18" x14ac:dyDescent="0.15">
      <c r="O2981" s="7" t="str">
        <f>"REQ"&amp;TEXT([2]RequestList!$A2982,"0000")</f>
        <v>REQ0000</v>
      </c>
      <c r="P2981" s="7">
        <f>[2]RequestList!$J2982</f>
        <v>0</v>
      </c>
      <c r="Q2981" s="65">
        <f>SUMIF(日報!$R:$R,TEXT(YEAR($Q$2),"0000")&amp;TEXT(MONTH($Q$2),"00")&amp;$O2981,日報!$L:$L)</f>
        <v>0</v>
      </c>
      <c r="R2981" s="65">
        <f ca="1">SUMIF(日報!$J:$J,$O2981,日報!$L:$L)</f>
        <v>0</v>
      </c>
    </row>
    <row r="2982" spans="15:18" x14ac:dyDescent="0.15">
      <c r="O2982" s="7" t="str">
        <f>"REQ"&amp;TEXT([2]RequestList!$A2983,"0000")</f>
        <v>REQ0000</v>
      </c>
      <c r="P2982" s="7">
        <f>[2]RequestList!$J2983</f>
        <v>0</v>
      </c>
      <c r="Q2982" s="65">
        <f>SUMIF(日報!$R:$R,TEXT(YEAR($Q$2),"0000")&amp;TEXT(MONTH($Q$2),"00")&amp;$O2982,日報!$L:$L)</f>
        <v>0</v>
      </c>
      <c r="R2982" s="65">
        <f ca="1">SUMIF(日報!$J:$J,$O2982,日報!$L:$L)</f>
        <v>0</v>
      </c>
    </row>
    <row r="2983" spans="15:18" x14ac:dyDescent="0.15">
      <c r="O2983" s="7" t="str">
        <f>"REQ"&amp;TEXT([2]RequestList!$A2984,"0000")</f>
        <v>REQ0000</v>
      </c>
      <c r="P2983" s="7">
        <f>[2]RequestList!$J2984</f>
        <v>0</v>
      </c>
      <c r="Q2983" s="65">
        <f>SUMIF(日報!$R:$R,TEXT(YEAR($Q$2),"0000")&amp;TEXT(MONTH($Q$2),"00")&amp;$O2983,日報!$L:$L)</f>
        <v>0</v>
      </c>
      <c r="R2983" s="65">
        <f ca="1">SUMIF(日報!$J:$J,$O2983,日報!$L:$L)</f>
        <v>0</v>
      </c>
    </row>
    <row r="2984" spans="15:18" x14ac:dyDescent="0.15">
      <c r="O2984" s="7" t="str">
        <f>"REQ"&amp;TEXT([2]RequestList!$A2985,"0000")</f>
        <v>REQ0000</v>
      </c>
      <c r="P2984" s="7">
        <f>[2]RequestList!$J2985</f>
        <v>0</v>
      </c>
      <c r="Q2984" s="65">
        <f>SUMIF(日報!$R:$R,TEXT(YEAR($Q$2),"0000")&amp;TEXT(MONTH($Q$2),"00")&amp;$O2984,日報!$L:$L)</f>
        <v>0</v>
      </c>
      <c r="R2984" s="65">
        <f ca="1">SUMIF(日報!$J:$J,$O2984,日報!$L:$L)</f>
        <v>0</v>
      </c>
    </row>
    <row r="2985" spans="15:18" x14ac:dyDescent="0.15">
      <c r="O2985" s="7" t="str">
        <f>"REQ"&amp;TEXT([2]RequestList!$A2986,"0000")</f>
        <v>REQ0000</v>
      </c>
      <c r="P2985" s="7">
        <f>[2]RequestList!$J2986</f>
        <v>0</v>
      </c>
      <c r="Q2985" s="65">
        <f>SUMIF(日報!$R:$R,TEXT(YEAR($Q$2),"0000")&amp;TEXT(MONTH($Q$2),"00")&amp;$O2985,日報!$L:$L)</f>
        <v>0</v>
      </c>
      <c r="R2985" s="65">
        <f ca="1">SUMIF(日報!$J:$J,$O2985,日報!$L:$L)</f>
        <v>0</v>
      </c>
    </row>
    <row r="2986" spans="15:18" x14ac:dyDescent="0.15">
      <c r="O2986" s="7" t="str">
        <f>"REQ"&amp;TEXT([2]RequestList!$A2987,"0000")</f>
        <v>REQ0000</v>
      </c>
      <c r="P2986" s="7">
        <f>[2]RequestList!$J2987</f>
        <v>0</v>
      </c>
      <c r="Q2986" s="65">
        <f>SUMIF(日報!$R:$R,TEXT(YEAR($Q$2),"0000")&amp;TEXT(MONTH($Q$2),"00")&amp;$O2986,日報!$L:$L)</f>
        <v>0</v>
      </c>
      <c r="R2986" s="65">
        <f ca="1">SUMIF(日報!$J:$J,$O2986,日報!$L:$L)</f>
        <v>0</v>
      </c>
    </row>
    <row r="2987" spans="15:18" x14ac:dyDescent="0.15">
      <c r="O2987" s="7" t="str">
        <f>"REQ"&amp;TEXT([2]RequestList!$A2988,"0000")</f>
        <v>REQ0000</v>
      </c>
      <c r="P2987" s="7">
        <f>[2]RequestList!$J2988</f>
        <v>0</v>
      </c>
      <c r="Q2987" s="65">
        <f>SUMIF(日報!$R:$R,TEXT(YEAR($Q$2),"0000")&amp;TEXT(MONTH($Q$2),"00")&amp;$O2987,日報!$L:$L)</f>
        <v>0</v>
      </c>
      <c r="R2987" s="65">
        <f ca="1">SUMIF(日報!$J:$J,$O2987,日報!$L:$L)</f>
        <v>0</v>
      </c>
    </row>
    <row r="2988" spans="15:18" x14ac:dyDescent="0.15">
      <c r="O2988" s="7" t="str">
        <f>"REQ"&amp;TEXT([2]RequestList!$A2989,"0000")</f>
        <v>REQ0000</v>
      </c>
      <c r="P2988" s="7">
        <f>[2]RequestList!$J2989</f>
        <v>0</v>
      </c>
      <c r="Q2988" s="65">
        <f>SUMIF(日報!$R:$R,TEXT(YEAR($Q$2),"0000")&amp;TEXT(MONTH($Q$2),"00")&amp;$O2988,日報!$L:$L)</f>
        <v>0</v>
      </c>
      <c r="R2988" s="65">
        <f ca="1">SUMIF(日報!$J:$J,$O2988,日報!$L:$L)</f>
        <v>0</v>
      </c>
    </row>
    <row r="2989" spans="15:18" x14ac:dyDescent="0.15">
      <c r="O2989" s="7" t="str">
        <f>"REQ"&amp;TEXT([2]RequestList!$A2990,"0000")</f>
        <v>REQ0000</v>
      </c>
      <c r="P2989" s="7">
        <f>[2]RequestList!$J2990</f>
        <v>0</v>
      </c>
      <c r="Q2989" s="65">
        <f>SUMIF(日報!$R:$R,TEXT(YEAR($Q$2),"0000")&amp;TEXT(MONTH($Q$2),"00")&amp;$O2989,日報!$L:$L)</f>
        <v>0</v>
      </c>
      <c r="R2989" s="65">
        <f ca="1">SUMIF(日報!$J:$J,$O2989,日報!$L:$L)</f>
        <v>0</v>
      </c>
    </row>
    <row r="2990" spans="15:18" x14ac:dyDescent="0.15">
      <c r="O2990" s="7" t="str">
        <f>"REQ"&amp;TEXT([2]RequestList!$A2991,"0000")</f>
        <v>REQ0000</v>
      </c>
      <c r="P2990" s="7">
        <f>[2]RequestList!$J2991</f>
        <v>0</v>
      </c>
      <c r="Q2990" s="65">
        <f>SUMIF(日報!$R:$R,TEXT(YEAR($Q$2),"0000")&amp;TEXT(MONTH($Q$2),"00")&amp;$O2990,日報!$L:$L)</f>
        <v>0</v>
      </c>
      <c r="R2990" s="65">
        <f ca="1">SUMIF(日報!$J:$J,$O2990,日報!$L:$L)</f>
        <v>0</v>
      </c>
    </row>
    <row r="2991" spans="15:18" x14ac:dyDescent="0.15">
      <c r="O2991" s="7" t="str">
        <f>"REQ"&amp;TEXT([2]RequestList!$A2992,"0000")</f>
        <v>REQ0000</v>
      </c>
      <c r="P2991" s="7">
        <f>[2]RequestList!$J2992</f>
        <v>0</v>
      </c>
      <c r="Q2991" s="65">
        <f>SUMIF(日報!$R:$R,TEXT(YEAR($Q$2),"0000")&amp;TEXT(MONTH($Q$2),"00")&amp;$O2991,日報!$L:$L)</f>
        <v>0</v>
      </c>
      <c r="R2991" s="65">
        <f ca="1">SUMIF(日報!$J:$J,$O2991,日報!$L:$L)</f>
        <v>0</v>
      </c>
    </row>
    <row r="2992" spans="15:18" x14ac:dyDescent="0.15">
      <c r="O2992" s="7" t="str">
        <f>"REQ"&amp;TEXT([2]RequestList!$A2993,"0000")</f>
        <v>REQ0000</v>
      </c>
      <c r="P2992" s="7">
        <f>[2]RequestList!$J2993</f>
        <v>0</v>
      </c>
      <c r="Q2992" s="65">
        <f>SUMIF(日報!$R:$R,TEXT(YEAR($Q$2),"0000")&amp;TEXT(MONTH($Q$2),"00")&amp;$O2992,日報!$L:$L)</f>
        <v>0</v>
      </c>
      <c r="R2992" s="65">
        <f ca="1">SUMIF(日報!$J:$J,$O2992,日報!$L:$L)</f>
        <v>0</v>
      </c>
    </row>
    <row r="2993" spans="15:18" x14ac:dyDescent="0.15">
      <c r="O2993" s="7" t="str">
        <f>"REQ"&amp;TEXT([2]RequestList!$A2994,"0000")</f>
        <v>REQ0000</v>
      </c>
      <c r="P2993" s="7">
        <f>[2]RequestList!$J2994</f>
        <v>0</v>
      </c>
      <c r="Q2993" s="65">
        <f>SUMIF(日報!$R:$R,TEXT(YEAR($Q$2),"0000")&amp;TEXT(MONTH($Q$2),"00")&amp;$O2993,日報!$L:$L)</f>
        <v>0</v>
      </c>
      <c r="R2993" s="65">
        <f ca="1">SUMIF(日報!$J:$J,$O2993,日報!$L:$L)</f>
        <v>0</v>
      </c>
    </row>
    <row r="2994" spans="15:18" x14ac:dyDescent="0.15">
      <c r="O2994" s="7" t="str">
        <f>"REQ"&amp;TEXT([2]RequestList!$A2995,"0000")</f>
        <v>REQ0000</v>
      </c>
      <c r="P2994" s="7">
        <f>[2]RequestList!$J2995</f>
        <v>0</v>
      </c>
      <c r="Q2994" s="65">
        <f>SUMIF(日報!$R:$R,TEXT(YEAR($Q$2),"0000")&amp;TEXT(MONTH($Q$2),"00")&amp;$O2994,日報!$L:$L)</f>
        <v>0</v>
      </c>
      <c r="R2994" s="65">
        <f ca="1">SUMIF(日報!$J:$J,$O2994,日報!$L:$L)</f>
        <v>0</v>
      </c>
    </row>
    <row r="2995" spans="15:18" x14ac:dyDescent="0.15">
      <c r="O2995" s="7" t="str">
        <f>"REQ"&amp;TEXT([2]RequestList!$A2996,"0000")</f>
        <v>REQ0000</v>
      </c>
      <c r="P2995" s="7">
        <f>[2]RequestList!$J2996</f>
        <v>0</v>
      </c>
      <c r="Q2995" s="65">
        <f>SUMIF(日報!$R:$R,TEXT(YEAR($Q$2),"0000")&amp;TEXT(MONTH($Q$2),"00")&amp;$O2995,日報!$L:$L)</f>
        <v>0</v>
      </c>
      <c r="R2995" s="65">
        <f ca="1">SUMIF(日報!$J:$J,$O2995,日報!$L:$L)</f>
        <v>0</v>
      </c>
    </row>
    <row r="2996" spans="15:18" x14ac:dyDescent="0.15">
      <c r="O2996" s="7" t="str">
        <f>"REQ"&amp;TEXT([2]RequestList!$A2997,"0000")</f>
        <v>REQ0000</v>
      </c>
      <c r="P2996" s="7">
        <f>[2]RequestList!$J2997</f>
        <v>0</v>
      </c>
      <c r="Q2996" s="65">
        <f>SUMIF(日報!$R:$R,TEXT(YEAR($Q$2),"0000")&amp;TEXT(MONTH($Q$2),"00")&amp;$O2996,日報!$L:$L)</f>
        <v>0</v>
      </c>
      <c r="R2996" s="65">
        <f ca="1">SUMIF(日報!$J:$J,$O2996,日報!$L:$L)</f>
        <v>0</v>
      </c>
    </row>
    <row r="2997" spans="15:18" x14ac:dyDescent="0.15">
      <c r="O2997" s="7" t="str">
        <f>"REQ"&amp;TEXT([2]RequestList!$A2998,"0000")</f>
        <v>REQ0000</v>
      </c>
      <c r="P2997" s="7">
        <f>[2]RequestList!$J2998</f>
        <v>0</v>
      </c>
      <c r="Q2997" s="65">
        <f>SUMIF(日報!$R:$R,TEXT(YEAR($Q$2),"0000")&amp;TEXT(MONTH($Q$2),"00")&amp;$O2997,日報!$L:$L)</f>
        <v>0</v>
      </c>
      <c r="R2997" s="65">
        <f ca="1">SUMIF(日報!$J:$J,$O2997,日報!$L:$L)</f>
        <v>0</v>
      </c>
    </row>
    <row r="2998" spans="15:18" x14ac:dyDescent="0.15">
      <c r="O2998" s="7" t="str">
        <f>"REQ"&amp;TEXT([2]RequestList!$A2999,"0000")</f>
        <v>REQ0000</v>
      </c>
      <c r="P2998" s="7">
        <f>[2]RequestList!$J2999</f>
        <v>0</v>
      </c>
      <c r="Q2998" s="65">
        <f>SUMIF(日報!$R:$R,TEXT(YEAR($Q$2),"0000")&amp;TEXT(MONTH($Q$2),"00")&amp;$O2998,日報!$L:$L)</f>
        <v>0</v>
      </c>
      <c r="R2998" s="65">
        <f ca="1">SUMIF(日報!$J:$J,$O2998,日報!$L:$L)</f>
        <v>0</v>
      </c>
    </row>
    <row r="2999" spans="15:18" x14ac:dyDescent="0.15">
      <c r="O2999" s="7" t="str">
        <f>"REQ"&amp;TEXT([2]RequestList!$A3000,"0000")</f>
        <v>REQ0000</v>
      </c>
      <c r="P2999" s="7">
        <f>[2]RequestList!$J3000</f>
        <v>0</v>
      </c>
      <c r="Q2999" s="65">
        <f>SUMIF(日報!$R:$R,TEXT(YEAR($Q$2),"0000")&amp;TEXT(MONTH($Q$2),"00")&amp;$O2999,日報!$L:$L)</f>
        <v>0</v>
      </c>
      <c r="R2999" s="65">
        <f ca="1">SUMIF(日報!$J:$J,$O2999,日報!$L:$L)</f>
        <v>0</v>
      </c>
    </row>
    <row r="3000" spans="15:18" x14ac:dyDescent="0.15">
      <c r="O3000" s="7" t="str">
        <f>"REQ"&amp;TEXT([2]RequestList!$A3001,"0000")</f>
        <v>REQ0000</v>
      </c>
      <c r="P3000" s="7">
        <f>[2]RequestList!$J3001</f>
        <v>0</v>
      </c>
      <c r="Q3000" s="65">
        <f>SUMIF(日報!$R:$R,TEXT(YEAR($Q$2),"0000")&amp;TEXT(MONTH($Q$2),"00")&amp;$O3000,日報!$L:$L)</f>
        <v>0</v>
      </c>
      <c r="R3000" s="65">
        <f ca="1">SUMIF(日報!$J:$J,$O3000,日報!$L:$L)</f>
        <v>0</v>
      </c>
    </row>
    <row r="3001" spans="15:18" x14ac:dyDescent="0.15">
      <c r="O3001" s="7" t="str">
        <f>"REQ"&amp;TEXT([2]RequestList!$A3002,"0000")</f>
        <v>REQ0000</v>
      </c>
      <c r="P3001" s="7">
        <f>[2]RequestList!$J3002</f>
        <v>0</v>
      </c>
      <c r="Q3001" s="65">
        <f>SUMIF(日報!$R:$R,TEXT(YEAR($Q$2),"0000")&amp;TEXT(MONTH($Q$2),"00")&amp;$O3001,日報!$L:$L)</f>
        <v>0</v>
      </c>
      <c r="R3001" s="65">
        <f ca="1">SUMIF(日報!$J:$J,$O3001,日報!$L:$L)</f>
        <v>0</v>
      </c>
    </row>
    <row r="3002" spans="15:18" x14ac:dyDescent="0.15">
      <c r="O3002" s="7" t="str">
        <f>"REQ"&amp;TEXT([2]RequestList!$A3003,"0000")</f>
        <v>REQ0000</v>
      </c>
      <c r="P3002" s="7">
        <f>[2]RequestList!$J3003</f>
        <v>0</v>
      </c>
      <c r="Q3002" s="65">
        <f>SUMIF(日報!$R:$R,TEXT(YEAR($Q$2),"0000")&amp;TEXT(MONTH($Q$2),"00")&amp;$O3002,日報!$L:$L)</f>
        <v>0</v>
      </c>
      <c r="R3002" s="65">
        <f ca="1">SUMIF(日報!$J:$J,$O3002,日報!$L:$L)</f>
        <v>0</v>
      </c>
    </row>
    <row r="3003" spans="15:18" x14ac:dyDescent="0.15">
      <c r="O3003" s="7" t="str">
        <f>"REQ"&amp;TEXT([2]RequestList!$A3004,"0000")</f>
        <v>REQ0000</v>
      </c>
      <c r="P3003" s="7">
        <f>[2]RequestList!$J3004</f>
        <v>0</v>
      </c>
      <c r="Q3003" s="65">
        <f>SUMIF(日報!$R:$R,TEXT(YEAR($Q$2),"0000")&amp;TEXT(MONTH($Q$2),"00")&amp;$O3003,日報!$L:$L)</f>
        <v>0</v>
      </c>
      <c r="R3003" s="65">
        <f ca="1">SUMIF(日報!$J:$J,$O3003,日報!$L:$L)</f>
        <v>0</v>
      </c>
    </row>
    <row r="3004" spans="15:18" x14ac:dyDescent="0.15">
      <c r="O3004" s="7" t="str">
        <f>"REQ"&amp;TEXT([2]RequestList!$A3005,"0000")</f>
        <v>REQ0000</v>
      </c>
      <c r="P3004" s="7">
        <f>[2]RequestList!$J3005</f>
        <v>0</v>
      </c>
      <c r="Q3004" s="65">
        <f>SUMIF(日報!$R:$R,TEXT(YEAR($Q$2),"0000")&amp;TEXT(MONTH($Q$2),"00")&amp;$O3004,日報!$L:$L)</f>
        <v>0</v>
      </c>
      <c r="R3004" s="65">
        <f ca="1">SUMIF(日報!$J:$J,$O3004,日報!$L:$L)</f>
        <v>0</v>
      </c>
    </row>
    <row r="3005" spans="15:18" x14ac:dyDescent="0.15">
      <c r="O3005" s="7" t="str">
        <f>"REQ"&amp;TEXT([2]RequestList!$A3006,"0000")</f>
        <v>REQ0000</v>
      </c>
      <c r="P3005" s="7">
        <f>[2]RequestList!$J3006</f>
        <v>0</v>
      </c>
      <c r="Q3005" s="65">
        <f>SUMIF(日報!$R:$R,TEXT(YEAR($Q$2),"0000")&amp;TEXT(MONTH($Q$2),"00")&amp;$O3005,日報!$L:$L)</f>
        <v>0</v>
      </c>
      <c r="R3005" s="65">
        <f ca="1">SUMIF(日報!$J:$J,$O3005,日報!$L:$L)</f>
        <v>0</v>
      </c>
    </row>
    <row r="3006" spans="15:18" x14ac:dyDescent="0.15">
      <c r="O3006" s="7" t="str">
        <f>"REQ"&amp;TEXT([2]RequestList!$A3007,"0000")</f>
        <v>REQ0000</v>
      </c>
      <c r="P3006" s="7">
        <f>[2]RequestList!$J3007</f>
        <v>0</v>
      </c>
      <c r="Q3006" s="65">
        <f>SUMIF(日報!$R:$R,TEXT(YEAR($Q$2),"0000")&amp;TEXT(MONTH($Q$2),"00")&amp;$O3006,日報!$L:$L)</f>
        <v>0</v>
      </c>
      <c r="R3006" s="65">
        <f ca="1">SUMIF(日報!$J:$J,$O3006,日報!$L:$L)</f>
        <v>0</v>
      </c>
    </row>
    <row r="3007" spans="15:18" x14ac:dyDescent="0.15">
      <c r="O3007" s="7" t="str">
        <f>"REQ"&amp;TEXT([2]RequestList!$A3008,"0000")</f>
        <v>REQ0000</v>
      </c>
      <c r="P3007" s="7">
        <f>[2]RequestList!$J3008</f>
        <v>0</v>
      </c>
      <c r="Q3007" s="65">
        <f>SUMIF(日報!$R:$R,TEXT(YEAR($Q$2),"0000")&amp;TEXT(MONTH($Q$2),"00")&amp;$O3007,日報!$L:$L)</f>
        <v>0</v>
      </c>
      <c r="R3007" s="65">
        <f ca="1">SUMIF(日報!$J:$J,$O3007,日報!$L:$L)</f>
        <v>0</v>
      </c>
    </row>
    <row r="3008" spans="15:18" x14ac:dyDescent="0.15">
      <c r="O3008" s="7" t="str">
        <f>"REQ"&amp;TEXT([2]RequestList!$A3009,"0000")</f>
        <v>REQ0000</v>
      </c>
      <c r="P3008" s="7">
        <f>[2]RequestList!$J3009</f>
        <v>0</v>
      </c>
      <c r="Q3008" s="65">
        <f>SUMIF(日報!$R:$R,TEXT(YEAR($Q$2),"0000")&amp;TEXT(MONTH($Q$2),"00")&amp;$O3008,日報!$L:$L)</f>
        <v>0</v>
      </c>
      <c r="R3008" s="65">
        <f ca="1">SUMIF(日報!$J:$J,$O3008,日報!$L:$L)</f>
        <v>0</v>
      </c>
    </row>
    <row r="3009" spans="15:18" x14ac:dyDescent="0.15">
      <c r="O3009" s="7" t="str">
        <f>"REQ"&amp;TEXT([2]RequestList!$A3010,"0000")</f>
        <v>REQ0000</v>
      </c>
      <c r="P3009" s="7">
        <f>[2]RequestList!$J3010</f>
        <v>0</v>
      </c>
      <c r="Q3009" s="65">
        <f>SUMIF(日報!$R:$R,TEXT(YEAR($Q$2),"0000")&amp;TEXT(MONTH($Q$2),"00")&amp;$O3009,日報!$L:$L)</f>
        <v>0</v>
      </c>
      <c r="R3009" s="65">
        <f ca="1">SUMIF(日報!$J:$J,$O3009,日報!$L:$L)</f>
        <v>0</v>
      </c>
    </row>
    <row r="3010" spans="15:18" x14ac:dyDescent="0.15">
      <c r="O3010" s="7" t="str">
        <f>"REQ"&amp;TEXT([2]RequestList!$A3011,"0000")</f>
        <v>REQ0000</v>
      </c>
      <c r="P3010" s="7">
        <f>[2]RequestList!$J3011</f>
        <v>0</v>
      </c>
      <c r="Q3010" s="65">
        <f>SUMIF(日報!$R:$R,TEXT(YEAR($Q$2),"0000")&amp;TEXT(MONTH($Q$2),"00")&amp;$O3010,日報!$L:$L)</f>
        <v>0</v>
      </c>
      <c r="R3010" s="65">
        <f ca="1">SUMIF(日報!$J:$J,$O3010,日報!$L:$L)</f>
        <v>0</v>
      </c>
    </row>
    <row r="3011" spans="15:18" x14ac:dyDescent="0.15">
      <c r="O3011" s="7" t="str">
        <f>"REQ"&amp;TEXT([2]RequestList!$A3012,"0000")</f>
        <v>REQ0000</v>
      </c>
      <c r="P3011" s="7">
        <f>[2]RequestList!$J3012</f>
        <v>0</v>
      </c>
      <c r="Q3011" s="65">
        <f>SUMIF(日報!$R:$R,TEXT(YEAR($Q$2),"0000")&amp;TEXT(MONTH($Q$2),"00")&amp;$O3011,日報!$L:$L)</f>
        <v>0</v>
      </c>
      <c r="R3011" s="65">
        <f ca="1">SUMIF(日報!$J:$J,$O3011,日報!$L:$L)</f>
        <v>0</v>
      </c>
    </row>
    <row r="3012" spans="15:18" x14ac:dyDescent="0.15">
      <c r="O3012" s="7" t="str">
        <f>"REQ"&amp;TEXT([2]RequestList!$A3013,"0000")</f>
        <v>REQ0000</v>
      </c>
      <c r="P3012" s="7">
        <f>[2]RequestList!$J3013</f>
        <v>0</v>
      </c>
      <c r="Q3012" s="65">
        <f>SUMIF(日報!$R:$R,TEXT(YEAR($Q$2),"0000")&amp;TEXT(MONTH($Q$2),"00")&amp;$O3012,日報!$L:$L)</f>
        <v>0</v>
      </c>
      <c r="R3012" s="65">
        <f ca="1">SUMIF(日報!$J:$J,$O3012,日報!$L:$L)</f>
        <v>0</v>
      </c>
    </row>
    <row r="3013" spans="15:18" x14ac:dyDescent="0.15">
      <c r="O3013" s="7" t="str">
        <f>"REQ"&amp;TEXT([2]RequestList!$A3014,"0000")</f>
        <v>REQ0000</v>
      </c>
      <c r="P3013" s="7">
        <f>[2]RequestList!$J3014</f>
        <v>0</v>
      </c>
      <c r="Q3013" s="65">
        <f>SUMIF(日報!$R:$R,TEXT(YEAR($Q$2),"0000")&amp;TEXT(MONTH($Q$2),"00")&amp;$O3013,日報!$L:$L)</f>
        <v>0</v>
      </c>
      <c r="R3013" s="65">
        <f ca="1">SUMIF(日報!$J:$J,$O3013,日報!$L:$L)</f>
        <v>0</v>
      </c>
    </row>
    <row r="3014" spans="15:18" x14ac:dyDescent="0.15">
      <c r="O3014" s="7" t="str">
        <f>"REQ"&amp;TEXT([2]RequestList!$A3015,"0000")</f>
        <v>REQ0000</v>
      </c>
      <c r="P3014" s="7">
        <f>[2]RequestList!$J3015</f>
        <v>0</v>
      </c>
      <c r="Q3014" s="65">
        <f>SUMIF(日報!$R:$R,TEXT(YEAR($Q$2),"0000")&amp;TEXT(MONTH($Q$2),"00")&amp;$O3014,日報!$L:$L)</f>
        <v>0</v>
      </c>
      <c r="R3014" s="65">
        <f ca="1">SUMIF(日報!$J:$J,$O3014,日報!$L:$L)</f>
        <v>0</v>
      </c>
    </row>
    <row r="3015" spans="15:18" x14ac:dyDescent="0.15">
      <c r="O3015" s="7" t="str">
        <f>"REQ"&amp;TEXT([2]RequestList!$A3016,"0000")</f>
        <v>REQ0000</v>
      </c>
      <c r="P3015" s="7">
        <f>[2]RequestList!$J3016</f>
        <v>0</v>
      </c>
      <c r="Q3015" s="65">
        <f>SUMIF(日報!$R:$R,TEXT(YEAR($Q$2),"0000")&amp;TEXT(MONTH($Q$2),"00")&amp;$O3015,日報!$L:$L)</f>
        <v>0</v>
      </c>
      <c r="R3015" s="65">
        <f ca="1">SUMIF(日報!$J:$J,$O3015,日報!$L:$L)</f>
        <v>0</v>
      </c>
    </row>
    <row r="3016" spans="15:18" x14ac:dyDescent="0.15">
      <c r="O3016" s="7" t="str">
        <f>"REQ"&amp;TEXT([2]RequestList!$A3017,"0000")</f>
        <v>REQ0000</v>
      </c>
      <c r="P3016" s="7">
        <f>[2]RequestList!$J3017</f>
        <v>0</v>
      </c>
      <c r="Q3016" s="65">
        <f>SUMIF(日報!$R:$R,TEXT(YEAR($Q$2),"0000")&amp;TEXT(MONTH($Q$2),"00")&amp;$O3016,日報!$L:$L)</f>
        <v>0</v>
      </c>
      <c r="R3016" s="65">
        <f ca="1">SUMIF(日報!$J:$J,$O3016,日報!$L:$L)</f>
        <v>0</v>
      </c>
    </row>
    <row r="3017" spans="15:18" x14ac:dyDescent="0.15">
      <c r="O3017" s="7" t="str">
        <f>"REQ"&amp;TEXT([2]RequestList!$A3018,"0000")</f>
        <v>REQ0000</v>
      </c>
      <c r="P3017" s="7">
        <f>[2]RequestList!$J3018</f>
        <v>0</v>
      </c>
      <c r="Q3017" s="65">
        <f>SUMIF(日報!$R:$R,TEXT(YEAR($Q$2),"0000")&amp;TEXT(MONTH($Q$2),"00")&amp;$O3017,日報!$L:$L)</f>
        <v>0</v>
      </c>
      <c r="R3017" s="65">
        <f ca="1">SUMIF(日報!$J:$J,$O3017,日報!$L:$L)</f>
        <v>0</v>
      </c>
    </row>
    <row r="3018" spans="15:18" x14ac:dyDescent="0.15">
      <c r="O3018" s="7" t="str">
        <f>"REQ"&amp;TEXT([2]RequestList!$A3019,"0000")</f>
        <v>REQ0000</v>
      </c>
      <c r="P3018" s="7">
        <f>[2]RequestList!$J3019</f>
        <v>0</v>
      </c>
      <c r="Q3018" s="65">
        <f>SUMIF(日報!$R:$R,TEXT(YEAR($Q$2),"0000")&amp;TEXT(MONTH($Q$2),"00")&amp;$O3018,日報!$L:$L)</f>
        <v>0</v>
      </c>
      <c r="R3018" s="65">
        <f ca="1">SUMIF(日報!$J:$J,$O3018,日報!$L:$L)</f>
        <v>0</v>
      </c>
    </row>
    <row r="3019" spans="15:18" x14ac:dyDescent="0.15">
      <c r="O3019" s="7" t="str">
        <f>"REQ"&amp;TEXT([2]RequestList!$A3020,"0000")</f>
        <v>REQ0000</v>
      </c>
      <c r="P3019" s="7">
        <f>[2]RequestList!$J3020</f>
        <v>0</v>
      </c>
      <c r="Q3019" s="65">
        <f>SUMIF(日報!$R:$R,TEXT(YEAR($Q$2),"0000")&amp;TEXT(MONTH($Q$2),"00")&amp;$O3019,日報!$L:$L)</f>
        <v>0</v>
      </c>
      <c r="R3019" s="65">
        <f ca="1">SUMIF(日報!$J:$J,$O3019,日報!$L:$L)</f>
        <v>0</v>
      </c>
    </row>
    <row r="3020" spans="15:18" x14ac:dyDescent="0.15">
      <c r="O3020" s="7" t="str">
        <f>"REQ"&amp;TEXT([2]RequestList!$A3021,"0000")</f>
        <v>REQ0000</v>
      </c>
      <c r="P3020" s="7">
        <f>[2]RequestList!$J3021</f>
        <v>0</v>
      </c>
      <c r="Q3020" s="65">
        <f>SUMIF(日報!$R:$R,TEXT(YEAR($Q$2),"0000")&amp;TEXT(MONTH($Q$2),"00")&amp;$O3020,日報!$L:$L)</f>
        <v>0</v>
      </c>
      <c r="R3020" s="65">
        <f ca="1">SUMIF(日報!$J:$J,$O3020,日報!$L:$L)</f>
        <v>0</v>
      </c>
    </row>
    <row r="3021" spans="15:18" x14ac:dyDescent="0.15">
      <c r="O3021" s="7" t="str">
        <f>"REQ"&amp;TEXT([2]RequestList!$A3022,"0000")</f>
        <v>REQ0000</v>
      </c>
      <c r="P3021" s="7">
        <f>[2]RequestList!$J3022</f>
        <v>0</v>
      </c>
      <c r="Q3021" s="65">
        <f>SUMIF(日報!$R:$R,TEXT(YEAR($Q$2),"0000")&amp;TEXT(MONTH($Q$2),"00")&amp;$O3021,日報!$L:$L)</f>
        <v>0</v>
      </c>
      <c r="R3021" s="65">
        <f ca="1">SUMIF(日報!$J:$J,$O3021,日報!$L:$L)</f>
        <v>0</v>
      </c>
    </row>
    <row r="3022" spans="15:18" x14ac:dyDescent="0.15">
      <c r="O3022" s="7" t="str">
        <f>"REQ"&amp;TEXT([2]RequestList!$A3023,"0000")</f>
        <v>REQ0000</v>
      </c>
      <c r="P3022" s="7">
        <f>[2]RequestList!$J3023</f>
        <v>0</v>
      </c>
      <c r="Q3022" s="65">
        <f>SUMIF(日報!$R:$R,TEXT(YEAR($Q$2),"0000")&amp;TEXT(MONTH($Q$2),"00")&amp;$O3022,日報!$L:$L)</f>
        <v>0</v>
      </c>
      <c r="R3022" s="65">
        <f ca="1">SUMIF(日報!$J:$J,$O3022,日報!$L:$L)</f>
        <v>0</v>
      </c>
    </row>
    <row r="3023" spans="15:18" x14ac:dyDescent="0.15">
      <c r="O3023" s="7" t="str">
        <f>"REQ"&amp;TEXT([2]RequestList!$A3024,"0000")</f>
        <v>REQ0000</v>
      </c>
      <c r="P3023" s="7">
        <f>[2]RequestList!$J3024</f>
        <v>0</v>
      </c>
      <c r="Q3023" s="65">
        <f>SUMIF(日報!$R:$R,TEXT(YEAR($Q$2),"0000")&amp;TEXT(MONTH($Q$2),"00")&amp;$O3023,日報!$L:$L)</f>
        <v>0</v>
      </c>
      <c r="R3023" s="65">
        <f ca="1">SUMIF(日報!$J:$J,$O3023,日報!$L:$L)</f>
        <v>0</v>
      </c>
    </row>
    <row r="3024" spans="15:18" x14ac:dyDescent="0.15">
      <c r="O3024" s="7" t="str">
        <f>"REQ"&amp;TEXT([2]RequestList!$A3025,"0000")</f>
        <v>REQ0000</v>
      </c>
      <c r="P3024" s="7">
        <f>[2]RequestList!$J3025</f>
        <v>0</v>
      </c>
      <c r="Q3024" s="65">
        <f>SUMIF(日報!$R:$R,TEXT(YEAR($Q$2),"0000")&amp;TEXT(MONTH($Q$2),"00")&amp;$O3024,日報!$L:$L)</f>
        <v>0</v>
      </c>
      <c r="R3024" s="65">
        <f ca="1">SUMIF(日報!$J:$J,$O3024,日報!$L:$L)</f>
        <v>0</v>
      </c>
    </row>
    <row r="3025" spans="15:18" x14ac:dyDescent="0.15">
      <c r="O3025" s="7" t="str">
        <f>"REQ"&amp;TEXT([2]RequestList!$A3026,"0000")</f>
        <v>REQ0000</v>
      </c>
      <c r="P3025" s="7">
        <f>[2]RequestList!$J3026</f>
        <v>0</v>
      </c>
      <c r="Q3025" s="65">
        <f>SUMIF(日報!$R:$R,TEXT(YEAR($Q$2),"0000")&amp;TEXT(MONTH($Q$2),"00")&amp;$O3025,日報!$L:$L)</f>
        <v>0</v>
      </c>
      <c r="R3025" s="65">
        <f ca="1">SUMIF(日報!$J:$J,$O3025,日報!$L:$L)</f>
        <v>0</v>
      </c>
    </row>
    <row r="3026" spans="15:18" x14ac:dyDescent="0.15">
      <c r="O3026" s="7" t="str">
        <f>"REQ"&amp;TEXT([2]RequestList!$A3027,"0000")</f>
        <v>REQ0000</v>
      </c>
      <c r="P3026" s="7">
        <f>[2]RequestList!$J3027</f>
        <v>0</v>
      </c>
      <c r="Q3026" s="65">
        <f>SUMIF(日報!$R:$R,TEXT(YEAR($Q$2),"0000")&amp;TEXT(MONTH($Q$2),"00")&amp;$O3026,日報!$L:$L)</f>
        <v>0</v>
      </c>
      <c r="R3026" s="65">
        <f ca="1">SUMIF(日報!$J:$J,$O3026,日報!$L:$L)</f>
        <v>0</v>
      </c>
    </row>
    <row r="3027" spans="15:18" x14ac:dyDescent="0.15">
      <c r="O3027" s="7" t="str">
        <f>"REQ"&amp;TEXT([2]RequestList!$A3028,"0000")</f>
        <v>REQ0000</v>
      </c>
      <c r="P3027" s="7">
        <f>[2]RequestList!$J3028</f>
        <v>0</v>
      </c>
      <c r="Q3027" s="65">
        <f>SUMIF(日報!$R:$R,TEXT(YEAR($Q$2),"0000")&amp;TEXT(MONTH($Q$2),"00")&amp;$O3027,日報!$L:$L)</f>
        <v>0</v>
      </c>
      <c r="R3027" s="65">
        <f ca="1">SUMIF(日報!$J:$J,$O3027,日報!$L:$L)</f>
        <v>0</v>
      </c>
    </row>
    <row r="3028" spans="15:18" x14ac:dyDescent="0.15">
      <c r="O3028" s="7" t="str">
        <f>"REQ"&amp;TEXT([2]RequestList!$A3029,"0000")</f>
        <v>REQ0000</v>
      </c>
      <c r="P3028" s="7">
        <f>[2]RequestList!$J3029</f>
        <v>0</v>
      </c>
      <c r="Q3028" s="65">
        <f>SUMIF(日報!$R:$R,TEXT(YEAR($Q$2),"0000")&amp;TEXT(MONTH($Q$2),"00")&amp;$O3028,日報!$L:$L)</f>
        <v>0</v>
      </c>
      <c r="R3028" s="65">
        <f ca="1">SUMIF(日報!$J:$J,$O3028,日報!$L:$L)</f>
        <v>0</v>
      </c>
    </row>
    <row r="3029" spans="15:18" x14ac:dyDescent="0.15">
      <c r="O3029" s="7" t="str">
        <f>"REQ"&amp;TEXT([2]RequestList!$A3030,"0000")</f>
        <v>REQ0000</v>
      </c>
      <c r="P3029" s="7">
        <f>[2]RequestList!$J3030</f>
        <v>0</v>
      </c>
      <c r="Q3029" s="65">
        <f>SUMIF(日報!$R:$R,TEXT(YEAR($Q$2),"0000")&amp;TEXT(MONTH($Q$2),"00")&amp;$O3029,日報!$L:$L)</f>
        <v>0</v>
      </c>
      <c r="R3029" s="65">
        <f ca="1">SUMIF(日報!$J:$J,$O3029,日報!$L:$L)</f>
        <v>0</v>
      </c>
    </row>
    <row r="3030" spans="15:18" x14ac:dyDescent="0.15">
      <c r="O3030" s="7" t="str">
        <f>"REQ"&amp;TEXT([2]RequestList!$A3031,"0000")</f>
        <v>REQ0000</v>
      </c>
      <c r="P3030" s="7">
        <f>[2]RequestList!$J3031</f>
        <v>0</v>
      </c>
      <c r="Q3030" s="65">
        <f>SUMIF(日報!$R:$R,TEXT(YEAR($Q$2),"0000")&amp;TEXT(MONTH($Q$2),"00")&amp;$O3030,日報!$L:$L)</f>
        <v>0</v>
      </c>
      <c r="R3030" s="65">
        <f ca="1">SUMIF(日報!$J:$J,$O3030,日報!$L:$L)</f>
        <v>0</v>
      </c>
    </row>
    <row r="3031" spans="15:18" x14ac:dyDescent="0.15">
      <c r="O3031" s="7" t="str">
        <f>"REQ"&amp;TEXT([2]RequestList!$A3032,"0000")</f>
        <v>REQ0000</v>
      </c>
      <c r="P3031" s="7">
        <f>[2]RequestList!$J3032</f>
        <v>0</v>
      </c>
      <c r="Q3031" s="65">
        <f>SUMIF(日報!$R:$R,TEXT(YEAR($Q$2),"0000")&amp;TEXT(MONTH($Q$2),"00")&amp;$O3031,日報!$L:$L)</f>
        <v>0</v>
      </c>
      <c r="R3031" s="65">
        <f ca="1">SUMIF(日報!$J:$J,$O3031,日報!$L:$L)</f>
        <v>0</v>
      </c>
    </row>
    <row r="3032" spans="15:18" x14ac:dyDescent="0.15">
      <c r="O3032" s="7" t="str">
        <f>"REQ"&amp;TEXT([2]RequestList!$A3033,"0000")</f>
        <v>REQ0000</v>
      </c>
      <c r="P3032" s="7">
        <f>[2]RequestList!$J3033</f>
        <v>0</v>
      </c>
      <c r="Q3032" s="65">
        <f>SUMIF(日報!$R:$R,TEXT(YEAR($Q$2),"0000")&amp;TEXT(MONTH($Q$2),"00")&amp;$O3032,日報!$L:$L)</f>
        <v>0</v>
      </c>
      <c r="R3032" s="65">
        <f ca="1">SUMIF(日報!$J:$J,$O3032,日報!$L:$L)</f>
        <v>0</v>
      </c>
    </row>
    <row r="3033" spans="15:18" x14ac:dyDescent="0.15">
      <c r="O3033" s="7" t="str">
        <f>"REQ"&amp;TEXT([2]RequestList!$A3034,"0000")</f>
        <v>REQ0000</v>
      </c>
      <c r="P3033" s="7">
        <f>[2]RequestList!$J3034</f>
        <v>0</v>
      </c>
      <c r="Q3033" s="65">
        <f>SUMIF(日報!$R:$R,TEXT(YEAR($Q$2),"0000")&amp;TEXT(MONTH($Q$2),"00")&amp;$O3033,日報!$L:$L)</f>
        <v>0</v>
      </c>
      <c r="R3033" s="65">
        <f ca="1">SUMIF(日報!$J:$J,$O3033,日報!$L:$L)</f>
        <v>0</v>
      </c>
    </row>
    <row r="3034" spans="15:18" x14ac:dyDescent="0.15">
      <c r="O3034" s="7" t="str">
        <f>"REQ"&amp;TEXT([2]RequestList!$A3035,"0000")</f>
        <v>REQ0000</v>
      </c>
      <c r="P3034" s="7">
        <f>[2]RequestList!$J3035</f>
        <v>0</v>
      </c>
      <c r="Q3034" s="65">
        <f>SUMIF(日報!$R:$R,TEXT(YEAR($Q$2),"0000")&amp;TEXT(MONTH($Q$2),"00")&amp;$O3034,日報!$L:$L)</f>
        <v>0</v>
      </c>
      <c r="R3034" s="65">
        <f ca="1">SUMIF(日報!$J:$J,$O3034,日報!$L:$L)</f>
        <v>0</v>
      </c>
    </row>
    <row r="3035" spans="15:18" x14ac:dyDescent="0.15">
      <c r="O3035" s="7" t="str">
        <f>"REQ"&amp;TEXT([2]RequestList!$A3036,"0000")</f>
        <v>REQ0000</v>
      </c>
      <c r="P3035" s="7">
        <f>[2]RequestList!$J3036</f>
        <v>0</v>
      </c>
      <c r="Q3035" s="65">
        <f>SUMIF(日報!$R:$R,TEXT(YEAR($Q$2),"0000")&amp;TEXT(MONTH($Q$2),"00")&amp;$O3035,日報!$L:$L)</f>
        <v>0</v>
      </c>
      <c r="R3035" s="65">
        <f ca="1">SUMIF(日報!$J:$J,$O3035,日報!$L:$L)</f>
        <v>0</v>
      </c>
    </row>
    <row r="3036" spans="15:18" x14ac:dyDescent="0.15">
      <c r="O3036" s="7" t="str">
        <f>"REQ"&amp;TEXT([2]RequestList!$A3037,"0000")</f>
        <v>REQ0000</v>
      </c>
      <c r="P3036" s="7">
        <f>[2]RequestList!$J3037</f>
        <v>0</v>
      </c>
      <c r="Q3036" s="65">
        <f>SUMIF(日報!$R:$R,TEXT(YEAR($Q$2),"0000")&amp;TEXT(MONTH($Q$2),"00")&amp;$O3036,日報!$L:$L)</f>
        <v>0</v>
      </c>
      <c r="R3036" s="65">
        <f ca="1">SUMIF(日報!$J:$J,$O3036,日報!$L:$L)</f>
        <v>0</v>
      </c>
    </row>
    <row r="3037" spans="15:18" x14ac:dyDescent="0.15">
      <c r="O3037" s="7" t="str">
        <f>"REQ"&amp;TEXT([2]RequestList!$A3038,"0000")</f>
        <v>REQ0000</v>
      </c>
      <c r="P3037" s="7">
        <f>[2]RequestList!$J3038</f>
        <v>0</v>
      </c>
      <c r="Q3037" s="65">
        <f>SUMIF(日報!$R:$R,TEXT(YEAR($Q$2),"0000")&amp;TEXT(MONTH($Q$2),"00")&amp;$O3037,日報!$L:$L)</f>
        <v>0</v>
      </c>
      <c r="R3037" s="65">
        <f ca="1">SUMIF(日報!$J:$J,$O3037,日報!$L:$L)</f>
        <v>0</v>
      </c>
    </row>
    <row r="3038" spans="15:18" x14ac:dyDescent="0.15">
      <c r="O3038" s="7" t="str">
        <f>"REQ"&amp;TEXT([2]RequestList!$A3039,"0000")</f>
        <v>REQ0000</v>
      </c>
      <c r="P3038" s="7">
        <f>[2]RequestList!$J3039</f>
        <v>0</v>
      </c>
      <c r="Q3038" s="65">
        <f>SUMIF(日報!$R:$R,TEXT(YEAR($Q$2),"0000")&amp;TEXT(MONTH($Q$2),"00")&amp;$O3038,日報!$L:$L)</f>
        <v>0</v>
      </c>
      <c r="R3038" s="65">
        <f ca="1">SUMIF(日報!$J:$J,$O3038,日報!$L:$L)</f>
        <v>0</v>
      </c>
    </row>
    <row r="3039" spans="15:18" x14ac:dyDescent="0.15">
      <c r="O3039" s="7" t="str">
        <f>"REQ"&amp;TEXT([2]RequestList!$A3040,"0000")</f>
        <v>REQ0000</v>
      </c>
      <c r="P3039" s="7">
        <f>[2]RequestList!$J3040</f>
        <v>0</v>
      </c>
      <c r="Q3039" s="65">
        <f>SUMIF(日報!$R:$R,TEXT(YEAR($Q$2),"0000")&amp;TEXT(MONTH($Q$2),"00")&amp;$O3039,日報!$L:$L)</f>
        <v>0</v>
      </c>
      <c r="R3039" s="65">
        <f ca="1">SUMIF(日報!$J:$J,$O3039,日報!$L:$L)</f>
        <v>0</v>
      </c>
    </row>
    <row r="3040" spans="15:18" x14ac:dyDescent="0.15">
      <c r="O3040" s="7" t="str">
        <f>"REQ"&amp;TEXT([2]RequestList!$A3041,"0000")</f>
        <v>REQ0000</v>
      </c>
      <c r="P3040" s="7">
        <f>[2]RequestList!$J3041</f>
        <v>0</v>
      </c>
      <c r="Q3040" s="65">
        <f>SUMIF(日報!$R:$R,TEXT(YEAR($Q$2),"0000")&amp;TEXT(MONTH($Q$2),"00")&amp;$O3040,日報!$L:$L)</f>
        <v>0</v>
      </c>
      <c r="R3040" s="65">
        <f ca="1">SUMIF(日報!$J:$J,$O3040,日報!$L:$L)</f>
        <v>0</v>
      </c>
    </row>
    <row r="3041" spans="15:18" x14ac:dyDescent="0.15">
      <c r="O3041" s="7" t="str">
        <f>"REQ"&amp;TEXT([2]RequestList!$A3042,"0000")</f>
        <v>REQ0000</v>
      </c>
      <c r="P3041" s="7">
        <f>[2]RequestList!$J3042</f>
        <v>0</v>
      </c>
      <c r="Q3041" s="65">
        <f>SUMIF(日報!$R:$R,TEXT(YEAR($Q$2),"0000")&amp;TEXT(MONTH($Q$2),"00")&amp;$O3041,日報!$L:$L)</f>
        <v>0</v>
      </c>
      <c r="R3041" s="65">
        <f ca="1">SUMIF(日報!$J:$J,$O3041,日報!$L:$L)</f>
        <v>0</v>
      </c>
    </row>
    <row r="3042" spans="15:18" x14ac:dyDescent="0.15">
      <c r="O3042" s="7" t="str">
        <f>"REQ"&amp;TEXT([2]RequestList!$A3043,"0000")</f>
        <v>REQ0000</v>
      </c>
      <c r="P3042" s="7">
        <f>[2]RequestList!$J3043</f>
        <v>0</v>
      </c>
      <c r="Q3042" s="65">
        <f>SUMIF(日報!$R:$R,TEXT(YEAR($Q$2),"0000")&amp;TEXT(MONTH($Q$2),"00")&amp;$O3042,日報!$L:$L)</f>
        <v>0</v>
      </c>
      <c r="R3042" s="65">
        <f ca="1">SUMIF(日報!$J:$J,$O3042,日報!$L:$L)</f>
        <v>0</v>
      </c>
    </row>
    <row r="3043" spans="15:18" x14ac:dyDescent="0.15">
      <c r="O3043" s="7" t="str">
        <f>"REQ"&amp;TEXT([2]RequestList!$A3044,"0000")</f>
        <v>REQ0000</v>
      </c>
      <c r="P3043" s="7">
        <f>[2]RequestList!$J3044</f>
        <v>0</v>
      </c>
      <c r="Q3043" s="65">
        <f>SUMIF(日報!$R:$R,TEXT(YEAR($Q$2),"0000")&amp;TEXT(MONTH($Q$2),"00")&amp;$O3043,日報!$L:$L)</f>
        <v>0</v>
      </c>
      <c r="R3043" s="65">
        <f ca="1">SUMIF(日報!$J:$J,$O3043,日報!$L:$L)</f>
        <v>0</v>
      </c>
    </row>
    <row r="3044" spans="15:18" x14ac:dyDescent="0.15">
      <c r="O3044" s="7" t="str">
        <f>"REQ"&amp;TEXT([2]RequestList!$A3045,"0000")</f>
        <v>REQ0000</v>
      </c>
      <c r="P3044" s="7">
        <f>[2]RequestList!$J3045</f>
        <v>0</v>
      </c>
      <c r="Q3044" s="65">
        <f>SUMIF(日報!$R:$R,TEXT(YEAR($Q$2),"0000")&amp;TEXT(MONTH($Q$2),"00")&amp;$O3044,日報!$L:$L)</f>
        <v>0</v>
      </c>
      <c r="R3044" s="65">
        <f ca="1">SUMIF(日報!$J:$J,$O3044,日報!$L:$L)</f>
        <v>0</v>
      </c>
    </row>
    <row r="3045" spans="15:18" x14ac:dyDescent="0.15">
      <c r="O3045" s="7" t="str">
        <f>"REQ"&amp;TEXT([2]RequestList!$A3046,"0000")</f>
        <v>REQ0000</v>
      </c>
      <c r="P3045" s="7">
        <f>[2]RequestList!$J3046</f>
        <v>0</v>
      </c>
      <c r="Q3045" s="65">
        <f>SUMIF(日報!$R:$R,TEXT(YEAR($Q$2),"0000")&amp;TEXT(MONTH($Q$2),"00")&amp;$O3045,日報!$L:$L)</f>
        <v>0</v>
      </c>
      <c r="R3045" s="65">
        <f ca="1">SUMIF(日報!$J:$J,$O3045,日報!$L:$L)</f>
        <v>0</v>
      </c>
    </row>
    <row r="3046" spans="15:18" x14ac:dyDescent="0.15">
      <c r="O3046" s="7" t="str">
        <f>"REQ"&amp;TEXT([2]RequestList!$A3047,"0000")</f>
        <v>REQ0000</v>
      </c>
      <c r="P3046" s="7">
        <f>[2]RequestList!$J3047</f>
        <v>0</v>
      </c>
      <c r="Q3046" s="65">
        <f>SUMIF(日報!$R:$R,TEXT(YEAR($Q$2),"0000")&amp;TEXT(MONTH($Q$2),"00")&amp;$O3046,日報!$L:$L)</f>
        <v>0</v>
      </c>
      <c r="R3046" s="65">
        <f ca="1">SUMIF(日報!$J:$J,$O3046,日報!$L:$L)</f>
        <v>0</v>
      </c>
    </row>
    <row r="3047" spans="15:18" x14ac:dyDescent="0.15">
      <c r="O3047" s="7" t="str">
        <f>"REQ"&amp;TEXT([2]RequestList!$A3048,"0000")</f>
        <v>REQ0000</v>
      </c>
      <c r="P3047" s="7">
        <f>[2]RequestList!$J3048</f>
        <v>0</v>
      </c>
      <c r="Q3047" s="65">
        <f>SUMIF(日報!$R:$R,TEXT(YEAR($Q$2),"0000")&amp;TEXT(MONTH($Q$2),"00")&amp;$O3047,日報!$L:$L)</f>
        <v>0</v>
      </c>
      <c r="R3047" s="65">
        <f ca="1">SUMIF(日報!$J:$J,$O3047,日報!$L:$L)</f>
        <v>0</v>
      </c>
    </row>
    <row r="3048" spans="15:18" x14ac:dyDescent="0.15">
      <c r="O3048" s="7" t="str">
        <f>"REQ"&amp;TEXT([2]RequestList!$A3049,"0000")</f>
        <v>REQ0000</v>
      </c>
      <c r="P3048" s="7">
        <f>[2]RequestList!$J3049</f>
        <v>0</v>
      </c>
      <c r="Q3048" s="65">
        <f>SUMIF(日報!$R:$R,TEXT(YEAR($Q$2),"0000")&amp;TEXT(MONTH($Q$2),"00")&amp;$O3048,日報!$L:$L)</f>
        <v>0</v>
      </c>
      <c r="R3048" s="65">
        <f ca="1">SUMIF(日報!$J:$J,$O3048,日報!$L:$L)</f>
        <v>0</v>
      </c>
    </row>
    <row r="3049" spans="15:18" x14ac:dyDescent="0.15">
      <c r="O3049" s="7" t="str">
        <f>"REQ"&amp;TEXT([2]RequestList!$A3050,"0000")</f>
        <v>REQ0000</v>
      </c>
      <c r="P3049" s="7">
        <f>[2]RequestList!$J3050</f>
        <v>0</v>
      </c>
      <c r="Q3049" s="65">
        <f>SUMIF(日報!$R:$R,TEXT(YEAR($Q$2),"0000")&amp;TEXT(MONTH($Q$2),"00")&amp;$O3049,日報!$L:$L)</f>
        <v>0</v>
      </c>
      <c r="R3049" s="65">
        <f ca="1">SUMIF(日報!$J:$J,$O3049,日報!$L:$L)</f>
        <v>0</v>
      </c>
    </row>
    <row r="3050" spans="15:18" x14ac:dyDescent="0.15">
      <c r="O3050" s="7" t="str">
        <f>"REQ"&amp;TEXT([2]RequestList!$A3051,"0000")</f>
        <v>REQ0000</v>
      </c>
      <c r="P3050" s="7">
        <f>[2]RequestList!$J3051</f>
        <v>0</v>
      </c>
      <c r="Q3050" s="65">
        <f>SUMIF(日報!$R:$R,TEXT(YEAR($Q$2),"0000")&amp;TEXT(MONTH($Q$2),"00")&amp;$O3050,日報!$L:$L)</f>
        <v>0</v>
      </c>
      <c r="R3050" s="65">
        <f ca="1">SUMIF(日報!$J:$J,$O3050,日報!$L:$L)</f>
        <v>0</v>
      </c>
    </row>
    <row r="3051" spans="15:18" x14ac:dyDescent="0.15">
      <c r="O3051" s="7" t="str">
        <f>"REQ"&amp;TEXT([2]RequestList!$A3052,"0000")</f>
        <v>REQ0000</v>
      </c>
      <c r="P3051" s="7">
        <f>[2]RequestList!$J3052</f>
        <v>0</v>
      </c>
      <c r="Q3051" s="65">
        <f>SUMIF(日報!$R:$R,TEXT(YEAR($Q$2),"0000")&amp;TEXT(MONTH($Q$2),"00")&amp;$O3051,日報!$L:$L)</f>
        <v>0</v>
      </c>
      <c r="R3051" s="65">
        <f ca="1">SUMIF(日報!$J:$J,$O3051,日報!$L:$L)</f>
        <v>0</v>
      </c>
    </row>
    <row r="3052" spans="15:18" x14ac:dyDescent="0.15">
      <c r="O3052" s="7" t="str">
        <f>"REQ"&amp;TEXT([2]RequestList!$A3053,"0000")</f>
        <v>REQ0000</v>
      </c>
      <c r="P3052" s="7">
        <f>[2]RequestList!$J3053</f>
        <v>0</v>
      </c>
      <c r="Q3052" s="65">
        <f>SUMIF(日報!$R:$R,TEXT(YEAR($Q$2),"0000")&amp;TEXT(MONTH($Q$2),"00")&amp;$O3052,日報!$L:$L)</f>
        <v>0</v>
      </c>
      <c r="R3052" s="65">
        <f ca="1">SUMIF(日報!$J:$J,$O3052,日報!$L:$L)</f>
        <v>0</v>
      </c>
    </row>
    <row r="3053" spans="15:18" x14ac:dyDescent="0.15">
      <c r="O3053" s="7" t="str">
        <f>"REQ"&amp;TEXT([2]RequestList!$A3054,"0000")</f>
        <v>REQ0000</v>
      </c>
      <c r="P3053" s="7">
        <f>[2]RequestList!$J3054</f>
        <v>0</v>
      </c>
      <c r="Q3053" s="65">
        <f>SUMIF(日報!$R:$R,TEXT(YEAR($Q$2),"0000")&amp;TEXT(MONTH($Q$2),"00")&amp;$O3053,日報!$L:$L)</f>
        <v>0</v>
      </c>
      <c r="R3053" s="65">
        <f ca="1">SUMIF(日報!$J:$J,$O3053,日報!$L:$L)</f>
        <v>0</v>
      </c>
    </row>
    <row r="3054" spans="15:18" x14ac:dyDescent="0.15">
      <c r="O3054" s="7" t="str">
        <f>"REQ"&amp;TEXT([2]RequestList!$A3055,"0000")</f>
        <v>REQ0000</v>
      </c>
      <c r="P3054" s="7">
        <f>[2]RequestList!$J3055</f>
        <v>0</v>
      </c>
      <c r="Q3054" s="65">
        <f>SUMIF(日報!$R:$R,TEXT(YEAR($Q$2),"0000")&amp;TEXT(MONTH($Q$2),"00")&amp;$O3054,日報!$L:$L)</f>
        <v>0</v>
      </c>
      <c r="R3054" s="65">
        <f ca="1">SUMIF(日報!$J:$J,$O3054,日報!$L:$L)</f>
        <v>0</v>
      </c>
    </row>
    <row r="3055" spans="15:18" x14ac:dyDescent="0.15">
      <c r="O3055" s="7" t="str">
        <f>"REQ"&amp;TEXT([2]RequestList!$A3056,"0000")</f>
        <v>REQ0000</v>
      </c>
      <c r="P3055" s="7">
        <f>[2]RequestList!$J3056</f>
        <v>0</v>
      </c>
      <c r="Q3055" s="65">
        <f>SUMIF(日報!$R:$R,TEXT(YEAR($Q$2),"0000")&amp;TEXT(MONTH($Q$2),"00")&amp;$O3055,日報!$L:$L)</f>
        <v>0</v>
      </c>
      <c r="R3055" s="65">
        <f ca="1">SUMIF(日報!$J:$J,$O3055,日報!$L:$L)</f>
        <v>0</v>
      </c>
    </row>
    <row r="3056" spans="15:18" x14ac:dyDescent="0.15">
      <c r="O3056" s="7" t="str">
        <f>"REQ"&amp;TEXT([2]RequestList!$A3057,"0000")</f>
        <v>REQ0000</v>
      </c>
      <c r="P3056" s="7">
        <f>[2]RequestList!$J3057</f>
        <v>0</v>
      </c>
      <c r="Q3056" s="65">
        <f>SUMIF(日報!$R:$R,TEXT(YEAR($Q$2),"0000")&amp;TEXT(MONTH($Q$2),"00")&amp;$O3056,日報!$L:$L)</f>
        <v>0</v>
      </c>
      <c r="R3056" s="65">
        <f ca="1">SUMIF(日報!$J:$J,$O3056,日報!$L:$L)</f>
        <v>0</v>
      </c>
    </row>
    <row r="3057" spans="15:18" x14ac:dyDescent="0.15">
      <c r="O3057" s="7" t="str">
        <f>"REQ"&amp;TEXT([2]RequestList!$A3058,"0000")</f>
        <v>REQ0000</v>
      </c>
      <c r="P3057" s="7">
        <f>[2]RequestList!$J3058</f>
        <v>0</v>
      </c>
      <c r="Q3057" s="65">
        <f>SUMIF(日報!$R:$R,TEXT(YEAR($Q$2),"0000")&amp;TEXT(MONTH($Q$2),"00")&amp;$O3057,日報!$L:$L)</f>
        <v>0</v>
      </c>
      <c r="R3057" s="65">
        <f ca="1">SUMIF(日報!$J:$J,$O3057,日報!$L:$L)</f>
        <v>0</v>
      </c>
    </row>
    <row r="3058" spans="15:18" x14ac:dyDescent="0.15">
      <c r="O3058" s="7" t="str">
        <f>"REQ"&amp;TEXT([2]RequestList!$A3059,"0000")</f>
        <v>REQ0000</v>
      </c>
      <c r="P3058" s="7">
        <f>[2]RequestList!$J3059</f>
        <v>0</v>
      </c>
      <c r="Q3058" s="65">
        <f>SUMIF(日報!$R:$R,TEXT(YEAR($Q$2),"0000")&amp;TEXT(MONTH($Q$2),"00")&amp;$O3058,日報!$L:$L)</f>
        <v>0</v>
      </c>
      <c r="R3058" s="65">
        <f ca="1">SUMIF(日報!$J:$J,$O3058,日報!$L:$L)</f>
        <v>0</v>
      </c>
    </row>
    <row r="3059" spans="15:18" x14ac:dyDescent="0.15">
      <c r="O3059" s="7" t="str">
        <f>"REQ"&amp;TEXT([2]RequestList!$A3060,"0000")</f>
        <v>REQ0000</v>
      </c>
      <c r="P3059" s="7">
        <f>[2]RequestList!$J3060</f>
        <v>0</v>
      </c>
      <c r="Q3059" s="65">
        <f>SUMIF(日報!$R:$R,TEXT(YEAR($Q$2),"0000")&amp;TEXT(MONTH($Q$2),"00")&amp;$O3059,日報!$L:$L)</f>
        <v>0</v>
      </c>
      <c r="R3059" s="65">
        <f ca="1">SUMIF(日報!$J:$J,$O3059,日報!$L:$L)</f>
        <v>0</v>
      </c>
    </row>
    <row r="3060" spans="15:18" x14ac:dyDescent="0.15">
      <c r="O3060" s="7" t="str">
        <f>"REQ"&amp;TEXT([2]RequestList!$A3061,"0000")</f>
        <v>REQ0000</v>
      </c>
      <c r="P3060" s="7">
        <f>[2]RequestList!$J3061</f>
        <v>0</v>
      </c>
      <c r="Q3060" s="65">
        <f>SUMIF(日報!$R:$R,TEXT(YEAR($Q$2),"0000")&amp;TEXT(MONTH($Q$2),"00")&amp;$O3060,日報!$L:$L)</f>
        <v>0</v>
      </c>
      <c r="R3060" s="65">
        <f ca="1">SUMIF(日報!$J:$J,$O3060,日報!$L:$L)</f>
        <v>0</v>
      </c>
    </row>
    <row r="3061" spans="15:18" x14ac:dyDescent="0.15">
      <c r="O3061" s="7" t="str">
        <f>"REQ"&amp;TEXT([2]RequestList!$A3062,"0000")</f>
        <v>REQ0000</v>
      </c>
      <c r="P3061" s="7">
        <f>[2]RequestList!$J3062</f>
        <v>0</v>
      </c>
      <c r="Q3061" s="65">
        <f>SUMIF(日報!$R:$R,TEXT(YEAR($Q$2),"0000")&amp;TEXT(MONTH($Q$2),"00")&amp;$O3061,日報!$L:$L)</f>
        <v>0</v>
      </c>
      <c r="R3061" s="65">
        <f ca="1">SUMIF(日報!$J:$J,$O3061,日報!$L:$L)</f>
        <v>0</v>
      </c>
    </row>
    <row r="3062" spans="15:18" x14ac:dyDescent="0.15">
      <c r="O3062" s="7" t="str">
        <f>"REQ"&amp;TEXT([2]RequestList!$A3063,"0000")</f>
        <v>REQ0000</v>
      </c>
      <c r="P3062" s="7">
        <f>[2]RequestList!$J3063</f>
        <v>0</v>
      </c>
      <c r="Q3062" s="65">
        <f>SUMIF(日報!$R:$R,TEXT(YEAR($Q$2),"0000")&amp;TEXT(MONTH($Q$2),"00")&amp;$O3062,日報!$L:$L)</f>
        <v>0</v>
      </c>
      <c r="R3062" s="65">
        <f ca="1">SUMIF(日報!$J:$J,$O3062,日報!$L:$L)</f>
        <v>0</v>
      </c>
    </row>
    <row r="3063" spans="15:18" x14ac:dyDescent="0.15">
      <c r="O3063" s="7" t="str">
        <f>"REQ"&amp;TEXT([2]RequestList!$A3064,"0000")</f>
        <v>REQ0000</v>
      </c>
      <c r="P3063" s="7">
        <f>[2]RequestList!$J3064</f>
        <v>0</v>
      </c>
      <c r="Q3063" s="65">
        <f>SUMIF(日報!$R:$R,TEXT(YEAR($Q$2),"0000")&amp;TEXT(MONTH($Q$2),"00")&amp;$O3063,日報!$L:$L)</f>
        <v>0</v>
      </c>
      <c r="R3063" s="65">
        <f ca="1">SUMIF(日報!$J:$J,$O3063,日報!$L:$L)</f>
        <v>0</v>
      </c>
    </row>
    <row r="3064" spans="15:18" x14ac:dyDescent="0.15">
      <c r="O3064" s="7" t="str">
        <f>"REQ"&amp;TEXT([2]RequestList!$A3065,"0000")</f>
        <v>REQ0000</v>
      </c>
      <c r="P3064" s="7">
        <f>[2]RequestList!$J3065</f>
        <v>0</v>
      </c>
      <c r="Q3064" s="65">
        <f>SUMIF(日報!$R:$R,TEXT(YEAR($Q$2),"0000")&amp;TEXT(MONTH($Q$2),"00")&amp;$O3064,日報!$L:$L)</f>
        <v>0</v>
      </c>
      <c r="R3064" s="65">
        <f ca="1">SUMIF(日報!$J:$J,$O3064,日報!$L:$L)</f>
        <v>0</v>
      </c>
    </row>
    <row r="3065" spans="15:18" x14ac:dyDescent="0.15">
      <c r="O3065" s="7" t="str">
        <f>"REQ"&amp;TEXT([2]RequestList!$A3066,"0000")</f>
        <v>REQ0000</v>
      </c>
      <c r="P3065" s="7">
        <f>[2]RequestList!$J3066</f>
        <v>0</v>
      </c>
      <c r="Q3065" s="65">
        <f>SUMIF(日報!$R:$R,TEXT(YEAR($Q$2),"0000")&amp;TEXT(MONTH($Q$2),"00")&amp;$O3065,日報!$L:$L)</f>
        <v>0</v>
      </c>
      <c r="R3065" s="65">
        <f ca="1">SUMIF(日報!$J:$J,$O3065,日報!$L:$L)</f>
        <v>0</v>
      </c>
    </row>
    <row r="3066" spans="15:18" x14ac:dyDescent="0.15">
      <c r="O3066" s="7" t="str">
        <f>"REQ"&amp;TEXT([2]RequestList!$A3067,"0000")</f>
        <v>REQ0000</v>
      </c>
      <c r="P3066" s="7">
        <f>[2]RequestList!$J3067</f>
        <v>0</v>
      </c>
      <c r="Q3066" s="65">
        <f>SUMIF(日報!$R:$R,TEXT(YEAR($Q$2),"0000")&amp;TEXT(MONTH($Q$2),"00")&amp;$O3066,日報!$L:$L)</f>
        <v>0</v>
      </c>
      <c r="R3066" s="65">
        <f ca="1">SUMIF(日報!$J:$J,$O3066,日報!$L:$L)</f>
        <v>0</v>
      </c>
    </row>
    <row r="3067" spans="15:18" x14ac:dyDescent="0.15">
      <c r="O3067" s="7" t="str">
        <f>"REQ"&amp;TEXT([2]RequestList!$A3068,"0000")</f>
        <v>REQ0000</v>
      </c>
      <c r="P3067" s="7">
        <f>[2]RequestList!$J3068</f>
        <v>0</v>
      </c>
      <c r="Q3067" s="65">
        <f>SUMIF(日報!$R:$R,TEXT(YEAR($Q$2),"0000")&amp;TEXT(MONTH($Q$2),"00")&amp;$O3067,日報!$L:$L)</f>
        <v>0</v>
      </c>
      <c r="R3067" s="65">
        <f ca="1">SUMIF(日報!$J:$J,$O3067,日報!$L:$L)</f>
        <v>0</v>
      </c>
    </row>
    <row r="3068" spans="15:18" x14ac:dyDescent="0.15">
      <c r="O3068" s="7" t="str">
        <f>"REQ"&amp;TEXT([2]RequestList!$A3069,"0000")</f>
        <v>REQ0000</v>
      </c>
      <c r="P3068" s="7">
        <f>[2]RequestList!$J3069</f>
        <v>0</v>
      </c>
      <c r="Q3068" s="65">
        <f>SUMIF(日報!$R:$R,TEXT(YEAR($Q$2),"0000")&amp;TEXT(MONTH($Q$2),"00")&amp;$O3068,日報!$L:$L)</f>
        <v>0</v>
      </c>
      <c r="R3068" s="65">
        <f ca="1">SUMIF(日報!$J:$J,$O3068,日報!$L:$L)</f>
        <v>0</v>
      </c>
    </row>
    <row r="3069" spans="15:18" x14ac:dyDescent="0.15">
      <c r="O3069" s="7" t="str">
        <f>"REQ"&amp;TEXT([2]RequestList!$A3070,"0000")</f>
        <v>REQ0000</v>
      </c>
      <c r="P3069" s="7">
        <f>[2]RequestList!$J3070</f>
        <v>0</v>
      </c>
      <c r="Q3069" s="65">
        <f>SUMIF(日報!$R:$R,TEXT(YEAR($Q$2),"0000")&amp;TEXT(MONTH($Q$2),"00")&amp;$O3069,日報!$L:$L)</f>
        <v>0</v>
      </c>
      <c r="R3069" s="65">
        <f ca="1">SUMIF(日報!$J:$J,$O3069,日報!$L:$L)</f>
        <v>0</v>
      </c>
    </row>
    <row r="3070" spans="15:18" x14ac:dyDescent="0.15">
      <c r="O3070" s="7" t="str">
        <f>"REQ"&amp;TEXT([2]RequestList!$A3071,"0000")</f>
        <v>REQ0000</v>
      </c>
      <c r="P3070" s="7">
        <f>[2]RequestList!$J3071</f>
        <v>0</v>
      </c>
      <c r="Q3070" s="65">
        <f>SUMIF(日報!$R:$R,TEXT(YEAR($Q$2),"0000")&amp;TEXT(MONTH($Q$2),"00")&amp;$O3070,日報!$L:$L)</f>
        <v>0</v>
      </c>
      <c r="R3070" s="65">
        <f ca="1">SUMIF(日報!$J:$J,$O3070,日報!$L:$L)</f>
        <v>0</v>
      </c>
    </row>
    <row r="3071" spans="15:18" x14ac:dyDescent="0.15">
      <c r="O3071" s="7" t="str">
        <f>"REQ"&amp;TEXT([2]RequestList!$A3072,"0000")</f>
        <v>REQ0000</v>
      </c>
      <c r="P3071" s="7">
        <f>[2]RequestList!$J3072</f>
        <v>0</v>
      </c>
      <c r="Q3071" s="65">
        <f>SUMIF(日報!$R:$R,TEXT(YEAR($Q$2),"0000")&amp;TEXT(MONTH($Q$2),"00")&amp;$O3071,日報!$L:$L)</f>
        <v>0</v>
      </c>
      <c r="R3071" s="65">
        <f ca="1">SUMIF(日報!$J:$J,$O3071,日報!$L:$L)</f>
        <v>0</v>
      </c>
    </row>
    <row r="3072" spans="15:18" x14ac:dyDescent="0.15">
      <c r="O3072" s="7" t="str">
        <f>"REQ"&amp;TEXT([2]RequestList!$A3073,"0000")</f>
        <v>REQ0000</v>
      </c>
      <c r="P3072" s="7">
        <f>[2]RequestList!$J3073</f>
        <v>0</v>
      </c>
      <c r="Q3072" s="65">
        <f>SUMIF(日報!$R:$R,TEXT(YEAR($Q$2),"0000")&amp;TEXT(MONTH($Q$2),"00")&amp;$O3072,日報!$L:$L)</f>
        <v>0</v>
      </c>
      <c r="R3072" s="65">
        <f ca="1">SUMIF(日報!$J:$J,$O3072,日報!$L:$L)</f>
        <v>0</v>
      </c>
    </row>
    <row r="3073" spans="15:18" x14ac:dyDescent="0.15">
      <c r="O3073" s="7" t="str">
        <f>"REQ"&amp;TEXT([2]RequestList!$A3074,"0000")</f>
        <v>REQ0000</v>
      </c>
      <c r="P3073" s="7">
        <f>[2]RequestList!$J3074</f>
        <v>0</v>
      </c>
      <c r="Q3073" s="65">
        <f>SUMIF(日報!$R:$R,TEXT(YEAR($Q$2),"0000")&amp;TEXT(MONTH($Q$2),"00")&amp;$O3073,日報!$L:$L)</f>
        <v>0</v>
      </c>
      <c r="R3073" s="65">
        <f ca="1">SUMIF(日報!$J:$J,$O3073,日報!$L:$L)</f>
        <v>0</v>
      </c>
    </row>
    <row r="3074" spans="15:18" x14ac:dyDescent="0.15">
      <c r="O3074" s="7" t="str">
        <f>"REQ"&amp;TEXT([2]RequestList!$A3075,"0000")</f>
        <v>REQ0000</v>
      </c>
      <c r="P3074" s="7">
        <f>[2]RequestList!$J3075</f>
        <v>0</v>
      </c>
      <c r="Q3074" s="65">
        <f>SUMIF(日報!$R:$R,TEXT(YEAR($Q$2),"0000")&amp;TEXT(MONTH($Q$2),"00")&amp;$O3074,日報!$L:$L)</f>
        <v>0</v>
      </c>
      <c r="R3074" s="65">
        <f ca="1">SUMIF(日報!$J:$J,$O3074,日報!$L:$L)</f>
        <v>0</v>
      </c>
    </row>
    <row r="3075" spans="15:18" x14ac:dyDescent="0.15">
      <c r="O3075" s="7" t="str">
        <f>"REQ"&amp;TEXT([2]RequestList!$A3076,"0000")</f>
        <v>REQ0000</v>
      </c>
      <c r="P3075" s="7">
        <f>[2]RequestList!$J3076</f>
        <v>0</v>
      </c>
      <c r="Q3075" s="65">
        <f>SUMIF(日報!$R:$R,TEXT(YEAR($Q$2),"0000")&amp;TEXT(MONTH($Q$2),"00")&amp;$O3075,日報!$L:$L)</f>
        <v>0</v>
      </c>
      <c r="R3075" s="65">
        <f ca="1">SUMIF(日報!$J:$J,$O3075,日報!$L:$L)</f>
        <v>0</v>
      </c>
    </row>
    <row r="3076" spans="15:18" x14ac:dyDescent="0.15">
      <c r="O3076" s="7" t="str">
        <f>"REQ"&amp;TEXT([2]RequestList!$A3077,"0000")</f>
        <v>REQ0000</v>
      </c>
      <c r="P3076" s="7">
        <f>[2]RequestList!$J3077</f>
        <v>0</v>
      </c>
      <c r="Q3076" s="65">
        <f>SUMIF(日報!$R:$R,TEXT(YEAR($Q$2),"0000")&amp;TEXT(MONTH($Q$2),"00")&amp;$O3076,日報!$L:$L)</f>
        <v>0</v>
      </c>
      <c r="R3076" s="65">
        <f ca="1">SUMIF(日報!$J:$J,$O3076,日報!$L:$L)</f>
        <v>0</v>
      </c>
    </row>
    <row r="3077" spans="15:18" x14ac:dyDescent="0.15">
      <c r="O3077" s="7" t="str">
        <f>"REQ"&amp;TEXT([2]RequestList!$A3078,"0000")</f>
        <v>REQ0000</v>
      </c>
      <c r="P3077" s="7">
        <f>[2]RequestList!$J3078</f>
        <v>0</v>
      </c>
      <c r="Q3077" s="65">
        <f>SUMIF(日報!$R:$R,TEXT(YEAR($Q$2),"0000")&amp;TEXT(MONTH($Q$2),"00")&amp;$O3077,日報!$L:$L)</f>
        <v>0</v>
      </c>
      <c r="R3077" s="65">
        <f ca="1">SUMIF(日報!$J:$J,$O3077,日報!$L:$L)</f>
        <v>0</v>
      </c>
    </row>
    <row r="3078" spans="15:18" x14ac:dyDescent="0.15">
      <c r="O3078" s="7" t="str">
        <f>"REQ"&amp;TEXT([2]RequestList!$A3079,"0000")</f>
        <v>REQ0000</v>
      </c>
      <c r="P3078" s="7">
        <f>[2]RequestList!$J3079</f>
        <v>0</v>
      </c>
      <c r="Q3078" s="65">
        <f>SUMIF(日報!$R:$R,TEXT(YEAR($Q$2),"0000")&amp;TEXT(MONTH($Q$2),"00")&amp;$O3078,日報!$L:$L)</f>
        <v>0</v>
      </c>
      <c r="R3078" s="65">
        <f ca="1">SUMIF(日報!$J:$J,$O3078,日報!$L:$L)</f>
        <v>0</v>
      </c>
    </row>
    <row r="3079" spans="15:18" x14ac:dyDescent="0.15">
      <c r="O3079" s="7" t="str">
        <f>"REQ"&amp;TEXT([2]RequestList!$A3080,"0000")</f>
        <v>REQ0000</v>
      </c>
      <c r="P3079" s="7">
        <f>[2]RequestList!$J3080</f>
        <v>0</v>
      </c>
      <c r="Q3079" s="65">
        <f>SUMIF(日報!$R:$R,TEXT(YEAR($Q$2),"0000")&amp;TEXT(MONTH($Q$2),"00")&amp;$O3079,日報!$L:$L)</f>
        <v>0</v>
      </c>
      <c r="R3079" s="65">
        <f ca="1">SUMIF(日報!$J:$J,$O3079,日報!$L:$L)</f>
        <v>0</v>
      </c>
    </row>
    <row r="3080" spans="15:18" x14ac:dyDescent="0.15">
      <c r="O3080" s="7" t="str">
        <f>"REQ"&amp;TEXT([2]RequestList!$A3081,"0000")</f>
        <v>REQ0000</v>
      </c>
      <c r="P3080" s="7">
        <f>[2]RequestList!$J3081</f>
        <v>0</v>
      </c>
      <c r="Q3080" s="65">
        <f>SUMIF(日報!$R:$R,TEXT(YEAR($Q$2),"0000")&amp;TEXT(MONTH($Q$2),"00")&amp;$O3080,日報!$L:$L)</f>
        <v>0</v>
      </c>
      <c r="R3080" s="65">
        <f ca="1">SUMIF(日報!$J:$J,$O3080,日報!$L:$L)</f>
        <v>0</v>
      </c>
    </row>
    <row r="3081" spans="15:18" x14ac:dyDescent="0.15">
      <c r="O3081" s="7" t="str">
        <f>"REQ"&amp;TEXT([2]RequestList!$A3082,"0000")</f>
        <v>REQ0000</v>
      </c>
      <c r="P3081" s="7">
        <f>[2]RequestList!$J3082</f>
        <v>0</v>
      </c>
      <c r="Q3081" s="65">
        <f>SUMIF(日報!$R:$R,TEXT(YEAR($Q$2),"0000")&amp;TEXT(MONTH($Q$2),"00")&amp;$O3081,日報!$L:$L)</f>
        <v>0</v>
      </c>
      <c r="R3081" s="65">
        <f ca="1">SUMIF(日報!$J:$J,$O3081,日報!$L:$L)</f>
        <v>0</v>
      </c>
    </row>
    <row r="3082" spans="15:18" x14ac:dyDescent="0.15">
      <c r="O3082" s="7" t="str">
        <f>"REQ"&amp;TEXT([2]RequestList!$A3083,"0000")</f>
        <v>REQ0000</v>
      </c>
      <c r="P3082" s="7">
        <f>[2]RequestList!$J3083</f>
        <v>0</v>
      </c>
      <c r="Q3082" s="65">
        <f>SUMIF(日報!$R:$R,TEXT(YEAR($Q$2),"0000")&amp;TEXT(MONTH($Q$2),"00")&amp;$O3082,日報!$L:$L)</f>
        <v>0</v>
      </c>
      <c r="R3082" s="65">
        <f ca="1">SUMIF(日報!$J:$J,$O3082,日報!$L:$L)</f>
        <v>0</v>
      </c>
    </row>
    <row r="3083" spans="15:18" x14ac:dyDescent="0.15">
      <c r="O3083" s="7" t="str">
        <f>"REQ"&amp;TEXT([2]RequestList!$A3084,"0000")</f>
        <v>REQ0000</v>
      </c>
      <c r="P3083" s="7">
        <f>[2]RequestList!$J3084</f>
        <v>0</v>
      </c>
      <c r="Q3083" s="65">
        <f>SUMIF(日報!$R:$R,TEXT(YEAR($Q$2),"0000")&amp;TEXT(MONTH($Q$2),"00")&amp;$O3083,日報!$L:$L)</f>
        <v>0</v>
      </c>
      <c r="R3083" s="65">
        <f ca="1">SUMIF(日報!$J:$J,$O3083,日報!$L:$L)</f>
        <v>0</v>
      </c>
    </row>
    <row r="3084" spans="15:18" x14ac:dyDescent="0.15">
      <c r="O3084" s="7" t="str">
        <f>"REQ"&amp;TEXT([2]RequestList!$A3085,"0000")</f>
        <v>REQ0000</v>
      </c>
      <c r="P3084" s="7">
        <f>[2]RequestList!$J3085</f>
        <v>0</v>
      </c>
      <c r="Q3084" s="65">
        <f>SUMIF(日報!$R:$R,TEXT(YEAR($Q$2),"0000")&amp;TEXT(MONTH($Q$2),"00")&amp;$O3084,日報!$L:$L)</f>
        <v>0</v>
      </c>
      <c r="R3084" s="65">
        <f ca="1">SUMIF(日報!$J:$J,$O3084,日報!$L:$L)</f>
        <v>0</v>
      </c>
    </row>
    <row r="3085" spans="15:18" x14ac:dyDescent="0.15">
      <c r="O3085" s="7" t="str">
        <f>"REQ"&amp;TEXT([2]RequestList!$A3086,"0000")</f>
        <v>REQ0000</v>
      </c>
      <c r="P3085" s="7">
        <f>[2]RequestList!$J3086</f>
        <v>0</v>
      </c>
      <c r="Q3085" s="65">
        <f>SUMIF(日報!$R:$R,TEXT(YEAR($Q$2),"0000")&amp;TEXT(MONTH($Q$2),"00")&amp;$O3085,日報!$L:$L)</f>
        <v>0</v>
      </c>
      <c r="R3085" s="65">
        <f ca="1">SUMIF(日報!$J:$J,$O3085,日報!$L:$L)</f>
        <v>0</v>
      </c>
    </row>
    <row r="3086" spans="15:18" x14ac:dyDescent="0.15">
      <c r="O3086" s="7" t="str">
        <f>"REQ"&amp;TEXT([2]RequestList!$A3087,"0000")</f>
        <v>REQ0000</v>
      </c>
      <c r="P3086" s="7">
        <f>[2]RequestList!$J3087</f>
        <v>0</v>
      </c>
      <c r="Q3086" s="65">
        <f>SUMIF(日報!$R:$R,TEXT(YEAR($Q$2),"0000")&amp;TEXT(MONTH($Q$2),"00")&amp;$O3086,日報!$L:$L)</f>
        <v>0</v>
      </c>
      <c r="R3086" s="65">
        <f ca="1">SUMIF(日報!$J:$J,$O3086,日報!$L:$L)</f>
        <v>0</v>
      </c>
    </row>
    <row r="3087" spans="15:18" x14ac:dyDescent="0.15">
      <c r="O3087" s="7" t="str">
        <f>"REQ"&amp;TEXT([2]RequestList!$A3088,"0000")</f>
        <v>REQ0000</v>
      </c>
      <c r="P3087" s="7">
        <f>[2]RequestList!$J3088</f>
        <v>0</v>
      </c>
      <c r="Q3087" s="65">
        <f>SUMIF(日報!$R:$R,TEXT(YEAR($Q$2),"0000")&amp;TEXT(MONTH($Q$2),"00")&amp;$O3087,日報!$L:$L)</f>
        <v>0</v>
      </c>
      <c r="R3087" s="65">
        <f ca="1">SUMIF(日報!$J:$J,$O3087,日報!$L:$L)</f>
        <v>0</v>
      </c>
    </row>
    <row r="3088" spans="15:18" x14ac:dyDescent="0.15">
      <c r="O3088" s="7" t="str">
        <f>"REQ"&amp;TEXT([2]RequestList!$A3089,"0000")</f>
        <v>REQ0000</v>
      </c>
      <c r="P3088" s="7">
        <f>[2]RequestList!$J3089</f>
        <v>0</v>
      </c>
      <c r="Q3088" s="65">
        <f>SUMIF(日報!$R:$R,TEXT(YEAR($Q$2),"0000")&amp;TEXT(MONTH($Q$2),"00")&amp;$O3088,日報!$L:$L)</f>
        <v>0</v>
      </c>
      <c r="R3088" s="65">
        <f ca="1">SUMIF(日報!$J:$J,$O3088,日報!$L:$L)</f>
        <v>0</v>
      </c>
    </row>
    <row r="3089" spans="15:18" x14ac:dyDescent="0.15">
      <c r="O3089" s="7" t="str">
        <f>"REQ"&amp;TEXT([2]RequestList!$A3090,"0000")</f>
        <v>REQ0000</v>
      </c>
      <c r="P3089" s="7">
        <f>[2]RequestList!$J3090</f>
        <v>0</v>
      </c>
      <c r="Q3089" s="65">
        <f>SUMIF(日報!$R:$R,TEXT(YEAR($Q$2),"0000")&amp;TEXT(MONTH($Q$2),"00")&amp;$O3089,日報!$L:$L)</f>
        <v>0</v>
      </c>
      <c r="R3089" s="65">
        <f ca="1">SUMIF(日報!$J:$J,$O3089,日報!$L:$L)</f>
        <v>0</v>
      </c>
    </row>
    <row r="3090" spans="15:18" x14ac:dyDescent="0.15">
      <c r="O3090" s="7" t="str">
        <f>"REQ"&amp;TEXT([2]RequestList!$A3091,"0000")</f>
        <v>REQ0000</v>
      </c>
      <c r="P3090" s="7">
        <f>[2]RequestList!$J3091</f>
        <v>0</v>
      </c>
      <c r="Q3090" s="65">
        <f>SUMIF(日報!$R:$R,TEXT(YEAR($Q$2),"0000")&amp;TEXT(MONTH($Q$2),"00")&amp;$O3090,日報!$L:$L)</f>
        <v>0</v>
      </c>
      <c r="R3090" s="65">
        <f ca="1">SUMIF(日報!$J:$J,$O3090,日報!$L:$L)</f>
        <v>0</v>
      </c>
    </row>
    <row r="3091" spans="15:18" x14ac:dyDescent="0.15">
      <c r="O3091" s="7" t="str">
        <f>"REQ"&amp;TEXT([2]RequestList!$A3092,"0000")</f>
        <v>REQ0000</v>
      </c>
      <c r="P3091" s="7">
        <f>[2]RequestList!$J3092</f>
        <v>0</v>
      </c>
      <c r="Q3091" s="65">
        <f>SUMIF(日報!$R:$R,TEXT(YEAR($Q$2),"0000")&amp;TEXT(MONTH($Q$2),"00")&amp;$O3091,日報!$L:$L)</f>
        <v>0</v>
      </c>
      <c r="R3091" s="65">
        <f ca="1">SUMIF(日報!$J:$J,$O3091,日報!$L:$L)</f>
        <v>0</v>
      </c>
    </row>
    <row r="3092" spans="15:18" x14ac:dyDescent="0.15">
      <c r="O3092" s="7" t="str">
        <f>"REQ"&amp;TEXT([2]RequestList!$A3093,"0000")</f>
        <v>REQ0000</v>
      </c>
      <c r="P3092" s="7">
        <f>[2]RequestList!$J3093</f>
        <v>0</v>
      </c>
      <c r="Q3092" s="65">
        <f>SUMIF(日報!$R:$R,TEXT(YEAR($Q$2),"0000")&amp;TEXT(MONTH($Q$2),"00")&amp;$O3092,日報!$L:$L)</f>
        <v>0</v>
      </c>
      <c r="R3092" s="65">
        <f ca="1">SUMIF(日報!$J:$J,$O3092,日報!$L:$L)</f>
        <v>0</v>
      </c>
    </row>
    <row r="3093" spans="15:18" x14ac:dyDescent="0.15">
      <c r="O3093" s="7" t="str">
        <f>"REQ"&amp;TEXT([2]RequestList!$A3094,"0000")</f>
        <v>REQ0000</v>
      </c>
      <c r="P3093" s="7">
        <f>[2]RequestList!$J3094</f>
        <v>0</v>
      </c>
      <c r="Q3093" s="65">
        <f>SUMIF(日報!$R:$R,TEXT(YEAR($Q$2),"0000")&amp;TEXT(MONTH($Q$2),"00")&amp;$O3093,日報!$L:$L)</f>
        <v>0</v>
      </c>
      <c r="R3093" s="65">
        <f ca="1">SUMIF(日報!$J:$J,$O3093,日報!$L:$L)</f>
        <v>0</v>
      </c>
    </row>
    <row r="3094" spans="15:18" x14ac:dyDescent="0.15">
      <c r="O3094" s="7" t="str">
        <f>"REQ"&amp;TEXT([2]RequestList!$A3095,"0000")</f>
        <v>REQ0000</v>
      </c>
      <c r="P3094" s="7">
        <f>[2]RequestList!$J3095</f>
        <v>0</v>
      </c>
      <c r="Q3094" s="65">
        <f>SUMIF(日報!$R:$R,TEXT(YEAR($Q$2),"0000")&amp;TEXT(MONTH($Q$2),"00")&amp;$O3094,日報!$L:$L)</f>
        <v>0</v>
      </c>
      <c r="R3094" s="65">
        <f ca="1">SUMIF(日報!$J:$J,$O3094,日報!$L:$L)</f>
        <v>0</v>
      </c>
    </row>
    <row r="3095" spans="15:18" x14ac:dyDescent="0.15">
      <c r="O3095" s="7" t="str">
        <f>"REQ"&amp;TEXT([2]RequestList!$A3096,"0000")</f>
        <v>REQ0000</v>
      </c>
      <c r="P3095" s="7">
        <f>[2]RequestList!$J3096</f>
        <v>0</v>
      </c>
      <c r="Q3095" s="65">
        <f>SUMIF(日報!$R:$R,TEXT(YEAR($Q$2),"0000")&amp;TEXT(MONTH($Q$2),"00")&amp;$O3095,日報!$L:$L)</f>
        <v>0</v>
      </c>
      <c r="R3095" s="65">
        <f ca="1">SUMIF(日報!$J:$J,$O3095,日報!$L:$L)</f>
        <v>0</v>
      </c>
    </row>
    <row r="3096" spans="15:18" x14ac:dyDescent="0.15">
      <c r="O3096" s="7" t="str">
        <f>"REQ"&amp;TEXT([2]RequestList!$A3097,"0000")</f>
        <v>REQ0000</v>
      </c>
      <c r="P3096" s="7">
        <f>[2]RequestList!$J3097</f>
        <v>0</v>
      </c>
      <c r="Q3096" s="65">
        <f>SUMIF(日報!$R:$R,TEXT(YEAR($Q$2),"0000")&amp;TEXT(MONTH($Q$2),"00")&amp;$O3096,日報!$L:$L)</f>
        <v>0</v>
      </c>
      <c r="R3096" s="65">
        <f ca="1">SUMIF(日報!$J:$J,$O3096,日報!$L:$L)</f>
        <v>0</v>
      </c>
    </row>
    <row r="3097" spans="15:18" x14ac:dyDescent="0.15">
      <c r="O3097" s="7" t="str">
        <f>"REQ"&amp;TEXT([2]RequestList!$A3098,"0000")</f>
        <v>REQ0000</v>
      </c>
      <c r="P3097" s="7">
        <f>[2]RequestList!$J3098</f>
        <v>0</v>
      </c>
      <c r="Q3097" s="65">
        <f>SUMIF(日報!$R:$R,TEXT(YEAR($Q$2),"0000")&amp;TEXT(MONTH($Q$2),"00")&amp;$O3097,日報!$L:$L)</f>
        <v>0</v>
      </c>
      <c r="R3097" s="65">
        <f ca="1">SUMIF(日報!$J:$J,$O3097,日報!$L:$L)</f>
        <v>0</v>
      </c>
    </row>
    <row r="3098" spans="15:18" x14ac:dyDescent="0.15">
      <c r="O3098" s="7" t="str">
        <f>"REQ"&amp;TEXT([2]RequestList!$A3099,"0000")</f>
        <v>REQ0000</v>
      </c>
      <c r="P3098" s="7">
        <f>[2]RequestList!$J3099</f>
        <v>0</v>
      </c>
      <c r="Q3098" s="65">
        <f>SUMIF(日報!$R:$R,TEXT(YEAR($Q$2),"0000")&amp;TEXT(MONTH($Q$2),"00")&amp;$O3098,日報!$L:$L)</f>
        <v>0</v>
      </c>
      <c r="R3098" s="65">
        <f ca="1">SUMIF(日報!$J:$J,$O3098,日報!$L:$L)</f>
        <v>0</v>
      </c>
    </row>
    <row r="3099" spans="15:18" x14ac:dyDescent="0.15">
      <c r="O3099" s="7" t="str">
        <f>"REQ"&amp;TEXT([2]RequestList!$A3100,"0000")</f>
        <v>REQ0000</v>
      </c>
      <c r="P3099" s="7">
        <f>[2]RequestList!$J3100</f>
        <v>0</v>
      </c>
      <c r="Q3099" s="65">
        <f>SUMIF(日報!$R:$R,TEXT(YEAR($Q$2),"0000")&amp;TEXT(MONTH($Q$2),"00")&amp;$O3099,日報!$L:$L)</f>
        <v>0</v>
      </c>
      <c r="R3099" s="65">
        <f ca="1">SUMIF(日報!$J:$J,$O3099,日報!$L:$L)</f>
        <v>0</v>
      </c>
    </row>
    <row r="3100" spans="15:18" x14ac:dyDescent="0.15">
      <c r="O3100" s="7" t="str">
        <f>"REQ"&amp;TEXT([2]RequestList!$A3101,"0000")</f>
        <v>REQ0000</v>
      </c>
      <c r="P3100" s="7">
        <f>[2]RequestList!$J3101</f>
        <v>0</v>
      </c>
      <c r="Q3100" s="65">
        <f>SUMIF(日報!$R:$R,TEXT(YEAR($Q$2),"0000")&amp;TEXT(MONTH($Q$2),"00")&amp;$O3100,日報!$L:$L)</f>
        <v>0</v>
      </c>
      <c r="R3100" s="65">
        <f ca="1">SUMIF(日報!$J:$J,$O3100,日報!$L:$L)</f>
        <v>0</v>
      </c>
    </row>
    <row r="3101" spans="15:18" x14ac:dyDescent="0.15">
      <c r="O3101" s="7" t="str">
        <f>"REQ"&amp;TEXT([2]RequestList!$A3102,"0000")</f>
        <v>REQ0000</v>
      </c>
      <c r="P3101" s="7">
        <f>[2]RequestList!$J3102</f>
        <v>0</v>
      </c>
      <c r="Q3101" s="65">
        <f>SUMIF(日報!$R:$R,TEXT(YEAR($Q$2),"0000")&amp;TEXT(MONTH($Q$2),"00")&amp;$O3101,日報!$L:$L)</f>
        <v>0</v>
      </c>
      <c r="R3101" s="65">
        <f ca="1">SUMIF(日報!$J:$J,$O3101,日報!$L:$L)</f>
        <v>0</v>
      </c>
    </row>
    <row r="3102" spans="15:18" x14ac:dyDescent="0.15">
      <c r="O3102" s="7" t="str">
        <f>"REQ"&amp;TEXT([2]RequestList!$A3103,"0000")</f>
        <v>REQ0000</v>
      </c>
      <c r="P3102" s="7">
        <f>[2]RequestList!$J3103</f>
        <v>0</v>
      </c>
      <c r="Q3102" s="65">
        <f>SUMIF(日報!$R:$R,TEXT(YEAR($Q$2),"0000")&amp;TEXT(MONTH($Q$2),"00")&amp;$O3102,日報!$L:$L)</f>
        <v>0</v>
      </c>
      <c r="R3102" s="65">
        <f ca="1">SUMIF(日報!$J:$J,$O3102,日報!$L:$L)</f>
        <v>0</v>
      </c>
    </row>
    <row r="3103" spans="15:18" x14ac:dyDescent="0.15">
      <c r="O3103" s="7" t="str">
        <f>"REQ"&amp;TEXT([2]RequestList!$A3104,"0000")</f>
        <v>REQ0000</v>
      </c>
      <c r="P3103" s="7">
        <f>[2]RequestList!$J3104</f>
        <v>0</v>
      </c>
      <c r="Q3103" s="65">
        <f>SUMIF(日報!$R:$R,TEXT(YEAR($Q$2),"0000")&amp;TEXT(MONTH($Q$2),"00")&amp;$O3103,日報!$L:$L)</f>
        <v>0</v>
      </c>
      <c r="R3103" s="65">
        <f ca="1">SUMIF(日報!$J:$J,$O3103,日報!$L:$L)</f>
        <v>0</v>
      </c>
    </row>
    <row r="3104" spans="15:18" x14ac:dyDescent="0.15">
      <c r="O3104" s="7" t="str">
        <f>"REQ"&amp;TEXT([2]RequestList!$A3105,"0000")</f>
        <v>REQ0000</v>
      </c>
      <c r="P3104" s="7">
        <f>[2]RequestList!$J3105</f>
        <v>0</v>
      </c>
      <c r="Q3104" s="65">
        <f>SUMIF(日報!$R:$R,TEXT(YEAR($Q$2),"0000")&amp;TEXT(MONTH($Q$2),"00")&amp;$O3104,日報!$L:$L)</f>
        <v>0</v>
      </c>
      <c r="R3104" s="65">
        <f ca="1">SUMIF(日報!$J:$J,$O3104,日報!$L:$L)</f>
        <v>0</v>
      </c>
    </row>
    <row r="3105" spans="15:18" x14ac:dyDescent="0.15">
      <c r="O3105" s="7" t="str">
        <f>"REQ"&amp;TEXT([2]RequestList!$A3106,"0000")</f>
        <v>REQ0000</v>
      </c>
      <c r="P3105" s="7">
        <f>[2]RequestList!$J3106</f>
        <v>0</v>
      </c>
      <c r="Q3105" s="65">
        <f>SUMIF(日報!$R:$R,TEXT(YEAR($Q$2),"0000")&amp;TEXT(MONTH($Q$2),"00")&amp;$O3105,日報!$L:$L)</f>
        <v>0</v>
      </c>
      <c r="R3105" s="65">
        <f ca="1">SUMIF(日報!$J:$J,$O3105,日報!$L:$L)</f>
        <v>0</v>
      </c>
    </row>
    <row r="3106" spans="15:18" x14ac:dyDescent="0.15">
      <c r="O3106" s="7" t="str">
        <f>"REQ"&amp;TEXT([2]RequestList!$A3107,"0000")</f>
        <v>REQ0000</v>
      </c>
      <c r="P3106" s="7">
        <f>[2]RequestList!$J3107</f>
        <v>0</v>
      </c>
      <c r="Q3106" s="65">
        <f>SUMIF(日報!$R:$R,TEXT(YEAR($Q$2),"0000")&amp;TEXT(MONTH($Q$2),"00")&amp;$O3106,日報!$L:$L)</f>
        <v>0</v>
      </c>
      <c r="R3106" s="65">
        <f ca="1">SUMIF(日報!$J:$J,$O3106,日報!$L:$L)</f>
        <v>0</v>
      </c>
    </row>
    <row r="3107" spans="15:18" x14ac:dyDescent="0.15">
      <c r="O3107" s="7" t="str">
        <f>"REQ"&amp;TEXT([2]RequestList!$A3108,"0000")</f>
        <v>REQ0000</v>
      </c>
      <c r="P3107" s="7">
        <f>[2]RequestList!$J3108</f>
        <v>0</v>
      </c>
      <c r="Q3107" s="65">
        <f>SUMIF(日報!$R:$R,TEXT(YEAR($Q$2),"0000")&amp;TEXT(MONTH($Q$2),"00")&amp;$O3107,日報!$L:$L)</f>
        <v>0</v>
      </c>
      <c r="R3107" s="65">
        <f ca="1">SUMIF(日報!$J:$J,$O3107,日報!$L:$L)</f>
        <v>0</v>
      </c>
    </row>
    <row r="3108" spans="15:18" x14ac:dyDescent="0.15">
      <c r="O3108" s="7" t="str">
        <f>"REQ"&amp;TEXT([2]RequestList!$A3109,"0000")</f>
        <v>REQ0000</v>
      </c>
      <c r="P3108" s="7">
        <f>[2]RequestList!$J3109</f>
        <v>0</v>
      </c>
      <c r="Q3108" s="65">
        <f>SUMIF(日報!$R:$R,TEXT(YEAR($Q$2),"0000")&amp;TEXT(MONTH($Q$2),"00")&amp;$O3108,日報!$L:$L)</f>
        <v>0</v>
      </c>
      <c r="R3108" s="65">
        <f ca="1">SUMIF(日報!$J:$J,$O3108,日報!$L:$L)</f>
        <v>0</v>
      </c>
    </row>
    <row r="3109" spans="15:18" x14ac:dyDescent="0.15">
      <c r="O3109" s="7" t="str">
        <f>"REQ"&amp;TEXT([2]RequestList!$A3110,"0000")</f>
        <v>REQ0000</v>
      </c>
      <c r="P3109" s="7">
        <f>[2]RequestList!$J3110</f>
        <v>0</v>
      </c>
      <c r="Q3109" s="65">
        <f>SUMIF(日報!$R:$R,TEXT(YEAR($Q$2),"0000")&amp;TEXT(MONTH($Q$2),"00")&amp;$O3109,日報!$L:$L)</f>
        <v>0</v>
      </c>
      <c r="R3109" s="65">
        <f ca="1">SUMIF(日報!$J:$J,$O3109,日報!$L:$L)</f>
        <v>0</v>
      </c>
    </row>
    <row r="3110" spans="15:18" x14ac:dyDescent="0.15">
      <c r="O3110" s="7" t="str">
        <f>"REQ"&amp;TEXT([2]RequestList!$A3111,"0000")</f>
        <v>REQ0000</v>
      </c>
      <c r="P3110" s="7">
        <f>[2]RequestList!$J3111</f>
        <v>0</v>
      </c>
      <c r="Q3110" s="65">
        <f>SUMIF(日報!$R:$R,TEXT(YEAR($Q$2),"0000")&amp;TEXT(MONTH($Q$2),"00")&amp;$O3110,日報!$L:$L)</f>
        <v>0</v>
      </c>
      <c r="R3110" s="65">
        <f ca="1">SUMIF(日報!$J:$J,$O3110,日報!$L:$L)</f>
        <v>0</v>
      </c>
    </row>
    <row r="3111" spans="15:18" x14ac:dyDescent="0.15">
      <c r="O3111" s="7" t="str">
        <f>"REQ"&amp;TEXT([2]RequestList!$A3112,"0000")</f>
        <v>REQ0000</v>
      </c>
      <c r="P3111" s="7">
        <f>[2]RequestList!$J3112</f>
        <v>0</v>
      </c>
      <c r="Q3111" s="65">
        <f>SUMIF(日報!$R:$R,TEXT(YEAR($Q$2),"0000")&amp;TEXT(MONTH($Q$2),"00")&amp;$O3111,日報!$L:$L)</f>
        <v>0</v>
      </c>
      <c r="R3111" s="65">
        <f ca="1">SUMIF(日報!$J:$J,$O3111,日報!$L:$L)</f>
        <v>0</v>
      </c>
    </row>
    <row r="3112" spans="15:18" x14ac:dyDescent="0.15">
      <c r="O3112" s="7" t="str">
        <f>"REQ"&amp;TEXT([2]RequestList!$A3113,"0000")</f>
        <v>REQ0000</v>
      </c>
      <c r="P3112" s="7">
        <f>[2]RequestList!$J3113</f>
        <v>0</v>
      </c>
      <c r="Q3112" s="65">
        <f>SUMIF(日報!$R:$R,TEXT(YEAR($Q$2),"0000")&amp;TEXT(MONTH($Q$2),"00")&amp;$O3112,日報!$L:$L)</f>
        <v>0</v>
      </c>
      <c r="R3112" s="65">
        <f ca="1">SUMIF(日報!$J:$J,$O3112,日報!$L:$L)</f>
        <v>0</v>
      </c>
    </row>
    <row r="3113" spans="15:18" x14ac:dyDescent="0.15">
      <c r="O3113" s="7" t="str">
        <f>"REQ"&amp;TEXT([2]RequestList!$A3114,"0000")</f>
        <v>REQ0000</v>
      </c>
      <c r="P3113" s="7">
        <f>[2]RequestList!$J3114</f>
        <v>0</v>
      </c>
      <c r="Q3113" s="65">
        <f>SUMIF(日報!$R:$R,TEXT(YEAR($Q$2),"0000")&amp;TEXT(MONTH($Q$2),"00")&amp;$O3113,日報!$L:$L)</f>
        <v>0</v>
      </c>
      <c r="R3113" s="65">
        <f ca="1">SUMIF(日報!$J:$J,$O3113,日報!$L:$L)</f>
        <v>0</v>
      </c>
    </row>
    <row r="3114" spans="15:18" x14ac:dyDescent="0.15">
      <c r="O3114" s="7" t="str">
        <f>"REQ"&amp;TEXT([2]RequestList!$A3115,"0000")</f>
        <v>REQ0000</v>
      </c>
      <c r="P3114" s="7">
        <f>[2]RequestList!$J3115</f>
        <v>0</v>
      </c>
      <c r="Q3114" s="65">
        <f>SUMIF(日報!$R:$R,TEXT(YEAR($Q$2),"0000")&amp;TEXT(MONTH($Q$2),"00")&amp;$O3114,日報!$L:$L)</f>
        <v>0</v>
      </c>
      <c r="R3114" s="65">
        <f ca="1">SUMIF(日報!$J:$J,$O3114,日報!$L:$L)</f>
        <v>0</v>
      </c>
    </row>
    <row r="3115" spans="15:18" x14ac:dyDescent="0.15">
      <c r="O3115" s="7" t="str">
        <f>"REQ"&amp;TEXT([2]RequestList!$A3116,"0000")</f>
        <v>REQ0000</v>
      </c>
      <c r="P3115" s="7">
        <f>[2]RequestList!$J3116</f>
        <v>0</v>
      </c>
      <c r="Q3115" s="65">
        <f>SUMIF(日報!$R:$R,TEXT(YEAR($Q$2),"0000")&amp;TEXT(MONTH($Q$2),"00")&amp;$O3115,日報!$L:$L)</f>
        <v>0</v>
      </c>
      <c r="R3115" s="65">
        <f ca="1">SUMIF(日報!$J:$J,$O3115,日報!$L:$L)</f>
        <v>0</v>
      </c>
    </row>
    <row r="3116" spans="15:18" x14ac:dyDescent="0.15">
      <c r="O3116" s="7" t="str">
        <f>"REQ"&amp;TEXT([2]RequestList!$A3117,"0000")</f>
        <v>REQ0000</v>
      </c>
      <c r="P3116" s="7">
        <f>[2]RequestList!$J3117</f>
        <v>0</v>
      </c>
      <c r="Q3116" s="65">
        <f>SUMIF(日報!$R:$R,TEXT(YEAR($Q$2),"0000")&amp;TEXT(MONTH($Q$2),"00")&amp;$O3116,日報!$L:$L)</f>
        <v>0</v>
      </c>
      <c r="R3116" s="65">
        <f ca="1">SUMIF(日報!$J:$J,$O3116,日報!$L:$L)</f>
        <v>0</v>
      </c>
    </row>
    <row r="3117" spans="15:18" x14ac:dyDescent="0.15">
      <c r="O3117" s="7" t="str">
        <f>"REQ"&amp;TEXT([2]RequestList!$A3118,"0000")</f>
        <v>REQ0000</v>
      </c>
      <c r="P3117" s="7">
        <f>[2]RequestList!$J3118</f>
        <v>0</v>
      </c>
      <c r="Q3117" s="65">
        <f>SUMIF(日報!$R:$R,TEXT(YEAR($Q$2),"0000")&amp;TEXT(MONTH($Q$2),"00")&amp;$O3117,日報!$L:$L)</f>
        <v>0</v>
      </c>
      <c r="R3117" s="65">
        <f ca="1">SUMIF(日報!$J:$J,$O3117,日報!$L:$L)</f>
        <v>0</v>
      </c>
    </row>
    <row r="3118" spans="15:18" x14ac:dyDescent="0.15">
      <c r="O3118" s="7" t="str">
        <f>"REQ"&amp;TEXT([2]RequestList!$A3119,"0000")</f>
        <v>REQ0000</v>
      </c>
      <c r="P3118" s="7">
        <f>[2]RequestList!$J3119</f>
        <v>0</v>
      </c>
      <c r="Q3118" s="65">
        <f>SUMIF(日報!$R:$R,TEXT(YEAR($Q$2),"0000")&amp;TEXT(MONTH($Q$2),"00")&amp;$O3118,日報!$L:$L)</f>
        <v>0</v>
      </c>
      <c r="R3118" s="65">
        <f ca="1">SUMIF(日報!$J:$J,$O3118,日報!$L:$L)</f>
        <v>0</v>
      </c>
    </row>
    <row r="3119" spans="15:18" x14ac:dyDescent="0.15">
      <c r="O3119" s="7" t="str">
        <f>"REQ"&amp;TEXT([2]RequestList!$A3120,"0000")</f>
        <v>REQ0000</v>
      </c>
      <c r="P3119" s="7">
        <f>[2]RequestList!$J3120</f>
        <v>0</v>
      </c>
      <c r="Q3119" s="65">
        <f>SUMIF(日報!$R:$R,TEXT(YEAR($Q$2),"0000")&amp;TEXT(MONTH($Q$2),"00")&amp;$O3119,日報!$L:$L)</f>
        <v>0</v>
      </c>
      <c r="R3119" s="65">
        <f ca="1">SUMIF(日報!$J:$J,$O3119,日報!$L:$L)</f>
        <v>0</v>
      </c>
    </row>
    <row r="3120" spans="15:18" x14ac:dyDescent="0.15">
      <c r="O3120" s="7" t="str">
        <f>"REQ"&amp;TEXT([2]RequestList!$A3121,"0000")</f>
        <v>REQ0000</v>
      </c>
      <c r="P3120" s="7">
        <f>[2]RequestList!$J3121</f>
        <v>0</v>
      </c>
      <c r="Q3120" s="65">
        <f>SUMIF(日報!$R:$R,TEXT(YEAR($Q$2),"0000")&amp;TEXT(MONTH($Q$2),"00")&amp;$O3120,日報!$L:$L)</f>
        <v>0</v>
      </c>
      <c r="R3120" s="65">
        <f ca="1">SUMIF(日報!$J:$J,$O3120,日報!$L:$L)</f>
        <v>0</v>
      </c>
    </row>
    <row r="3121" spans="15:18" x14ac:dyDescent="0.15">
      <c r="O3121" s="7" t="str">
        <f>"REQ"&amp;TEXT([2]RequestList!$A3122,"0000")</f>
        <v>REQ0000</v>
      </c>
      <c r="P3121" s="7">
        <f>[2]RequestList!$J3122</f>
        <v>0</v>
      </c>
      <c r="Q3121" s="65">
        <f>SUMIF(日報!$R:$R,TEXT(YEAR($Q$2),"0000")&amp;TEXT(MONTH($Q$2),"00")&amp;$O3121,日報!$L:$L)</f>
        <v>0</v>
      </c>
      <c r="R3121" s="65">
        <f ca="1">SUMIF(日報!$J:$J,$O3121,日報!$L:$L)</f>
        <v>0</v>
      </c>
    </row>
    <row r="3122" spans="15:18" x14ac:dyDescent="0.15">
      <c r="O3122" s="7" t="str">
        <f>"REQ"&amp;TEXT([2]RequestList!$A3123,"0000")</f>
        <v>REQ0000</v>
      </c>
      <c r="P3122" s="7">
        <f>[2]RequestList!$J3123</f>
        <v>0</v>
      </c>
      <c r="Q3122" s="65">
        <f>SUMIF(日報!$R:$R,TEXT(YEAR($Q$2),"0000")&amp;TEXT(MONTH($Q$2),"00")&amp;$O3122,日報!$L:$L)</f>
        <v>0</v>
      </c>
      <c r="R3122" s="65">
        <f ca="1">SUMIF(日報!$J:$J,$O3122,日報!$L:$L)</f>
        <v>0</v>
      </c>
    </row>
    <row r="3123" spans="15:18" x14ac:dyDescent="0.15">
      <c r="O3123" s="7" t="str">
        <f>"REQ"&amp;TEXT([2]RequestList!$A3124,"0000")</f>
        <v>REQ0000</v>
      </c>
      <c r="P3123" s="7">
        <f>[2]RequestList!$J3124</f>
        <v>0</v>
      </c>
      <c r="Q3123" s="65">
        <f>SUMIF(日報!$R:$R,TEXT(YEAR($Q$2),"0000")&amp;TEXT(MONTH($Q$2),"00")&amp;$O3123,日報!$L:$L)</f>
        <v>0</v>
      </c>
      <c r="R3123" s="65">
        <f ca="1">SUMIF(日報!$J:$J,$O3123,日報!$L:$L)</f>
        <v>0</v>
      </c>
    </row>
    <row r="3124" spans="15:18" x14ac:dyDescent="0.15">
      <c r="O3124" s="7" t="str">
        <f>"REQ"&amp;TEXT([2]RequestList!$A3125,"0000")</f>
        <v>REQ0000</v>
      </c>
      <c r="P3124" s="7">
        <f>[2]RequestList!$J3125</f>
        <v>0</v>
      </c>
      <c r="Q3124" s="65">
        <f>SUMIF(日報!$R:$R,TEXT(YEAR($Q$2),"0000")&amp;TEXT(MONTH($Q$2),"00")&amp;$O3124,日報!$L:$L)</f>
        <v>0</v>
      </c>
      <c r="R3124" s="65">
        <f ca="1">SUMIF(日報!$J:$J,$O3124,日報!$L:$L)</f>
        <v>0</v>
      </c>
    </row>
    <row r="3125" spans="15:18" x14ac:dyDescent="0.15">
      <c r="O3125" s="7" t="str">
        <f>"REQ"&amp;TEXT([2]RequestList!$A3126,"0000")</f>
        <v>REQ0000</v>
      </c>
      <c r="P3125" s="7">
        <f>[2]RequestList!$J3126</f>
        <v>0</v>
      </c>
      <c r="Q3125" s="65">
        <f>SUMIF(日報!$R:$R,TEXT(YEAR($Q$2),"0000")&amp;TEXT(MONTH($Q$2),"00")&amp;$O3125,日報!$L:$L)</f>
        <v>0</v>
      </c>
      <c r="R3125" s="65">
        <f ca="1">SUMIF(日報!$J:$J,$O3125,日報!$L:$L)</f>
        <v>0</v>
      </c>
    </row>
    <row r="3126" spans="15:18" x14ac:dyDescent="0.15">
      <c r="O3126" s="7" t="str">
        <f>"REQ"&amp;TEXT([2]RequestList!$A3127,"0000")</f>
        <v>REQ0000</v>
      </c>
      <c r="P3126" s="7">
        <f>[2]RequestList!$J3127</f>
        <v>0</v>
      </c>
      <c r="Q3126" s="65">
        <f>SUMIF(日報!$R:$R,TEXT(YEAR($Q$2),"0000")&amp;TEXT(MONTH($Q$2),"00")&amp;$O3126,日報!$L:$L)</f>
        <v>0</v>
      </c>
      <c r="R3126" s="65">
        <f ca="1">SUMIF(日報!$J:$J,$O3126,日報!$L:$L)</f>
        <v>0</v>
      </c>
    </row>
    <row r="3127" spans="15:18" x14ac:dyDescent="0.15">
      <c r="O3127" s="7" t="str">
        <f>"REQ"&amp;TEXT([2]RequestList!$A3128,"0000")</f>
        <v>REQ0000</v>
      </c>
      <c r="P3127" s="7">
        <f>[2]RequestList!$J3128</f>
        <v>0</v>
      </c>
      <c r="Q3127" s="65">
        <f>SUMIF(日報!$R:$R,TEXT(YEAR($Q$2),"0000")&amp;TEXT(MONTH($Q$2),"00")&amp;$O3127,日報!$L:$L)</f>
        <v>0</v>
      </c>
      <c r="R3127" s="65">
        <f ca="1">SUMIF(日報!$J:$J,$O3127,日報!$L:$L)</f>
        <v>0</v>
      </c>
    </row>
    <row r="3128" spans="15:18" x14ac:dyDescent="0.15">
      <c r="O3128" s="7" t="str">
        <f>"REQ"&amp;TEXT([2]RequestList!$A3129,"0000")</f>
        <v>REQ0000</v>
      </c>
      <c r="P3128" s="7">
        <f>[2]RequestList!$J3129</f>
        <v>0</v>
      </c>
      <c r="Q3128" s="65">
        <f>SUMIF(日報!$R:$R,TEXT(YEAR($Q$2),"0000")&amp;TEXT(MONTH($Q$2),"00")&amp;$O3128,日報!$L:$L)</f>
        <v>0</v>
      </c>
      <c r="R3128" s="65">
        <f ca="1">SUMIF(日報!$J:$J,$O3128,日報!$L:$L)</f>
        <v>0</v>
      </c>
    </row>
    <row r="3129" spans="15:18" x14ac:dyDescent="0.15">
      <c r="O3129" s="7" t="str">
        <f>"REQ"&amp;TEXT([2]RequestList!$A3130,"0000")</f>
        <v>REQ0000</v>
      </c>
      <c r="P3129" s="7">
        <f>[2]RequestList!$J3130</f>
        <v>0</v>
      </c>
      <c r="Q3129" s="65">
        <f>SUMIF(日報!$R:$R,TEXT(YEAR($Q$2),"0000")&amp;TEXT(MONTH($Q$2),"00")&amp;$O3129,日報!$L:$L)</f>
        <v>0</v>
      </c>
      <c r="R3129" s="65">
        <f ca="1">SUMIF(日報!$J:$J,$O3129,日報!$L:$L)</f>
        <v>0</v>
      </c>
    </row>
    <row r="3130" spans="15:18" x14ac:dyDescent="0.15">
      <c r="O3130" s="7" t="str">
        <f>"REQ"&amp;TEXT([2]RequestList!$A3131,"0000")</f>
        <v>REQ0000</v>
      </c>
      <c r="P3130" s="7">
        <f>[2]RequestList!$J3131</f>
        <v>0</v>
      </c>
      <c r="Q3130" s="65">
        <f>SUMIF(日報!$R:$R,TEXT(YEAR($Q$2),"0000")&amp;TEXT(MONTH($Q$2),"00")&amp;$O3130,日報!$L:$L)</f>
        <v>0</v>
      </c>
      <c r="R3130" s="65">
        <f ca="1">SUMIF(日報!$J:$J,$O3130,日報!$L:$L)</f>
        <v>0</v>
      </c>
    </row>
    <row r="3131" spans="15:18" x14ac:dyDescent="0.15">
      <c r="O3131" s="7" t="str">
        <f>"REQ"&amp;TEXT([2]RequestList!$A3132,"0000")</f>
        <v>REQ0000</v>
      </c>
      <c r="P3131" s="7">
        <f>[2]RequestList!$J3132</f>
        <v>0</v>
      </c>
      <c r="Q3131" s="65">
        <f>SUMIF(日報!$R:$R,TEXT(YEAR($Q$2),"0000")&amp;TEXT(MONTH($Q$2),"00")&amp;$O3131,日報!$L:$L)</f>
        <v>0</v>
      </c>
      <c r="R3131" s="65">
        <f ca="1">SUMIF(日報!$J:$J,$O3131,日報!$L:$L)</f>
        <v>0</v>
      </c>
    </row>
    <row r="3132" spans="15:18" x14ac:dyDescent="0.15">
      <c r="O3132" s="7" t="str">
        <f>"REQ"&amp;TEXT([2]RequestList!$A3133,"0000")</f>
        <v>REQ0000</v>
      </c>
      <c r="P3132" s="7">
        <f>[2]RequestList!$J3133</f>
        <v>0</v>
      </c>
      <c r="Q3132" s="65">
        <f>SUMIF(日報!$R:$R,TEXT(YEAR($Q$2),"0000")&amp;TEXT(MONTH($Q$2),"00")&amp;$O3132,日報!$L:$L)</f>
        <v>0</v>
      </c>
      <c r="R3132" s="65">
        <f ca="1">SUMIF(日報!$J:$J,$O3132,日報!$L:$L)</f>
        <v>0</v>
      </c>
    </row>
    <row r="3133" spans="15:18" x14ac:dyDescent="0.15">
      <c r="O3133" s="7" t="str">
        <f>"REQ"&amp;TEXT([2]RequestList!$A3134,"0000")</f>
        <v>REQ0000</v>
      </c>
      <c r="P3133" s="7">
        <f>[2]RequestList!$J3134</f>
        <v>0</v>
      </c>
      <c r="Q3133" s="65">
        <f>SUMIF(日報!$R:$R,TEXT(YEAR($Q$2),"0000")&amp;TEXT(MONTH($Q$2),"00")&amp;$O3133,日報!$L:$L)</f>
        <v>0</v>
      </c>
      <c r="R3133" s="65">
        <f ca="1">SUMIF(日報!$J:$J,$O3133,日報!$L:$L)</f>
        <v>0</v>
      </c>
    </row>
    <row r="3134" spans="15:18" x14ac:dyDescent="0.15">
      <c r="O3134" s="7" t="str">
        <f>"REQ"&amp;TEXT([2]RequestList!$A3135,"0000")</f>
        <v>REQ0000</v>
      </c>
      <c r="P3134" s="7">
        <f>[2]RequestList!$J3135</f>
        <v>0</v>
      </c>
      <c r="Q3134" s="65">
        <f>SUMIF(日報!$R:$R,TEXT(YEAR($Q$2),"0000")&amp;TEXT(MONTH($Q$2),"00")&amp;$O3134,日報!$L:$L)</f>
        <v>0</v>
      </c>
      <c r="R3134" s="65">
        <f ca="1">SUMIF(日報!$J:$J,$O3134,日報!$L:$L)</f>
        <v>0</v>
      </c>
    </row>
    <row r="3135" spans="15:18" x14ac:dyDescent="0.15">
      <c r="O3135" s="7" t="str">
        <f>"REQ"&amp;TEXT([2]RequestList!$A3136,"0000")</f>
        <v>REQ0000</v>
      </c>
      <c r="P3135" s="7">
        <f>[2]RequestList!$J3136</f>
        <v>0</v>
      </c>
      <c r="Q3135" s="65">
        <f>SUMIF(日報!$R:$R,TEXT(YEAR($Q$2),"0000")&amp;TEXT(MONTH($Q$2),"00")&amp;$O3135,日報!$L:$L)</f>
        <v>0</v>
      </c>
      <c r="R3135" s="65">
        <f ca="1">SUMIF(日報!$J:$J,$O3135,日報!$L:$L)</f>
        <v>0</v>
      </c>
    </row>
    <row r="3136" spans="15:18" x14ac:dyDescent="0.15">
      <c r="O3136" s="7" t="str">
        <f>"REQ"&amp;TEXT([2]RequestList!$A3137,"0000")</f>
        <v>REQ0000</v>
      </c>
      <c r="P3136" s="7">
        <f>[2]RequestList!$J3137</f>
        <v>0</v>
      </c>
      <c r="Q3136" s="65">
        <f>SUMIF(日報!$R:$R,TEXT(YEAR($Q$2),"0000")&amp;TEXT(MONTH($Q$2),"00")&amp;$O3136,日報!$L:$L)</f>
        <v>0</v>
      </c>
      <c r="R3136" s="65">
        <f ca="1">SUMIF(日報!$J:$J,$O3136,日報!$L:$L)</f>
        <v>0</v>
      </c>
    </row>
    <row r="3137" spans="15:18" x14ac:dyDescent="0.15">
      <c r="O3137" s="7" t="str">
        <f>"REQ"&amp;TEXT([2]RequestList!$A3138,"0000")</f>
        <v>REQ0000</v>
      </c>
      <c r="P3137" s="7">
        <f>[2]RequestList!$J3138</f>
        <v>0</v>
      </c>
      <c r="Q3137" s="65">
        <f>SUMIF(日報!$R:$R,TEXT(YEAR($Q$2),"0000")&amp;TEXT(MONTH($Q$2),"00")&amp;$O3137,日報!$L:$L)</f>
        <v>0</v>
      </c>
      <c r="R3137" s="65">
        <f ca="1">SUMIF(日報!$J:$J,$O3137,日報!$L:$L)</f>
        <v>0</v>
      </c>
    </row>
    <row r="3138" spans="15:18" x14ac:dyDescent="0.15">
      <c r="O3138" s="7" t="str">
        <f>"REQ"&amp;TEXT([2]RequestList!$A3139,"0000")</f>
        <v>REQ0000</v>
      </c>
      <c r="P3138" s="7">
        <f>[2]RequestList!$J3139</f>
        <v>0</v>
      </c>
      <c r="Q3138" s="65">
        <f>SUMIF(日報!$R:$R,TEXT(YEAR($Q$2),"0000")&amp;TEXT(MONTH($Q$2),"00")&amp;$O3138,日報!$L:$L)</f>
        <v>0</v>
      </c>
      <c r="R3138" s="65">
        <f ca="1">SUMIF(日報!$J:$J,$O3138,日報!$L:$L)</f>
        <v>0</v>
      </c>
    </row>
    <row r="3139" spans="15:18" x14ac:dyDescent="0.15">
      <c r="O3139" s="7" t="str">
        <f>"REQ"&amp;TEXT([2]RequestList!$A3140,"0000")</f>
        <v>REQ0000</v>
      </c>
      <c r="P3139" s="7">
        <f>[2]RequestList!$J3140</f>
        <v>0</v>
      </c>
      <c r="Q3139" s="65">
        <f>SUMIF(日報!$R:$R,TEXT(YEAR($Q$2),"0000")&amp;TEXT(MONTH($Q$2),"00")&amp;$O3139,日報!$L:$L)</f>
        <v>0</v>
      </c>
      <c r="R3139" s="65">
        <f ca="1">SUMIF(日報!$J:$J,$O3139,日報!$L:$L)</f>
        <v>0</v>
      </c>
    </row>
    <row r="3140" spans="15:18" x14ac:dyDescent="0.15">
      <c r="O3140" s="7" t="str">
        <f>"REQ"&amp;TEXT([2]RequestList!$A3141,"0000")</f>
        <v>REQ0000</v>
      </c>
      <c r="P3140" s="7">
        <f>[2]RequestList!$J3141</f>
        <v>0</v>
      </c>
      <c r="Q3140" s="65">
        <f>SUMIF(日報!$R:$R,TEXT(YEAR($Q$2),"0000")&amp;TEXT(MONTH($Q$2),"00")&amp;$O3140,日報!$L:$L)</f>
        <v>0</v>
      </c>
      <c r="R3140" s="65">
        <f ca="1">SUMIF(日報!$J:$J,$O3140,日報!$L:$L)</f>
        <v>0</v>
      </c>
    </row>
    <row r="3141" spans="15:18" x14ac:dyDescent="0.15">
      <c r="O3141" s="7" t="str">
        <f>"REQ"&amp;TEXT([2]RequestList!$A3142,"0000")</f>
        <v>REQ0000</v>
      </c>
      <c r="P3141" s="7">
        <f>[2]RequestList!$J3142</f>
        <v>0</v>
      </c>
      <c r="Q3141" s="65">
        <f>SUMIF(日報!$R:$R,TEXT(YEAR($Q$2),"0000")&amp;TEXT(MONTH($Q$2),"00")&amp;$O3141,日報!$L:$L)</f>
        <v>0</v>
      </c>
      <c r="R3141" s="65">
        <f ca="1">SUMIF(日報!$J:$J,$O3141,日報!$L:$L)</f>
        <v>0</v>
      </c>
    </row>
    <row r="3142" spans="15:18" x14ac:dyDescent="0.15">
      <c r="O3142" s="7" t="str">
        <f>"REQ"&amp;TEXT([2]RequestList!$A3143,"0000")</f>
        <v>REQ0000</v>
      </c>
      <c r="P3142" s="7">
        <f>[2]RequestList!$J3143</f>
        <v>0</v>
      </c>
      <c r="Q3142" s="65">
        <f>SUMIF(日報!$R:$R,TEXT(YEAR($Q$2),"0000")&amp;TEXT(MONTH($Q$2),"00")&amp;$O3142,日報!$L:$L)</f>
        <v>0</v>
      </c>
      <c r="R3142" s="65">
        <f ca="1">SUMIF(日報!$J:$J,$O3142,日報!$L:$L)</f>
        <v>0</v>
      </c>
    </row>
    <row r="3143" spans="15:18" x14ac:dyDescent="0.15">
      <c r="O3143" s="7" t="str">
        <f>"REQ"&amp;TEXT([2]RequestList!$A3144,"0000")</f>
        <v>REQ0000</v>
      </c>
      <c r="P3143" s="7">
        <f>[2]RequestList!$J3144</f>
        <v>0</v>
      </c>
      <c r="Q3143" s="65">
        <f>SUMIF(日報!$R:$R,TEXT(YEAR($Q$2),"0000")&amp;TEXT(MONTH($Q$2),"00")&amp;$O3143,日報!$L:$L)</f>
        <v>0</v>
      </c>
      <c r="R3143" s="65">
        <f ca="1">SUMIF(日報!$J:$J,$O3143,日報!$L:$L)</f>
        <v>0</v>
      </c>
    </row>
    <row r="3144" spans="15:18" x14ac:dyDescent="0.15">
      <c r="O3144" s="7" t="str">
        <f>"REQ"&amp;TEXT([2]RequestList!$A3145,"0000")</f>
        <v>REQ0000</v>
      </c>
      <c r="P3144" s="7">
        <f>[2]RequestList!$J3145</f>
        <v>0</v>
      </c>
      <c r="Q3144" s="65">
        <f>SUMIF(日報!$R:$R,TEXT(YEAR($Q$2),"0000")&amp;TEXT(MONTH($Q$2),"00")&amp;$O3144,日報!$L:$L)</f>
        <v>0</v>
      </c>
      <c r="R3144" s="65">
        <f ca="1">SUMIF(日報!$J:$J,$O3144,日報!$L:$L)</f>
        <v>0</v>
      </c>
    </row>
    <row r="3145" spans="15:18" x14ac:dyDescent="0.15">
      <c r="O3145" s="7" t="str">
        <f>"REQ"&amp;TEXT([2]RequestList!$A3146,"0000")</f>
        <v>REQ0000</v>
      </c>
      <c r="P3145" s="7">
        <f>[2]RequestList!$J3146</f>
        <v>0</v>
      </c>
      <c r="Q3145" s="65">
        <f>SUMIF(日報!$R:$R,TEXT(YEAR($Q$2),"0000")&amp;TEXT(MONTH($Q$2),"00")&amp;$O3145,日報!$L:$L)</f>
        <v>0</v>
      </c>
      <c r="R3145" s="65">
        <f ca="1">SUMIF(日報!$J:$J,$O3145,日報!$L:$L)</f>
        <v>0</v>
      </c>
    </row>
    <row r="3146" spans="15:18" x14ac:dyDescent="0.15">
      <c r="O3146" s="7" t="str">
        <f>"REQ"&amp;TEXT([2]RequestList!$A3147,"0000")</f>
        <v>REQ0000</v>
      </c>
      <c r="P3146" s="7">
        <f>[2]RequestList!$J3147</f>
        <v>0</v>
      </c>
      <c r="Q3146" s="65">
        <f>SUMIF(日報!$R:$R,TEXT(YEAR($Q$2),"0000")&amp;TEXT(MONTH($Q$2),"00")&amp;$O3146,日報!$L:$L)</f>
        <v>0</v>
      </c>
      <c r="R3146" s="65">
        <f ca="1">SUMIF(日報!$J:$J,$O3146,日報!$L:$L)</f>
        <v>0</v>
      </c>
    </row>
    <row r="3147" spans="15:18" x14ac:dyDescent="0.15">
      <c r="O3147" s="7" t="str">
        <f>"REQ"&amp;TEXT([2]RequestList!$A3148,"0000")</f>
        <v>REQ0000</v>
      </c>
      <c r="P3147" s="7">
        <f>[2]RequestList!$J3148</f>
        <v>0</v>
      </c>
      <c r="Q3147" s="65">
        <f>SUMIF(日報!$R:$R,TEXT(YEAR($Q$2),"0000")&amp;TEXT(MONTH($Q$2),"00")&amp;$O3147,日報!$L:$L)</f>
        <v>0</v>
      </c>
      <c r="R3147" s="65">
        <f ca="1">SUMIF(日報!$J:$J,$O3147,日報!$L:$L)</f>
        <v>0</v>
      </c>
    </row>
    <row r="3148" spans="15:18" x14ac:dyDescent="0.15">
      <c r="O3148" s="7" t="str">
        <f>"REQ"&amp;TEXT([2]RequestList!$A3149,"0000")</f>
        <v>REQ0000</v>
      </c>
      <c r="P3148" s="7">
        <f>[2]RequestList!$J3149</f>
        <v>0</v>
      </c>
      <c r="Q3148" s="65">
        <f>SUMIF(日報!$R:$R,TEXT(YEAR($Q$2),"0000")&amp;TEXT(MONTH($Q$2),"00")&amp;$O3148,日報!$L:$L)</f>
        <v>0</v>
      </c>
      <c r="R3148" s="65">
        <f ca="1">SUMIF(日報!$J:$J,$O3148,日報!$L:$L)</f>
        <v>0</v>
      </c>
    </row>
    <row r="3149" spans="15:18" x14ac:dyDescent="0.15">
      <c r="O3149" s="7" t="str">
        <f>"REQ"&amp;TEXT([2]RequestList!$A3150,"0000")</f>
        <v>REQ0000</v>
      </c>
      <c r="P3149" s="7">
        <f>[2]RequestList!$J3150</f>
        <v>0</v>
      </c>
      <c r="Q3149" s="65">
        <f>SUMIF(日報!$R:$R,TEXT(YEAR($Q$2),"0000")&amp;TEXT(MONTH($Q$2),"00")&amp;$O3149,日報!$L:$L)</f>
        <v>0</v>
      </c>
      <c r="R3149" s="65">
        <f ca="1">SUMIF(日報!$J:$J,$O3149,日報!$L:$L)</f>
        <v>0</v>
      </c>
    </row>
    <row r="3150" spans="15:18" x14ac:dyDescent="0.15">
      <c r="O3150" s="7" t="str">
        <f>"REQ"&amp;TEXT([2]RequestList!$A3151,"0000")</f>
        <v>REQ0000</v>
      </c>
      <c r="P3150" s="7">
        <f>[2]RequestList!$J3151</f>
        <v>0</v>
      </c>
      <c r="Q3150" s="65">
        <f>SUMIF(日報!$R:$R,TEXT(YEAR($Q$2),"0000")&amp;TEXT(MONTH($Q$2),"00")&amp;$O3150,日報!$L:$L)</f>
        <v>0</v>
      </c>
      <c r="R3150" s="65">
        <f ca="1">SUMIF(日報!$J:$J,$O3150,日報!$L:$L)</f>
        <v>0</v>
      </c>
    </row>
    <row r="3151" spans="15:18" x14ac:dyDescent="0.15">
      <c r="O3151" s="7" t="str">
        <f>"REQ"&amp;TEXT([2]RequestList!$A3152,"0000")</f>
        <v>REQ0000</v>
      </c>
      <c r="P3151" s="7">
        <f>[2]RequestList!$J3152</f>
        <v>0</v>
      </c>
      <c r="Q3151" s="65">
        <f>SUMIF(日報!$R:$R,TEXT(YEAR($Q$2),"0000")&amp;TEXT(MONTH($Q$2),"00")&amp;$O3151,日報!$L:$L)</f>
        <v>0</v>
      </c>
      <c r="R3151" s="65">
        <f ca="1">SUMIF(日報!$J:$J,$O3151,日報!$L:$L)</f>
        <v>0</v>
      </c>
    </row>
    <row r="3152" spans="15:18" x14ac:dyDescent="0.15">
      <c r="O3152" s="7" t="str">
        <f>"REQ"&amp;TEXT([2]RequestList!$A3153,"0000")</f>
        <v>REQ0000</v>
      </c>
      <c r="P3152" s="7">
        <f>[2]RequestList!$J3153</f>
        <v>0</v>
      </c>
      <c r="Q3152" s="65">
        <f>SUMIF(日報!$R:$R,TEXT(YEAR($Q$2),"0000")&amp;TEXT(MONTH($Q$2),"00")&amp;$O3152,日報!$L:$L)</f>
        <v>0</v>
      </c>
      <c r="R3152" s="65">
        <f ca="1">SUMIF(日報!$J:$J,$O3152,日報!$L:$L)</f>
        <v>0</v>
      </c>
    </row>
    <row r="3153" spans="15:18" x14ac:dyDescent="0.15">
      <c r="O3153" s="7" t="str">
        <f>"REQ"&amp;TEXT([2]RequestList!$A3154,"0000")</f>
        <v>REQ0000</v>
      </c>
      <c r="P3153" s="7">
        <f>[2]RequestList!$J3154</f>
        <v>0</v>
      </c>
      <c r="Q3153" s="65">
        <f>SUMIF(日報!$R:$R,TEXT(YEAR($Q$2),"0000")&amp;TEXT(MONTH($Q$2),"00")&amp;$O3153,日報!$L:$L)</f>
        <v>0</v>
      </c>
      <c r="R3153" s="65">
        <f ca="1">SUMIF(日報!$J:$J,$O3153,日報!$L:$L)</f>
        <v>0</v>
      </c>
    </row>
    <row r="3154" spans="15:18" x14ac:dyDescent="0.15">
      <c r="O3154" s="7" t="str">
        <f>"REQ"&amp;TEXT([2]RequestList!$A3155,"0000")</f>
        <v>REQ0000</v>
      </c>
      <c r="P3154" s="7">
        <f>[2]RequestList!$J3155</f>
        <v>0</v>
      </c>
      <c r="Q3154" s="65">
        <f>SUMIF(日報!$R:$R,TEXT(YEAR($Q$2),"0000")&amp;TEXT(MONTH($Q$2),"00")&amp;$O3154,日報!$L:$L)</f>
        <v>0</v>
      </c>
      <c r="R3154" s="65">
        <f ca="1">SUMIF(日報!$J:$J,$O3154,日報!$L:$L)</f>
        <v>0</v>
      </c>
    </row>
    <row r="3155" spans="15:18" x14ac:dyDescent="0.15">
      <c r="O3155" s="7" t="str">
        <f>"REQ"&amp;TEXT([2]RequestList!$A3156,"0000")</f>
        <v>REQ0000</v>
      </c>
      <c r="P3155" s="7">
        <f>[2]RequestList!$J3156</f>
        <v>0</v>
      </c>
      <c r="Q3155" s="65">
        <f>SUMIF(日報!$R:$R,TEXT(YEAR($Q$2),"0000")&amp;TEXT(MONTH($Q$2),"00")&amp;$O3155,日報!$L:$L)</f>
        <v>0</v>
      </c>
      <c r="R3155" s="65">
        <f ca="1">SUMIF(日報!$J:$J,$O3155,日報!$L:$L)</f>
        <v>0</v>
      </c>
    </row>
    <row r="3156" spans="15:18" x14ac:dyDescent="0.15">
      <c r="O3156" s="7" t="str">
        <f>"REQ"&amp;TEXT([2]RequestList!$A3157,"0000")</f>
        <v>REQ0000</v>
      </c>
      <c r="P3156" s="7">
        <f>[2]RequestList!$J3157</f>
        <v>0</v>
      </c>
      <c r="Q3156" s="65">
        <f>SUMIF(日報!$R:$R,TEXT(YEAR($Q$2),"0000")&amp;TEXT(MONTH($Q$2),"00")&amp;$O3156,日報!$L:$L)</f>
        <v>0</v>
      </c>
      <c r="R3156" s="65">
        <f ca="1">SUMIF(日報!$J:$J,$O3156,日報!$L:$L)</f>
        <v>0</v>
      </c>
    </row>
    <row r="3157" spans="15:18" x14ac:dyDescent="0.15">
      <c r="O3157" s="7" t="str">
        <f>"REQ"&amp;TEXT([2]RequestList!$A3158,"0000")</f>
        <v>REQ0000</v>
      </c>
      <c r="P3157" s="7">
        <f>[2]RequestList!$J3158</f>
        <v>0</v>
      </c>
      <c r="Q3157" s="65">
        <f>SUMIF(日報!$R:$R,TEXT(YEAR($Q$2),"0000")&amp;TEXT(MONTH($Q$2),"00")&amp;$O3157,日報!$L:$L)</f>
        <v>0</v>
      </c>
      <c r="R3157" s="65">
        <f ca="1">SUMIF(日報!$J:$J,$O3157,日報!$L:$L)</f>
        <v>0</v>
      </c>
    </row>
    <row r="3158" spans="15:18" x14ac:dyDescent="0.15">
      <c r="O3158" s="7" t="str">
        <f>"REQ"&amp;TEXT([2]RequestList!$A3159,"0000")</f>
        <v>REQ0000</v>
      </c>
      <c r="P3158" s="7">
        <f>[2]RequestList!$J3159</f>
        <v>0</v>
      </c>
      <c r="Q3158" s="65">
        <f>SUMIF(日報!$R:$R,TEXT(YEAR($Q$2),"0000")&amp;TEXT(MONTH($Q$2),"00")&amp;$O3158,日報!$L:$L)</f>
        <v>0</v>
      </c>
      <c r="R3158" s="65">
        <f ca="1">SUMIF(日報!$J:$J,$O3158,日報!$L:$L)</f>
        <v>0</v>
      </c>
    </row>
    <row r="3159" spans="15:18" x14ac:dyDescent="0.15">
      <c r="O3159" s="7" t="str">
        <f>"REQ"&amp;TEXT([2]RequestList!$A3160,"0000")</f>
        <v>REQ0000</v>
      </c>
      <c r="P3159" s="7">
        <f>[2]RequestList!$J3160</f>
        <v>0</v>
      </c>
      <c r="Q3159" s="65">
        <f>SUMIF(日報!$R:$R,TEXT(YEAR($Q$2),"0000")&amp;TEXT(MONTH($Q$2),"00")&amp;$O3159,日報!$L:$L)</f>
        <v>0</v>
      </c>
      <c r="R3159" s="65">
        <f ca="1">SUMIF(日報!$J:$J,$O3159,日報!$L:$L)</f>
        <v>0</v>
      </c>
    </row>
    <row r="3160" spans="15:18" x14ac:dyDescent="0.15">
      <c r="O3160" s="7" t="str">
        <f>"REQ"&amp;TEXT([2]RequestList!$A3161,"0000")</f>
        <v>REQ0000</v>
      </c>
      <c r="P3160" s="7">
        <f>[2]RequestList!$J3161</f>
        <v>0</v>
      </c>
      <c r="Q3160" s="65">
        <f>SUMIF(日報!$R:$R,TEXT(YEAR($Q$2),"0000")&amp;TEXT(MONTH($Q$2),"00")&amp;$O3160,日報!$L:$L)</f>
        <v>0</v>
      </c>
      <c r="R3160" s="65">
        <f ca="1">SUMIF(日報!$J:$J,$O3160,日報!$L:$L)</f>
        <v>0</v>
      </c>
    </row>
    <row r="3161" spans="15:18" x14ac:dyDescent="0.15">
      <c r="O3161" s="7" t="str">
        <f>"REQ"&amp;TEXT([2]RequestList!$A3162,"0000")</f>
        <v>REQ0000</v>
      </c>
      <c r="P3161" s="7">
        <f>[2]RequestList!$J3162</f>
        <v>0</v>
      </c>
      <c r="Q3161" s="65">
        <f>SUMIF(日報!$R:$R,TEXT(YEAR($Q$2),"0000")&amp;TEXT(MONTH($Q$2),"00")&amp;$O3161,日報!$L:$L)</f>
        <v>0</v>
      </c>
      <c r="R3161" s="65">
        <f ca="1">SUMIF(日報!$J:$J,$O3161,日報!$L:$L)</f>
        <v>0</v>
      </c>
    </row>
    <row r="3162" spans="15:18" x14ac:dyDescent="0.15">
      <c r="O3162" s="7" t="str">
        <f>"REQ"&amp;TEXT([2]RequestList!$A3163,"0000")</f>
        <v>REQ0000</v>
      </c>
      <c r="P3162" s="7">
        <f>[2]RequestList!$J3163</f>
        <v>0</v>
      </c>
      <c r="Q3162" s="65">
        <f>SUMIF(日報!$R:$R,TEXT(YEAR($Q$2),"0000")&amp;TEXT(MONTH($Q$2),"00")&amp;$O3162,日報!$L:$L)</f>
        <v>0</v>
      </c>
      <c r="R3162" s="65">
        <f ca="1">SUMIF(日報!$J:$J,$O3162,日報!$L:$L)</f>
        <v>0</v>
      </c>
    </row>
    <row r="3163" spans="15:18" x14ac:dyDescent="0.15">
      <c r="O3163" s="7" t="str">
        <f>"REQ"&amp;TEXT([2]RequestList!$A3164,"0000")</f>
        <v>REQ0000</v>
      </c>
      <c r="P3163" s="7">
        <f>[2]RequestList!$J3164</f>
        <v>0</v>
      </c>
      <c r="Q3163" s="65">
        <f>SUMIF(日報!$R:$R,TEXT(YEAR($Q$2),"0000")&amp;TEXT(MONTH($Q$2),"00")&amp;$O3163,日報!$L:$L)</f>
        <v>0</v>
      </c>
      <c r="R3163" s="65">
        <f ca="1">SUMIF(日報!$J:$J,$O3163,日報!$L:$L)</f>
        <v>0</v>
      </c>
    </row>
    <row r="3164" spans="15:18" x14ac:dyDescent="0.15">
      <c r="O3164" s="7" t="str">
        <f>"REQ"&amp;TEXT([2]RequestList!$A3165,"0000")</f>
        <v>REQ0000</v>
      </c>
      <c r="P3164" s="7">
        <f>[2]RequestList!$J3165</f>
        <v>0</v>
      </c>
      <c r="Q3164" s="65">
        <f>SUMIF(日報!$R:$R,TEXT(YEAR($Q$2),"0000")&amp;TEXT(MONTH($Q$2),"00")&amp;$O3164,日報!$L:$L)</f>
        <v>0</v>
      </c>
      <c r="R3164" s="65">
        <f ca="1">SUMIF(日報!$J:$J,$O3164,日報!$L:$L)</f>
        <v>0</v>
      </c>
    </row>
    <row r="3165" spans="15:18" x14ac:dyDescent="0.15">
      <c r="O3165" s="7" t="str">
        <f>"REQ"&amp;TEXT([2]RequestList!$A3166,"0000")</f>
        <v>REQ0000</v>
      </c>
      <c r="P3165" s="7">
        <f>[2]RequestList!$J3166</f>
        <v>0</v>
      </c>
      <c r="Q3165" s="65">
        <f>SUMIF(日報!$R:$R,TEXT(YEAR($Q$2),"0000")&amp;TEXT(MONTH($Q$2),"00")&amp;$O3165,日報!$L:$L)</f>
        <v>0</v>
      </c>
      <c r="R3165" s="65">
        <f ca="1">SUMIF(日報!$J:$J,$O3165,日報!$L:$L)</f>
        <v>0</v>
      </c>
    </row>
    <row r="3166" spans="15:18" x14ac:dyDescent="0.15">
      <c r="O3166" s="7" t="str">
        <f>"REQ"&amp;TEXT([2]RequestList!$A3167,"0000")</f>
        <v>REQ0000</v>
      </c>
      <c r="P3166" s="7">
        <f>[2]RequestList!$J3167</f>
        <v>0</v>
      </c>
      <c r="Q3166" s="65">
        <f>SUMIF(日報!$R:$R,TEXT(YEAR($Q$2),"0000")&amp;TEXT(MONTH($Q$2),"00")&amp;$O3166,日報!$L:$L)</f>
        <v>0</v>
      </c>
      <c r="R3166" s="65">
        <f ca="1">SUMIF(日報!$J:$J,$O3166,日報!$L:$L)</f>
        <v>0</v>
      </c>
    </row>
    <row r="3167" spans="15:18" x14ac:dyDescent="0.15">
      <c r="O3167" s="7" t="str">
        <f>"REQ"&amp;TEXT([2]RequestList!$A3168,"0000")</f>
        <v>REQ0000</v>
      </c>
      <c r="P3167" s="7">
        <f>[2]RequestList!$J3168</f>
        <v>0</v>
      </c>
      <c r="Q3167" s="65">
        <f>SUMIF(日報!$R:$R,TEXT(YEAR($Q$2),"0000")&amp;TEXT(MONTH($Q$2),"00")&amp;$O3167,日報!$L:$L)</f>
        <v>0</v>
      </c>
      <c r="R3167" s="65">
        <f ca="1">SUMIF(日報!$J:$J,$O3167,日報!$L:$L)</f>
        <v>0</v>
      </c>
    </row>
    <row r="3168" spans="15:18" x14ac:dyDescent="0.15">
      <c r="O3168" s="7" t="str">
        <f>"REQ"&amp;TEXT([2]RequestList!$A3169,"0000")</f>
        <v>REQ0000</v>
      </c>
      <c r="P3168" s="7">
        <f>[2]RequestList!$J3169</f>
        <v>0</v>
      </c>
      <c r="Q3168" s="65">
        <f>SUMIF(日報!$R:$R,TEXT(YEAR($Q$2),"0000")&amp;TEXT(MONTH($Q$2),"00")&amp;$O3168,日報!$L:$L)</f>
        <v>0</v>
      </c>
      <c r="R3168" s="65">
        <f ca="1">SUMIF(日報!$J:$J,$O3168,日報!$L:$L)</f>
        <v>0</v>
      </c>
    </row>
    <row r="3169" spans="15:18" x14ac:dyDescent="0.15">
      <c r="O3169" s="7" t="str">
        <f>"REQ"&amp;TEXT([2]RequestList!$A3170,"0000")</f>
        <v>REQ0000</v>
      </c>
      <c r="P3169" s="7">
        <f>[2]RequestList!$J3170</f>
        <v>0</v>
      </c>
      <c r="Q3169" s="65">
        <f>SUMIF(日報!$R:$R,TEXT(YEAR($Q$2),"0000")&amp;TEXT(MONTH($Q$2),"00")&amp;$O3169,日報!$L:$L)</f>
        <v>0</v>
      </c>
      <c r="R3169" s="65">
        <f ca="1">SUMIF(日報!$J:$J,$O3169,日報!$L:$L)</f>
        <v>0</v>
      </c>
    </row>
    <row r="3170" spans="15:18" x14ac:dyDescent="0.15">
      <c r="O3170" s="7" t="str">
        <f>"REQ"&amp;TEXT([2]RequestList!$A3171,"0000")</f>
        <v>REQ0000</v>
      </c>
      <c r="P3170" s="7">
        <f>[2]RequestList!$J3171</f>
        <v>0</v>
      </c>
      <c r="Q3170" s="65">
        <f>SUMIF(日報!$R:$R,TEXT(YEAR($Q$2),"0000")&amp;TEXT(MONTH($Q$2),"00")&amp;$O3170,日報!$L:$L)</f>
        <v>0</v>
      </c>
      <c r="R3170" s="65">
        <f ca="1">SUMIF(日報!$J:$J,$O3170,日報!$L:$L)</f>
        <v>0</v>
      </c>
    </row>
    <row r="3171" spans="15:18" x14ac:dyDescent="0.15">
      <c r="O3171" s="7" t="str">
        <f>"REQ"&amp;TEXT([2]RequestList!$A3172,"0000")</f>
        <v>REQ0000</v>
      </c>
      <c r="P3171" s="7">
        <f>[2]RequestList!$J3172</f>
        <v>0</v>
      </c>
      <c r="Q3171" s="65">
        <f>SUMIF(日報!$R:$R,TEXT(YEAR($Q$2),"0000")&amp;TEXT(MONTH($Q$2),"00")&amp;$O3171,日報!$L:$L)</f>
        <v>0</v>
      </c>
      <c r="R3171" s="65">
        <f ca="1">SUMIF(日報!$J:$J,$O3171,日報!$L:$L)</f>
        <v>0</v>
      </c>
    </row>
    <row r="3172" spans="15:18" x14ac:dyDescent="0.15">
      <c r="O3172" s="7" t="str">
        <f>"REQ"&amp;TEXT([2]RequestList!$A3173,"0000")</f>
        <v>REQ0000</v>
      </c>
      <c r="P3172" s="7">
        <f>[2]RequestList!$J3173</f>
        <v>0</v>
      </c>
      <c r="Q3172" s="65">
        <f>SUMIF(日報!$R:$R,TEXT(YEAR($Q$2),"0000")&amp;TEXT(MONTH($Q$2),"00")&amp;$O3172,日報!$L:$L)</f>
        <v>0</v>
      </c>
      <c r="R3172" s="65">
        <f ca="1">SUMIF(日報!$J:$J,$O3172,日報!$L:$L)</f>
        <v>0</v>
      </c>
    </row>
    <row r="3173" spans="15:18" x14ac:dyDescent="0.15">
      <c r="O3173" s="7" t="str">
        <f>"REQ"&amp;TEXT([2]RequestList!$A3174,"0000")</f>
        <v>REQ0000</v>
      </c>
      <c r="P3173" s="7">
        <f>[2]RequestList!$J3174</f>
        <v>0</v>
      </c>
      <c r="Q3173" s="65">
        <f>SUMIF(日報!$R:$R,TEXT(YEAR($Q$2),"0000")&amp;TEXT(MONTH($Q$2),"00")&amp;$O3173,日報!$L:$L)</f>
        <v>0</v>
      </c>
      <c r="R3173" s="65">
        <f ca="1">SUMIF(日報!$J:$J,$O3173,日報!$L:$L)</f>
        <v>0</v>
      </c>
    </row>
    <row r="3174" spans="15:18" x14ac:dyDescent="0.15">
      <c r="O3174" s="7" t="str">
        <f>"REQ"&amp;TEXT([2]RequestList!$A3175,"0000")</f>
        <v>REQ0000</v>
      </c>
      <c r="P3174" s="7">
        <f>[2]RequestList!$J3175</f>
        <v>0</v>
      </c>
      <c r="Q3174" s="65">
        <f>SUMIF(日報!$R:$R,TEXT(YEAR($Q$2),"0000")&amp;TEXT(MONTH($Q$2),"00")&amp;$O3174,日報!$L:$L)</f>
        <v>0</v>
      </c>
      <c r="R3174" s="65">
        <f ca="1">SUMIF(日報!$J:$J,$O3174,日報!$L:$L)</f>
        <v>0</v>
      </c>
    </row>
    <row r="3175" spans="15:18" x14ac:dyDescent="0.15">
      <c r="O3175" s="7" t="str">
        <f>"REQ"&amp;TEXT([2]RequestList!$A3176,"0000")</f>
        <v>REQ0000</v>
      </c>
      <c r="P3175" s="7">
        <f>[2]RequestList!$J3176</f>
        <v>0</v>
      </c>
      <c r="Q3175" s="65">
        <f>SUMIF(日報!$R:$R,TEXT(YEAR($Q$2),"0000")&amp;TEXT(MONTH($Q$2),"00")&amp;$O3175,日報!$L:$L)</f>
        <v>0</v>
      </c>
      <c r="R3175" s="65">
        <f ca="1">SUMIF(日報!$J:$J,$O3175,日報!$L:$L)</f>
        <v>0</v>
      </c>
    </row>
    <row r="3176" spans="15:18" x14ac:dyDescent="0.15">
      <c r="O3176" s="7" t="str">
        <f>"REQ"&amp;TEXT([2]RequestList!$A3177,"0000")</f>
        <v>REQ0000</v>
      </c>
      <c r="P3176" s="7">
        <f>[2]RequestList!$J3177</f>
        <v>0</v>
      </c>
      <c r="Q3176" s="65">
        <f>SUMIF(日報!$R:$R,TEXT(YEAR($Q$2),"0000")&amp;TEXT(MONTH($Q$2),"00")&amp;$O3176,日報!$L:$L)</f>
        <v>0</v>
      </c>
      <c r="R3176" s="65">
        <f ca="1">SUMIF(日報!$J:$J,$O3176,日報!$L:$L)</f>
        <v>0</v>
      </c>
    </row>
    <row r="3177" spans="15:18" x14ac:dyDescent="0.15">
      <c r="O3177" s="7" t="str">
        <f>"REQ"&amp;TEXT([2]RequestList!$A3178,"0000")</f>
        <v>REQ0000</v>
      </c>
      <c r="P3177" s="7">
        <f>[2]RequestList!$J3178</f>
        <v>0</v>
      </c>
      <c r="Q3177" s="65">
        <f>SUMIF(日報!$R:$R,TEXT(YEAR($Q$2),"0000")&amp;TEXT(MONTH($Q$2),"00")&amp;$O3177,日報!$L:$L)</f>
        <v>0</v>
      </c>
      <c r="R3177" s="65">
        <f ca="1">SUMIF(日報!$J:$J,$O3177,日報!$L:$L)</f>
        <v>0</v>
      </c>
    </row>
    <row r="3178" spans="15:18" x14ac:dyDescent="0.15">
      <c r="O3178" s="7" t="str">
        <f>"REQ"&amp;TEXT([2]RequestList!$A3179,"0000")</f>
        <v>REQ0000</v>
      </c>
      <c r="P3178" s="7">
        <f>[2]RequestList!$J3179</f>
        <v>0</v>
      </c>
      <c r="Q3178" s="65">
        <f>SUMIF(日報!$R:$R,TEXT(YEAR($Q$2),"0000")&amp;TEXT(MONTH($Q$2),"00")&amp;$O3178,日報!$L:$L)</f>
        <v>0</v>
      </c>
      <c r="R3178" s="65">
        <f ca="1">SUMIF(日報!$J:$J,$O3178,日報!$L:$L)</f>
        <v>0</v>
      </c>
    </row>
    <row r="3179" spans="15:18" x14ac:dyDescent="0.15">
      <c r="O3179" s="7" t="str">
        <f>"REQ"&amp;TEXT([2]RequestList!$A3180,"0000")</f>
        <v>REQ0000</v>
      </c>
      <c r="P3179" s="7">
        <f>[2]RequestList!$J3180</f>
        <v>0</v>
      </c>
      <c r="Q3179" s="65">
        <f>SUMIF(日報!$R:$R,TEXT(YEAR($Q$2),"0000")&amp;TEXT(MONTH($Q$2),"00")&amp;$O3179,日報!$L:$L)</f>
        <v>0</v>
      </c>
      <c r="R3179" s="65">
        <f ca="1">SUMIF(日報!$J:$J,$O3179,日報!$L:$L)</f>
        <v>0</v>
      </c>
    </row>
    <row r="3180" spans="15:18" x14ac:dyDescent="0.15">
      <c r="O3180" s="7" t="str">
        <f>"REQ"&amp;TEXT([2]RequestList!$A3181,"0000")</f>
        <v>REQ0000</v>
      </c>
      <c r="P3180" s="7">
        <f>[2]RequestList!$J3181</f>
        <v>0</v>
      </c>
      <c r="Q3180" s="65">
        <f>SUMIF(日報!$R:$R,TEXT(YEAR($Q$2),"0000")&amp;TEXT(MONTH($Q$2),"00")&amp;$O3180,日報!$L:$L)</f>
        <v>0</v>
      </c>
      <c r="R3180" s="65">
        <f ca="1">SUMIF(日報!$J:$J,$O3180,日報!$L:$L)</f>
        <v>0</v>
      </c>
    </row>
    <row r="3181" spans="15:18" x14ac:dyDescent="0.15">
      <c r="O3181" s="7" t="str">
        <f>"REQ"&amp;TEXT([2]RequestList!$A3182,"0000")</f>
        <v>REQ0000</v>
      </c>
      <c r="P3181" s="7">
        <f>[2]RequestList!$J3182</f>
        <v>0</v>
      </c>
      <c r="Q3181" s="65">
        <f>SUMIF(日報!$R:$R,TEXT(YEAR($Q$2),"0000")&amp;TEXT(MONTH($Q$2),"00")&amp;$O3181,日報!$L:$L)</f>
        <v>0</v>
      </c>
      <c r="R3181" s="65">
        <f ca="1">SUMIF(日報!$J:$J,$O3181,日報!$L:$L)</f>
        <v>0</v>
      </c>
    </row>
    <row r="3182" spans="15:18" x14ac:dyDescent="0.15">
      <c r="O3182" s="7" t="str">
        <f>"REQ"&amp;TEXT([2]RequestList!$A3183,"0000")</f>
        <v>REQ0000</v>
      </c>
      <c r="P3182" s="7">
        <f>[2]RequestList!$J3183</f>
        <v>0</v>
      </c>
      <c r="Q3182" s="65">
        <f>SUMIF(日報!$R:$R,TEXT(YEAR($Q$2),"0000")&amp;TEXT(MONTH($Q$2),"00")&amp;$O3182,日報!$L:$L)</f>
        <v>0</v>
      </c>
      <c r="R3182" s="65">
        <f ca="1">SUMIF(日報!$J:$J,$O3182,日報!$L:$L)</f>
        <v>0</v>
      </c>
    </row>
    <row r="3183" spans="15:18" x14ac:dyDescent="0.15">
      <c r="O3183" s="7" t="str">
        <f>"REQ"&amp;TEXT([2]RequestList!$A3184,"0000")</f>
        <v>REQ0000</v>
      </c>
      <c r="P3183" s="7">
        <f>[2]RequestList!$J3184</f>
        <v>0</v>
      </c>
      <c r="Q3183" s="65">
        <f>SUMIF(日報!$R:$R,TEXT(YEAR($Q$2),"0000")&amp;TEXT(MONTH($Q$2),"00")&amp;$O3183,日報!$L:$L)</f>
        <v>0</v>
      </c>
      <c r="R3183" s="65">
        <f ca="1">SUMIF(日報!$J:$J,$O3183,日報!$L:$L)</f>
        <v>0</v>
      </c>
    </row>
    <row r="3184" spans="15:18" x14ac:dyDescent="0.15">
      <c r="O3184" s="7" t="str">
        <f>"REQ"&amp;TEXT([2]RequestList!$A3185,"0000")</f>
        <v>REQ0000</v>
      </c>
      <c r="P3184" s="7">
        <f>[2]RequestList!$J3185</f>
        <v>0</v>
      </c>
      <c r="Q3184" s="65">
        <f>SUMIF(日報!$R:$R,TEXT(YEAR($Q$2),"0000")&amp;TEXT(MONTH($Q$2),"00")&amp;$O3184,日報!$L:$L)</f>
        <v>0</v>
      </c>
      <c r="R3184" s="65">
        <f ca="1">SUMIF(日報!$J:$J,$O3184,日報!$L:$L)</f>
        <v>0</v>
      </c>
    </row>
    <row r="3185" spans="15:18" x14ac:dyDescent="0.15">
      <c r="O3185" s="7" t="str">
        <f>"REQ"&amp;TEXT([2]RequestList!$A3186,"0000")</f>
        <v>REQ0000</v>
      </c>
      <c r="P3185" s="7">
        <f>[2]RequestList!$J3186</f>
        <v>0</v>
      </c>
      <c r="Q3185" s="65">
        <f>SUMIF(日報!$R:$R,TEXT(YEAR($Q$2),"0000")&amp;TEXT(MONTH($Q$2),"00")&amp;$O3185,日報!$L:$L)</f>
        <v>0</v>
      </c>
      <c r="R3185" s="65">
        <f ca="1">SUMIF(日報!$J:$J,$O3185,日報!$L:$L)</f>
        <v>0</v>
      </c>
    </row>
    <row r="3186" spans="15:18" x14ac:dyDescent="0.15">
      <c r="O3186" s="7" t="str">
        <f>"REQ"&amp;TEXT([2]RequestList!$A3187,"0000")</f>
        <v>REQ0000</v>
      </c>
      <c r="P3186" s="7">
        <f>[2]RequestList!$J3187</f>
        <v>0</v>
      </c>
      <c r="Q3186" s="65">
        <f>SUMIF(日報!$R:$R,TEXT(YEAR($Q$2),"0000")&amp;TEXT(MONTH($Q$2),"00")&amp;$O3186,日報!$L:$L)</f>
        <v>0</v>
      </c>
      <c r="R3186" s="65">
        <f ca="1">SUMIF(日報!$J:$J,$O3186,日報!$L:$L)</f>
        <v>0</v>
      </c>
    </row>
    <row r="3187" spans="15:18" x14ac:dyDescent="0.15">
      <c r="O3187" s="7" t="str">
        <f>"REQ"&amp;TEXT([2]RequestList!$A3188,"0000")</f>
        <v>REQ0000</v>
      </c>
      <c r="P3187" s="7">
        <f>[2]RequestList!$J3188</f>
        <v>0</v>
      </c>
      <c r="Q3187" s="65">
        <f>SUMIF(日報!$R:$R,TEXT(YEAR($Q$2),"0000")&amp;TEXT(MONTH($Q$2),"00")&amp;$O3187,日報!$L:$L)</f>
        <v>0</v>
      </c>
      <c r="R3187" s="65">
        <f ca="1">SUMIF(日報!$J:$J,$O3187,日報!$L:$L)</f>
        <v>0</v>
      </c>
    </row>
    <row r="3188" spans="15:18" x14ac:dyDescent="0.15">
      <c r="O3188" s="7" t="str">
        <f>"REQ"&amp;TEXT([2]RequestList!$A3189,"0000")</f>
        <v>REQ0000</v>
      </c>
      <c r="P3188" s="7">
        <f>[2]RequestList!$J3189</f>
        <v>0</v>
      </c>
      <c r="Q3188" s="65">
        <f>SUMIF(日報!$R:$R,TEXT(YEAR($Q$2),"0000")&amp;TEXT(MONTH($Q$2),"00")&amp;$O3188,日報!$L:$L)</f>
        <v>0</v>
      </c>
      <c r="R3188" s="65">
        <f ca="1">SUMIF(日報!$J:$J,$O3188,日報!$L:$L)</f>
        <v>0</v>
      </c>
    </row>
    <row r="3189" spans="15:18" x14ac:dyDescent="0.15">
      <c r="O3189" s="7" t="str">
        <f>"REQ"&amp;TEXT([2]RequestList!$A3190,"0000")</f>
        <v>REQ0000</v>
      </c>
      <c r="P3189" s="7">
        <f>[2]RequestList!$J3190</f>
        <v>0</v>
      </c>
      <c r="Q3189" s="65">
        <f>SUMIF(日報!$R:$R,TEXT(YEAR($Q$2),"0000")&amp;TEXT(MONTH($Q$2),"00")&amp;$O3189,日報!$L:$L)</f>
        <v>0</v>
      </c>
      <c r="R3189" s="65">
        <f ca="1">SUMIF(日報!$J:$J,$O3189,日報!$L:$L)</f>
        <v>0</v>
      </c>
    </row>
    <row r="3190" spans="15:18" x14ac:dyDescent="0.15">
      <c r="O3190" s="7" t="str">
        <f>"REQ"&amp;TEXT([2]RequestList!$A3191,"0000")</f>
        <v>REQ0000</v>
      </c>
      <c r="P3190" s="7">
        <f>[2]RequestList!$J3191</f>
        <v>0</v>
      </c>
      <c r="Q3190" s="65">
        <f>SUMIF(日報!$R:$R,TEXT(YEAR($Q$2),"0000")&amp;TEXT(MONTH($Q$2),"00")&amp;$O3190,日報!$L:$L)</f>
        <v>0</v>
      </c>
      <c r="R3190" s="65">
        <f ca="1">SUMIF(日報!$J:$J,$O3190,日報!$L:$L)</f>
        <v>0</v>
      </c>
    </row>
    <row r="3191" spans="15:18" x14ac:dyDescent="0.15">
      <c r="O3191" s="7" t="str">
        <f>"REQ"&amp;TEXT([2]RequestList!$A3192,"0000")</f>
        <v>REQ0000</v>
      </c>
      <c r="P3191" s="7">
        <f>[2]RequestList!$J3192</f>
        <v>0</v>
      </c>
      <c r="Q3191" s="65">
        <f>SUMIF(日報!$R:$R,TEXT(YEAR($Q$2),"0000")&amp;TEXT(MONTH($Q$2),"00")&amp;$O3191,日報!$L:$L)</f>
        <v>0</v>
      </c>
      <c r="R3191" s="65">
        <f ca="1">SUMIF(日報!$J:$J,$O3191,日報!$L:$L)</f>
        <v>0</v>
      </c>
    </row>
    <row r="3192" spans="15:18" x14ac:dyDescent="0.15">
      <c r="O3192" s="7" t="str">
        <f>"REQ"&amp;TEXT([2]RequestList!$A3193,"0000")</f>
        <v>REQ0000</v>
      </c>
      <c r="P3192" s="7">
        <f>[2]RequestList!$J3193</f>
        <v>0</v>
      </c>
      <c r="Q3192" s="65">
        <f>SUMIF(日報!$R:$R,TEXT(YEAR($Q$2),"0000")&amp;TEXT(MONTH($Q$2),"00")&amp;$O3192,日報!$L:$L)</f>
        <v>0</v>
      </c>
      <c r="R3192" s="65">
        <f ca="1">SUMIF(日報!$J:$J,$O3192,日報!$L:$L)</f>
        <v>0</v>
      </c>
    </row>
    <row r="3193" spans="15:18" x14ac:dyDescent="0.15">
      <c r="O3193" s="7" t="str">
        <f>"REQ"&amp;TEXT([2]RequestList!$A3194,"0000")</f>
        <v>REQ0000</v>
      </c>
      <c r="P3193" s="7">
        <f>[2]RequestList!$J3194</f>
        <v>0</v>
      </c>
      <c r="Q3193" s="65">
        <f>SUMIF(日報!$R:$R,TEXT(YEAR($Q$2),"0000")&amp;TEXT(MONTH($Q$2),"00")&amp;$O3193,日報!$L:$L)</f>
        <v>0</v>
      </c>
      <c r="R3193" s="65">
        <f ca="1">SUMIF(日報!$J:$J,$O3193,日報!$L:$L)</f>
        <v>0</v>
      </c>
    </row>
    <row r="3194" spans="15:18" x14ac:dyDescent="0.15">
      <c r="O3194" s="7" t="str">
        <f>"REQ"&amp;TEXT([2]RequestList!$A3195,"0000")</f>
        <v>REQ0000</v>
      </c>
      <c r="P3194" s="7">
        <f>[2]RequestList!$J3195</f>
        <v>0</v>
      </c>
      <c r="Q3194" s="65">
        <f>SUMIF(日報!$R:$R,TEXT(YEAR($Q$2),"0000")&amp;TEXT(MONTH($Q$2),"00")&amp;$O3194,日報!$L:$L)</f>
        <v>0</v>
      </c>
      <c r="R3194" s="65">
        <f ca="1">SUMIF(日報!$J:$J,$O3194,日報!$L:$L)</f>
        <v>0</v>
      </c>
    </row>
    <row r="3195" spans="15:18" x14ac:dyDescent="0.15">
      <c r="O3195" s="7" t="str">
        <f>"REQ"&amp;TEXT([2]RequestList!$A3196,"0000")</f>
        <v>REQ0000</v>
      </c>
      <c r="P3195" s="7">
        <f>[2]RequestList!$J3196</f>
        <v>0</v>
      </c>
      <c r="Q3195" s="65">
        <f>SUMIF(日報!$R:$R,TEXT(YEAR($Q$2),"0000")&amp;TEXT(MONTH($Q$2),"00")&amp;$O3195,日報!$L:$L)</f>
        <v>0</v>
      </c>
      <c r="R3195" s="65">
        <f ca="1">SUMIF(日報!$J:$J,$O3195,日報!$L:$L)</f>
        <v>0</v>
      </c>
    </row>
    <row r="3196" spans="15:18" x14ac:dyDescent="0.15">
      <c r="O3196" s="7" t="str">
        <f>"REQ"&amp;TEXT([2]RequestList!$A3197,"0000")</f>
        <v>REQ0000</v>
      </c>
      <c r="P3196" s="7">
        <f>[2]RequestList!$J3197</f>
        <v>0</v>
      </c>
      <c r="Q3196" s="65">
        <f>SUMIF(日報!$R:$R,TEXT(YEAR($Q$2),"0000")&amp;TEXT(MONTH($Q$2),"00")&amp;$O3196,日報!$L:$L)</f>
        <v>0</v>
      </c>
      <c r="R3196" s="65">
        <f ca="1">SUMIF(日報!$J:$J,$O3196,日報!$L:$L)</f>
        <v>0</v>
      </c>
    </row>
    <row r="3197" spans="15:18" x14ac:dyDescent="0.15">
      <c r="O3197" s="7" t="str">
        <f>"REQ"&amp;TEXT([2]RequestList!$A3198,"0000")</f>
        <v>REQ0000</v>
      </c>
      <c r="P3197" s="7">
        <f>[2]RequestList!$J3198</f>
        <v>0</v>
      </c>
      <c r="Q3197" s="65">
        <f>SUMIF(日報!$R:$R,TEXT(YEAR($Q$2),"0000")&amp;TEXT(MONTH($Q$2),"00")&amp;$O3197,日報!$L:$L)</f>
        <v>0</v>
      </c>
      <c r="R3197" s="65">
        <f ca="1">SUMIF(日報!$J:$J,$O3197,日報!$L:$L)</f>
        <v>0</v>
      </c>
    </row>
    <row r="3198" spans="15:18" x14ac:dyDescent="0.15">
      <c r="O3198" s="7" t="str">
        <f>"REQ"&amp;TEXT([2]RequestList!$A3199,"0000")</f>
        <v>REQ0000</v>
      </c>
      <c r="P3198" s="7">
        <f>[2]RequestList!$J3199</f>
        <v>0</v>
      </c>
      <c r="Q3198" s="65">
        <f>SUMIF(日報!$R:$R,TEXT(YEAR($Q$2),"0000")&amp;TEXT(MONTH($Q$2),"00")&amp;$O3198,日報!$L:$L)</f>
        <v>0</v>
      </c>
      <c r="R3198" s="65">
        <f ca="1">SUMIF(日報!$J:$J,$O3198,日報!$L:$L)</f>
        <v>0</v>
      </c>
    </row>
    <row r="3199" spans="15:18" x14ac:dyDescent="0.15">
      <c r="O3199" s="7" t="str">
        <f>"REQ"&amp;TEXT([2]RequestList!$A3200,"0000")</f>
        <v>REQ0000</v>
      </c>
      <c r="P3199" s="7">
        <f>[2]RequestList!$J3200</f>
        <v>0</v>
      </c>
      <c r="Q3199" s="65">
        <f>SUMIF(日報!$R:$R,TEXT(YEAR($Q$2),"0000")&amp;TEXT(MONTH($Q$2),"00")&amp;$O3199,日報!$L:$L)</f>
        <v>0</v>
      </c>
      <c r="R3199" s="65">
        <f ca="1">SUMIF(日報!$J:$J,$O3199,日報!$L:$L)</f>
        <v>0</v>
      </c>
    </row>
    <row r="3200" spans="15:18" x14ac:dyDescent="0.15">
      <c r="O3200" s="7" t="str">
        <f>"REQ"&amp;TEXT([2]RequestList!$A3201,"0000")</f>
        <v>REQ0000</v>
      </c>
      <c r="P3200" s="7">
        <f>[2]RequestList!$J3201</f>
        <v>0</v>
      </c>
      <c r="Q3200" s="65">
        <f>SUMIF(日報!$R:$R,TEXT(YEAR($Q$2),"0000")&amp;TEXT(MONTH($Q$2),"00")&amp;$O3200,日報!$L:$L)</f>
        <v>0</v>
      </c>
      <c r="R3200" s="65">
        <f ca="1">SUMIF(日報!$J:$J,$O3200,日報!$L:$L)</f>
        <v>0</v>
      </c>
    </row>
    <row r="3201" spans="15:18" x14ac:dyDescent="0.15">
      <c r="O3201" s="7" t="str">
        <f>"REQ"&amp;TEXT([2]RequestList!$A3202,"0000")</f>
        <v>REQ0000</v>
      </c>
      <c r="P3201" s="7">
        <f>[2]RequestList!$J3202</f>
        <v>0</v>
      </c>
      <c r="Q3201" s="65">
        <f>SUMIF(日報!$R:$R,TEXT(YEAR($Q$2),"0000")&amp;TEXT(MONTH($Q$2),"00")&amp;$O3201,日報!$L:$L)</f>
        <v>0</v>
      </c>
      <c r="R3201" s="65">
        <f ca="1">SUMIF(日報!$J:$J,$O3201,日報!$L:$L)</f>
        <v>0</v>
      </c>
    </row>
    <row r="3202" spans="15:18" x14ac:dyDescent="0.15">
      <c r="O3202" s="7" t="str">
        <f>"REQ"&amp;TEXT([2]RequestList!$A3203,"0000")</f>
        <v>REQ0000</v>
      </c>
      <c r="P3202" s="7">
        <f>[2]RequestList!$J3203</f>
        <v>0</v>
      </c>
      <c r="Q3202" s="65">
        <f>SUMIF(日報!$R:$R,TEXT(YEAR($Q$2),"0000")&amp;TEXT(MONTH($Q$2),"00")&amp;$O3202,日報!$L:$L)</f>
        <v>0</v>
      </c>
      <c r="R3202" s="65">
        <f ca="1">SUMIF(日報!$J:$J,$O3202,日報!$L:$L)</f>
        <v>0</v>
      </c>
    </row>
    <row r="3203" spans="15:18" x14ac:dyDescent="0.15">
      <c r="O3203" s="7" t="str">
        <f>"REQ"&amp;TEXT([2]RequestList!$A3204,"0000")</f>
        <v>REQ0000</v>
      </c>
      <c r="P3203" s="7">
        <f>[2]RequestList!$J3204</f>
        <v>0</v>
      </c>
      <c r="Q3203" s="65">
        <f>SUMIF(日報!$R:$R,TEXT(YEAR($Q$2),"0000")&amp;TEXT(MONTH($Q$2),"00")&amp;$O3203,日報!$L:$L)</f>
        <v>0</v>
      </c>
      <c r="R3203" s="65">
        <f ca="1">SUMIF(日報!$J:$J,$O3203,日報!$L:$L)</f>
        <v>0</v>
      </c>
    </row>
    <row r="3204" spans="15:18" x14ac:dyDescent="0.15">
      <c r="O3204" s="7" t="str">
        <f>"REQ"&amp;TEXT([2]RequestList!$A3205,"0000")</f>
        <v>REQ0000</v>
      </c>
      <c r="P3204" s="7">
        <f>[2]RequestList!$J3205</f>
        <v>0</v>
      </c>
      <c r="Q3204" s="65">
        <f>SUMIF(日報!$R:$R,TEXT(YEAR($Q$2),"0000")&amp;TEXT(MONTH($Q$2),"00")&amp;$O3204,日報!$L:$L)</f>
        <v>0</v>
      </c>
      <c r="R3204" s="65">
        <f ca="1">SUMIF(日報!$J:$J,$O3204,日報!$L:$L)</f>
        <v>0</v>
      </c>
    </row>
    <row r="3205" spans="15:18" x14ac:dyDescent="0.15">
      <c r="O3205" s="7" t="str">
        <f>"REQ"&amp;TEXT([2]RequestList!$A3206,"0000")</f>
        <v>REQ0000</v>
      </c>
      <c r="P3205" s="7">
        <f>[2]RequestList!$J3206</f>
        <v>0</v>
      </c>
      <c r="Q3205" s="65">
        <f>SUMIF(日報!$R:$R,TEXT(YEAR($Q$2),"0000")&amp;TEXT(MONTH($Q$2),"00")&amp;$O3205,日報!$L:$L)</f>
        <v>0</v>
      </c>
      <c r="R3205" s="65">
        <f ca="1">SUMIF(日報!$J:$J,$O3205,日報!$L:$L)</f>
        <v>0</v>
      </c>
    </row>
    <row r="3206" spans="15:18" x14ac:dyDescent="0.15">
      <c r="O3206" s="7" t="str">
        <f>"REQ"&amp;TEXT([2]RequestList!$A3207,"0000")</f>
        <v>REQ0000</v>
      </c>
      <c r="P3206" s="7">
        <f>[2]RequestList!$J3207</f>
        <v>0</v>
      </c>
      <c r="Q3206" s="65">
        <f>SUMIF(日報!$R:$R,TEXT(YEAR($Q$2),"0000")&amp;TEXT(MONTH($Q$2),"00")&amp;$O3206,日報!$L:$L)</f>
        <v>0</v>
      </c>
      <c r="R3206" s="65">
        <f ca="1">SUMIF(日報!$J:$J,$O3206,日報!$L:$L)</f>
        <v>0</v>
      </c>
    </row>
    <row r="3207" spans="15:18" x14ac:dyDescent="0.15">
      <c r="O3207" s="7" t="str">
        <f>"REQ"&amp;TEXT([2]RequestList!$A3208,"0000")</f>
        <v>REQ0000</v>
      </c>
      <c r="P3207" s="7">
        <f>[2]RequestList!$J3208</f>
        <v>0</v>
      </c>
      <c r="Q3207" s="65">
        <f>SUMIF(日報!$R:$R,TEXT(YEAR($Q$2),"0000")&amp;TEXT(MONTH($Q$2),"00")&amp;$O3207,日報!$L:$L)</f>
        <v>0</v>
      </c>
      <c r="R3207" s="65">
        <f ca="1">SUMIF(日報!$J:$J,$O3207,日報!$L:$L)</f>
        <v>0</v>
      </c>
    </row>
    <row r="3208" spans="15:18" x14ac:dyDescent="0.15">
      <c r="O3208" s="7" t="str">
        <f>"REQ"&amp;TEXT([2]RequestList!$A3209,"0000")</f>
        <v>REQ0000</v>
      </c>
      <c r="P3208" s="7">
        <f>[2]RequestList!$J3209</f>
        <v>0</v>
      </c>
      <c r="Q3208" s="65">
        <f>SUMIF(日報!$R:$R,TEXT(YEAR($Q$2),"0000")&amp;TEXT(MONTH($Q$2),"00")&amp;$O3208,日報!$L:$L)</f>
        <v>0</v>
      </c>
      <c r="R3208" s="65">
        <f ca="1">SUMIF(日報!$J:$J,$O3208,日報!$L:$L)</f>
        <v>0</v>
      </c>
    </row>
    <row r="3209" spans="15:18" x14ac:dyDescent="0.15">
      <c r="O3209" s="7" t="str">
        <f>"REQ"&amp;TEXT([2]RequestList!$A3210,"0000")</f>
        <v>REQ0000</v>
      </c>
      <c r="P3209" s="7">
        <f>[2]RequestList!$J3210</f>
        <v>0</v>
      </c>
      <c r="Q3209" s="65">
        <f>SUMIF(日報!$R:$R,TEXT(YEAR($Q$2),"0000")&amp;TEXT(MONTH($Q$2),"00")&amp;$O3209,日報!$L:$L)</f>
        <v>0</v>
      </c>
      <c r="R3209" s="65">
        <f ca="1">SUMIF(日報!$J:$J,$O3209,日報!$L:$L)</f>
        <v>0</v>
      </c>
    </row>
    <row r="3210" spans="15:18" x14ac:dyDescent="0.15">
      <c r="O3210" s="7" t="str">
        <f>"REQ"&amp;TEXT([2]RequestList!$A3211,"0000")</f>
        <v>REQ0000</v>
      </c>
      <c r="P3210" s="7">
        <f>[2]RequestList!$J3211</f>
        <v>0</v>
      </c>
      <c r="Q3210" s="65">
        <f>SUMIF(日報!$R:$R,TEXT(YEAR($Q$2),"0000")&amp;TEXT(MONTH($Q$2),"00")&amp;$O3210,日報!$L:$L)</f>
        <v>0</v>
      </c>
      <c r="R3210" s="65">
        <f ca="1">SUMIF(日報!$J:$J,$O3210,日報!$L:$L)</f>
        <v>0</v>
      </c>
    </row>
    <row r="3211" spans="15:18" x14ac:dyDescent="0.15">
      <c r="O3211" s="7" t="str">
        <f>"REQ"&amp;TEXT([2]RequestList!$A3212,"0000")</f>
        <v>REQ0000</v>
      </c>
      <c r="P3211" s="7">
        <f>[2]RequestList!$J3212</f>
        <v>0</v>
      </c>
      <c r="Q3211" s="65">
        <f>SUMIF(日報!$R:$R,TEXT(YEAR($Q$2),"0000")&amp;TEXT(MONTH($Q$2),"00")&amp;$O3211,日報!$L:$L)</f>
        <v>0</v>
      </c>
      <c r="R3211" s="65">
        <f ca="1">SUMIF(日報!$J:$J,$O3211,日報!$L:$L)</f>
        <v>0</v>
      </c>
    </row>
    <row r="3212" spans="15:18" x14ac:dyDescent="0.15">
      <c r="O3212" s="7" t="str">
        <f>"REQ"&amp;TEXT([2]RequestList!$A3213,"0000")</f>
        <v>REQ0000</v>
      </c>
      <c r="P3212" s="7">
        <f>[2]RequestList!$J3213</f>
        <v>0</v>
      </c>
      <c r="Q3212" s="65">
        <f>SUMIF(日報!$R:$R,TEXT(YEAR($Q$2),"0000")&amp;TEXT(MONTH($Q$2),"00")&amp;$O3212,日報!$L:$L)</f>
        <v>0</v>
      </c>
      <c r="R3212" s="65">
        <f ca="1">SUMIF(日報!$J:$J,$O3212,日報!$L:$L)</f>
        <v>0</v>
      </c>
    </row>
    <row r="3213" spans="15:18" x14ac:dyDescent="0.15">
      <c r="O3213" s="7" t="str">
        <f>"REQ"&amp;TEXT([2]RequestList!$A3214,"0000")</f>
        <v>REQ0000</v>
      </c>
      <c r="P3213" s="7">
        <f>[2]RequestList!$J3214</f>
        <v>0</v>
      </c>
      <c r="Q3213" s="65">
        <f>SUMIF(日報!$R:$R,TEXT(YEAR($Q$2),"0000")&amp;TEXT(MONTH($Q$2),"00")&amp;$O3213,日報!$L:$L)</f>
        <v>0</v>
      </c>
      <c r="R3213" s="65">
        <f ca="1">SUMIF(日報!$J:$J,$O3213,日報!$L:$L)</f>
        <v>0</v>
      </c>
    </row>
    <row r="3214" spans="15:18" x14ac:dyDescent="0.15">
      <c r="O3214" s="7" t="str">
        <f>"REQ"&amp;TEXT([2]RequestList!$A3215,"0000")</f>
        <v>REQ0000</v>
      </c>
      <c r="P3214" s="7">
        <f>[2]RequestList!$J3215</f>
        <v>0</v>
      </c>
      <c r="Q3214" s="65">
        <f>SUMIF(日報!$R:$R,TEXT(YEAR($Q$2),"0000")&amp;TEXT(MONTH($Q$2),"00")&amp;$O3214,日報!$L:$L)</f>
        <v>0</v>
      </c>
      <c r="R3214" s="65">
        <f ca="1">SUMIF(日報!$J:$J,$O3214,日報!$L:$L)</f>
        <v>0</v>
      </c>
    </row>
    <row r="3215" spans="15:18" x14ac:dyDescent="0.15">
      <c r="O3215" s="7" t="str">
        <f>"REQ"&amp;TEXT([2]RequestList!$A3216,"0000")</f>
        <v>REQ0000</v>
      </c>
      <c r="P3215" s="7">
        <f>[2]RequestList!$J3216</f>
        <v>0</v>
      </c>
      <c r="Q3215" s="65">
        <f>SUMIF(日報!$R:$R,TEXT(YEAR($Q$2),"0000")&amp;TEXT(MONTH($Q$2),"00")&amp;$O3215,日報!$L:$L)</f>
        <v>0</v>
      </c>
      <c r="R3215" s="65">
        <f ca="1">SUMIF(日報!$J:$J,$O3215,日報!$L:$L)</f>
        <v>0</v>
      </c>
    </row>
    <row r="3216" spans="15:18" x14ac:dyDescent="0.15">
      <c r="O3216" s="7" t="str">
        <f>"REQ"&amp;TEXT([2]RequestList!$A3217,"0000")</f>
        <v>REQ0000</v>
      </c>
      <c r="P3216" s="7">
        <f>[2]RequestList!$J3217</f>
        <v>0</v>
      </c>
      <c r="Q3216" s="65">
        <f>SUMIF(日報!$R:$R,TEXT(YEAR($Q$2),"0000")&amp;TEXT(MONTH($Q$2),"00")&amp;$O3216,日報!$L:$L)</f>
        <v>0</v>
      </c>
      <c r="R3216" s="65">
        <f ca="1">SUMIF(日報!$J:$J,$O3216,日報!$L:$L)</f>
        <v>0</v>
      </c>
    </row>
    <row r="3217" spans="15:18" x14ac:dyDescent="0.15">
      <c r="O3217" s="7" t="str">
        <f>"REQ"&amp;TEXT([2]RequestList!$A3218,"0000")</f>
        <v>REQ0000</v>
      </c>
      <c r="P3217" s="7">
        <f>[2]RequestList!$J3218</f>
        <v>0</v>
      </c>
      <c r="Q3217" s="65">
        <f>SUMIF(日報!$R:$R,TEXT(YEAR($Q$2),"0000")&amp;TEXT(MONTH($Q$2),"00")&amp;$O3217,日報!$L:$L)</f>
        <v>0</v>
      </c>
      <c r="R3217" s="65">
        <f ca="1">SUMIF(日報!$J:$J,$O3217,日報!$L:$L)</f>
        <v>0</v>
      </c>
    </row>
    <row r="3218" spans="15:18" x14ac:dyDescent="0.15">
      <c r="O3218" s="7" t="str">
        <f>"REQ"&amp;TEXT([2]RequestList!$A3219,"0000")</f>
        <v>REQ0000</v>
      </c>
      <c r="P3218" s="7">
        <f>[2]RequestList!$J3219</f>
        <v>0</v>
      </c>
      <c r="Q3218" s="65">
        <f>SUMIF(日報!$R:$R,TEXT(YEAR($Q$2),"0000")&amp;TEXT(MONTH($Q$2),"00")&amp;$O3218,日報!$L:$L)</f>
        <v>0</v>
      </c>
      <c r="R3218" s="65">
        <f ca="1">SUMIF(日報!$J:$J,$O3218,日報!$L:$L)</f>
        <v>0</v>
      </c>
    </row>
    <row r="3219" spans="15:18" x14ac:dyDescent="0.15">
      <c r="O3219" s="7" t="str">
        <f>"REQ"&amp;TEXT([2]RequestList!$A3220,"0000")</f>
        <v>REQ0000</v>
      </c>
      <c r="P3219" s="7">
        <f>[2]RequestList!$J3220</f>
        <v>0</v>
      </c>
      <c r="Q3219" s="65">
        <f>SUMIF(日報!$R:$R,TEXT(YEAR($Q$2),"0000")&amp;TEXT(MONTH($Q$2),"00")&amp;$O3219,日報!$L:$L)</f>
        <v>0</v>
      </c>
      <c r="R3219" s="65">
        <f ca="1">SUMIF(日報!$J:$J,$O3219,日報!$L:$L)</f>
        <v>0</v>
      </c>
    </row>
    <row r="3220" spans="15:18" x14ac:dyDescent="0.15">
      <c r="O3220" s="7" t="str">
        <f>"REQ"&amp;TEXT([2]RequestList!$A3221,"0000")</f>
        <v>REQ0000</v>
      </c>
      <c r="P3220" s="7">
        <f>[2]RequestList!$J3221</f>
        <v>0</v>
      </c>
      <c r="Q3220" s="65">
        <f>SUMIF(日報!$R:$R,TEXT(YEAR($Q$2),"0000")&amp;TEXT(MONTH($Q$2),"00")&amp;$O3220,日報!$L:$L)</f>
        <v>0</v>
      </c>
      <c r="R3220" s="65">
        <f ca="1">SUMIF(日報!$J:$J,$O3220,日報!$L:$L)</f>
        <v>0</v>
      </c>
    </row>
    <row r="3221" spans="15:18" x14ac:dyDescent="0.15">
      <c r="O3221" s="7" t="str">
        <f>"REQ"&amp;TEXT([2]RequestList!$A3222,"0000")</f>
        <v>REQ0000</v>
      </c>
      <c r="P3221" s="7">
        <f>[2]RequestList!$J3222</f>
        <v>0</v>
      </c>
      <c r="Q3221" s="65">
        <f>SUMIF(日報!$R:$R,TEXT(YEAR($Q$2),"0000")&amp;TEXT(MONTH($Q$2),"00")&amp;$O3221,日報!$L:$L)</f>
        <v>0</v>
      </c>
      <c r="R3221" s="65">
        <f ca="1">SUMIF(日報!$J:$J,$O3221,日報!$L:$L)</f>
        <v>0</v>
      </c>
    </row>
    <row r="3222" spans="15:18" x14ac:dyDescent="0.15">
      <c r="O3222" s="7" t="str">
        <f>"REQ"&amp;TEXT([2]RequestList!$A3223,"0000")</f>
        <v>REQ0000</v>
      </c>
      <c r="P3222" s="7">
        <f>[2]RequestList!$J3223</f>
        <v>0</v>
      </c>
      <c r="Q3222" s="65">
        <f>SUMIF(日報!$R:$R,TEXT(YEAR($Q$2),"0000")&amp;TEXT(MONTH($Q$2),"00")&amp;$O3222,日報!$L:$L)</f>
        <v>0</v>
      </c>
      <c r="R3222" s="65">
        <f ca="1">SUMIF(日報!$J:$J,$O3222,日報!$L:$L)</f>
        <v>0</v>
      </c>
    </row>
    <row r="3223" spans="15:18" x14ac:dyDescent="0.15">
      <c r="O3223" s="7" t="str">
        <f>"REQ"&amp;TEXT([2]RequestList!$A3224,"0000")</f>
        <v>REQ0000</v>
      </c>
      <c r="P3223" s="7">
        <f>[2]RequestList!$J3224</f>
        <v>0</v>
      </c>
      <c r="Q3223" s="65">
        <f>SUMIF(日報!$R:$R,TEXT(YEAR($Q$2),"0000")&amp;TEXT(MONTH($Q$2),"00")&amp;$O3223,日報!$L:$L)</f>
        <v>0</v>
      </c>
      <c r="R3223" s="65">
        <f ca="1">SUMIF(日報!$J:$J,$O3223,日報!$L:$L)</f>
        <v>0</v>
      </c>
    </row>
    <row r="3224" spans="15:18" x14ac:dyDescent="0.15">
      <c r="O3224" s="7" t="str">
        <f>"REQ"&amp;TEXT([2]RequestList!$A3225,"0000")</f>
        <v>REQ0000</v>
      </c>
      <c r="P3224" s="7">
        <f>[2]RequestList!$J3225</f>
        <v>0</v>
      </c>
      <c r="Q3224" s="65">
        <f>SUMIF(日報!$R:$R,TEXT(YEAR($Q$2),"0000")&amp;TEXT(MONTH($Q$2),"00")&amp;$O3224,日報!$L:$L)</f>
        <v>0</v>
      </c>
      <c r="R3224" s="65">
        <f ca="1">SUMIF(日報!$J:$J,$O3224,日報!$L:$L)</f>
        <v>0</v>
      </c>
    </row>
    <row r="3225" spans="15:18" x14ac:dyDescent="0.15">
      <c r="O3225" s="7" t="str">
        <f>"REQ"&amp;TEXT([2]RequestList!$A3226,"0000")</f>
        <v>REQ0000</v>
      </c>
      <c r="P3225" s="7">
        <f>[2]RequestList!$J3226</f>
        <v>0</v>
      </c>
      <c r="Q3225" s="65">
        <f>SUMIF(日報!$R:$R,TEXT(YEAR($Q$2),"0000")&amp;TEXT(MONTH($Q$2),"00")&amp;$O3225,日報!$L:$L)</f>
        <v>0</v>
      </c>
      <c r="R3225" s="65">
        <f ca="1">SUMIF(日報!$J:$J,$O3225,日報!$L:$L)</f>
        <v>0</v>
      </c>
    </row>
    <row r="3226" spans="15:18" x14ac:dyDescent="0.15">
      <c r="O3226" s="7" t="str">
        <f>"REQ"&amp;TEXT([2]RequestList!$A3227,"0000")</f>
        <v>REQ0000</v>
      </c>
      <c r="P3226" s="7">
        <f>[2]RequestList!$J3227</f>
        <v>0</v>
      </c>
      <c r="Q3226" s="65">
        <f>SUMIF(日報!$R:$R,TEXT(YEAR($Q$2),"0000")&amp;TEXT(MONTH($Q$2),"00")&amp;$O3226,日報!$L:$L)</f>
        <v>0</v>
      </c>
      <c r="R3226" s="65">
        <f ca="1">SUMIF(日報!$J:$J,$O3226,日報!$L:$L)</f>
        <v>0</v>
      </c>
    </row>
    <row r="3227" spans="15:18" x14ac:dyDescent="0.15">
      <c r="O3227" s="7" t="str">
        <f>"REQ"&amp;TEXT([2]RequestList!$A3228,"0000")</f>
        <v>REQ0000</v>
      </c>
      <c r="P3227" s="7">
        <f>[2]RequestList!$J3228</f>
        <v>0</v>
      </c>
      <c r="Q3227" s="65">
        <f>SUMIF(日報!$R:$R,TEXT(YEAR($Q$2),"0000")&amp;TEXT(MONTH($Q$2),"00")&amp;$O3227,日報!$L:$L)</f>
        <v>0</v>
      </c>
      <c r="R3227" s="65">
        <f ca="1">SUMIF(日報!$J:$J,$O3227,日報!$L:$L)</f>
        <v>0</v>
      </c>
    </row>
    <row r="3228" spans="15:18" x14ac:dyDescent="0.15">
      <c r="O3228" s="7" t="str">
        <f>"REQ"&amp;TEXT([2]RequestList!$A3229,"0000")</f>
        <v>REQ0000</v>
      </c>
      <c r="P3228" s="7">
        <f>[2]RequestList!$J3229</f>
        <v>0</v>
      </c>
      <c r="Q3228" s="65">
        <f>SUMIF(日報!$R:$R,TEXT(YEAR($Q$2),"0000")&amp;TEXT(MONTH($Q$2),"00")&amp;$O3228,日報!$L:$L)</f>
        <v>0</v>
      </c>
      <c r="R3228" s="65">
        <f ca="1">SUMIF(日報!$J:$J,$O3228,日報!$L:$L)</f>
        <v>0</v>
      </c>
    </row>
    <row r="3229" spans="15:18" x14ac:dyDescent="0.15">
      <c r="O3229" s="7" t="str">
        <f>"REQ"&amp;TEXT([2]RequestList!$A3230,"0000")</f>
        <v>REQ0000</v>
      </c>
      <c r="P3229" s="7">
        <f>[2]RequestList!$J3230</f>
        <v>0</v>
      </c>
      <c r="Q3229" s="65">
        <f>SUMIF(日報!$R:$R,TEXT(YEAR($Q$2),"0000")&amp;TEXT(MONTH($Q$2),"00")&amp;$O3229,日報!$L:$L)</f>
        <v>0</v>
      </c>
      <c r="R3229" s="65">
        <f ca="1">SUMIF(日報!$J:$J,$O3229,日報!$L:$L)</f>
        <v>0</v>
      </c>
    </row>
    <row r="3230" spans="15:18" x14ac:dyDescent="0.15">
      <c r="O3230" s="7" t="str">
        <f>"REQ"&amp;TEXT([2]RequestList!$A3231,"0000")</f>
        <v>REQ0000</v>
      </c>
      <c r="P3230" s="7">
        <f>[2]RequestList!$J3231</f>
        <v>0</v>
      </c>
      <c r="Q3230" s="65">
        <f>SUMIF(日報!$R:$R,TEXT(YEAR($Q$2),"0000")&amp;TEXT(MONTH($Q$2),"00")&amp;$O3230,日報!$L:$L)</f>
        <v>0</v>
      </c>
      <c r="R3230" s="65">
        <f ca="1">SUMIF(日報!$J:$J,$O3230,日報!$L:$L)</f>
        <v>0</v>
      </c>
    </row>
    <row r="3231" spans="15:18" x14ac:dyDescent="0.15">
      <c r="O3231" s="7" t="str">
        <f>"REQ"&amp;TEXT([2]RequestList!$A3232,"0000")</f>
        <v>REQ0000</v>
      </c>
      <c r="P3231" s="7">
        <f>[2]RequestList!$J3232</f>
        <v>0</v>
      </c>
      <c r="Q3231" s="65">
        <f>SUMIF(日報!$R:$R,TEXT(YEAR($Q$2),"0000")&amp;TEXT(MONTH($Q$2),"00")&amp;$O3231,日報!$L:$L)</f>
        <v>0</v>
      </c>
      <c r="R3231" s="65">
        <f ca="1">SUMIF(日報!$J:$J,$O3231,日報!$L:$L)</f>
        <v>0</v>
      </c>
    </row>
    <row r="3232" spans="15:18" x14ac:dyDescent="0.15">
      <c r="O3232" s="7" t="str">
        <f>"REQ"&amp;TEXT([2]RequestList!$A3233,"0000")</f>
        <v>REQ0000</v>
      </c>
      <c r="P3232" s="7">
        <f>[2]RequestList!$J3233</f>
        <v>0</v>
      </c>
      <c r="Q3232" s="65">
        <f>SUMIF(日報!$R:$R,TEXT(YEAR($Q$2),"0000")&amp;TEXT(MONTH($Q$2),"00")&amp;$O3232,日報!$L:$L)</f>
        <v>0</v>
      </c>
      <c r="R3232" s="65">
        <f ca="1">SUMIF(日報!$J:$J,$O3232,日報!$L:$L)</f>
        <v>0</v>
      </c>
    </row>
    <row r="3233" spans="15:18" x14ac:dyDescent="0.15">
      <c r="O3233" s="7" t="str">
        <f>"REQ"&amp;TEXT([2]RequestList!$A3234,"0000")</f>
        <v>REQ0000</v>
      </c>
      <c r="P3233" s="7">
        <f>[2]RequestList!$J3234</f>
        <v>0</v>
      </c>
      <c r="Q3233" s="65">
        <f>SUMIF(日報!$R:$R,TEXT(YEAR($Q$2),"0000")&amp;TEXT(MONTH($Q$2),"00")&amp;$O3233,日報!$L:$L)</f>
        <v>0</v>
      </c>
      <c r="R3233" s="65">
        <f ca="1">SUMIF(日報!$J:$J,$O3233,日報!$L:$L)</f>
        <v>0</v>
      </c>
    </row>
    <row r="3234" spans="15:18" x14ac:dyDescent="0.15">
      <c r="O3234" s="7" t="str">
        <f>"REQ"&amp;TEXT([2]RequestList!$A3235,"0000")</f>
        <v>REQ0000</v>
      </c>
      <c r="P3234" s="7">
        <f>[2]RequestList!$J3235</f>
        <v>0</v>
      </c>
      <c r="Q3234" s="65">
        <f>SUMIF(日報!$R:$R,TEXT(YEAR($Q$2),"0000")&amp;TEXT(MONTH($Q$2),"00")&amp;$O3234,日報!$L:$L)</f>
        <v>0</v>
      </c>
      <c r="R3234" s="65">
        <f ca="1">SUMIF(日報!$J:$J,$O3234,日報!$L:$L)</f>
        <v>0</v>
      </c>
    </row>
    <row r="3235" spans="15:18" x14ac:dyDescent="0.15">
      <c r="O3235" s="7" t="str">
        <f>"REQ"&amp;TEXT([2]RequestList!$A3236,"0000")</f>
        <v>REQ0000</v>
      </c>
      <c r="P3235" s="7">
        <f>[2]RequestList!$J3236</f>
        <v>0</v>
      </c>
      <c r="Q3235" s="65">
        <f>SUMIF(日報!$R:$R,TEXT(YEAR($Q$2),"0000")&amp;TEXT(MONTH($Q$2),"00")&amp;$O3235,日報!$L:$L)</f>
        <v>0</v>
      </c>
      <c r="R3235" s="65">
        <f ca="1">SUMIF(日報!$J:$J,$O3235,日報!$L:$L)</f>
        <v>0</v>
      </c>
    </row>
    <row r="3236" spans="15:18" x14ac:dyDescent="0.15">
      <c r="O3236" s="7" t="str">
        <f>"REQ"&amp;TEXT([2]RequestList!$A3237,"0000")</f>
        <v>REQ0000</v>
      </c>
      <c r="P3236" s="7">
        <f>[2]RequestList!$J3237</f>
        <v>0</v>
      </c>
      <c r="Q3236" s="65">
        <f>SUMIF(日報!$R:$R,TEXT(YEAR($Q$2),"0000")&amp;TEXT(MONTH($Q$2),"00")&amp;$O3236,日報!$L:$L)</f>
        <v>0</v>
      </c>
      <c r="R3236" s="65">
        <f ca="1">SUMIF(日報!$J:$J,$O3236,日報!$L:$L)</f>
        <v>0</v>
      </c>
    </row>
    <row r="3237" spans="15:18" x14ac:dyDescent="0.15">
      <c r="O3237" s="7" t="str">
        <f>"REQ"&amp;TEXT([2]RequestList!$A3238,"0000")</f>
        <v>REQ0000</v>
      </c>
      <c r="P3237" s="7">
        <f>[2]RequestList!$J3238</f>
        <v>0</v>
      </c>
      <c r="Q3237" s="65">
        <f>SUMIF(日報!$R:$R,TEXT(YEAR($Q$2),"0000")&amp;TEXT(MONTH($Q$2),"00")&amp;$O3237,日報!$L:$L)</f>
        <v>0</v>
      </c>
      <c r="R3237" s="65">
        <f ca="1">SUMIF(日報!$J:$J,$O3237,日報!$L:$L)</f>
        <v>0</v>
      </c>
    </row>
    <row r="3238" spans="15:18" x14ac:dyDescent="0.15">
      <c r="O3238" s="7" t="str">
        <f>"REQ"&amp;TEXT([2]RequestList!$A3239,"0000")</f>
        <v>REQ0000</v>
      </c>
      <c r="P3238" s="7">
        <f>[2]RequestList!$J3239</f>
        <v>0</v>
      </c>
      <c r="Q3238" s="65">
        <f>SUMIF(日報!$R:$R,TEXT(YEAR($Q$2),"0000")&amp;TEXT(MONTH($Q$2),"00")&amp;$O3238,日報!$L:$L)</f>
        <v>0</v>
      </c>
      <c r="R3238" s="65">
        <f ca="1">SUMIF(日報!$J:$J,$O3238,日報!$L:$L)</f>
        <v>0</v>
      </c>
    </row>
    <row r="3239" spans="15:18" x14ac:dyDescent="0.15">
      <c r="O3239" s="7" t="str">
        <f>"REQ"&amp;TEXT([2]RequestList!$A3240,"0000")</f>
        <v>REQ0000</v>
      </c>
      <c r="P3239" s="7">
        <f>[2]RequestList!$J3240</f>
        <v>0</v>
      </c>
      <c r="Q3239" s="65">
        <f>SUMIF(日報!$R:$R,TEXT(YEAR($Q$2),"0000")&amp;TEXT(MONTH($Q$2),"00")&amp;$O3239,日報!$L:$L)</f>
        <v>0</v>
      </c>
      <c r="R3239" s="65">
        <f ca="1">SUMIF(日報!$J:$J,$O3239,日報!$L:$L)</f>
        <v>0</v>
      </c>
    </row>
    <row r="3240" spans="15:18" x14ac:dyDescent="0.15">
      <c r="O3240" s="7" t="str">
        <f>"REQ"&amp;TEXT([2]RequestList!$A3241,"0000")</f>
        <v>REQ0000</v>
      </c>
      <c r="P3240" s="7">
        <f>[2]RequestList!$J3241</f>
        <v>0</v>
      </c>
      <c r="Q3240" s="65">
        <f>SUMIF(日報!$R:$R,TEXT(YEAR($Q$2),"0000")&amp;TEXT(MONTH($Q$2),"00")&amp;$O3240,日報!$L:$L)</f>
        <v>0</v>
      </c>
      <c r="R3240" s="65">
        <f ca="1">SUMIF(日報!$J:$J,$O3240,日報!$L:$L)</f>
        <v>0</v>
      </c>
    </row>
    <row r="3241" spans="15:18" x14ac:dyDescent="0.15">
      <c r="O3241" s="7" t="str">
        <f>"REQ"&amp;TEXT([2]RequestList!$A3242,"0000")</f>
        <v>REQ0000</v>
      </c>
      <c r="P3241" s="7">
        <f>[2]RequestList!$J3242</f>
        <v>0</v>
      </c>
      <c r="Q3241" s="65">
        <f>SUMIF(日報!$R:$R,TEXT(YEAR($Q$2),"0000")&amp;TEXT(MONTH($Q$2),"00")&amp;$O3241,日報!$L:$L)</f>
        <v>0</v>
      </c>
      <c r="R3241" s="65">
        <f ca="1">SUMIF(日報!$J:$J,$O3241,日報!$L:$L)</f>
        <v>0</v>
      </c>
    </row>
    <row r="3242" spans="15:18" x14ac:dyDescent="0.15">
      <c r="O3242" s="7" t="str">
        <f>"REQ"&amp;TEXT([2]RequestList!$A3243,"0000")</f>
        <v>REQ0000</v>
      </c>
      <c r="P3242" s="7">
        <f>[2]RequestList!$J3243</f>
        <v>0</v>
      </c>
      <c r="Q3242" s="65">
        <f>SUMIF(日報!$R:$R,TEXT(YEAR($Q$2),"0000")&amp;TEXT(MONTH($Q$2),"00")&amp;$O3242,日報!$L:$L)</f>
        <v>0</v>
      </c>
      <c r="R3242" s="65">
        <f ca="1">SUMIF(日報!$J:$J,$O3242,日報!$L:$L)</f>
        <v>0</v>
      </c>
    </row>
    <row r="3243" spans="15:18" x14ac:dyDescent="0.15">
      <c r="O3243" s="7" t="str">
        <f>"REQ"&amp;TEXT([2]RequestList!$A3244,"0000")</f>
        <v>REQ0000</v>
      </c>
      <c r="P3243" s="7">
        <f>[2]RequestList!$J3244</f>
        <v>0</v>
      </c>
      <c r="Q3243" s="65">
        <f>SUMIF(日報!$R:$R,TEXT(YEAR($Q$2),"0000")&amp;TEXT(MONTH($Q$2),"00")&amp;$O3243,日報!$L:$L)</f>
        <v>0</v>
      </c>
      <c r="R3243" s="65">
        <f ca="1">SUMIF(日報!$J:$J,$O3243,日報!$L:$L)</f>
        <v>0</v>
      </c>
    </row>
    <row r="3244" spans="15:18" x14ac:dyDescent="0.15">
      <c r="O3244" s="7" t="str">
        <f>"REQ"&amp;TEXT([2]RequestList!$A3245,"0000")</f>
        <v>REQ0000</v>
      </c>
      <c r="P3244" s="7">
        <f>[2]RequestList!$J3245</f>
        <v>0</v>
      </c>
      <c r="Q3244" s="65">
        <f>SUMIF(日報!$R:$R,TEXT(YEAR($Q$2),"0000")&amp;TEXT(MONTH($Q$2),"00")&amp;$O3244,日報!$L:$L)</f>
        <v>0</v>
      </c>
      <c r="R3244" s="65">
        <f ca="1">SUMIF(日報!$J:$J,$O3244,日報!$L:$L)</f>
        <v>0</v>
      </c>
    </row>
    <row r="3245" spans="15:18" x14ac:dyDescent="0.15">
      <c r="O3245" s="7" t="str">
        <f>"REQ"&amp;TEXT([2]RequestList!$A3246,"0000")</f>
        <v>REQ0000</v>
      </c>
      <c r="P3245" s="7">
        <f>[2]RequestList!$J3246</f>
        <v>0</v>
      </c>
      <c r="Q3245" s="65">
        <f>SUMIF(日報!$R:$R,TEXT(YEAR($Q$2),"0000")&amp;TEXT(MONTH($Q$2),"00")&amp;$O3245,日報!$L:$L)</f>
        <v>0</v>
      </c>
      <c r="R3245" s="65">
        <f ca="1">SUMIF(日報!$J:$J,$O3245,日報!$L:$L)</f>
        <v>0</v>
      </c>
    </row>
    <row r="3246" spans="15:18" x14ac:dyDescent="0.15">
      <c r="O3246" s="7" t="str">
        <f>"REQ"&amp;TEXT([2]RequestList!$A3247,"0000")</f>
        <v>REQ0000</v>
      </c>
      <c r="P3246" s="7">
        <f>[2]RequestList!$J3247</f>
        <v>0</v>
      </c>
      <c r="Q3246" s="65">
        <f>SUMIF(日報!$R:$R,TEXT(YEAR($Q$2),"0000")&amp;TEXT(MONTH($Q$2),"00")&amp;$O3246,日報!$L:$L)</f>
        <v>0</v>
      </c>
      <c r="R3246" s="65">
        <f ca="1">SUMIF(日報!$J:$J,$O3246,日報!$L:$L)</f>
        <v>0</v>
      </c>
    </row>
    <row r="3247" spans="15:18" x14ac:dyDescent="0.15">
      <c r="O3247" s="7" t="str">
        <f>"REQ"&amp;TEXT([2]RequestList!$A3248,"0000")</f>
        <v>REQ0000</v>
      </c>
      <c r="P3247" s="7">
        <f>[2]RequestList!$J3248</f>
        <v>0</v>
      </c>
      <c r="Q3247" s="65">
        <f>SUMIF(日報!$R:$R,TEXT(YEAR($Q$2),"0000")&amp;TEXT(MONTH($Q$2),"00")&amp;$O3247,日報!$L:$L)</f>
        <v>0</v>
      </c>
      <c r="R3247" s="65">
        <f ca="1">SUMIF(日報!$J:$J,$O3247,日報!$L:$L)</f>
        <v>0</v>
      </c>
    </row>
    <row r="3248" spans="15:18" x14ac:dyDescent="0.15">
      <c r="O3248" s="7" t="str">
        <f>"REQ"&amp;TEXT([2]RequestList!$A3249,"0000")</f>
        <v>REQ0000</v>
      </c>
      <c r="P3248" s="7">
        <f>[2]RequestList!$J3249</f>
        <v>0</v>
      </c>
      <c r="Q3248" s="65">
        <f>SUMIF(日報!$R:$R,TEXT(YEAR($Q$2),"0000")&amp;TEXT(MONTH($Q$2),"00")&amp;$O3248,日報!$L:$L)</f>
        <v>0</v>
      </c>
      <c r="R3248" s="65">
        <f ca="1">SUMIF(日報!$J:$J,$O3248,日報!$L:$L)</f>
        <v>0</v>
      </c>
    </row>
    <row r="3249" spans="15:18" x14ac:dyDescent="0.15">
      <c r="O3249" s="7" t="str">
        <f>"REQ"&amp;TEXT([2]RequestList!$A3250,"0000")</f>
        <v>REQ0000</v>
      </c>
      <c r="P3249" s="7">
        <f>[2]RequestList!$J3250</f>
        <v>0</v>
      </c>
      <c r="Q3249" s="65">
        <f>SUMIF(日報!$R:$R,TEXT(YEAR($Q$2),"0000")&amp;TEXT(MONTH($Q$2),"00")&amp;$O3249,日報!$L:$L)</f>
        <v>0</v>
      </c>
      <c r="R3249" s="65">
        <f ca="1">SUMIF(日報!$J:$J,$O3249,日報!$L:$L)</f>
        <v>0</v>
      </c>
    </row>
    <row r="3250" spans="15:18" x14ac:dyDescent="0.15">
      <c r="O3250" s="7" t="str">
        <f>"REQ"&amp;TEXT([2]RequestList!$A3251,"0000")</f>
        <v>REQ0000</v>
      </c>
      <c r="P3250" s="7">
        <f>[2]RequestList!$J3251</f>
        <v>0</v>
      </c>
      <c r="Q3250" s="65">
        <f>SUMIF(日報!$R:$R,TEXT(YEAR($Q$2),"0000")&amp;TEXT(MONTH($Q$2),"00")&amp;$O3250,日報!$L:$L)</f>
        <v>0</v>
      </c>
      <c r="R3250" s="65">
        <f ca="1">SUMIF(日報!$J:$J,$O3250,日報!$L:$L)</f>
        <v>0</v>
      </c>
    </row>
    <row r="3251" spans="15:18" x14ac:dyDescent="0.15">
      <c r="O3251" s="7" t="str">
        <f>"REQ"&amp;TEXT([2]RequestList!$A3252,"0000")</f>
        <v>REQ0000</v>
      </c>
      <c r="P3251" s="7">
        <f>[2]RequestList!$J3252</f>
        <v>0</v>
      </c>
      <c r="Q3251" s="65">
        <f>SUMIF(日報!$R:$R,TEXT(YEAR($Q$2),"0000")&amp;TEXT(MONTH($Q$2),"00")&amp;$O3251,日報!$L:$L)</f>
        <v>0</v>
      </c>
      <c r="R3251" s="65">
        <f ca="1">SUMIF(日報!$J:$J,$O3251,日報!$L:$L)</f>
        <v>0</v>
      </c>
    </row>
    <row r="3252" spans="15:18" x14ac:dyDescent="0.15">
      <c r="O3252" s="7" t="str">
        <f>"REQ"&amp;TEXT([2]RequestList!$A3253,"0000")</f>
        <v>REQ0000</v>
      </c>
      <c r="P3252" s="7">
        <f>[2]RequestList!$J3253</f>
        <v>0</v>
      </c>
      <c r="Q3252" s="65">
        <f>SUMIF(日報!$R:$R,TEXT(YEAR($Q$2),"0000")&amp;TEXT(MONTH($Q$2),"00")&amp;$O3252,日報!$L:$L)</f>
        <v>0</v>
      </c>
      <c r="R3252" s="65">
        <f ca="1">SUMIF(日報!$J:$J,$O3252,日報!$L:$L)</f>
        <v>0</v>
      </c>
    </row>
    <row r="3253" spans="15:18" x14ac:dyDescent="0.15">
      <c r="O3253" s="7" t="str">
        <f>"REQ"&amp;TEXT([2]RequestList!$A3254,"0000")</f>
        <v>REQ0000</v>
      </c>
      <c r="P3253" s="7">
        <f>[2]RequestList!$J3254</f>
        <v>0</v>
      </c>
      <c r="Q3253" s="65">
        <f>SUMIF(日報!$R:$R,TEXT(YEAR($Q$2),"0000")&amp;TEXT(MONTH($Q$2),"00")&amp;$O3253,日報!$L:$L)</f>
        <v>0</v>
      </c>
      <c r="R3253" s="65">
        <f ca="1">SUMIF(日報!$J:$J,$O3253,日報!$L:$L)</f>
        <v>0</v>
      </c>
    </row>
    <row r="3254" spans="15:18" x14ac:dyDescent="0.15">
      <c r="O3254" s="7" t="str">
        <f>"REQ"&amp;TEXT([2]RequestList!$A3255,"0000")</f>
        <v>REQ0000</v>
      </c>
      <c r="P3254" s="7">
        <f>[2]RequestList!$J3255</f>
        <v>0</v>
      </c>
      <c r="Q3254" s="65">
        <f>SUMIF(日報!$R:$R,TEXT(YEAR($Q$2),"0000")&amp;TEXT(MONTH($Q$2),"00")&amp;$O3254,日報!$L:$L)</f>
        <v>0</v>
      </c>
      <c r="R3254" s="65">
        <f ca="1">SUMIF(日報!$J:$J,$O3254,日報!$L:$L)</f>
        <v>0</v>
      </c>
    </row>
    <row r="3255" spans="15:18" x14ac:dyDescent="0.15">
      <c r="O3255" s="7" t="str">
        <f>"REQ"&amp;TEXT([2]RequestList!$A3256,"0000")</f>
        <v>REQ0000</v>
      </c>
      <c r="P3255" s="7">
        <f>[2]RequestList!$J3256</f>
        <v>0</v>
      </c>
      <c r="Q3255" s="65">
        <f>SUMIF(日報!$R:$R,TEXT(YEAR($Q$2),"0000")&amp;TEXT(MONTH($Q$2),"00")&amp;$O3255,日報!$L:$L)</f>
        <v>0</v>
      </c>
      <c r="R3255" s="65">
        <f ca="1">SUMIF(日報!$J:$J,$O3255,日報!$L:$L)</f>
        <v>0</v>
      </c>
    </row>
    <row r="3256" spans="15:18" x14ac:dyDescent="0.15">
      <c r="O3256" s="7" t="str">
        <f>"REQ"&amp;TEXT([2]RequestList!$A3257,"0000")</f>
        <v>REQ0000</v>
      </c>
      <c r="P3256" s="7">
        <f>[2]RequestList!$J3257</f>
        <v>0</v>
      </c>
      <c r="Q3256" s="65">
        <f>SUMIF(日報!$R:$R,TEXT(YEAR($Q$2),"0000")&amp;TEXT(MONTH($Q$2),"00")&amp;$O3256,日報!$L:$L)</f>
        <v>0</v>
      </c>
      <c r="R3256" s="65">
        <f ca="1">SUMIF(日報!$J:$J,$O3256,日報!$L:$L)</f>
        <v>0</v>
      </c>
    </row>
    <row r="3257" spans="15:18" x14ac:dyDescent="0.15">
      <c r="O3257" s="7" t="str">
        <f>"REQ"&amp;TEXT([2]RequestList!$A3258,"0000")</f>
        <v>REQ0000</v>
      </c>
      <c r="P3257" s="7">
        <f>[2]RequestList!$J3258</f>
        <v>0</v>
      </c>
      <c r="Q3257" s="65">
        <f>SUMIF(日報!$R:$R,TEXT(YEAR($Q$2),"0000")&amp;TEXT(MONTH($Q$2),"00")&amp;$O3257,日報!$L:$L)</f>
        <v>0</v>
      </c>
      <c r="R3257" s="65">
        <f ca="1">SUMIF(日報!$J:$J,$O3257,日報!$L:$L)</f>
        <v>0</v>
      </c>
    </row>
    <row r="3258" spans="15:18" x14ac:dyDescent="0.15">
      <c r="O3258" s="7" t="str">
        <f>"REQ"&amp;TEXT([2]RequestList!$A3259,"0000")</f>
        <v>REQ0000</v>
      </c>
      <c r="P3258" s="7">
        <f>[2]RequestList!$J3259</f>
        <v>0</v>
      </c>
      <c r="Q3258" s="65">
        <f>SUMIF(日報!$R:$R,TEXT(YEAR($Q$2),"0000")&amp;TEXT(MONTH($Q$2),"00")&amp;$O3258,日報!$L:$L)</f>
        <v>0</v>
      </c>
      <c r="R3258" s="65">
        <f ca="1">SUMIF(日報!$J:$J,$O3258,日報!$L:$L)</f>
        <v>0</v>
      </c>
    </row>
    <row r="3259" spans="15:18" x14ac:dyDescent="0.15">
      <c r="O3259" s="7" t="str">
        <f>"REQ"&amp;TEXT([2]RequestList!$A3260,"0000")</f>
        <v>REQ0000</v>
      </c>
      <c r="P3259" s="7">
        <f>[2]RequestList!$J3260</f>
        <v>0</v>
      </c>
      <c r="Q3259" s="65">
        <f>SUMIF(日報!$R:$R,TEXT(YEAR($Q$2),"0000")&amp;TEXT(MONTH($Q$2),"00")&amp;$O3259,日報!$L:$L)</f>
        <v>0</v>
      </c>
      <c r="R3259" s="65">
        <f ca="1">SUMIF(日報!$J:$J,$O3259,日報!$L:$L)</f>
        <v>0</v>
      </c>
    </row>
    <row r="3260" spans="15:18" x14ac:dyDescent="0.15">
      <c r="O3260" s="7" t="str">
        <f>"REQ"&amp;TEXT([2]RequestList!$A3261,"0000")</f>
        <v>REQ0000</v>
      </c>
      <c r="P3260" s="7">
        <f>[2]RequestList!$J3261</f>
        <v>0</v>
      </c>
      <c r="Q3260" s="65">
        <f>SUMIF(日報!$R:$R,TEXT(YEAR($Q$2),"0000")&amp;TEXT(MONTH($Q$2),"00")&amp;$O3260,日報!$L:$L)</f>
        <v>0</v>
      </c>
      <c r="R3260" s="65">
        <f ca="1">SUMIF(日報!$J:$J,$O3260,日報!$L:$L)</f>
        <v>0</v>
      </c>
    </row>
    <row r="3261" spans="15:18" x14ac:dyDescent="0.15">
      <c r="O3261" s="7" t="str">
        <f>"REQ"&amp;TEXT([2]RequestList!$A3262,"0000")</f>
        <v>REQ0000</v>
      </c>
      <c r="P3261" s="7">
        <f>[2]RequestList!$J3262</f>
        <v>0</v>
      </c>
      <c r="Q3261" s="65">
        <f>SUMIF(日報!$R:$R,TEXT(YEAR($Q$2),"0000")&amp;TEXT(MONTH($Q$2),"00")&amp;$O3261,日報!$L:$L)</f>
        <v>0</v>
      </c>
      <c r="R3261" s="65">
        <f ca="1">SUMIF(日報!$J:$J,$O3261,日報!$L:$L)</f>
        <v>0</v>
      </c>
    </row>
    <row r="3262" spans="15:18" x14ac:dyDescent="0.15">
      <c r="O3262" s="7" t="str">
        <f>"REQ"&amp;TEXT([2]RequestList!$A3263,"0000")</f>
        <v>REQ0000</v>
      </c>
      <c r="P3262" s="7">
        <f>[2]RequestList!$J3263</f>
        <v>0</v>
      </c>
      <c r="Q3262" s="65">
        <f>SUMIF(日報!$R:$R,TEXT(YEAR($Q$2),"0000")&amp;TEXT(MONTH($Q$2),"00")&amp;$O3262,日報!$L:$L)</f>
        <v>0</v>
      </c>
      <c r="R3262" s="65">
        <f ca="1">SUMIF(日報!$J:$J,$O3262,日報!$L:$L)</f>
        <v>0</v>
      </c>
    </row>
    <row r="3263" spans="15:18" x14ac:dyDescent="0.15">
      <c r="O3263" s="7" t="str">
        <f>"REQ"&amp;TEXT([2]RequestList!$A3264,"0000")</f>
        <v>REQ0000</v>
      </c>
      <c r="P3263" s="7">
        <f>[2]RequestList!$J3264</f>
        <v>0</v>
      </c>
      <c r="Q3263" s="65">
        <f>SUMIF(日報!$R:$R,TEXT(YEAR($Q$2),"0000")&amp;TEXT(MONTH($Q$2),"00")&amp;$O3263,日報!$L:$L)</f>
        <v>0</v>
      </c>
      <c r="R3263" s="65">
        <f ca="1">SUMIF(日報!$J:$J,$O3263,日報!$L:$L)</f>
        <v>0</v>
      </c>
    </row>
    <row r="3264" spans="15:18" x14ac:dyDescent="0.15">
      <c r="O3264" s="7" t="str">
        <f>"REQ"&amp;TEXT([2]RequestList!$A3265,"0000")</f>
        <v>REQ0000</v>
      </c>
      <c r="P3264" s="7">
        <f>[2]RequestList!$J3265</f>
        <v>0</v>
      </c>
      <c r="Q3264" s="65">
        <f>SUMIF(日報!$R:$R,TEXT(YEAR($Q$2),"0000")&amp;TEXT(MONTH($Q$2),"00")&amp;$O3264,日報!$L:$L)</f>
        <v>0</v>
      </c>
      <c r="R3264" s="65">
        <f ca="1">SUMIF(日報!$J:$J,$O3264,日報!$L:$L)</f>
        <v>0</v>
      </c>
    </row>
    <row r="3265" spans="15:18" x14ac:dyDescent="0.15">
      <c r="O3265" s="7" t="str">
        <f>"REQ"&amp;TEXT([2]RequestList!$A3266,"0000")</f>
        <v>REQ0000</v>
      </c>
      <c r="P3265" s="7">
        <f>[2]RequestList!$J3266</f>
        <v>0</v>
      </c>
      <c r="Q3265" s="65">
        <f>SUMIF(日報!$R:$R,TEXT(YEAR($Q$2),"0000")&amp;TEXT(MONTH($Q$2),"00")&amp;$O3265,日報!$L:$L)</f>
        <v>0</v>
      </c>
      <c r="R3265" s="65">
        <f ca="1">SUMIF(日報!$J:$J,$O3265,日報!$L:$L)</f>
        <v>0</v>
      </c>
    </row>
    <row r="3266" spans="15:18" x14ac:dyDescent="0.15">
      <c r="O3266" s="7" t="str">
        <f>"REQ"&amp;TEXT([2]RequestList!$A3267,"0000")</f>
        <v>REQ0000</v>
      </c>
      <c r="P3266" s="7">
        <f>[2]RequestList!$J3267</f>
        <v>0</v>
      </c>
      <c r="Q3266" s="65">
        <f>SUMIF(日報!$R:$R,TEXT(YEAR($Q$2),"0000")&amp;TEXT(MONTH($Q$2),"00")&amp;$O3266,日報!$L:$L)</f>
        <v>0</v>
      </c>
      <c r="R3266" s="65">
        <f ca="1">SUMIF(日報!$J:$J,$O3266,日報!$L:$L)</f>
        <v>0</v>
      </c>
    </row>
    <row r="3267" spans="15:18" x14ac:dyDescent="0.15">
      <c r="O3267" s="7" t="str">
        <f>"REQ"&amp;TEXT([2]RequestList!$A3268,"0000")</f>
        <v>REQ0000</v>
      </c>
      <c r="P3267" s="7">
        <f>[2]RequestList!$J3268</f>
        <v>0</v>
      </c>
      <c r="Q3267" s="65">
        <f>SUMIF(日報!$R:$R,TEXT(YEAR($Q$2),"0000")&amp;TEXT(MONTH($Q$2),"00")&amp;$O3267,日報!$L:$L)</f>
        <v>0</v>
      </c>
      <c r="R3267" s="65">
        <f ca="1">SUMIF(日報!$J:$J,$O3267,日報!$L:$L)</f>
        <v>0</v>
      </c>
    </row>
    <row r="3268" spans="15:18" x14ac:dyDescent="0.15">
      <c r="O3268" s="7" t="str">
        <f>"REQ"&amp;TEXT([2]RequestList!$A3269,"0000")</f>
        <v>REQ0000</v>
      </c>
      <c r="P3268" s="7">
        <f>[2]RequestList!$J3269</f>
        <v>0</v>
      </c>
      <c r="Q3268" s="65">
        <f>SUMIF(日報!$R:$R,TEXT(YEAR($Q$2),"0000")&amp;TEXT(MONTH($Q$2),"00")&amp;$O3268,日報!$L:$L)</f>
        <v>0</v>
      </c>
      <c r="R3268" s="65">
        <f ca="1">SUMIF(日報!$J:$J,$O3268,日報!$L:$L)</f>
        <v>0</v>
      </c>
    </row>
    <row r="3269" spans="15:18" x14ac:dyDescent="0.15">
      <c r="O3269" s="7" t="str">
        <f>"REQ"&amp;TEXT([2]RequestList!$A3270,"0000")</f>
        <v>REQ0000</v>
      </c>
      <c r="P3269" s="7">
        <f>[2]RequestList!$J3270</f>
        <v>0</v>
      </c>
      <c r="Q3269" s="65">
        <f>SUMIF(日報!$R:$R,TEXT(YEAR($Q$2),"0000")&amp;TEXT(MONTH($Q$2),"00")&amp;$O3269,日報!$L:$L)</f>
        <v>0</v>
      </c>
      <c r="R3269" s="65">
        <f ca="1">SUMIF(日報!$J:$J,$O3269,日報!$L:$L)</f>
        <v>0</v>
      </c>
    </row>
    <row r="3270" spans="15:18" x14ac:dyDescent="0.15">
      <c r="O3270" s="7" t="str">
        <f>"REQ"&amp;TEXT([2]RequestList!$A3271,"0000")</f>
        <v>REQ0000</v>
      </c>
      <c r="P3270" s="7">
        <f>[2]RequestList!$J3271</f>
        <v>0</v>
      </c>
      <c r="Q3270" s="65">
        <f>SUMIF(日報!$R:$R,TEXT(YEAR($Q$2),"0000")&amp;TEXT(MONTH($Q$2),"00")&amp;$O3270,日報!$L:$L)</f>
        <v>0</v>
      </c>
      <c r="R3270" s="65">
        <f ca="1">SUMIF(日報!$J:$J,$O3270,日報!$L:$L)</f>
        <v>0</v>
      </c>
    </row>
    <row r="3271" spans="15:18" x14ac:dyDescent="0.15">
      <c r="O3271" s="7" t="str">
        <f>"REQ"&amp;TEXT([2]RequestList!$A3272,"0000")</f>
        <v>REQ0000</v>
      </c>
      <c r="P3271" s="7">
        <f>[2]RequestList!$J3272</f>
        <v>0</v>
      </c>
      <c r="Q3271" s="65">
        <f>SUMIF(日報!$R:$R,TEXT(YEAR($Q$2),"0000")&amp;TEXT(MONTH($Q$2),"00")&amp;$O3271,日報!$L:$L)</f>
        <v>0</v>
      </c>
      <c r="R3271" s="65">
        <f ca="1">SUMIF(日報!$J:$J,$O3271,日報!$L:$L)</f>
        <v>0</v>
      </c>
    </row>
    <row r="3272" spans="15:18" x14ac:dyDescent="0.15">
      <c r="O3272" s="7" t="str">
        <f>"REQ"&amp;TEXT([2]RequestList!$A3273,"0000")</f>
        <v>REQ0000</v>
      </c>
      <c r="P3272" s="7">
        <f>[2]RequestList!$J3273</f>
        <v>0</v>
      </c>
      <c r="Q3272" s="65">
        <f>SUMIF(日報!$R:$R,TEXT(YEAR($Q$2),"0000")&amp;TEXT(MONTH($Q$2),"00")&amp;$O3272,日報!$L:$L)</f>
        <v>0</v>
      </c>
      <c r="R3272" s="65">
        <f ca="1">SUMIF(日報!$J:$J,$O3272,日報!$L:$L)</f>
        <v>0</v>
      </c>
    </row>
    <row r="3273" spans="15:18" x14ac:dyDescent="0.15">
      <c r="O3273" s="7" t="str">
        <f>"REQ"&amp;TEXT([2]RequestList!$A3274,"0000")</f>
        <v>REQ0000</v>
      </c>
      <c r="P3273" s="7">
        <f>[2]RequestList!$J3274</f>
        <v>0</v>
      </c>
      <c r="Q3273" s="65">
        <f>SUMIF(日報!$R:$R,TEXT(YEAR($Q$2),"0000")&amp;TEXT(MONTH($Q$2),"00")&amp;$O3273,日報!$L:$L)</f>
        <v>0</v>
      </c>
      <c r="R3273" s="65">
        <f ca="1">SUMIF(日報!$J:$J,$O3273,日報!$L:$L)</f>
        <v>0</v>
      </c>
    </row>
    <row r="3274" spans="15:18" x14ac:dyDescent="0.15">
      <c r="O3274" s="7" t="str">
        <f>"REQ"&amp;TEXT([2]RequestList!$A3275,"0000")</f>
        <v>REQ0000</v>
      </c>
      <c r="P3274" s="7">
        <f>[2]RequestList!$J3275</f>
        <v>0</v>
      </c>
      <c r="Q3274" s="65">
        <f>SUMIF(日報!$R:$R,TEXT(YEAR($Q$2),"0000")&amp;TEXT(MONTH($Q$2),"00")&amp;$O3274,日報!$L:$L)</f>
        <v>0</v>
      </c>
      <c r="R3274" s="65">
        <f ca="1">SUMIF(日報!$J:$J,$O3274,日報!$L:$L)</f>
        <v>0</v>
      </c>
    </row>
    <row r="3275" spans="15:18" x14ac:dyDescent="0.15">
      <c r="O3275" s="7" t="str">
        <f>"REQ"&amp;TEXT([2]RequestList!$A3276,"0000")</f>
        <v>REQ0000</v>
      </c>
      <c r="P3275" s="7">
        <f>[2]RequestList!$J3276</f>
        <v>0</v>
      </c>
      <c r="Q3275" s="65">
        <f>SUMIF(日報!$R:$R,TEXT(YEAR($Q$2),"0000")&amp;TEXT(MONTH($Q$2),"00")&amp;$O3275,日報!$L:$L)</f>
        <v>0</v>
      </c>
      <c r="R3275" s="65">
        <f ca="1">SUMIF(日報!$J:$J,$O3275,日報!$L:$L)</f>
        <v>0</v>
      </c>
    </row>
    <row r="3276" spans="15:18" x14ac:dyDescent="0.15">
      <c r="O3276" s="7" t="str">
        <f>"REQ"&amp;TEXT([2]RequestList!$A3277,"0000")</f>
        <v>REQ0000</v>
      </c>
      <c r="P3276" s="7">
        <f>[2]RequestList!$J3277</f>
        <v>0</v>
      </c>
      <c r="Q3276" s="65">
        <f>SUMIF(日報!$R:$R,TEXT(YEAR($Q$2),"0000")&amp;TEXT(MONTH($Q$2),"00")&amp;$O3276,日報!$L:$L)</f>
        <v>0</v>
      </c>
      <c r="R3276" s="65">
        <f ca="1">SUMIF(日報!$J:$J,$O3276,日報!$L:$L)</f>
        <v>0</v>
      </c>
    </row>
    <row r="3277" spans="15:18" x14ac:dyDescent="0.15">
      <c r="O3277" s="7" t="str">
        <f>"REQ"&amp;TEXT([2]RequestList!$A3278,"0000")</f>
        <v>REQ0000</v>
      </c>
      <c r="P3277" s="7">
        <f>[2]RequestList!$J3278</f>
        <v>0</v>
      </c>
      <c r="Q3277" s="65">
        <f>SUMIF(日報!$R:$R,TEXT(YEAR($Q$2),"0000")&amp;TEXT(MONTH($Q$2),"00")&amp;$O3277,日報!$L:$L)</f>
        <v>0</v>
      </c>
      <c r="R3277" s="65">
        <f ca="1">SUMIF(日報!$J:$J,$O3277,日報!$L:$L)</f>
        <v>0</v>
      </c>
    </row>
    <row r="3278" spans="15:18" x14ac:dyDescent="0.15">
      <c r="O3278" s="7" t="str">
        <f>"REQ"&amp;TEXT([2]RequestList!$A3279,"0000")</f>
        <v>REQ0000</v>
      </c>
      <c r="P3278" s="7">
        <f>[2]RequestList!$J3279</f>
        <v>0</v>
      </c>
      <c r="Q3278" s="65">
        <f>SUMIF(日報!$R:$R,TEXT(YEAR($Q$2),"0000")&amp;TEXT(MONTH($Q$2),"00")&amp;$O3278,日報!$L:$L)</f>
        <v>0</v>
      </c>
      <c r="R3278" s="65">
        <f ca="1">SUMIF(日報!$J:$J,$O3278,日報!$L:$L)</f>
        <v>0</v>
      </c>
    </row>
    <row r="3279" spans="15:18" x14ac:dyDescent="0.15">
      <c r="O3279" s="7" t="str">
        <f>"REQ"&amp;TEXT([2]RequestList!$A3280,"0000")</f>
        <v>REQ0000</v>
      </c>
      <c r="P3279" s="7">
        <f>[2]RequestList!$J3280</f>
        <v>0</v>
      </c>
      <c r="Q3279" s="65">
        <f>SUMIF(日報!$R:$R,TEXT(YEAR($Q$2),"0000")&amp;TEXT(MONTH($Q$2),"00")&amp;$O3279,日報!$L:$L)</f>
        <v>0</v>
      </c>
      <c r="R3279" s="65">
        <f ca="1">SUMIF(日報!$J:$J,$O3279,日報!$L:$L)</f>
        <v>0</v>
      </c>
    </row>
    <row r="3280" spans="15:18" x14ac:dyDescent="0.15">
      <c r="O3280" s="7" t="str">
        <f>"REQ"&amp;TEXT([2]RequestList!$A3281,"0000")</f>
        <v>REQ0000</v>
      </c>
      <c r="P3280" s="7">
        <f>[2]RequestList!$J3281</f>
        <v>0</v>
      </c>
      <c r="Q3280" s="65">
        <f>SUMIF(日報!$R:$R,TEXT(YEAR($Q$2),"0000")&amp;TEXT(MONTH($Q$2),"00")&amp;$O3280,日報!$L:$L)</f>
        <v>0</v>
      </c>
      <c r="R3280" s="65">
        <f ca="1">SUMIF(日報!$J:$J,$O3280,日報!$L:$L)</f>
        <v>0</v>
      </c>
    </row>
    <row r="3281" spans="15:18" x14ac:dyDescent="0.15">
      <c r="O3281" s="7" t="str">
        <f>"REQ"&amp;TEXT([2]RequestList!$A3282,"0000")</f>
        <v>REQ0000</v>
      </c>
      <c r="P3281" s="7">
        <f>[2]RequestList!$J3282</f>
        <v>0</v>
      </c>
      <c r="Q3281" s="65">
        <f>SUMIF(日報!$R:$R,TEXT(YEAR($Q$2),"0000")&amp;TEXT(MONTH($Q$2),"00")&amp;$O3281,日報!$L:$L)</f>
        <v>0</v>
      </c>
      <c r="R3281" s="65">
        <f ca="1">SUMIF(日報!$J:$J,$O3281,日報!$L:$L)</f>
        <v>0</v>
      </c>
    </row>
    <row r="3282" spans="15:18" x14ac:dyDescent="0.15">
      <c r="O3282" s="7" t="str">
        <f>"REQ"&amp;TEXT([2]RequestList!$A3283,"0000")</f>
        <v>REQ0000</v>
      </c>
      <c r="P3282" s="7">
        <f>[2]RequestList!$J3283</f>
        <v>0</v>
      </c>
      <c r="Q3282" s="65">
        <f>SUMIF(日報!$R:$R,TEXT(YEAR($Q$2),"0000")&amp;TEXT(MONTH($Q$2),"00")&amp;$O3282,日報!$L:$L)</f>
        <v>0</v>
      </c>
      <c r="R3282" s="65">
        <f ca="1">SUMIF(日報!$J:$J,$O3282,日報!$L:$L)</f>
        <v>0</v>
      </c>
    </row>
    <row r="3283" spans="15:18" x14ac:dyDescent="0.15">
      <c r="O3283" s="7" t="str">
        <f>"REQ"&amp;TEXT([2]RequestList!$A3284,"0000")</f>
        <v>REQ0000</v>
      </c>
      <c r="P3283" s="7">
        <f>[2]RequestList!$J3284</f>
        <v>0</v>
      </c>
      <c r="Q3283" s="65">
        <f>SUMIF(日報!$R:$R,TEXT(YEAR($Q$2),"0000")&amp;TEXT(MONTH($Q$2),"00")&amp;$O3283,日報!$L:$L)</f>
        <v>0</v>
      </c>
      <c r="R3283" s="65">
        <f ca="1">SUMIF(日報!$J:$J,$O3283,日報!$L:$L)</f>
        <v>0</v>
      </c>
    </row>
    <row r="3284" spans="15:18" x14ac:dyDescent="0.15">
      <c r="O3284" s="7" t="str">
        <f>"REQ"&amp;TEXT([2]RequestList!$A3285,"0000")</f>
        <v>REQ0000</v>
      </c>
      <c r="P3284" s="7">
        <f>[2]RequestList!$J3285</f>
        <v>0</v>
      </c>
      <c r="Q3284" s="65">
        <f>SUMIF(日報!$R:$R,TEXT(YEAR($Q$2),"0000")&amp;TEXT(MONTH($Q$2),"00")&amp;$O3284,日報!$L:$L)</f>
        <v>0</v>
      </c>
      <c r="R3284" s="65">
        <f ca="1">SUMIF(日報!$J:$J,$O3284,日報!$L:$L)</f>
        <v>0</v>
      </c>
    </row>
    <row r="3285" spans="15:18" x14ac:dyDescent="0.15">
      <c r="O3285" s="7" t="str">
        <f>"REQ"&amp;TEXT([2]RequestList!$A3286,"0000")</f>
        <v>REQ0000</v>
      </c>
      <c r="P3285" s="7">
        <f>[2]RequestList!$J3286</f>
        <v>0</v>
      </c>
      <c r="Q3285" s="65">
        <f>SUMIF(日報!$R:$R,TEXT(YEAR($Q$2),"0000")&amp;TEXT(MONTH($Q$2),"00")&amp;$O3285,日報!$L:$L)</f>
        <v>0</v>
      </c>
      <c r="R3285" s="65">
        <f ca="1">SUMIF(日報!$J:$J,$O3285,日報!$L:$L)</f>
        <v>0</v>
      </c>
    </row>
    <row r="3286" spans="15:18" x14ac:dyDescent="0.15">
      <c r="O3286" s="7" t="str">
        <f>"REQ"&amp;TEXT([2]RequestList!$A3287,"0000")</f>
        <v>REQ0000</v>
      </c>
      <c r="P3286" s="7">
        <f>[2]RequestList!$J3287</f>
        <v>0</v>
      </c>
      <c r="Q3286" s="65">
        <f>SUMIF(日報!$R:$R,TEXT(YEAR($Q$2),"0000")&amp;TEXT(MONTH($Q$2),"00")&amp;$O3286,日報!$L:$L)</f>
        <v>0</v>
      </c>
      <c r="R3286" s="65">
        <f ca="1">SUMIF(日報!$J:$J,$O3286,日報!$L:$L)</f>
        <v>0</v>
      </c>
    </row>
    <row r="3287" spans="15:18" x14ac:dyDescent="0.15">
      <c r="O3287" s="7" t="str">
        <f>"REQ"&amp;TEXT([2]RequestList!$A3288,"0000")</f>
        <v>REQ0000</v>
      </c>
      <c r="P3287" s="7">
        <f>[2]RequestList!$J3288</f>
        <v>0</v>
      </c>
      <c r="Q3287" s="65">
        <f>SUMIF(日報!$R:$R,TEXT(YEAR($Q$2),"0000")&amp;TEXT(MONTH($Q$2),"00")&amp;$O3287,日報!$L:$L)</f>
        <v>0</v>
      </c>
      <c r="R3287" s="65">
        <f ca="1">SUMIF(日報!$J:$J,$O3287,日報!$L:$L)</f>
        <v>0</v>
      </c>
    </row>
    <row r="3288" spans="15:18" x14ac:dyDescent="0.15">
      <c r="O3288" s="7" t="str">
        <f>"REQ"&amp;TEXT([2]RequestList!$A3289,"0000")</f>
        <v>REQ0000</v>
      </c>
      <c r="P3288" s="7">
        <f>[2]RequestList!$J3289</f>
        <v>0</v>
      </c>
      <c r="Q3288" s="65">
        <f>SUMIF(日報!$R:$R,TEXT(YEAR($Q$2),"0000")&amp;TEXT(MONTH($Q$2),"00")&amp;$O3288,日報!$L:$L)</f>
        <v>0</v>
      </c>
      <c r="R3288" s="65">
        <f ca="1">SUMIF(日報!$J:$J,$O3288,日報!$L:$L)</f>
        <v>0</v>
      </c>
    </row>
    <row r="3289" spans="15:18" x14ac:dyDescent="0.15">
      <c r="O3289" s="7" t="str">
        <f>"REQ"&amp;TEXT([2]RequestList!$A3290,"0000")</f>
        <v>REQ0000</v>
      </c>
      <c r="P3289" s="7">
        <f>[2]RequestList!$J3290</f>
        <v>0</v>
      </c>
      <c r="Q3289" s="65">
        <f>SUMIF(日報!$R:$R,TEXT(YEAR($Q$2),"0000")&amp;TEXT(MONTH($Q$2),"00")&amp;$O3289,日報!$L:$L)</f>
        <v>0</v>
      </c>
      <c r="R3289" s="65">
        <f ca="1">SUMIF(日報!$J:$J,$O3289,日報!$L:$L)</f>
        <v>0</v>
      </c>
    </row>
    <row r="3290" spans="15:18" x14ac:dyDescent="0.15">
      <c r="O3290" s="7" t="str">
        <f>"REQ"&amp;TEXT([2]RequestList!$A3291,"0000")</f>
        <v>REQ0000</v>
      </c>
      <c r="P3290" s="7">
        <f>[2]RequestList!$J3291</f>
        <v>0</v>
      </c>
      <c r="Q3290" s="65">
        <f>SUMIF(日報!$R:$R,TEXT(YEAR($Q$2),"0000")&amp;TEXT(MONTH($Q$2),"00")&amp;$O3290,日報!$L:$L)</f>
        <v>0</v>
      </c>
      <c r="R3290" s="65">
        <f ca="1">SUMIF(日報!$J:$J,$O3290,日報!$L:$L)</f>
        <v>0</v>
      </c>
    </row>
    <row r="3291" spans="15:18" x14ac:dyDescent="0.15">
      <c r="O3291" s="7" t="str">
        <f>"REQ"&amp;TEXT([2]RequestList!$A3292,"0000")</f>
        <v>REQ0000</v>
      </c>
      <c r="P3291" s="7">
        <f>[2]RequestList!$J3292</f>
        <v>0</v>
      </c>
      <c r="Q3291" s="65">
        <f>SUMIF(日報!$R:$R,TEXT(YEAR($Q$2),"0000")&amp;TEXT(MONTH($Q$2),"00")&amp;$O3291,日報!$L:$L)</f>
        <v>0</v>
      </c>
      <c r="R3291" s="65">
        <f ca="1">SUMIF(日報!$J:$J,$O3291,日報!$L:$L)</f>
        <v>0</v>
      </c>
    </row>
    <row r="3292" spans="15:18" x14ac:dyDescent="0.15">
      <c r="O3292" s="7" t="str">
        <f>"REQ"&amp;TEXT([2]RequestList!$A3293,"0000")</f>
        <v>REQ0000</v>
      </c>
      <c r="P3292" s="7">
        <f>[2]RequestList!$J3293</f>
        <v>0</v>
      </c>
      <c r="Q3292" s="65">
        <f>SUMIF(日報!$R:$R,TEXT(YEAR($Q$2),"0000")&amp;TEXT(MONTH($Q$2),"00")&amp;$O3292,日報!$L:$L)</f>
        <v>0</v>
      </c>
      <c r="R3292" s="65">
        <f ca="1">SUMIF(日報!$J:$J,$O3292,日報!$L:$L)</f>
        <v>0</v>
      </c>
    </row>
    <row r="3293" spans="15:18" x14ac:dyDescent="0.15">
      <c r="O3293" s="7" t="str">
        <f>"REQ"&amp;TEXT([2]RequestList!$A3294,"0000")</f>
        <v>REQ0000</v>
      </c>
      <c r="P3293" s="7">
        <f>[2]RequestList!$J3294</f>
        <v>0</v>
      </c>
      <c r="Q3293" s="65">
        <f>SUMIF(日報!$R:$R,TEXT(YEAR($Q$2),"0000")&amp;TEXT(MONTH($Q$2),"00")&amp;$O3293,日報!$L:$L)</f>
        <v>0</v>
      </c>
      <c r="R3293" s="65">
        <f ca="1">SUMIF(日報!$J:$J,$O3293,日報!$L:$L)</f>
        <v>0</v>
      </c>
    </row>
    <row r="3294" spans="15:18" x14ac:dyDescent="0.15">
      <c r="O3294" s="7" t="str">
        <f>"REQ"&amp;TEXT([2]RequestList!$A3295,"0000")</f>
        <v>REQ0000</v>
      </c>
      <c r="P3294" s="7">
        <f>[2]RequestList!$J3295</f>
        <v>0</v>
      </c>
      <c r="Q3294" s="65">
        <f>SUMIF(日報!$R:$R,TEXT(YEAR($Q$2),"0000")&amp;TEXT(MONTH($Q$2),"00")&amp;$O3294,日報!$L:$L)</f>
        <v>0</v>
      </c>
      <c r="R3294" s="65">
        <f ca="1">SUMIF(日報!$J:$J,$O3294,日報!$L:$L)</f>
        <v>0</v>
      </c>
    </row>
    <row r="3295" spans="15:18" x14ac:dyDescent="0.15">
      <c r="O3295" s="7" t="str">
        <f>"REQ"&amp;TEXT([2]RequestList!$A3296,"0000")</f>
        <v>REQ0000</v>
      </c>
      <c r="P3295" s="7">
        <f>[2]RequestList!$J3296</f>
        <v>0</v>
      </c>
      <c r="Q3295" s="65">
        <f>SUMIF(日報!$R:$R,TEXT(YEAR($Q$2),"0000")&amp;TEXT(MONTH($Q$2),"00")&amp;$O3295,日報!$L:$L)</f>
        <v>0</v>
      </c>
      <c r="R3295" s="65">
        <f ca="1">SUMIF(日報!$J:$J,$O3295,日報!$L:$L)</f>
        <v>0</v>
      </c>
    </row>
    <row r="3296" spans="15:18" x14ac:dyDescent="0.15">
      <c r="O3296" s="7" t="str">
        <f>"REQ"&amp;TEXT([2]RequestList!$A3297,"0000")</f>
        <v>REQ0000</v>
      </c>
      <c r="P3296" s="7">
        <f>[2]RequestList!$J3297</f>
        <v>0</v>
      </c>
      <c r="Q3296" s="65">
        <f>SUMIF(日報!$R:$R,TEXT(YEAR($Q$2),"0000")&amp;TEXT(MONTH($Q$2),"00")&amp;$O3296,日報!$L:$L)</f>
        <v>0</v>
      </c>
      <c r="R3296" s="65">
        <f ca="1">SUMIF(日報!$J:$J,$O3296,日報!$L:$L)</f>
        <v>0</v>
      </c>
    </row>
    <row r="3297" spans="15:18" x14ac:dyDescent="0.15">
      <c r="O3297" s="7" t="str">
        <f>"REQ"&amp;TEXT([2]RequestList!$A3298,"0000")</f>
        <v>REQ0000</v>
      </c>
      <c r="P3297" s="7">
        <f>[2]RequestList!$J3298</f>
        <v>0</v>
      </c>
      <c r="Q3297" s="65">
        <f>SUMIF(日報!$R:$R,TEXT(YEAR($Q$2),"0000")&amp;TEXT(MONTH($Q$2),"00")&amp;$O3297,日報!$L:$L)</f>
        <v>0</v>
      </c>
      <c r="R3297" s="65">
        <f ca="1">SUMIF(日報!$J:$J,$O3297,日報!$L:$L)</f>
        <v>0</v>
      </c>
    </row>
    <row r="3298" spans="15:18" x14ac:dyDescent="0.15">
      <c r="O3298" s="7" t="str">
        <f>"REQ"&amp;TEXT([2]RequestList!$A3299,"0000")</f>
        <v>REQ0000</v>
      </c>
      <c r="P3298" s="7">
        <f>[2]RequestList!$J3299</f>
        <v>0</v>
      </c>
      <c r="Q3298" s="65">
        <f>SUMIF(日報!$R:$R,TEXT(YEAR($Q$2),"0000")&amp;TEXT(MONTH($Q$2),"00")&amp;$O3298,日報!$L:$L)</f>
        <v>0</v>
      </c>
      <c r="R3298" s="65">
        <f ca="1">SUMIF(日報!$J:$J,$O3298,日報!$L:$L)</f>
        <v>0</v>
      </c>
    </row>
    <row r="3299" spans="15:18" x14ac:dyDescent="0.15">
      <c r="O3299" s="7" t="str">
        <f>"REQ"&amp;TEXT([2]RequestList!$A3300,"0000")</f>
        <v>REQ0000</v>
      </c>
      <c r="P3299" s="7">
        <f>[2]RequestList!$J3300</f>
        <v>0</v>
      </c>
      <c r="Q3299" s="65">
        <f>SUMIF(日報!$R:$R,TEXT(YEAR($Q$2),"0000")&amp;TEXT(MONTH($Q$2),"00")&amp;$O3299,日報!$L:$L)</f>
        <v>0</v>
      </c>
      <c r="R3299" s="65">
        <f ca="1">SUMIF(日報!$J:$J,$O3299,日報!$L:$L)</f>
        <v>0</v>
      </c>
    </row>
    <row r="3300" spans="15:18" x14ac:dyDescent="0.15">
      <c r="O3300" s="7" t="str">
        <f>"REQ"&amp;TEXT([2]RequestList!$A3301,"0000")</f>
        <v>REQ0000</v>
      </c>
      <c r="P3300" s="7">
        <f>[2]RequestList!$J3301</f>
        <v>0</v>
      </c>
      <c r="Q3300" s="65">
        <f>SUMIF(日報!$R:$R,TEXT(YEAR($Q$2),"0000")&amp;TEXT(MONTH($Q$2),"00")&amp;$O3300,日報!$L:$L)</f>
        <v>0</v>
      </c>
      <c r="R3300" s="65">
        <f ca="1">SUMIF(日報!$J:$J,$O3300,日報!$L:$L)</f>
        <v>0</v>
      </c>
    </row>
    <row r="3301" spans="15:18" x14ac:dyDescent="0.15">
      <c r="O3301" s="7" t="str">
        <f>"REQ"&amp;TEXT([2]RequestList!$A3302,"0000")</f>
        <v>REQ0000</v>
      </c>
      <c r="P3301" s="7">
        <f>[2]RequestList!$J3302</f>
        <v>0</v>
      </c>
      <c r="Q3301" s="65">
        <f>SUMIF(日報!$R:$R,TEXT(YEAR($Q$2),"0000")&amp;TEXT(MONTH($Q$2),"00")&amp;$O3301,日報!$L:$L)</f>
        <v>0</v>
      </c>
      <c r="R3301" s="65">
        <f ca="1">SUMIF(日報!$J:$J,$O3301,日報!$L:$L)</f>
        <v>0</v>
      </c>
    </row>
    <row r="3302" spans="15:18" x14ac:dyDescent="0.15">
      <c r="O3302" s="7" t="str">
        <f>"REQ"&amp;TEXT([2]RequestList!$A3303,"0000")</f>
        <v>REQ0000</v>
      </c>
      <c r="P3302" s="7">
        <f>[2]RequestList!$J3303</f>
        <v>0</v>
      </c>
      <c r="Q3302" s="65">
        <f>SUMIF(日報!$R:$R,TEXT(YEAR($Q$2),"0000")&amp;TEXT(MONTH($Q$2),"00")&amp;$O3302,日報!$L:$L)</f>
        <v>0</v>
      </c>
      <c r="R3302" s="65">
        <f ca="1">SUMIF(日報!$J:$J,$O3302,日報!$L:$L)</f>
        <v>0</v>
      </c>
    </row>
    <row r="3303" spans="15:18" x14ac:dyDescent="0.15">
      <c r="O3303" s="7" t="str">
        <f>"REQ"&amp;TEXT([2]RequestList!$A3304,"0000")</f>
        <v>REQ0000</v>
      </c>
      <c r="P3303" s="7">
        <f>[2]RequestList!$J3304</f>
        <v>0</v>
      </c>
      <c r="Q3303" s="65">
        <f>SUMIF(日報!$R:$R,TEXT(YEAR($Q$2),"0000")&amp;TEXT(MONTH($Q$2),"00")&amp;$O3303,日報!$L:$L)</f>
        <v>0</v>
      </c>
      <c r="R3303" s="65">
        <f ca="1">SUMIF(日報!$J:$J,$O3303,日報!$L:$L)</f>
        <v>0</v>
      </c>
    </row>
    <row r="3304" spans="15:18" x14ac:dyDescent="0.15">
      <c r="O3304" s="7" t="str">
        <f>"REQ"&amp;TEXT([2]RequestList!$A3305,"0000")</f>
        <v>REQ0000</v>
      </c>
      <c r="P3304" s="7">
        <f>[2]RequestList!$J3305</f>
        <v>0</v>
      </c>
      <c r="Q3304" s="65">
        <f>SUMIF(日報!$R:$R,TEXT(YEAR($Q$2),"0000")&amp;TEXT(MONTH($Q$2),"00")&amp;$O3304,日報!$L:$L)</f>
        <v>0</v>
      </c>
      <c r="R3304" s="65">
        <f ca="1">SUMIF(日報!$J:$J,$O3304,日報!$L:$L)</f>
        <v>0</v>
      </c>
    </row>
    <row r="3305" spans="15:18" x14ac:dyDescent="0.15">
      <c r="O3305" s="7" t="str">
        <f>"REQ"&amp;TEXT([2]RequestList!$A3306,"0000")</f>
        <v>REQ0000</v>
      </c>
      <c r="P3305" s="7">
        <f>[2]RequestList!$J3306</f>
        <v>0</v>
      </c>
      <c r="Q3305" s="65">
        <f>SUMIF(日報!$R:$R,TEXT(YEAR($Q$2),"0000")&amp;TEXT(MONTH($Q$2),"00")&amp;$O3305,日報!$L:$L)</f>
        <v>0</v>
      </c>
      <c r="R3305" s="65">
        <f ca="1">SUMIF(日報!$J:$J,$O3305,日報!$L:$L)</f>
        <v>0</v>
      </c>
    </row>
    <row r="3306" spans="15:18" x14ac:dyDescent="0.15">
      <c r="O3306" s="7" t="str">
        <f>"REQ"&amp;TEXT([2]RequestList!$A3307,"0000")</f>
        <v>REQ0000</v>
      </c>
      <c r="P3306" s="7">
        <f>[2]RequestList!$J3307</f>
        <v>0</v>
      </c>
      <c r="Q3306" s="65">
        <f>SUMIF(日報!$R:$R,TEXT(YEAR($Q$2),"0000")&amp;TEXT(MONTH($Q$2),"00")&amp;$O3306,日報!$L:$L)</f>
        <v>0</v>
      </c>
      <c r="R3306" s="65">
        <f ca="1">SUMIF(日報!$J:$J,$O3306,日報!$L:$L)</f>
        <v>0</v>
      </c>
    </row>
    <row r="3307" spans="15:18" x14ac:dyDescent="0.15">
      <c r="O3307" s="7" t="str">
        <f>"REQ"&amp;TEXT([2]RequestList!$A3308,"0000")</f>
        <v>REQ0000</v>
      </c>
      <c r="P3307" s="7">
        <f>[2]RequestList!$J3308</f>
        <v>0</v>
      </c>
      <c r="Q3307" s="65">
        <f>SUMIF(日報!$R:$R,TEXT(YEAR($Q$2),"0000")&amp;TEXT(MONTH($Q$2),"00")&amp;$O3307,日報!$L:$L)</f>
        <v>0</v>
      </c>
      <c r="R3307" s="65">
        <f ca="1">SUMIF(日報!$J:$J,$O3307,日報!$L:$L)</f>
        <v>0</v>
      </c>
    </row>
    <row r="3308" spans="15:18" x14ac:dyDescent="0.15">
      <c r="O3308" s="7" t="str">
        <f>"REQ"&amp;TEXT([2]RequestList!$A3309,"0000")</f>
        <v>REQ0000</v>
      </c>
      <c r="P3308" s="7">
        <f>[2]RequestList!$J3309</f>
        <v>0</v>
      </c>
      <c r="Q3308" s="65">
        <f>SUMIF(日報!$R:$R,TEXT(YEAR($Q$2),"0000")&amp;TEXT(MONTH($Q$2),"00")&amp;$O3308,日報!$L:$L)</f>
        <v>0</v>
      </c>
      <c r="R3308" s="65">
        <f ca="1">SUMIF(日報!$J:$J,$O3308,日報!$L:$L)</f>
        <v>0</v>
      </c>
    </row>
    <row r="3309" spans="15:18" x14ac:dyDescent="0.15">
      <c r="O3309" s="7" t="str">
        <f>"REQ"&amp;TEXT([2]RequestList!$A3310,"0000")</f>
        <v>REQ0000</v>
      </c>
      <c r="P3309" s="7">
        <f>[2]RequestList!$J3310</f>
        <v>0</v>
      </c>
      <c r="Q3309" s="65">
        <f>SUMIF(日報!$R:$R,TEXT(YEAR($Q$2),"0000")&amp;TEXT(MONTH($Q$2),"00")&amp;$O3309,日報!$L:$L)</f>
        <v>0</v>
      </c>
      <c r="R3309" s="65">
        <f ca="1">SUMIF(日報!$J:$J,$O3309,日報!$L:$L)</f>
        <v>0</v>
      </c>
    </row>
    <row r="3310" spans="15:18" x14ac:dyDescent="0.15">
      <c r="O3310" s="7" t="str">
        <f>"REQ"&amp;TEXT([2]RequestList!$A3311,"0000")</f>
        <v>REQ0000</v>
      </c>
      <c r="P3310" s="7">
        <f>[2]RequestList!$J3311</f>
        <v>0</v>
      </c>
      <c r="Q3310" s="65">
        <f>SUMIF(日報!$R:$R,TEXT(YEAR($Q$2),"0000")&amp;TEXT(MONTH($Q$2),"00")&amp;$O3310,日報!$L:$L)</f>
        <v>0</v>
      </c>
      <c r="R3310" s="65">
        <f ca="1">SUMIF(日報!$J:$J,$O3310,日報!$L:$L)</f>
        <v>0</v>
      </c>
    </row>
    <row r="3311" spans="15:18" x14ac:dyDescent="0.15">
      <c r="O3311" s="7" t="str">
        <f>"REQ"&amp;TEXT([2]RequestList!$A3312,"0000")</f>
        <v>REQ0000</v>
      </c>
      <c r="P3311" s="7">
        <f>[2]RequestList!$J3312</f>
        <v>0</v>
      </c>
      <c r="Q3311" s="65">
        <f>SUMIF(日報!$R:$R,TEXT(YEAR($Q$2),"0000")&amp;TEXT(MONTH($Q$2),"00")&amp;$O3311,日報!$L:$L)</f>
        <v>0</v>
      </c>
      <c r="R3311" s="65">
        <f ca="1">SUMIF(日報!$J:$J,$O3311,日報!$L:$L)</f>
        <v>0</v>
      </c>
    </row>
    <row r="3312" spans="15:18" x14ac:dyDescent="0.15">
      <c r="O3312" s="7" t="str">
        <f>"REQ"&amp;TEXT([2]RequestList!$A3313,"0000")</f>
        <v>REQ0000</v>
      </c>
      <c r="P3312" s="7">
        <f>[2]RequestList!$J3313</f>
        <v>0</v>
      </c>
      <c r="Q3312" s="65">
        <f>SUMIF(日報!$R:$R,TEXT(YEAR($Q$2),"0000")&amp;TEXT(MONTH($Q$2),"00")&amp;$O3312,日報!$L:$L)</f>
        <v>0</v>
      </c>
      <c r="R3312" s="65">
        <f ca="1">SUMIF(日報!$J:$J,$O3312,日報!$L:$L)</f>
        <v>0</v>
      </c>
    </row>
    <row r="3313" spans="15:18" x14ac:dyDescent="0.15">
      <c r="O3313" s="7" t="str">
        <f>"REQ"&amp;TEXT([2]RequestList!$A3314,"0000")</f>
        <v>REQ0000</v>
      </c>
      <c r="P3313" s="7">
        <f>[2]RequestList!$J3314</f>
        <v>0</v>
      </c>
      <c r="Q3313" s="65">
        <f>SUMIF(日報!$R:$R,TEXT(YEAR($Q$2),"0000")&amp;TEXT(MONTH($Q$2),"00")&amp;$O3313,日報!$L:$L)</f>
        <v>0</v>
      </c>
      <c r="R3313" s="65">
        <f ca="1">SUMIF(日報!$J:$J,$O3313,日報!$L:$L)</f>
        <v>0</v>
      </c>
    </row>
    <row r="3314" spans="15:18" x14ac:dyDescent="0.15">
      <c r="O3314" s="7" t="str">
        <f>"REQ"&amp;TEXT([2]RequestList!$A3315,"0000")</f>
        <v>REQ0000</v>
      </c>
      <c r="P3314" s="7">
        <f>[2]RequestList!$J3315</f>
        <v>0</v>
      </c>
      <c r="Q3314" s="65">
        <f>SUMIF(日報!$R:$R,TEXT(YEAR($Q$2),"0000")&amp;TEXT(MONTH($Q$2),"00")&amp;$O3314,日報!$L:$L)</f>
        <v>0</v>
      </c>
      <c r="R3314" s="65">
        <f ca="1">SUMIF(日報!$J:$J,$O3314,日報!$L:$L)</f>
        <v>0</v>
      </c>
    </row>
    <row r="3315" spans="15:18" x14ac:dyDescent="0.15">
      <c r="O3315" s="7" t="str">
        <f>"REQ"&amp;TEXT([2]RequestList!$A3316,"0000")</f>
        <v>REQ0000</v>
      </c>
      <c r="P3315" s="7">
        <f>[2]RequestList!$J3316</f>
        <v>0</v>
      </c>
      <c r="Q3315" s="65">
        <f>SUMIF(日報!$R:$R,TEXT(YEAR($Q$2),"0000")&amp;TEXT(MONTH($Q$2),"00")&amp;$O3315,日報!$L:$L)</f>
        <v>0</v>
      </c>
      <c r="R3315" s="65">
        <f ca="1">SUMIF(日報!$J:$J,$O3315,日報!$L:$L)</f>
        <v>0</v>
      </c>
    </row>
    <row r="3316" spans="15:18" x14ac:dyDescent="0.15">
      <c r="O3316" s="7" t="str">
        <f>"REQ"&amp;TEXT([2]RequestList!$A3317,"0000")</f>
        <v>REQ0000</v>
      </c>
      <c r="P3316" s="7">
        <f>[2]RequestList!$J3317</f>
        <v>0</v>
      </c>
      <c r="Q3316" s="65">
        <f>SUMIF(日報!$R:$R,TEXT(YEAR($Q$2),"0000")&amp;TEXT(MONTH($Q$2),"00")&amp;$O3316,日報!$L:$L)</f>
        <v>0</v>
      </c>
      <c r="R3316" s="65">
        <f ca="1">SUMIF(日報!$J:$J,$O3316,日報!$L:$L)</f>
        <v>0</v>
      </c>
    </row>
    <row r="3317" spans="15:18" x14ac:dyDescent="0.15">
      <c r="O3317" s="7" t="str">
        <f>"REQ"&amp;TEXT([2]RequestList!$A3318,"0000")</f>
        <v>REQ0000</v>
      </c>
      <c r="P3317" s="7">
        <f>[2]RequestList!$J3318</f>
        <v>0</v>
      </c>
      <c r="Q3317" s="65">
        <f>SUMIF(日報!$R:$R,TEXT(YEAR($Q$2),"0000")&amp;TEXT(MONTH($Q$2),"00")&amp;$O3317,日報!$L:$L)</f>
        <v>0</v>
      </c>
      <c r="R3317" s="65">
        <f ca="1">SUMIF(日報!$J:$J,$O3317,日報!$L:$L)</f>
        <v>0</v>
      </c>
    </row>
    <row r="3318" spans="15:18" x14ac:dyDescent="0.15">
      <c r="O3318" s="7" t="str">
        <f>"REQ"&amp;TEXT([2]RequestList!$A3319,"0000")</f>
        <v>REQ0000</v>
      </c>
      <c r="P3318" s="7">
        <f>[2]RequestList!$J3319</f>
        <v>0</v>
      </c>
      <c r="Q3318" s="65">
        <f>SUMIF(日報!$R:$R,TEXT(YEAR($Q$2),"0000")&amp;TEXT(MONTH($Q$2),"00")&amp;$O3318,日報!$L:$L)</f>
        <v>0</v>
      </c>
      <c r="R3318" s="65">
        <f ca="1">SUMIF(日報!$J:$J,$O3318,日報!$L:$L)</f>
        <v>0</v>
      </c>
    </row>
    <row r="3319" spans="15:18" x14ac:dyDescent="0.15">
      <c r="O3319" s="7" t="str">
        <f>"REQ"&amp;TEXT([2]RequestList!$A3320,"0000")</f>
        <v>REQ0000</v>
      </c>
      <c r="P3319" s="7">
        <f>[2]RequestList!$J3320</f>
        <v>0</v>
      </c>
      <c r="Q3319" s="65">
        <f>SUMIF(日報!$R:$R,TEXT(YEAR($Q$2),"0000")&amp;TEXT(MONTH($Q$2),"00")&amp;$O3319,日報!$L:$L)</f>
        <v>0</v>
      </c>
      <c r="R3319" s="65">
        <f ca="1">SUMIF(日報!$J:$J,$O3319,日報!$L:$L)</f>
        <v>0</v>
      </c>
    </row>
    <row r="3320" spans="15:18" x14ac:dyDescent="0.15">
      <c r="O3320" s="7" t="str">
        <f>"REQ"&amp;TEXT([2]RequestList!$A3321,"0000")</f>
        <v>REQ0000</v>
      </c>
      <c r="P3320" s="7">
        <f>[2]RequestList!$J3321</f>
        <v>0</v>
      </c>
      <c r="Q3320" s="65">
        <f>SUMIF(日報!$R:$R,TEXT(YEAR($Q$2),"0000")&amp;TEXT(MONTH($Q$2),"00")&amp;$O3320,日報!$L:$L)</f>
        <v>0</v>
      </c>
      <c r="R3320" s="65">
        <f ca="1">SUMIF(日報!$J:$J,$O3320,日報!$L:$L)</f>
        <v>0</v>
      </c>
    </row>
    <row r="3321" spans="15:18" x14ac:dyDescent="0.15">
      <c r="O3321" s="7" t="str">
        <f>"REQ"&amp;TEXT([2]RequestList!$A3322,"0000")</f>
        <v>REQ0000</v>
      </c>
      <c r="P3321" s="7">
        <f>[2]RequestList!$J3322</f>
        <v>0</v>
      </c>
      <c r="Q3321" s="65">
        <f>SUMIF(日報!$R:$R,TEXT(YEAR($Q$2),"0000")&amp;TEXT(MONTH($Q$2),"00")&amp;$O3321,日報!$L:$L)</f>
        <v>0</v>
      </c>
      <c r="R3321" s="65">
        <f ca="1">SUMIF(日報!$J:$J,$O3321,日報!$L:$L)</f>
        <v>0</v>
      </c>
    </row>
    <row r="3322" spans="15:18" x14ac:dyDescent="0.15">
      <c r="O3322" s="7" t="str">
        <f>"REQ"&amp;TEXT([2]RequestList!$A3323,"0000")</f>
        <v>REQ0000</v>
      </c>
      <c r="P3322" s="7">
        <f>[2]RequestList!$J3323</f>
        <v>0</v>
      </c>
      <c r="Q3322" s="65">
        <f>SUMIF(日報!$R:$R,TEXT(YEAR($Q$2),"0000")&amp;TEXT(MONTH($Q$2),"00")&amp;$O3322,日報!$L:$L)</f>
        <v>0</v>
      </c>
      <c r="R3322" s="65">
        <f ca="1">SUMIF(日報!$J:$J,$O3322,日報!$L:$L)</f>
        <v>0</v>
      </c>
    </row>
    <row r="3323" spans="15:18" x14ac:dyDescent="0.15">
      <c r="O3323" s="7" t="str">
        <f>"REQ"&amp;TEXT([2]RequestList!$A3324,"0000")</f>
        <v>REQ0000</v>
      </c>
      <c r="P3323" s="7">
        <f>[2]RequestList!$J3324</f>
        <v>0</v>
      </c>
      <c r="Q3323" s="65">
        <f>SUMIF(日報!$R:$R,TEXT(YEAR($Q$2),"0000")&amp;TEXT(MONTH($Q$2),"00")&amp;$O3323,日報!$L:$L)</f>
        <v>0</v>
      </c>
      <c r="R3323" s="65">
        <f ca="1">SUMIF(日報!$J:$J,$O3323,日報!$L:$L)</f>
        <v>0</v>
      </c>
    </row>
    <row r="3324" spans="15:18" x14ac:dyDescent="0.15">
      <c r="O3324" s="7" t="str">
        <f>"REQ"&amp;TEXT([2]RequestList!$A3325,"0000")</f>
        <v>REQ0000</v>
      </c>
      <c r="P3324" s="7">
        <f>[2]RequestList!$J3325</f>
        <v>0</v>
      </c>
      <c r="Q3324" s="65">
        <f>SUMIF(日報!$R:$R,TEXT(YEAR($Q$2),"0000")&amp;TEXT(MONTH($Q$2),"00")&amp;$O3324,日報!$L:$L)</f>
        <v>0</v>
      </c>
      <c r="R3324" s="65">
        <f ca="1">SUMIF(日報!$J:$J,$O3324,日報!$L:$L)</f>
        <v>0</v>
      </c>
    </row>
    <row r="3325" spans="15:18" x14ac:dyDescent="0.15">
      <c r="O3325" s="7" t="str">
        <f>"REQ"&amp;TEXT([2]RequestList!$A3326,"0000")</f>
        <v>REQ0000</v>
      </c>
      <c r="P3325" s="7">
        <f>[2]RequestList!$J3326</f>
        <v>0</v>
      </c>
      <c r="Q3325" s="65">
        <f>SUMIF(日報!$R:$R,TEXT(YEAR($Q$2),"0000")&amp;TEXT(MONTH($Q$2),"00")&amp;$O3325,日報!$L:$L)</f>
        <v>0</v>
      </c>
      <c r="R3325" s="65">
        <f ca="1">SUMIF(日報!$J:$J,$O3325,日報!$L:$L)</f>
        <v>0</v>
      </c>
    </row>
    <row r="3326" spans="15:18" x14ac:dyDescent="0.15">
      <c r="O3326" s="7" t="str">
        <f>"REQ"&amp;TEXT([2]RequestList!$A3327,"0000")</f>
        <v>REQ0000</v>
      </c>
      <c r="P3326" s="7">
        <f>[2]RequestList!$J3327</f>
        <v>0</v>
      </c>
      <c r="Q3326" s="65">
        <f>SUMIF(日報!$R:$R,TEXT(YEAR($Q$2),"0000")&amp;TEXT(MONTH($Q$2),"00")&amp;$O3326,日報!$L:$L)</f>
        <v>0</v>
      </c>
      <c r="R3326" s="65">
        <f ca="1">SUMIF(日報!$J:$J,$O3326,日報!$L:$L)</f>
        <v>0</v>
      </c>
    </row>
    <row r="3327" spans="15:18" x14ac:dyDescent="0.15">
      <c r="O3327" s="7" t="str">
        <f>"REQ"&amp;TEXT([2]RequestList!$A3328,"0000")</f>
        <v>REQ0000</v>
      </c>
      <c r="P3327" s="7">
        <f>[2]RequestList!$J3328</f>
        <v>0</v>
      </c>
      <c r="Q3327" s="65">
        <f>SUMIF(日報!$R:$R,TEXT(YEAR($Q$2),"0000")&amp;TEXT(MONTH($Q$2),"00")&amp;$O3327,日報!$L:$L)</f>
        <v>0</v>
      </c>
      <c r="R3327" s="65">
        <f ca="1">SUMIF(日報!$J:$J,$O3327,日報!$L:$L)</f>
        <v>0</v>
      </c>
    </row>
    <row r="3328" spans="15:18" x14ac:dyDescent="0.15">
      <c r="O3328" s="7" t="str">
        <f>"REQ"&amp;TEXT([2]RequestList!$A3329,"0000")</f>
        <v>REQ0000</v>
      </c>
      <c r="P3328" s="7">
        <f>[2]RequestList!$J3329</f>
        <v>0</v>
      </c>
      <c r="Q3328" s="65">
        <f>SUMIF(日報!$R:$R,TEXT(YEAR($Q$2),"0000")&amp;TEXT(MONTH($Q$2),"00")&amp;$O3328,日報!$L:$L)</f>
        <v>0</v>
      </c>
      <c r="R3328" s="65">
        <f ca="1">SUMIF(日報!$J:$J,$O3328,日報!$L:$L)</f>
        <v>0</v>
      </c>
    </row>
    <row r="3329" spans="15:18" x14ac:dyDescent="0.15">
      <c r="O3329" s="7" t="str">
        <f>"REQ"&amp;TEXT([2]RequestList!$A3330,"0000")</f>
        <v>REQ0000</v>
      </c>
      <c r="P3329" s="7">
        <f>[2]RequestList!$J3330</f>
        <v>0</v>
      </c>
      <c r="Q3329" s="65">
        <f>SUMIF(日報!$R:$R,TEXT(YEAR($Q$2),"0000")&amp;TEXT(MONTH($Q$2),"00")&amp;$O3329,日報!$L:$L)</f>
        <v>0</v>
      </c>
      <c r="R3329" s="65">
        <f ca="1">SUMIF(日報!$J:$J,$O3329,日報!$L:$L)</f>
        <v>0</v>
      </c>
    </row>
    <row r="3330" spans="15:18" x14ac:dyDescent="0.15">
      <c r="O3330" s="7" t="str">
        <f>"REQ"&amp;TEXT([2]RequestList!$A3331,"0000")</f>
        <v>REQ0000</v>
      </c>
      <c r="P3330" s="7">
        <f>[2]RequestList!$J3331</f>
        <v>0</v>
      </c>
      <c r="Q3330" s="65">
        <f>SUMIF(日報!$R:$R,TEXT(YEAR($Q$2),"0000")&amp;TEXT(MONTH($Q$2),"00")&amp;$O3330,日報!$L:$L)</f>
        <v>0</v>
      </c>
      <c r="R3330" s="65">
        <f ca="1">SUMIF(日報!$J:$J,$O3330,日報!$L:$L)</f>
        <v>0</v>
      </c>
    </row>
    <row r="3331" spans="15:18" x14ac:dyDescent="0.15">
      <c r="O3331" s="7" t="str">
        <f>"REQ"&amp;TEXT([2]RequestList!$A3332,"0000")</f>
        <v>REQ0000</v>
      </c>
      <c r="P3331" s="7">
        <f>[2]RequestList!$J3332</f>
        <v>0</v>
      </c>
      <c r="Q3331" s="65">
        <f>SUMIF(日報!$R:$R,TEXT(YEAR($Q$2),"0000")&amp;TEXT(MONTH($Q$2),"00")&amp;$O3331,日報!$L:$L)</f>
        <v>0</v>
      </c>
      <c r="R3331" s="65">
        <f ca="1">SUMIF(日報!$J:$J,$O3331,日報!$L:$L)</f>
        <v>0</v>
      </c>
    </row>
    <row r="3332" spans="15:18" x14ac:dyDescent="0.15">
      <c r="O3332" s="7" t="str">
        <f>"REQ"&amp;TEXT([2]RequestList!$A3333,"0000")</f>
        <v>REQ0000</v>
      </c>
      <c r="P3332" s="7">
        <f>[2]RequestList!$J3333</f>
        <v>0</v>
      </c>
      <c r="Q3332" s="65">
        <f>SUMIF(日報!$R:$R,TEXT(YEAR($Q$2),"0000")&amp;TEXT(MONTH($Q$2),"00")&amp;$O3332,日報!$L:$L)</f>
        <v>0</v>
      </c>
      <c r="R3332" s="65">
        <f ca="1">SUMIF(日報!$J:$J,$O3332,日報!$L:$L)</f>
        <v>0</v>
      </c>
    </row>
    <row r="3333" spans="15:18" x14ac:dyDescent="0.15">
      <c r="O3333" s="7" t="str">
        <f>"REQ"&amp;TEXT([2]RequestList!$A3334,"0000")</f>
        <v>REQ0000</v>
      </c>
      <c r="P3333" s="7">
        <f>[2]RequestList!$J3334</f>
        <v>0</v>
      </c>
      <c r="Q3333" s="65">
        <f>SUMIF(日報!$R:$R,TEXT(YEAR($Q$2),"0000")&amp;TEXT(MONTH($Q$2),"00")&amp;$O3333,日報!$L:$L)</f>
        <v>0</v>
      </c>
      <c r="R3333" s="65">
        <f ca="1">SUMIF(日報!$J:$J,$O3333,日報!$L:$L)</f>
        <v>0</v>
      </c>
    </row>
    <row r="3334" spans="15:18" x14ac:dyDescent="0.15">
      <c r="O3334" s="7" t="str">
        <f>"REQ"&amp;TEXT([2]RequestList!$A3335,"0000")</f>
        <v>REQ0000</v>
      </c>
      <c r="P3334" s="7">
        <f>[2]RequestList!$J3335</f>
        <v>0</v>
      </c>
      <c r="Q3334" s="65">
        <f>SUMIF(日報!$R:$R,TEXT(YEAR($Q$2),"0000")&amp;TEXT(MONTH($Q$2),"00")&amp;$O3334,日報!$L:$L)</f>
        <v>0</v>
      </c>
      <c r="R3334" s="65">
        <f ca="1">SUMIF(日報!$J:$J,$O3334,日報!$L:$L)</f>
        <v>0</v>
      </c>
    </row>
    <row r="3335" spans="15:18" x14ac:dyDescent="0.15">
      <c r="O3335" s="7" t="str">
        <f>"REQ"&amp;TEXT([2]RequestList!$A3336,"0000")</f>
        <v>REQ0000</v>
      </c>
      <c r="P3335" s="7">
        <f>[2]RequestList!$J3336</f>
        <v>0</v>
      </c>
      <c r="Q3335" s="65">
        <f>SUMIF(日報!$R:$R,TEXT(YEAR($Q$2),"0000")&amp;TEXT(MONTH($Q$2),"00")&amp;$O3335,日報!$L:$L)</f>
        <v>0</v>
      </c>
      <c r="R3335" s="65">
        <f ca="1">SUMIF(日報!$J:$J,$O3335,日報!$L:$L)</f>
        <v>0</v>
      </c>
    </row>
    <row r="3336" spans="15:18" x14ac:dyDescent="0.15">
      <c r="O3336" s="7" t="str">
        <f>"REQ"&amp;TEXT([2]RequestList!$A3337,"0000")</f>
        <v>REQ0000</v>
      </c>
      <c r="P3336" s="7">
        <f>[2]RequestList!$J3337</f>
        <v>0</v>
      </c>
      <c r="Q3336" s="65">
        <f>SUMIF(日報!$R:$R,TEXT(YEAR($Q$2),"0000")&amp;TEXT(MONTH($Q$2),"00")&amp;$O3336,日報!$L:$L)</f>
        <v>0</v>
      </c>
      <c r="R3336" s="65">
        <f ca="1">SUMIF(日報!$J:$J,$O3336,日報!$L:$L)</f>
        <v>0</v>
      </c>
    </row>
    <row r="3337" spans="15:18" x14ac:dyDescent="0.15">
      <c r="O3337" s="7" t="str">
        <f>"REQ"&amp;TEXT([2]RequestList!$A3338,"0000")</f>
        <v>REQ0000</v>
      </c>
      <c r="P3337" s="7">
        <f>[2]RequestList!$J3338</f>
        <v>0</v>
      </c>
      <c r="Q3337" s="65">
        <f>SUMIF(日報!$R:$R,TEXT(YEAR($Q$2),"0000")&amp;TEXT(MONTH($Q$2),"00")&amp;$O3337,日報!$L:$L)</f>
        <v>0</v>
      </c>
      <c r="R3337" s="65">
        <f ca="1">SUMIF(日報!$J:$J,$O3337,日報!$L:$L)</f>
        <v>0</v>
      </c>
    </row>
    <row r="3338" spans="15:18" x14ac:dyDescent="0.15">
      <c r="O3338" s="7" t="str">
        <f>"REQ"&amp;TEXT([2]RequestList!$A3339,"0000")</f>
        <v>REQ0000</v>
      </c>
      <c r="P3338" s="7">
        <f>[2]RequestList!$J3339</f>
        <v>0</v>
      </c>
      <c r="Q3338" s="65">
        <f>SUMIF(日報!$R:$R,TEXT(YEAR($Q$2),"0000")&amp;TEXT(MONTH($Q$2),"00")&amp;$O3338,日報!$L:$L)</f>
        <v>0</v>
      </c>
      <c r="R3338" s="65">
        <f ca="1">SUMIF(日報!$J:$J,$O3338,日報!$L:$L)</f>
        <v>0</v>
      </c>
    </row>
    <row r="3339" spans="15:18" x14ac:dyDescent="0.15">
      <c r="O3339" s="7" t="str">
        <f>"REQ"&amp;TEXT([2]RequestList!$A3340,"0000")</f>
        <v>REQ0000</v>
      </c>
      <c r="P3339" s="7">
        <f>[2]RequestList!$J3340</f>
        <v>0</v>
      </c>
      <c r="Q3339" s="65">
        <f>SUMIF(日報!$R:$R,TEXT(YEAR($Q$2),"0000")&amp;TEXT(MONTH($Q$2),"00")&amp;$O3339,日報!$L:$L)</f>
        <v>0</v>
      </c>
      <c r="R3339" s="65">
        <f ca="1">SUMIF(日報!$J:$J,$O3339,日報!$L:$L)</f>
        <v>0</v>
      </c>
    </row>
    <row r="3340" spans="15:18" x14ac:dyDescent="0.15">
      <c r="O3340" s="7" t="str">
        <f>"REQ"&amp;TEXT([2]RequestList!$A3341,"0000")</f>
        <v>REQ0000</v>
      </c>
      <c r="P3340" s="7">
        <f>[2]RequestList!$J3341</f>
        <v>0</v>
      </c>
      <c r="Q3340" s="65">
        <f>SUMIF(日報!$R:$R,TEXT(YEAR($Q$2),"0000")&amp;TEXT(MONTH($Q$2),"00")&amp;$O3340,日報!$L:$L)</f>
        <v>0</v>
      </c>
      <c r="R3340" s="65">
        <f ca="1">SUMIF(日報!$J:$J,$O3340,日報!$L:$L)</f>
        <v>0</v>
      </c>
    </row>
    <row r="3341" spans="15:18" x14ac:dyDescent="0.15">
      <c r="O3341" s="7" t="str">
        <f>"REQ"&amp;TEXT([2]RequestList!$A3342,"0000")</f>
        <v>REQ0000</v>
      </c>
      <c r="P3341" s="7">
        <f>[2]RequestList!$J3342</f>
        <v>0</v>
      </c>
      <c r="Q3341" s="65">
        <f>SUMIF(日報!$R:$R,TEXT(YEAR($Q$2),"0000")&amp;TEXT(MONTH($Q$2),"00")&amp;$O3341,日報!$L:$L)</f>
        <v>0</v>
      </c>
      <c r="R3341" s="65">
        <f ca="1">SUMIF(日報!$J:$J,$O3341,日報!$L:$L)</f>
        <v>0</v>
      </c>
    </row>
    <row r="3342" spans="15:18" x14ac:dyDescent="0.15">
      <c r="O3342" s="7" t="str">
        <f>"REQ"&amp;TEXT([2]RequestList!$A3343,"0000")</f>
        <v>REQ0000</v>
      </c>
      <c r="P3342" s="7">
        <f>[2]RequestList!$J3343</f>
        <v>0</v>
      </c>
      <c r="Q3342" s="65">
        <f>SUMIF(日報!$R:$R,TEXT(YEAR($Q$2),"0000")&amp;TEXT(MONTH($Q$2),"00")&amp;$O3342,日報!$L:$L)</f>
        <v>0</v>
      </c>
      <c r="R3342" s="65">
        <f ca="1">SUMIF(日報!$J:$J,$O3342,日報!$L:$L)</f>
        <v>0</v>
      </c>
    </row>
    <row r="3343" spans="15:18" x14ac:dyDescent="0.15">
      <c r="O3343" s="7" t="str">
        <f>"REQ"&amp;TEXT([2]RequestList!$A3344,"0000")</f>
        <v>REQ0000</v>
      </c>
      <c r="P3343" s="7">
        <f>[2]RequestList!$J3344</f>
        <v>0</v>
      </c>
      <c r="Q3343" s="65">
        <f>SUMIF(日報!$R:$R,TEXT(YEAR($Q$2),"0000")&amp;TEXT(MONTH($Q$2),"00")&amp;$O3343,日報!$L:$L)</f>
        <v>0</v>
      </c>
      <c r="R3343" s="65">
        <f ca="1">SUMIF(日報!$J:$J,$O3343,日報!$L:$L)</f>
        <v>0</v>
      </c>
    </row>
    <row r="3344" spans="15:18" x14ac:dyDescent="0.15">
      <c r="O3344" s="7" t="str">
        <f>"REQ"&amp;TEXT([2]RequestList!$A3345,"0000")</f>
        <v>REQ0000</v>
      </c>
      <c r="P3344" s="7">
        <f>[2]RequestList!$J3345</f>
        <v>0</v>
      </c>
      <c r="Q3344" s="65">
        <f>SUMIF(日報!$R:$R,TEXT(YEAR($Q$2),"0000")&amp;TEXT(MONTH($Q$2),"00")&amp;$O3344,日報!$L:$L)</f>
        <v>0</v>
      </c>
      <c r="R3344" s="65">
        <f ca="1">SUMIF(日報!$J:$J,$O3344,日報!$L:$L)</f>
        <v>0</v>
      </c>
    </row>
    <row r="3345" spans="15:18" x14ac:dyDescent="0.15">
      <c r="O3345" s="7" t="str">
        <f>"REQ"&amp;TEXT([2]RequestList!$A3346,"0000")</f>
        <v>REQ0000</v>
      </c>
      <c r="P3345" s="7">
        <f>[2]RequestList!$J3346</f>
        <v>0</v>
      </c>
      <c r="Q3345" s="65">
        <f>SUMIF(日報!$R:$R,TEXT(YEAR($Q$2),"0000")&amp;TEXT(MONTH($Q$2),"00")&amp;$O3345,日報!$L:$L)</f>
        <v>0</v>
      </c>
      <c r="R3345" s="65">
        <f ca="1">SUMIF(日報!$J:$J,$O3345,日報!$L:$L)</f>
        <v>0</v>
      </c>
    </row>
    <row r="3346" spans="15:18" x14ac:dyDescent="0.15">
      <c r="O3346" s="7" t="str">
        <f>"REQ"&amp;TEXT([2]RequestList!$A3347,"0000")</f>
        <v>REQ0000</v>
      </c>
      <c r="P3346" s="7">
        <f>[2]RequestList!$J3347</f>
        <v>0</v>
      </c>
      <c r="Q3346" s="65">
        <f>SUMIF(日報!$R:$R,TEXT(YEAR($Q$2),"0000")&amp;TEXT(MONTH($Q$2),"00")&amp;$O3346,日報!$L:$L)</f>
        <v>0</v>
      </c>
      <c r="R3346" s="65">
        <f ca="1">SUMIF(日報!$J:$J,$O3346,日報!$L:$L)</f>
        <v>0</v>
      </c>
    </row>
    <row r="3347" spans="15:18" x14ac:dyDescent="0.15">
      <c r="O3347" s="7" t="str">
        <f>"REQ"&amp;TEXT([2]RequestList!$A3348,"0000")</f>
        <v>REQ0000</v>
      </c>
      <c r="P3347" s="7">
        <f>[2]RequestList!$J3348</f>
        <v>0</v>
      </c>
      <c r="Q3347" s="65">
        <f>SUMIF(日報!$R:$R,TEXT(YEAR($Q$2),"0000")&amp;TEXT(MONTH($Q$2),"00")&amp;$O3347,日報!$L:$L)</f>
        <v>0</v>
      </c>
      <c r="R3347" s="65">
        <f ca="1">SUMIF(日報!$J:$J,$O3347,日報!$L:$L)</f>
        <v>0</v>
      </c>
    </row>
    <row r="3348" spans="15:18" x14ac:dyDescent="0.15">
      <c r="O3348" s="7" t="str">
        <f>"REQ"&amp;TEXT([2]RequestList!$A3349,"0000")</f>
        <v>REQ0000</v>
      </c>
      <c r="P3348" s="7">
        <f>[2]RequestList!$J3349</f>
        <v>0</v>
      </c>
      <c r="Q3348" s="65">
        <f>SUMIF(日報!$R:$R,TEXT(YEAR($Q$2),"0000")&amp;TEXT(MONTH($Q$2),"00")&amp;$O3348,日報!$L:$L)</f>
        <v>0</v>
      </c>
      <c r="R3348" s="65">
        <f ca="1">SUMIF(日報!$J:$J,$O3348,日報!$L:$L)</f>
        <v>0</v>
      </c>
    </row>
    <row r="3349" spans="15:18" x14ac:dyDescent="0.15">
      <c r="O3349" s="7" t="str">
        <f>"REQ"&amp;TEXT([2]RequestList!$A3350,"0000")</f>
        <v>REQ0000</v>
      </c>
      <c r="P3349" s="7">
        <f>[2]RequestList!$J3350</f>
        <v>0</v>
      </c>
      <c r="Q3349" s="65">
        <f>SUMIF(日報!$R:$R,TEXT(YEAR($Q$2),"0000")&amp;TEXT(MONTH($Q$2),"00")&amp;$O3349,日報!$L:$L)</f>
        <v>0</v>
      </c>
      <c r="R3349" s="65">
        <f ca="1">SUMIF(日報!$J:$J,$O3349,日報!$L:$L)</f>
        <v>0</v>
      </c>
    </row>
    <row r="3350" spans="15:18" x14ac:dyDescent="0.15">
      <c r="O3350" s="7" t="str">
        <f>"REQ"&amp;TEXT([2]RequestList!$A3351,"0000")</f>
        <v>REQ0000</v>
      </c>
      <c r="P3350" s="7">
        <f>[2]RequestList!$J3351</f>
        <v>0</v>
      </c>
      <c r="Q3350" s="65">
        <f>SUMIF(日報!$R:$R,TEXT(YEAR($Q$2),"0000")&amp;TEXT(MONTH($Q$2),"00")&amp;$O3350,日報!$L:$L)</f>
        <v>0</v>
      </c>
      <c r="R3350" s="65">
        <f ca="1">SUMIF(日報!$J:$J,$O3350,日報!$L:$L)</f>
        <v>0</v>
      </c>
    </row>
    <row r="3351" spans="15:18" x14ac:dyDescent="0.15">
      <c r="O3351" s="7" t="str">
        <f>"REQ"&amp;TEXT([2]RequestList!$A3352,"0000")</f>
        <v>REQ0000</v>
      </c>
      <c r="P3351" s="7">
        <f>[2]RequestList!$J3352</f>
        <v>0</v>
      </c>
      <c r="Q3351" s="65">
        <f>SUMIF(日報!$R:$R,TEXT(YEAR($Q$2),"0000")&amp;TEXT(MONTH($Q$2),"00")&amp;$O3351,日報!$L:$L)</f>
        <v>0</v>
      </c>
      <c r="R3351" s="65">
        <f ca="1">SUMIF(日報!$J:$J,$O3351,日報!$L:$L)</f>
        <v>0</v>
      </c>
    </row>
    <row r="3352" spans="15:18" x14ac:dyDescent="0.15">
      <c r="O3352" s="7" t="str">
        <f>"REQ"&amp;TEXT([2]RequestList!$A3353,"0000")</f>
        <v>REQ0000</v>
      </c>
      <c r="P3352" s="7">
        <f>[2]RequestList!$J3353</f>
        <v>0</v>
      </c>
      <c r="Q3352" s="65">
        <f>SUMIF(日報!$R:$R,TEXT(YEAR($Q$2),"0000")&amp;TEXT(MONTH($Q$2),"00")&amp;$O3352,日報!$L:$L)</f>
        <v>0</v>
      </c>
      <c r="R3352" s="65">
        <f ca="1">SUMIF(日報!$J:$J,$O3352,日報!$L:$L)</f>
        <v>0</v>
      </c>
    </row>
    <row r="3353" spans="15:18" x14ac:dyDescent="0.15">
      <c r="O3353" s="7" t="str">
        <f>"REQ"&amp;TEXT([2]RequestList!$A3354,"0000")</f>
        <v>REQ0000</v>
      </c>
      <c r="P3353" s="7">
        <f>[2]RequestList!$J3354</f>
        <v>0</v>
      </c>
      <c r="Q3353" s="65">
        <f>SUMIF(日報!$R:$R,TEXT(YEAR($Q$2),"0000")&amp;TEXT(MONTH($Q$2),"00")&amp;$O3353,日報!$L:$L)</f>
        <v>0</v>
      </c>
      <c r="R3353" s="65">
        <f ca="1">SUMIF(日報!$J:$J,$O3353,日報!$L:$L)</f>
        <v>0</v>
      </c>
    </row>
    <row r="3354" spans="15:18" x14ac:dyDescent="0.15">
      <c r="O3354" s="7" t="str">
        <f>"REQ"&amp;TEXT([2]RequestList!$A3355,"0000")</f>
        <v>REQ0000</v>
      </c>
      <c r="P3354" s="7">
        <f>[2]RequestList!$J3355</f>
        <v>0</v>
      </c>
      <c r="Q3354" s="65">
        <f>SUMIF(日報!$R:$R,TEXT(YEAR($Q$2),"0000")&amp;TEXT(MONTH($Q$2),"00")&amp;$O3354,日報!$L:$L)</f>
        <v>0</v>
      </c>
      <c r="R3354" s="65">
        <f ca="1">SUMIF(日報!$J:$J,$O3354,日報!$L:$L)</f>
        <v>0</v>
      </c>
    </row>
    <row r="3355" spans="15:18" x14ac:dyDescent="0.15">
      <c r="O3355" s="7" t="str">
        <f>"REQ"&amp;TEXT([2]RequestList!$A3356,"0000")</f>
        <v>REQ0000</v>
      </c>
      <c r="P3355" s="7">
        <f>[2]RequestList!$J3356</f>
        <v>0</v>
      </c>
      <c r="Q3355" s="65">
        <f>SUMIF(日報!$R:$R,TEXT(YEAR($Q$2),"0000")&amp;TEXT(MONTH($Q$2),"00")&amp;$O3355,日報!$L:$L)</f>
        <v>0</v>
      </c>
      <c r="R3355" s="65">
        <f ca="1">SUMIF(日報!$J:$J,$O3355,日報!$L:$L)</f>
        <v>0</v>
      </c>
    </row>
    <row r="3356" spans="15:18" x14ac:dyDescent="0.15">
      <c r="O3356" s="7" t="str">
        <f>"REQ"&amp;TEXT([2]RequestList!$A3357,"0000")</f>
        <v>REQ0000</v>
      </c>
      <c r="P3356" s="7">
        <f>[2]RequestList!$J3357</f>
        <v>0</v>
      </c>
      <c r="Q3356" s="65">
        <f>SUMIF(日報!$R:$R,TEXT(YEAR($Q$2),"0000")&amp;TEXT(MONTH($Q$2),"00")&amp;$O3356,日報!$L:$L)</f>
        <v>0</v>
      </c>
      <c r="R3356" s="65">
        <f ca="1">SUMIF(日報!$J:$J,$O3356,日報!$L:$L)</f>
        <v>0</v>
      </c>
    </row>
    <row r="3357" spans="15:18" x14ac:dyDescent="0.15">
      <c r="O3357" s="7" t="str">
        <f>"REQ"&amp;TEXT([2]RequestList!$A3358,"0000")</f>
        <v>REQ0000</v>
      </c>
      <c r="P3357" s="7">
        <f>[2]RequestList!$J3358</f>
        <v>0</v>
      </c>
      <c r="Q3357" s="65">
        <f>SUMIF(日報!$R:$R,TEXT(YEAR($Q$2),"0000")&amp;TEXT(MONTH($Q$2),"00")&amp;$O3357,日報!$L:$L)</f>
        <v>0</v>
      </c>
      <c r="R3357" s="65">
        <f ca="1">SUMIF(日報!$J:$J,$O3357,日報!$L:$L)</f>
        <v>0</v>
      </c>
    </row>
    <row r="3358" spans="15:18" x14ac:dyDescent="0.15">
      <c r="O3358" s="7" t="str">
        <f>"REQ"&amp;TEXT([2]RequestList!$A3359,"0000")</f>
        <v>REQ0000</v>
      </c>
      <c r="P3358" s="7">
        <f>[2]RequestList!$J3359</f>
        <v>0</v>
      </c>
      <c r="Q3358" s="65">
        <f>SUMIF(日報!$R:$R,TEXT(YEAR($Q$2),"0000")&amp;TEXT(MONTH($Q$2),"00")&amp;$O3358,日報!$L:$L)</f>
        <v>0</v>
      </c>
      <c r="R3358" s="65">
        <f ca="1">SUMIF(日報!$J:$J,$O3358,日報!$L:$L)</f>
        <v>0</v>
      </c>
    </row>
    <row r="3359" spans="15:18" x14ac:dyDescent="0.15">
      <c r="O3359" s="7" t="str">
        <f>"REQ"&amp;TEXT([2]RequestList!$A3360,"0000")</f>
        <v>REQ0000</v>
      </c>
      <c r="P3359" s="7">
        <f>[2]RequestList!$J3360</f>
        <v>0</v>
      </c>
      <c r="Q3359" s="65">
        <f>SUMIF(日報!$R:$R,TEXT(YEAR($Q$2),"0000")&amp;TEXT(MONTH($Q$2),"00")&amp;$O3359,日報!$L:$L)</f>
        <v>0</v>
      </c>
      <c r="R3359" s="65">
        <f ca="1">SUMIF(日報!$J:$J,$O3359,日報!$L:$L)</f>
        <v>0</v>
      </c>
    </row>
    <row r="3360" spans="15:18" x14ac:dyDescent="0.15">
      <c r="O3360" s="7" t="str">
        <f>"REQ"&amp;TEXT([2]RequestList!$A3361,"0000")</f>
        <v>REQ0000</v>
      </c>
      <c r="P3360" s="7">
        <f>[2]RequestList!$J3361</f>
        <v>0</v>
      </c>
      <c r="Q3360" s="65">
        <f>SUMIF(日報!$R:$R,TEXT(YEAR($Q$2),"0000")&amp;TEXT(MONTH($Q$2),"00")&amp;$O3360,日報!$L:$L)</f>
        <v>0</v>
      </c>
      <c r="R3360" s="65">
        <f ca="1">SUMIF(日報!$J:$J,$O3360,日報!$L:$L)</f>
        <v>0</v>
      </c>
    </row>
    <row r="3361" spans="15:18" x14ac:dyDescent="0.15">
      <c r="O3361" s="7" t="str">
        <f>"REQ"&amp;TEXT([2]RequestList!$A3362,"0000")</f>
        <v>REQ0000</v>
      </c>
      <c r="P3361" s="7">
        <f>[2]RequestList!$J3362</f>
        <v>0</v>
      </c>
      <c r="Q3361" s="65">
        <f>SUMIF(日報!$R:$R,TEXT(YEAR($Q$2),"0000")&amp;TEXT(MONTH($Q$2),"00")&amp;$O3361,日報!$L:$L)</f>
        <v>0</v>
      </c>
      <c r="R3361" s="65">
        <f ca="1">SUMIF(日報!$J:$J,$O3361,日報!$L:$L)</f>
        <v>0</v>
      </c>
    </row>
    <row r="3362" spans="15:18" x14ac:dyDescent="0.15">
      <c r="O3362" s="7" t="str">
        <f>"REQ"&amp;TEXT([2]RequestList!$A3363,"0000")</f>
        <v>REQ0000</v>
      </c>
      <c r="P3362" s="7">
        <f>[2]RequestList!$J3363</f>
        <v>0</v>
      </c>
      <c r="Q3362" s="65">
        <f>SUMIF(日報!$R:$R,TEXT(YEAR($Q$2),"0000")&amp;TEXT(MONTH($Q$2),"00")&amp;$O3362,日報!$L:$L)</f>
        <v>0</v>
      </c>
      <c r="R3362" s="65">
        <f ca="1">SUMIF(日報!$J:$J,$O3362,日報!$L:$L)</f>
        <v>0</v>
      </c>
    </row>
    <row r="3363" spans="15:18" x14ac:dyDescent="0.15">
      <c r="O3363" s="7" t="str">
        <f>"REQ"&amp;TEXT([2]RequestList!$A3364,"0000")</f>
        <v>REQ0000</v>
      </c>
      <c r="P3363" s="7">
        <f>[2]RequestList!$J3364</f>
        <v>0</v>
      </c>
      <c r="Q3363" s="65">
        <f>SUMIF(日報!$R:$R,TEXT(YEAR($Q$2),"0000")&amp;TEXT(MONTH($Q$2),"00")&amp;$O3363,日報!$L:$L)</f>
        <v>0</v>
      </c>
      <c r="R3363" s="65">
        <f ca="1">SUMIF(日報!$J:$J,$O3363,日報!$L:$L)</f>
        <v>0</v>
      </c>
    </row>
    <row r="3364" spans="15:18" x14ac:dyDescent="0.15">
      <c r="O3364" s="7" t="str">
        <f>"REQ"&amp;TEXT([2]RequestList!$A3365,"0000")</f>
        <v>REQ0000</v>
      </c>
      <c r="P3364" s="7">
        <f>[2]RequestList!$J3365</f>
        <v>0</v>
      </c>
      <c r="Q3364" s="65">
        <f>SUMIF(日報!$R:$R,TEXT(YEAR($Q$2),"0000")&amp;TEXT(MONTH($Q$2),"00")&amp;$O3364,日報!$L:$L)</f>
        <v>0</v>
      </c>
      <c r="R3364" s="65">
        <f ca="1">SUMIF(日報!$J:$J,$O3364,日報!$L:$L)</f>
        <v>0</v>
      </c>
    </row>
    <row r="3365" spans="15:18" x14ac:dyDescent="0.15">
      <c r="O3365" s="7" t="str">
        <f>"REQ"&amp;TEXT([2]RequestList!$A3366,"0000")</f>
        <v>REQ0000</v>
      </c>
      <c r="P3365" s="7">
        <f>[2]RequestList!$J3366</f>
        <v>0</v>
      </c>
      <c r="Q3365" s="65">
        <f>SUMIF(日報!$R:$R,TEXT(YEAR($Q$2),"0000")&amp;TEXT(MONTH($Q$2),"00")&amp;$O3365,日報!$L:$L)</f>
        <v>0</v>
      </c>
      <c r="R3365" s="65">
        <f ca="1">SUMIF(日報!$J:$J,$O3365,日報!$L:$L)</f>
        <v>0</v>
      </c>
    </row>
    <row r="3366" spans="15:18" x14ac:dyDescent="0.15">
      <c r="O3366" s="7" t="str">
        <f>"REQ"&amp;TEXT([2]RequestList!$A3367,"0000")</f>
        <v>REQ0000</v>
      </c>
      <c r="P3366" s="7">
        <f>[2]RequestList!$J3367</f>
        <v>0</v>
      </c>
      <c r="Q3366" s="65">
        <f>SUMIF(日報!$R:$R,TEXT(YEAR($Q$2),"0000")&amp;TEXT(MONTH($Q$2),"00")&amp;$O3366,日報!$L:$L)</f>
        <v>0</v>
      </c>
      <c r="R3366" s="65">
        <f ca="1">SUMIF(日報!$J:$J,$O3366,日報!$L:$L)</f>
        <v>0</v>
      </c>
    </row>
    <row r="3367" spans="15:18" x14ac:dyDescent="0.15">
      <c r="O3367" s="7" t="str">
        <f>"REQ"&amp;TEXT([2]RequestList!$A3368,"0000")</f>
        <v>REQ0000</v>
      </c>
      <c r="P3367" s="7">
        <f>[2]RequestList!$J3368</f>
        <v>0</v>
      </c>
      <c r="Q3367" s="65">
        <f>SUMIF(日報!$R:$R,TEXT(YEAR($Q$2),"0000")&amp;TEXT(MONTH($Q$2),"00")&amp;$O3367,日報!$L:$L)</f>
        <v>0</v>
      </c>
      <c r="R3367" s="65">
        <f ca="1">SUMIF(日報!$J:$J,$O3367,日報!$L:$L)</f>
        <v>0</v>
      </c>
    </row>
    <row r="3368" spans="15:18" x14ac:dyDescent="0.15">
      <c r="O3368" s="7" t="str">
        <f>"REQ"&amp;TEXT([2]RequestList!$A3369,"0000")</f>
        <v>REQ0000</v>
      </c>
      <c r="P3368" s="7">
        <f>[2]RequestList!$J3369</f>
        <v>0</v>
      </c>
      <c r="Q3368" s="65">
        <f>SUMIF(日報!$R:$R,TEXT(YEAR($Q$2),"0000")&amp;TEXT(MONTH($Q$2),"00")&amp;$O3368,日報!$L:$L)</f>
        <v>0</v>
      </c>
      <c r="R3368" s="65">
        <f ca="1">SUMIF(日報!$J:$J,$O3368,日報!$L:$L)</f>
        <v>0</v>
      </c>
    </row>
    <row r="3369" spans="15:18" x14ac:dyDescent="0.15">
      <c r="O3369" s="7" t="str">
        <f>"REQ"&amp;TEXT([2]RequestList!$A3370,"0000")</f>
        <v>REQ0000</v>
      </c>
      <c r="P3369" s="7">
        <f>[2]RequestList!$J3370</f>
        <v>0</v>
      </c>
      <c r="Q3369" s="65">
        <f>SUMIF(日報!$R:$R,TEXT(YEAR($Q$2),"0000")&amp;TEXT(MONTH($Q$2),"00")&amp;$O3369,日報!$L:$L)</f>
        <v>0</v>
      </c>
      <c r="R3369" s="65">
        <f ca="1">SUMIF(日報!$J:$J,$O3369,日報!$L:$L)</f>
        <v>0</v>
      </c>
    </row>
    <row r="3370" spans="15:18" x14ac:dyDescent="0.15">
      <c r="O3370" s="7" t="str">
        <f>"REQ"&amp;TEXT([2]RequestList!$A3371,"0000")</f>
        <v>REQ0000</v>
      </c>
      <c r="P3370" s="7">
        <f>[2]RequestList!$J3371</f>
        <v>0</v>
      </c>
      <c r="Q3370" s="65">
        <f>SUMIF(日報!$R:$R,TEXT(YEAR($Q$2),"0000")&amp;TEXT(MONTH($Q$2),"00")&amp;$O3370,日報!$L:$L)</f>
        <v>0</v>
      </c>
      <c r="R3370" s="65">
        <f ca="1">SUMIF(日報!$J:$J,$O3370,日報!$L:$L)</f>
        <v>0</v>
      </c>
    </row>
    <row r="3371" spans="15:18" x14ac:dyDescent="0.15">
      <c r="O3371" s="7" t="str">
        <f>"REQ"&amp;TEXT([2]RequestList!$A3372,"0000")</f>
        <v>REQ0000</v>
      </c>
      <c r="P3371" s="7">
        <f>[2]RequestList!$J3372</f>
        <v>0</v>
      </c>
      <c r="Q3371" s="65">
        <f>SUMIF(日報!$R:$R,TEXT(YEAR($Q$2),"0000")&amp;TEXT(MONTH($Q$2),"00")&amp;$O3371,日報!$L:$L)</f>
        <v>0</v>
      </c>
      <c r="R3371" s="65">
        <f ca="1">SUMIF(日報!$J:$J,$O3371,日報!$L:$L)</f>
        <v>0</v>
      </c>
    </row>
    <row r="3372" spans="15:18" x14ac:dyDescent="0.15">
      <c r="O3372" s="7" t="str">
        <f>"REQ"&amp;TEXT([2]RequestList!$A3373,"0000")</f>
        <v>REQ0000</v>
      </c>
      <c r="P3372" s="7">
        <f>[2]RequestList!$J3373</f>
        <v>0</v>
      </c>
      <c r="Q3372" s="65">
        <f>SUMIF(日報!$R:$R,TEXT(YEAR($Q$2),"0000")&amp;TEXT(MONTH($Q$2),"00")&amp;$O3372,日報!$L:$L)</f>
        <v>0</v>
      </c>
      <c r="R3372" s="65">
        <f ca="1">SUMIF(日報!$J:$J,$O3372,日報!$L:$L)</f>
        <v>0</v>
      </c>
    </row>
    <row r="3373" spans="15:18" x14ac:dyDescent="0.15">
      <c r="O3373" s="7" t="str">
        <f>"REQ"&amp;TEXT([2]RequestList!$A3374,"0000")</f>
        <v>REQ0000</v>
      </c>
      <c r="P3373" s="7">
        <f>[2]RequestList!$J3374</f>
        <v>0</v>
      </c>
      <c r="Q3373" s="65">
        <f>SUMIF(日報!$R:$R,TEXT(YEAR($Q$2),"0000")&amp;TEXT(MONTH($Q$2),"00")&amp;$O3373,日報!$L:$L)</f>
        <v>0</v>
      </c>
      <c r="R3373" s="65">
        <f ca="1">SUMIF(日報!$J:$J,$O3373,日報!$L:$L)</f>
        <v>0</v>
      </c>
    </row>
    <row r="3374" spans="15:18" x14ac:dyDescent="0.15">
      <c r="O3374" s="7" t="str">
        <f>"REQ"&amp;TEXT([2]RequestList!$A3375,"0000")</f>
        <v>REQ0000</v>
      </c>
      <c r="P3374" s="7">
        <f>[2]RequestList!$J3375</f>
        <v>0</v>
      </c>
      <c r="Q3374" s="65">
        <f>SUMIF(日報!$R:$R,TEXT(YEAR($Q$2),"0000")&amp;TEXT(MONTH($Q$2),"00")&amp;$O3374,日報!$L:$L)</f>
        <v>0</v>
      </c>
      <c r="R3374" s="65">
        <f ca="1">SUMIF(日報!$J:$J,$O3374,日報!$L:$L)</f>
        <v>0</v>
      </c>
    </row>
    <row r="3375" spans="15:18" x14ac:dyDescent="0.15">
      <c r="O3375" s="7" t="str">
        <f>"REQ"&amp;TEXT([2]RequestList!$A3376,"0000")</f>
        <v>REQ0000</v>
      </c>
      <c r="P3375" s="7">
        <f>[2]RequestList!$J3376</f>
        <v>0</v>
      </c>
      <c r="Q3375" s="65">
        <f>SUMIF(日報!$R:$R,TEXT(YEAR($Q$2),"0000")&amp;TEXT(MONTH($Q$2),"00")&amp;$O3375,日報!$L:$L)</f>
        <v>0</v>
      </c>
      <c r="R3375" s="65">
        <f ca="1">SUMIF(日報!$J:$J,$O3375,日報!$L:$L)</f>
        <v>0</v>
      </c>
    </row>
    <row r="3376" spans="15:18" x14ac:dyDescent="0.15">
      <c r="O3376" s="7" t="str">
        <f>"REQ"&amp;TEXT([2]RequestList!$A3377,"0000")</f>
        <v>REQ0000</v>
      </c>
      <c r="P3376" s="7">
        <f>[2]RequestList!$J3377</f>
        <v>0</v>
      </c>
      <c r="Q3376" s="65">
        <f>SUMIF(日報!$R:$R,TEXT(YEAR($Q$2),"0000")&amp;TEXT(MONTH($Q$2),"00")&amp;$O3376,日報!$L:$L)</f>
        <v>0</v>
      </c>
      <c r="R3376" s="65">
        <f ca="1">SUMIF(日報!$J:$J,$O3376,日報!$L:$L)</f>
        <v>0</v>
      </c>
    </row>
    <row r="3377" spans="15:18" x14ac:dyDescent="0.15">
      <c r="O3377" s="7" t="str">
        <f>"REQ"&amp;TEXT([2]RequestList!$A3378,"0000")</f>
        <v>REQ0000</v>
      </c>
      <c r="P3377" s="7">
        <f>[2]RequestList!$J3378</f>
        <v>0</v>
      </c>
      <c r="Q3377" s="65">
        <f>SUMIF(日報!$R:$R,TEXT(YEAR($Q$2),"0000")&amp;TEXT(MONTH($Q$2),"00")&amp;$O3377,日報!$L:$L)</f>
        <v>0</v>
      </c>
      <c r="R3377" s="65">
        <f ca="1">SUMIF(日報!$J:$J,$O3377,日報!$L:$L)</f>
        <v>0</v>
      </c>
    </row>
    <row r="3378" spans="15:18" x14ac:dyDescent="0.15">
      <c r="O3378" s="7" t="str">
        <f>"REQ"&amp;TEXT([2]RequestList!$A3379,"0000")</f>
        <v>REQ0000</v>
      </c>
      <c r="P3378" s="7">
        <f>[2]RequestList!$J3379</f>
        <v>0</v>
      </c>
      <c r="Q3378" s="65">
        <f>SUMIF(日報!$R:$R,TEXT(YEAR($Q$2),"0000")&amp;TEXT(MONTH($Q$2),"00")&amp;$O3378,日報!$L:$L)</f>
        <v>0</v>
      </c>
      <c r="R3378" s="65">
        <f ca="1">SUMIF(日報!$J:$J,$O3378,日報!$L:$L)</f>
        <v>0</v>
      </c>
    </row>
    <row r="3379" spans="15:18" x14ac:dyDescent="0.15">
      <c r="O3379" s="7" t="str">
        <f>"REQ"&amp;TEXT([2]RequestList!$A3380,"0000")</f>
        <v>REQ0000</v>
      </c>
      <c r="P3379" s="7">
        <f>[2]RequestList!$J3380</f>
        <v>0</v>
      </c>
      <c r="Q3379" s="65">
        <f>SUMIF(日報!$R:$R,TEXT(YEAR($Q$2),"0000")&amp;TEXT(MONTH($Q$2),"00")&amp;$O3379,日報!$L:$L)</f>
        <v>0</v>
      </c>
      <c r="R3379" s="65">
        <f ca="1">SUMIF(日報!$J:$J,$O3379,日報!$L:$L)</f>
        <v>0</v>
      </c>
    </row>
    <row r="3380" spans="15:18" x14ac:dyDescent="0.15">
      <c r="O3380" s="7" t="str">
        <f>"REQ"&amp;TEXT([2]RequestList!$A3381,"0000")</f>
        <v>REQ0000</v>
      </c>
      <c r="P3380" s="7">
        <f>[2]RequestList!$J3381</f>
        <v>0</v>
      </c>
      <c r="Q3380" s="65">
        <f>SUMIF(日報!$R:$R,TEXT(YEAR($Q$2),"0000")&amp;TEXT(MONTH($Q$2),"00")&amp;$O3380,日報!$L:$L)</f>
        <v>0</v>
      </c>
      <c r="R3380" s="65">
        <f ca="1">SUMIF(日報!$J:$J,$O3380,日報!$L:$L)</f>
        <v>0</v>
      </c>
    </row>
    <row r="3381" spans="15:18" x14ac:dyDescent="0.15">
      <c r="O3381" s="7" t="str">
        <f>"REQ"&amp;TEXT([2]RequestList!$A3382,"0000")</f>
        <v>REQ0000</v>
      </c>
      <c r="P3381" s="7">
        <f>[2]RequestList!$J3382</f>
        <v>0</v>
      </c>
      <c r="Q3381" s="65">
        <f>SUMIF(日報!$R:$R,TEXT(YEAR($Q$2),"0000")&amp;TEXT(MONTH($Q$2),"00")&amp;$O3381,日報!$L:$L)</f>
        <v>0</v>
      </c>
      <c r="R3381" s="65">
        <f ca="1">SUMIF(日報!$J:$J,$O3381,日報!$L:$L)</f>
        <v>0</v>
      </c>
    </row>
    <row r="3382" spans="15:18" x14ac:dyDescent="0.15">
      <c r="O3382" s="7" t="str">
        <f>"REQ"&amp;TEXT([2]RequestList!$A3383,"0000")</f>
        <v>REQ0000</v>
      </c>
      <c r="P3382" s="7">
        <f>[2]RequestList!$J3383</f>
        <v>0</v>
      </c>
      <c r="Q3382" s="65">
        <f>SUMIF(日報!$R:$R,TEXT(YEAR($Q$2),"0000")&amp;TEXT(MONTH($Q$2),"00")&amp;$O3382,日報!$L:$L)</f>
        <v>0</v>
      </c>
      <c r="R3382" s="65">
        <f ca="1">SUMIF(日報!$J:$J,$O3382,日報!$L:$L)</f>
        <v>0</v>
      </c>
    </row>
    <row r="3383" spans="15:18" x14ac:dyDescent="0.15">
      <c r="O3383" s="7" t="str">
        <f>"REQ"&amp;TEXT([2]RequestList!$A3384,"0000")</f>
        <v>REQ0000</v>
      </c>
      <c r="P3383" s="7">
        <f>[2]RequestList!$J3384</f>
        <v>0</v>
      </c>
      <c r="Q3383" s="65">
        <f>SUMIF(日報!$R:$R,TEXT(YEAR($Q$2),"0000")&amp;TEXT(MONTH($Q$2),"00")&amp;$O3383,日報!$L:$L)</f>
        <v>0</v>
      </c>
      <c r="R3383" s="65">
        <f ca="1">SUMIF(日報!$J:$J,$O3383,日報!$L:$L)</f>
        <v>0</v>
      </c>
    </row>
    <row r="3384" spans="15:18" x14ac:dyDescent="0.15">
      <c r="O3384" s="7" t="str">
        <f>"REQ"&amp;TEXT([2]RequestList!$A3385,"0000")</f>
        <v>REQ0000</v>
      </c>
      <c r="P3384" s="7">
        <f>[2]RequestList!$J3385</f>
        <v>0</v>
      </c>
      <c r="Q3384" s="65">
        <f>SUMIF(日報!$R:$R,TEXT(YEAR($Q$2),"0000")&amp;TEXT(MONTH($Q$2),"00")&amp;$O3384,日報!$L:$L)</f>
        <v>0</v>
      </c>
      <c r="R3384" s="65">
        <f ca="1">SUMIF(日報!$J:$J,$O3384,日報!$L:$L)</f>
        <v>0</v>
      </c>
    </row>
    <row r="3385" spans="15:18" x14ac:dyDescent="0.15">
      <c r="O3385" s="7" t="str">
        <f>"REQ"&amp;TEXT([2]RequestList!$A3386,"0000")</f>
        <v>REQ0000</v>
      </c>
      <c r="P3385" s="7">
        <f>[2]RequestList!$J3386</f>
        <v>0</v>
      </c>
      <c r="Q3385" s="65">
        <f>SUMIF(日報!$R:$R,TEXT(YEAR($Q$2),"0000")&amp;TEXT(MONTH($Q$2),"00")&amp;$O3385,日報!$L:$L)</f>
        <v>0</v>
      </c>
      <c r="R3385" s="65">
        <f ca="1">SUMIF(日報!$J:$J,$O3385,日報!$L:$L)</f>
        <v>0</v>
      </c>
    </row>
    <row r="3386" spans="15:18" x14ac:dyDescent="0.15">
      <c r="O3386" s="7" t="str">
        <f>"REQ"&amp;TEXT([2]RequestList!$A3387,"0000")</f>
        <v>REQ0000</v>
      </c>
      <c r="P3386" s="7">
        <f>[2]RequestList!$J3387</f>
        <v>0</v>
      </c>
      <c r="Q3386" s="65">
        <f>SUMIF(日報!$R:$R,TEXT(YEAR($Q$2),"0000")&amp;TEXT(MONTH($Q$2),"00")&amp;$O3386,日報!$L:$L)</f>
        <v>0</v>
      </c>
      <c r="R3386" s="65">
        <f ca="1">SUMIF(日報!$J:$J,$O3386,日報!$L:$L)</f>
        <v>0</v>
      </c>
    </row>
    <row r="3387" spans="15:18" x14ac:dyDescent="0.15">
      <c r="O3387" s="7" t="str">
        <f>"REQ"&amp;TEXT([2]RequestList!$A3388,"0000")</f>
        <v>REQ0000</v>
      </c>
      <c r="P3387" s="7">
        <f>[2]RequestList!$J3388</f>
        <v>0</v>
      </c>
      <c r="Q3387" s="65">
        <f>SUMIF(日報!$R:$R,TEXT(YEAR($Q$2),"0000")&amp;TEXT(MONTH($Q$2),"00")&amp;$O3387,日報!$L:$L)</f>
        <v>0</v>
      </c>
      <c r="R3387" s="65">
        <f ca="1">SUMIF(日報!$J:$J,$O3387,日報!$L:$L)</f>
        <v>0</v>
      </c>
    </row>
    <row r="3388" spans="15:18" x14ac:dyDescent="0.15">
      <c r="O3388" s="7" t="str">
        <f>"REQ"&amp;TEXT([2]RequestList!$A3389,"0000")</f>
        <v>REQ0000</v>
      </c>
      <c r="P3388" s="7">
        <f>[2]RequestList!$J3389</f>
        <v>0</v>
      </c>
      <c r="Q3388" s="65">
        <f>SUMIF(日報!$R:$R,TEXT(YEAR($Q$2),"0000")&amp;TEXT(MONTH($Q$2),"00")&amp;$O3388,日報!$L:$L)</f>
        <v>0</v>
      </c>
      <c r="R3388" s="65">
        <f ca="1">SUMIF(日報!$J:$J,$O3388,日報!$L:$L)</f>
        <v>0</v>
      </c>
    </row>
    <row r="3389" spans="15:18" x14ac:dyDescent="0.15">
      <c r="O3389" s="7" t="str">
        <f>"REQ"&amp;TEXT([2]RequestList!$A3390,"0000")</f>
        <v>REQ0000</v>
      </c>
      <c r="P3389" s="7">
        <f>[2]RequestList!$J3390</f>
        <v>0</v>
      </c>
      <c r="Q3389" s="65">
        <f>SUMIF(日報!$R:$R,TEXT(YEAR($Q$2),"0000")&amp;TEXT(MONTH($Q$2),"00")&amp;$O3389,日報!$L:$L)</f>
        <v>0</v>
      </c>
      <c r="R3389" s="65">
        <f ca="1">SUMIF(日報!$J:$J,$O3389,日報!$L:$L)</f>
        <v>0</v>
      </c>
    </row>
    <row r="3390" spans="15:18" x14ac:dyDescent="0.15">
      <c r="O3390" s="7" t="str">
        <f>"REQ"&amp;TEXT([2]RequestList!$A3391,"0000")</f>
        <v>REQ0000</v>
      </c>
      <c r="P3390" s="7">
        <f>[2]RequestList!$J3391</f>
        <v>0</v>
      </c>
      <c r="Q3390" s="65">
        <f>SUMIF(日報!$R:$R,TEXT(YEAR($Q$2),"0000")&amp;TEXT(MONTH($Q$2),"00")&amp;$O3390,日報!$L:$L)</f>
        <v>0</v>
      </c>
      <c r="R3390" s="65">
        <f ca="1">SUMIF(日報!$J:$J,$O3390,日報!$L:$L)</f>
        <v>0</v>
      </c>
    </row>
    <row r="3391" spans="15:18" x14ac:dyDescent="0.15">
      <c r="O3391" s="7" t="str">
        <f>"REQ"&amp;TEXT([2]RequestList!$A3392,"0000")</f>
        <v>REQ0000</v>
      </c>
      <c r="P3391" s="7">
        <f>[2]RequestList!$J3392</f>
        <v>0</v>
      </c>
      <c r="Q3391" s="65">
        <f>SUMIF(日報!$R:$R,TEXT(YEAR($Q$2),"0000")&amp;TEXT(MONTH($Q$2),"00")&amp;$O3391,日報!$L:$L)</f>
        <v>0</v>
      </c>
      <c r="R3391" s="65">
        <f ca="1">SUMIF(日報!$J:$J,$O3391,日報!$L:$L)</f>
        <v>0</v>
      </c>
    </row>
    <row r="3392" spans="15:18" x14ac:dyDescent="0.15">
      <c r="O3392" s="7" t="str">
        <f>"REQ"&amp;TEXT([2]RequestList!$A3393,"0000")</f>
        <v>REQ0000</v>
      </c>
      <c r="P3392" s="7">
        <f>[2]RequestList!$J3393</f>
        <v>0</v>
      </c>
      <c r="Q3392" s="65">
        <f>SUMIF(日報!$R:$R,TEXT(YEAR($Q$2),"0000")&amp;TEXT(MONTH($Q$2),"00")&amp;$O3392,日報!$L:$L)</f>
        <v>0</v>
      </c>
      <c r="R3392" s="65">
        <f ca="1">SUMIF(日報!$J:$J,$O3392,日報!$L:$L)</f>
        <v>0</v>
      </c>
    </row>
    <row r="3393" spans="15:18" x14ac:dyDescent="0.15">
      <c r="O3393" s="7" t="str">
        <f>"REQ"&amp;TEXT([2]RequestList!$A3394,"0000")</f>
        <v>REQ0000</v>
      </c>
      <c r="P3393" s="7">
        <f>[2]RequestList!$J3394</f>
        <v>0</v>
      </c>
      <c r="Q3393" s="65">
        <f>SUMIF(日報!$R:$R,TEXT(YEAR($Q$2),"0000")&amp;TEXT(MONTH($Q$2),"00")&amp;$O3393,日報!$L:$L)</f>
        <v>0</v>
      </c>
      <c r="R3393" s="65">
        <f ca="1">SUMIF(日報!$J:$J,$O3393,日報!$L:$L)</f>
        <v>0</v>
      </c>
    </row>
    <row r="3394" spans="15:18" x14ac:dyDescent="0.15">
      <c r="O3394" s="7" t="str">
        <f>"REQ"&amp;TEXT([2]RequestList!$A3395,"0000")</f>
        <v>REQ0000</v>
      </c>
      <c r="P3394" s="7">
        <f>[2]RequestList!$J3395</f>
        <v>0</v>
      </c>
      <c r="Q3394" s="65">
        <f>SUMIF(日報!$R:$R,TEXT(YEAR($Q$2),"0000")&amp;TEXT(MONTH($Q$2),"00")&amp;$O3394,日報!$L:$L)</f>
        <v>0</v>
      </c>
      <c r="R3394" s="65">
        <f ca="1">SUMIF(日報!$J:$J,$O3394,日報!$L:$L)</f>
        <v>0</v>
      </c>
    </row>
    <row r="3395" spans="15:18" x14ac:dyDescent="0.15">
      <c r="O3395" s="7" t="str">
        <f>"REQ"&amp;TEXT([2]RequestList!$A3396,"0000")</f>
        <v>REQ0000</v>
      </c>
      <c r="P3395" s="7">
        <f>[2]RequestList!$J3396</f>
        <v>0</v>
      </c>
      <c r="Q3395" s="65">
        <f>SUMIF(日報!$R:$R,TEXT(YEAR($Q$2),"0000")&amp;TEXT(MONTH($Q$2),"00")&amp;$O3395,日報!$L:$L)</f>
        <v>0</v>
      </c>
      <c r="R3395" s="65">
        <f ca="1">SUMIF(日報!$J:$J,$O3395,日報!$L:$L)</f>
        <v>0</v>
      </c>
    </row>
    <row r="3396" spans="15:18" x14ac:dyDescent="0.15">
      <c r="O3396" s="7" t="str">
        <f>"REQ"&amp;TEXT([2]RequestList!$A3397,"0000")</f>
        <v>REQ0000</v>
      </c>
      <c r="P3396" s="7">
        <f>[2]RequestList!$J3397</f>
        <v>0</v>
      </c>
      <c r="Q3396" s="65">
        <f>SUMIF(日報!$R:$R,TEXT(YEAR($Q$2),"0000")&amp;TEXT(MONTH($Q$2),"00")&amp;$O3396,日報!$L:$L)</f>
        <v>0</v>
      </c>
      <c r="R3396" s="65">
        <f ca="1">SUMIF(日報!$J:$J,$O3396,日報!$L:$L)</f>
        <v>0</v>
      </c>
    </row>
    <row r="3397" spans="15:18" x14ac:dyDescent="0.15">
      <c r="O3397" s="7" t="str">
        <f>"REQ"&amp;TEXT([2]RequestList!$A3398,"0000")</f>
        <v>REQ0000</v>
      </c>
      <c r="P3397" s="7">
        <f>[2]RequestList!$J3398</f>
        <v>0</v>
      </c>
      <c r="Q3397" s="65">
        <f>SUMIF(日報!$R:$R,TEXT(YEAR($Q$2),"0000")&amp;TEXT(MONTH($Q$2),"00")&amp;$O3397,日報!$L:$L)</f>
        <v>0</v>
      </c>
      <c r="R3397" s="65">
        <f ca="1">SUMIF(日報!$J:$J,$O3397,日報!$L:$L)</f>
        <v>0</v>
      </c>
    </row>
    <row r="3398" spans="15:18" x14ac:dyDescent="0.15">
      <c r="O3398" s="7" t="str">
        <f>"REQ"&amp;TEXT([2]RequestList!$A3399,"0000")</f>
        <v>REQ0000</v>
      </c>
      <c r="P3398" s="7">
        <f>[2]RequestList!$J3399</f>
        <v>0</v>
      </c>
      <c r="Q3398" s="65">
        <f>SUMIF(日報!$R:$R,TEXT(YEAR($Q$2),"0000")&amp;TEXT(MONTH($Q$2),"00")&amp;$O3398,日報!$L:$L)</f>
        <v>0</v>
      </c>
      <c r="R3398" s="65">
        <f ca="1">SUMIF(日報!$J:$J,$O3398,日報!$L:$L)</f>
        <v>0</v>
      </c>
    </row>
    <row r="3399" spans="15:18" x14ac:dyDescent="0.15">
      <c r="O3399" s="7" t="str">
        <f>"REQ"&amp;TEXT([2]RequestList!$A3400,"0000")</f>
        <v>REQ0000</v>
      </c>
      <c r="P3399" s="7">
        <f>[2]RequestList!$J3400</f>
        <v>0</v>
      </c>
      <c r="Q3399" s="65">
        <f>SUMIF(日報!$R:$R,TEXT(YEAR($Q$2),"0000")&amp;TEXT(MONTH($Q$2),"00")&amp;$O3399,日報!$L:$L)</f>
        <v>0</v>
      </c>
      <c r="R3399" s="65">
        <f ca="1">SUMIF(日報!$J:$J,$O3399,日報!$L:$L)</f>
        <v>0</v>
      </c>
    </row>
    <row r="3400" spans="15:18" x14ac:dyDescent="0.15">
      <c r="O3400" s="7" t="str">
        <f>"REQ"&amp;TEXT([2]RequestList!$A3401,"0000")</f>
        <v>REQ0000</v>
      </c>
      <c r="P3400" s="7">
        <f>[2]RequestList!$J3401</f>
        <v>0</v>
      </c>
      <c r="Q3400" s="65">
        <f>SUMIF(日報!$R:$R,TEXT(YEAR($Q$2),"0000")&amp;TEXT(MONTH($Q$2),"00")&amp;$O3400,日報!$L:$L)</f>
        <v>0</v>
      </c>
      <c r="R3400" s="65">
        <f ca="1">SUMIF(日報!$J:$J,$O3400,日報!$L:$L)</f>
        <v>0</v>
      </c>
    </row>
    <row r="3401" spans="15:18" x14ac:dyDescent="0.15">
      <c r="O3401" s="7" t="str">
        <f>"REQ"&amp;TEXT([2]RequestList!$A3402,"0000")</f>
        <v>REQ0000</v>
      </c>
      <c r="P3401" s="7">
        <f>[2]RequestList!$J3402</f>
        <v>0</v>
      </c>
      <c r="Q3401" s="65">
        <f>SUMIF(日報!$R:$R,TEXT(YEAR($Q$2),"0000")&amp;TEXT(MONTH($Q$2),"00")&amp;$O3401,日報!$L:$L)</f>
        <v>0</v>
      </c>
      <c r="R3401" s="65">
        <f ca="1">SUMIF(日報!$J:$J,$O3401,日報!$L:$L)</f>
        <v>0</v>
      </c>
    </row>
    <row r="3402" spans="15:18" x14ac:dyDescent="0.15">
      <c r="O3402" s="7" t="str">
        <f>"REQ"&amp;TEXT([2]RequestList!$A3403,"0000")</f>
        <v>REQ0000</v>
      </c>
      <c r="P3402" s="7">
        <f>[2]RequestList!$J3403</f>
        <v>0</v>
      </c>
      <c r="Q3402" s="65">
        <f>SUMIF(日報!$R:$R,TEXT(YEAR($Q$2),"0000")&amp;TEXT(MONTH($Q$2),"00")&amp;$O3402,日報!$L:$L)</f>
        <v>0</v>
      </c>
      <c r="R3402" s="65">
        <f ca="1">SUMIF(日報!$J:$J,$O3402,日報!$L:$L)</f>
        <v>0</v>
      </c>
    </row>
    <row r="3403" spans="15:18" x14ac:dyDescent="0.15">
      <c r="O3403" s="7" t="str">
        <f>"REQ"&amp;TEXT([2]RequestList!$A3404,"0000")</f>
        <v>REQ0000</v>
      </c>
      <c r="P3403" s="7">
        <f>[2]RequestList!$J3404</f>
        <v>0</v>
      </c>
      <c r="Q3403" s="65">
        <f>SUMIF(日報!$R:$R,TEXT(YEAR($Q$2),"0000")&amp;TEXT(MONTH($Q$2),"00")&amp;$O3403,日報!$L:$L)</f>
        <v>0</v>
      </c>
      <c r="R3403" s="65">
        <f ca="1">SUMIF(日報!$J:$J,$O3403,日報!$L:$L)</f>
        <v>0</v>
      </c>
    </row>
    <row r="3404" spans="15:18" x14ac:dyDescent="0.15">
      <c r="O3404" s="7" t="str">
        <f>"REQ"&amp;TEXT([2]RequestList!$A3405,"0000")</f>
        <v>REQ0000</v>
      </c>
      <c r="P3404" s="7">
        <f>[2]RequestList!$J3405</f>
        <v>0</v>
      </c>
      <c r="Q3404" s="65">
        <f>SUMIF(日報!$R:$R,TEXT(YEAR($Q$2),"0000")&amp;TEXT(MONTH($Q$2),"00")&amp;$O3404,日報!$L:$L)</f>
        <v>0</v>
      </c>
      <c r="R3404" s="65">
        <f ca="1">SUMIF(日報!$J:$J,$O3404,日報!$L:$L)</f>
        <v>0</v>
      </c>
    </row>
    <row r="3405" spans="15:18" x14ac:dyDescent="0.15">
      <c r="O3405" s="7" t="str">
        <f>"REQ"&amp;TEXT([2]RequestList!$A3406,"0000")</f>
        <v>REQ0000</v>
      </c>
      <c r="P3405" s="7">
        <f>[2]RequestList!$J3406</f>
        <v>0</v>
      </c>
      <c r="Q3405" s="65">
        <f>SUMIF(日報!$R:$R,TEXT(YEAR($Q$2),"0000")&amp;TEXT(MONTH($Q$2),"00")&amp;$O3405,日報!$L:$L)</f>
        <v>0</v>
      </c>
      <c r="R3405" s="65">
        <f ca="1">SUMIF(日報!$J:$J,$O3405,日報!$L:$L)</f>
        <v>0</v>
      </c>
    </row>
    <row r="3406" spans="15:18" x14ac:dyDescent="0.15">
      <c r="O3406" s="7" t="str">
        <f>"REQ"&amp;TEXT([2]RequestList!$A3407,"0000")</f>
        <v>REQ0000</v>
      </c>
      <c r="P3406" s="7">
        <f>[2]RequestList!$J3407</f>
        <v>0</v>
      </c>
      <c r="Q3406" s="65">
        <f>SUMIF(日報!$R:$R,TEXT(YEAR($Q$2),"0000")&amp;TEXT(MONTH($Q$2),"00")&amp;$O3406,日報!$L:$L)</f>
        <v>0</v>
      </c>
      <c r="R3406" s="65">
        <f ca="1">SUMIF(日報!$J:$J,$O3406,日報!$L:$L)</f>
        <v>0</v>
      </c>
    </row>
    <row r="3407" spans="15:18" x14ac:dyDescent="0.15">
      <c r="O3407" s="7" t="str">
        <f>"REQ"&amp;TEXT([2]RequestList!$A3408,"0000")</f>
        <v>REQ0000</v>
      </c>
      <c r="P3407" s="7">
        <f>[2]RequestList!$J3408</f>
        <v>0</v>
      </c>
      <c r="Q3407" s="65">
        <f>SUMIF(日報!$R:$R,TEXT(YEAR($Q$2),"0000")&amp;TEXT(MONTH($Q$2),"00")&amp;$O3407,日報!$L:$L)</f>
        <v>0</v>
      </c>
      <c r="R3407" s="65">
        <f ca="1">SUMIF(日報!$J:$J,$O3407,日報!$L:$L)</f>
        <v>0</v>
      </c>
    </row>
    <row r="3408" spans="15:18" x14ac:dyDescent="0.15">
      <c r="O3408" s="7" t="str">
        <f>"REQ"&amp;TEXT([2]RequestList!$A3409,"0000")</f>
        <v>REQ0000</v>
      </c>
      <c r="P3408" s="7">
        <f>[2]RequestList!$J3409</f>
        <v>0</v>
      </c>
      <c r="Q3408" s="65">
        <f>SUMIF(日報!$R:$R,TEXT(YEAR($Q$2),"0000")&amp;TEXT(MONTH($Q$2),"00")&amp;$O3408,日報!$L:$L)</f>
        <v>0</v>
      </c>
      <c r="R3408" s="65">
        <f ca="1">SUMIF(日報!$J:$J,$O3408,日報!$L:$L)</f>
        <v>0</v>
      </c>
    </row>
    <row r="3409" spans="15:18" x14ac:dyDescent="0.15">
      <c r="O3409" s="7" t="str">
        <f>"REQ"&amp;TEXT([2]RequestList!$A3410,"0000")</f>
        <v>REQ0000</v>
      </c>
      <c r="P3409" s="7">
        <f>[2]RequestList!$J3410</f>
        <v>0</v>
      </c>
      <c r="Q3409" s="65">
        <f>SUMIF(日報!$R:$R,TEXT(YEAR($Q$2),"0000")&amp;TEXT(MONTH($Q$2),"00")&amp;$O3409,日報!$L:$L)</f>
        <v>0</v>
      </c>
      <c r="R3409" s="65">
        <f ca="1">SUMIF(日報!$J:$J,$O3409,日報!$L:$L)</f>
        <v>0</v>
      </c>
    </row>
    <row r="3410" spans="15:18" x14ac:dyDescent="0.15">
      <c r="O3410" s="7" t="str">
        <f>"REQ"&amp;TEXT([2]RequestList!$A3411,"0000")</f>
        <v>REQ0000</v>
      </c>
      <c r="P3410" s="7">
        <f>[2]RequestList!$J3411</f>
        <v>0</v>
      </c>
      <c r="Q3410" s="65">
        <f>SUMIF(日報!$R:$R,TEXT(YEAR($Q$2),"0000")&amp;TEXT(MONTH($Q$2),"00")&amp;$O3410,日報!$L:$L)</f>
        <v>0</v>
      </c>
      <c r="R3410" s="65">
        <f ca="1">SUMIF(日報!$J:$J,$O3410,日報!$L:$L)</f>
        <v>0</v>
      </c>
    </row>
    <row r="3411" spans="15:18" x14ac:dyDescent="0.15">
      <c r="O3411" s="7" t="str">
        <f>"REQ"&amp;TEXT([2]RequestList!$A3412,"0000")</f>
        <v>REQ0000</v>
      </c>
      <c r="P3411" s="7">
        <f>[2]RequestList!$J3412</f>
        <v>0</v>
      </c>
      <c r="Q3411" s="65">
        <f>SUMIF(日報!$R:$R,TEXT(YEAR($Q$2),"0000")&amp;TEXT(MONTH($Q$2),"00")&amp;$O3411,日報!$L:$L)</f>
        <v>0</v>
      </c>
      <c r="R3411" s="65">
        <f ca="1">SUMIF(日報!$J:$J,$O3411,日報!$L:$L)</f>
        <v>0</v>
      </c>
    </row>
    <row r="3412" spans="15:18" x14ac:dyDescent="0.15">
      <c r="O3412" s="7" t="str">
        <f>"REQ"&amp;TEXT([2]RequestList!$A3413,"0000")</f>
        <v>REQ0000</v>
      </c>
      <c r="P3412" s="7">
        <f>[2]RequestList!$J3413</f>
        <v>0</v>
      </c>
      <c r="Q3412" s="65">
        <f>SUMIF(日報!$R:$R,TEXT(YEAR($Q$2),"0000")&amp;TEXT(MONTH($Q$2),"00")&amp;$O3412,日報!$L:$L)</f>
        <v>0</v>
      </c>
      <c r="R3412" s="65">
        <f ca="1">SUMIF(日報!$J:$J,$O3412,日報!$L:$L)</f>
        <v>0</v>
      </c>
    </row>
    <row r="3413" spans="15:18" x14ac:dyDescent="0.15">
      <c r="O3413" s="7" t="str">
        <f>"REQ"&amp;TEXT([2]RequestList!$A3414,"0000")</f>
        <v>REQ0000</v>
      </c>
      <c r="P3413" s="7">
        <f>[2]RequestList!$J3414</f>
        <v>0</v>
      </c>
      <c r="Q3413" s="65">
        <f>SUMIF(日報!$R:$R,TEXT(YEAR($Q$2),"0000")&amp;TEXT(MONTH($Q$2),"00")&amp;$O3413,日報!$L:$L)</f>
        <v>0</v>
      </c>
      <c r="R3413" s="65">
        <f ca="1">SUMIF(日報!$J:$J,$O3413,日報!$L:$L)</f>
        <v>0</v>
      </c>
    </row>
    <row r="3414" spans="15:18" x14ac:dyDescent="0.15">
      <c r="O3414" s="7" t="str">
        <f>"REQ"&amp;TEXT([2]RequestList!$A3415,"0000")</f>
        <v>REQ0000</v>
      </c>
      <c r="P3414" s="7">
        <f>[2]RequestList!$J3415</f>
        <v>0</v>
      </c>
      <c r="Q3414" s="65">
        <f>SUMIF(日報!$R:$R,TEXT(YEAR($Q$2),"0000")&amp;TEXT(MONTH($Q$2),"00")&amp;$O3414,日報!$L:$L)</f>
        <v>0</v>
      </c>
      <c r="R3414" s="65">
        <f ca="1">SUMIF(日報!$J:$J,$O3414,日報!$L:$L)</f>
        <v>0</v>
      </c>
    </row>
    <row r="3415" spans="15:18" x14ac:dyDescent="0.15">
      <c r="O3415" s="7" t="str">
        <f>"REQ"&amp;TEXT([2]RequestList!$A3416,"0000")</f>
        <v>REQ0000</v>
      </c>
      <c r="P3415" s="7">
        <f>[2]RequestList!$J3416</f>
        <v>0</v>
      </c>
      <c r="Q3415" s="65">
        <f>SUMIF(日報!$R:$R,TEXT(YEAR($Q$2),"0000")&amp;TEXT(MONTH($Q$2),"00")&amp;$O3415,日報!$L:$L)</f>
        <v>0</v>
      </c>
      <c r="R3415" s="65">
        <f ca="1">SUMIF(日報!$J:$J,$O3415,日報!$L:$L)</f>
        <v>0</v>
      </c>
    </row>
    <row r="3416" spans="15:18" x14ac:dyDescent="0.15">
      <c r="O3416" s="7" t="str">
        <f>"REQ"&amp;TEXT([2]RequestList!$A3417,"0000")</f>
        <v>REQ0000</v>
      </c>
      <c r="P3416" s="7">
        <f>[2]RequestList!$J3417</f>
        <v>0</v>
      </c>
      <c r="Q3416" s="65">
        <f>SUMIF(日報!$R:$R,TEXT(YEAR($Q$2),"0000")&amp;TEXT(MONTH($Q$2),"00")&amp;$O3416,日報!$L:$L)</f>
        <v>0</v>
      </c>
      <c r="R3416" s="65">
        <f ca="1">SUMIF(日報!$J:$J,$O3416,日報!$L:$L)</f>
        <v>0</v>
      </c>
    </row>
    <row r="3417" spans="15:18" x14ac:dyDescent="0.15">
      <c r="O3417" s="7" t="str">
        <f>"REQ"&amp;TEXT([2]RequestList!$A3418,"0000")</f>
        <v>REQ0000</v>
      </c>
      <c r="P3417" s="7">
        <f>[2]RequestList!$J3418</f>
        <v>0</v>
      </c>
      <c r="Q3417" s="65">
        <f>SUMIF(日報!$R:$R,TEXT(YEAR($Q$2),"0000")&amp;TEXT(MONTH($Q$2),"00")&amp;$O3417,日報!$L:$L)</f>
        <v>0</v>
      </c>
      <c r="R3417" s="65">
        <f ca="1">SUMIF(日報!$J:$J,$O3417,日報!$L:$L)</f>
        <v>0</v>
      </c>
    </row>
    <row r="3418" spans="15:18" x14ac:dyDescent="0.15">
      <c r="O3418" s="7" t="str">
        <f>"REQ"&amp;TEXT([2]RequestList!$A3419,"0000")</f>
        <v>REQ0000</v>
      </c>
      <c r="P3418" s="7">
        <f>[2]RequestList!$J3419</f>
        <v>0</v>
      </c>
      <c r="Q3418" s="65">
        <f>SUMIF(日報!$R:$R,TEXT(YEAR($Q$2),"0000")&amp;TEXT(MONTH($Q$2),"00")&amp;$O3418,日報!$L:$L)</f>
        <v>0</v>
      </c>
      <c r="R3418" s="65">
        <f ca="1">SUMIF(日報!$J:$J,$O3418,日報!$L:$L)</f>
        <v>0</v>
      </c>
    </row>
    <row r="3419" spans="15:18" x14ac:dyDescent="0.15">
      <c r="O3419" s="7" t="str">
        <f>"REQ"&amp;TEXT([2]RequestList!$A3420,"0000")</f>
        <v>REQ0000</v>
      </c>
      <c r="P3419" s="7">
        <f>[2]RequestList!$J3420</f>
        <v>0</v>
      </c>
      <c r="Q3419" s="65">
        <f>SUMIF(日報!$R:$R,TEXT(YEAR($Q$2),"0000")&amp;TEXT(MONTH($Q$2),"00")&amp;$O3419,日報!$L:$L)</f>
        <v>0</v>
      </c>
      <c r="R3419" s="65">
        <f ca="1">SUMIF(日報!$J:$J,$O3419,日報!$L:$L)</f>
        <v>0</v>
      </c>
    </row>
    <row r="3420" spans="15:18" x14ac:dyDescent="0.15">
      <c r="O3420" s="7" t="str">
        <f>"REQ"&amp;TEXT([2]RequestList!$A3421,"0000")</f>
        <v>REQ0000</v>
      </c>
      <c r="P3420" s="7">
        <f>[2]RequestList!$J3421</f>
        <v>0</v>
      </c>
      <c r="Q3420" s="65">
        <f>SUMIF(日報!$R:$R,TEXT(YEAR($Q$2),"0000")&amp;TEXT(MONTH($Q$2),"00")&amp;$O3420,日報!$L:$L)</f>
        <v>0</v>
      </c>
      <c r="R3420" s="65">
        <f ca="1">SUMIF(日報!$J:$J,$O3420,日報!$L:$L)</f>
        <v>0</v>
      </c>
    </row>
    <row r="3421" spans="15:18" x14ac:dyDescent="0.15">
      <c r="O3421" s="7" t="str">
        <f>"REQ"&amp;TEXT([2]RequestList!$A3422,"0000")</f>
        <v>REQ0000</v>
      </c>
      <c r="P3421" s="7">
        <f>[2]RequestList!$J3422</f>
        <v>0</v>
      </c>
      <c r="Q3421" s="65">
        <f>SUMIF(日報!$R:$R,TEXT(YEAR($Q$2),"0000")&amp;TEXT(MONTH($Q$2),"00")&amp;$O3421,日報!$L:$L)</f>
        <v>0</v>
      </c>
      <c r="R3421" s="65">
        <f ca="1">SUMIF(日報!$J:$J,$O3421,日報!$L:$L)</f>
        <v>0</v>
      </c>
    </row>
    <row r="3422" spans="15:18" x14ac:dyDescent="0.15">
      <c r="O3422" s="7" t="str">
        <f>"REQ"&amp;TEXT([2]RequestList!$A3423,"0000")</f>
        <v>REQ0000</v>
      </c>
      <c r="P3422" s="7">
        <f>[2]RequestList!$J3423</f>
        <v>0</v>
      </c>
      <c r="Q3422" s="65">
        <f>SUMIF(日報!$R:$R,TEXT(YEAR($Q$2),"0000")&amp;TEXT(MONTH($Q$2),"00")&amp;$O3422,日報!$L:$L)</f>
        <v>0</v>
      </c>
      <c r="R3422" s="65">
        <f ca="1">SUMIF(日報!$J:$J,$O3422,日報!$L:$L)</f>
        <v>0</v>
      </c>
    </row>
    <row r="3423" spans="15:18" x14ac:dyDescent="0.15">
      <c r="O3423" s="7" t="str">
        <f>"REQ"&amp;TEXT([2]RequestList!$A3424,"0000")</f>
        <v>REQ0000</v>
      </c>
      <c r="P3423" s="7">
        <f>[2]RequestList!$J3424</f>
        <v>0</v>
      </c>
      <c r="Q3423" s="65">
        <f>SUMIF(日報!$R:$R,TEXT(YEAR($Q$2),"0000")&amp;TEXT(MONTH($Q$2),"00")&amp;$O3423,日報!$L:$L)</f>
        <v>0</v>
      </c>
      <c r="R3423" s="65">
        <f ca="1">SUMIF(日報!$J:$J,$O3423,日報!$L:$L)</f>
        <v>0</v>
      </c>
    </row>
    <row r="3424" spans="15:18" x14ac:dyDescent="0.15">
      <c r="O3424" s="7" t="str">
        <f>"REQ"&amp;TEXT([2]RequestList!$A3425,"0000")</f>
        <v>REQ0000</v>
      </c>
      <c r="P3424" s="7">
        <f>[2]RequestList!$J3425</f>
        <v>0</v>
      </c>
      <c r="Q3424" s="65">
        <f>SUMIF(日報!$R:$R,TEXT(YEAR($Q$2),"0000")&amp;TEXT(MONTH($Q$2),"00")&amp;$O3424,日報!$L:$L)</f>
        <v>0</v>
      </c>
      <c r="R3424" s="65">
        <f ca="1">SUMIF(日報!$J:$J,$O3424,日報!$L:$L)</f>
        <v>0</v>
      </c>
    </row>
    <row r="3425" spans="15:18" x14ac:dyDescent="0.15">
      <c r="O3425" s="7" t="str">
        <f>"REQ"&amp;TEXT([2]RequestList!$A3426,"0000")</f>
        <v>REQ0000</v>
      </c>
      <c r="P3425" s="7">
        <f>[2]RequestList!$J3426</f>
        <v>0</v>
      </c>
      <c r="Q3425" s="65">
        <f>SUMIF(日報!$R:$R,TEXT(YEAR($Q$2),"0000")&amp;TEXT(MONTH($Q$2),"00")&amp;$O3425,日報!$L:$L)</f>
        <v>0</v>
      </c>
      <c r="R3425" s="65">
        <f ca="1">SUMIF(日報!$J:$J,$O3425,日報!$L:$L)</f>
        <v>0</v>
      </c>
    </row>
    <row r="3426" spans="15:18" x14ac:dyDescent="0.15">
      <c r="O3426" s="7" t="str">
        <f>"REQ"&amp;TEXT([2]RequestList!$A3427,"0000")</f>
        <v>REQ0000</v>
      </c>
      <c r="P3426" s="7">
        <f>[2]RequestList!$J3427</f>
        <v>0</v>
      </c>
      <c r="Q3426" s="65">
        <f>SUMIF(日報!$R:$R,TEXT(YEAR($Q$2),"0000")&amp;TEXT(MONTH($Q$2),"00")&amp;$O3426,日報!$L:$L)</f>
        <v>0</v>
      </c>
      <c r="R3426" s="65">
        <f ca="1">SUMIF(日報!$J:$J,$O3426,日報!$L:$L)</f>
        <v>0</v>
      </c>
    </row>
    <row r="3427" spans="15:18" x14ac:dyDescent="0.15">
      <c r="O3427" s="7" t="str">
        <f>"REQ"&amp;TEXT([2]RequestList!$A3428,"0000")</f>
        <v>REQ0000</v>
      </c>
      <c r="P3427" s="7">
        <f>[2]RequestList!$J3428</f>
        <v>0</v>
      </c>
      <c r="Q3427" s="65">
        <f>SUMIF(日報!$R:$R,TEXT(YEAR($Q$2),"0000")&amp;TEXT(MONTH($Q$2),"00")&amp;$O3427,日報!$L:$L)</f>
        <v>0</v>
      </c>
      <c r="R3427" s="65">
        <f ca="1">SUMIF(日報!$J:$J,$O3427,日報!$L:$L)</f>
        <v>0</v>
      </c>
    </row>
    <row r="3428" spans="15:18" x14ac:dyDescent="0.15">
      <c r="O3428" s="7" t="str">
        <f>"REQ"&amp;TEXT([2]RequestList!$A3429,"0000")</f>
        <v>REQ0000</v>
      </c>
      <c r="P3428" s="7">
        <f>[2]RequestList!$J3429</f>
        <v>0</v>
      </c>
      <c r="Q3428" s="65">
        <f>SUMIF(日報!$R:$R,TEXT(YEAR($Q$2),"0000")&amp;TEXT(MONTH($Q$2),"00")&amp;$O3428,日報!$L:$L)</f>
        <v>0</v>
      </c>
      <c r="R3428" s="65">
        <f ca="1">SUMIF(日報!$J:$J,$O3428,日報!$L:$L)</f>
        <v>0</v>
      </c>
    </row>
    <row r="3429" spans="15:18" x14ac:dyDescent="0.15">
      <c r="O3429" s="7" t="str">
        <f>"REQ"&amp;TEXT([2]RequestList!$A3430,"0000")</f>
        <v>REQ0000</v>
      </c>
      <c r="P3429" s="7">
        <f>[2]RequestList!$J3430</f>
        <v>0</v>
      </c>
      <c r="Q3429" s="65">
        <f>SUMIF(日報!$R:$R,TEXT(YEAR($Q$2),"0000")&amp;TEXT(MONTH($Q$2),"00")&amp;$O3429,日報!$L:$L)</f>
        <v>0</v>
      </c>
      <c r="R3429" s="65">
        <f ca="1">SUMIF(日報!$J:$J,$O3429,日報!$L:$L)</f>
        <v>0</v>
      </c>
    </row>
    <row r="3430" spans="15:18" x14ac:dyDescent="0.15">
      <c r="O3430" s="7" t="str">
        <f>"REQ"&amp;TEXT([2]RequestList!$A3431,"0000")</f>
        <v>REQ0000</v>
      </c>
      <c r="P3430" s="7">
        <f>[2]RequestList!$J3431</f>
        <v>0</v>
      </c>
      <c r="Q3430" s="65">
        <f>SUMIF(日報!$R:$R,TEXT(YEAR($Q$2),"0000")&amp;TEXT(MONTH($Q$2),"00")&amp;$O3430,日報!$L:$L)</f>
        <v>0</v>
      </c>
      <c r="R3430" s="65">
        <f ca="1">SUMIF(日報!$J:$J,$O3430,日報!$L:$L)</f>
        <v>0</v>
      </c>
    </row>
    <row r="3431" spans="15:18" x14ac:dyDescent="0.15">
      <c r="O3431" s="7" t="str">
        <f>"REQ"&amp;TEXT([2]RequestList!$A3432,"0000")</f>
        <v>REQ0000</v>
      </c>
      <c r="P3431" s="7">
        <f>[2]RequestList!$J3432</f>
        <v>0</v>
      </c>
      <c r="Q3431" s="65">
        <f>SUMIF(日報!$R:$R,TEXT(YEAR($Q$2),"0000")&amp;TEXT(MONTH($Q$2),"00")&amp;$O3431,日報!$L:$L)</f>
        <v>0</v>
      </c>
      <c r="R3431" s="65">
        <f ca="1">SUMIF(日報!$J:$J,$O3431,日報!$L:$L)</f>
        <v>0</v>
      </c>
    </row>
    <row r="3432" spans="15:18" x14ac:dyDescent="0.15">
      <c r="O3432" s="7" t="str">
        <f>"REQ"&amp;TEXT([2]RequestList!$A3433,"0000")</f>
        <v>REQ0000</v>
      </c>
      <c r="P3432" s="7">
        <f>[2]RequestList!$J3433</f>
        <v>0</v>
      </c>
      <c r="Q3432" s="65">
        <f>SUMIF(日報!$R:$R,TEXT(YEAR($Q$2),"0000")&amp;TEXT(MONTH($Q$2),"00")&amp;$O3432,日報!$L:$L)</f>
        <v>0</v>
      </c>
      <c r="R3432" s="65">
        <f ca="1">SUMIF(日報!$J:$J,$O3432,日報!$L:$L)</f>
        <v>0</v>
      </c>
    </row>
    <row r="3433" spans="15:18" x14ac:dyDescent="0.15">
      <c r="O3433" s="7" t="str">
        <f>"REQ"&amp;TEXT([2]RequestList!$A3434,"0000")</f>
        <v>REQ0000</v>
      </c>
      <c r="P3433" s="7">
        <f>[2]RequestList!$J3434</f>
        <v>0</v>
      </c>
      <c r="Q3433" s="65">
        <f>SUMIF(日報!$R:$R,TEXT(YEAR($Q$2),"0000")&amp;TEXT(MONTH($Q$2),"00")&amp;$O3433,日報!$L:$L)</f>
        <v>0</v>
      </c>
      <c r="R3433" s="65">
        <f ca="1">SUMIF(日報!$J:$J,$O3433,日報!$L:$L)</f>
        <v>0</v>
      </c>
    </row>
    <row r="3434" spans="15:18" x14ac:dyDescent="0.15">
      <c r="O3434" s="7" t="str">
        <f>"REQ"&amp;TEXT([2]RequestList!$A3435,"0000")</f>
        <v>REQ0000</v>
      </c>
      <c r="P3434" s="7">
        <f>[2]RequestList!$J3435</f>
        <v>0</v>
      </c>
      <c r="Q3434" s="65">
        <f>SUMIF(日報!$R:$R,TEXT(YEAR($Q$2),"0000")&amp;TEXT(MONTH($Q$2),"00")&amp;$O3434,日報!$L:$L)</f>
        <v>0</v>
      </c>
      <c r="R3434" s="65">
        <f ca="1">SUMIF(日報!$J:$J,$O3434,日報!$L:$L)</f>
        <v>0</v>
      </c>
    </row>
    <row r="3435" spans="15:18" x14ac:dyDescent="0.15">
      <c r="O3435" s="7" t="str">
        <f>"REQ"&amp;TEXT([2]RequestList!$A3436,"0000")</f>
        <v>REQ0000</v>
      </c>
      <c r="P3435" s="7">
        <f>[2]RequestList!$J3436</f>
        <v>0</v>
      </c>
      <c r="Q3435" s="65">
        <f>SUMIF(日報!$R:$R,TEXT(YEAR($Q$2),"0000")&amp;TEXT(MONTH($Q$2),"00")&amp;$O3435,日報!$L:$L)</f>
        <v>0</v>
      </c>
      <c r="R3435" s="65">
        <f ca="1">SUMIF(日報!$J:$J,$O3435,日報!$L:$L)</f>
        <v>0</v>
      </c>
    </row>
    <row r="3436" spans="15:18" x14ac:dyDescent="0.15">
      <c r="O3436" s="7" t="str">
        <f>"REQ"&amp;TEXT([2]RequestList!$A3437,"0000")</f>
        <v>REQ0000</v>
      </c>
      <c r="P3436" s="7">
        <f>[2]RequestList!$J3437</f>
        <v>0</v>
      </c>
      <c r="Q3436" s="65">
        <f>SUMIF(日報!$R:$R,TEXT(YEAR($Q$2),"0000")&amp;TEXT(MONTH($Q$2),"00")&amp;$O3436,日報!$L:$L)</f>
        <v>0</v>
      </c>
      <c r="R3436" s="65">
        <f ca="1">SUMIF(日報!$J:$J,$O3436,日報!$L:$L)</f>
        <v>0</v>
      </c>
    </row>
    <row r="3437" spans="15:18" x14ac:dyDescent="0.15">
      <c r="O3437" s="7" t="str">
        <f>"REQ"&amp;TEXT([2]RequestList!$A3438,"0000")</f>
        <v>REQ0000</v>
      </c>
      <c r="P3437" s="7">
        <f>[2]RequestList!$J3438</f>
        <v>0</v>
      </c>
      <c r="Q3437" s="65">
        <f>SUMIF(日報!$R:$R,TEXT(YEAR($Q$2),"0000")&amp;TEXT(MONTH($Q$2),"00")&amp;$O3437,日報!$L:$L)</f>
        <v>0</v>
      </c>
      <c r="R3437" s="65">
        <f ca="1">SUMIF(日報!$J:$J,$O3437,日報!$L:$L)</f>
        <v>0</v>
      </c>
    </row>
    <row r="3438" spans="15:18" x14ac:dyDescent="0.15">
      <c r="O3438" s="7" t="str">
        <f>"REQ"&amp;TEXT([2]RequestList!$A3439,"0000")</f>
        <v>REQ0000</v>
      </c>
      <c r="P3438" s="7">
        <f>[2]RequestList!$J3439</f>
        <v>0</v>
      </c>
      <c r="Q3438" s="65">
        <f>SUMIF(日報!$R:$R,TEXT(YEAR($Q$2),"0000")&amp;TEXT(MONTH($Q$2),"00")&amp;$O3438,日報!$L:$L)</f>
        <v>0</v>
      </c>
      <c r="R3438" s="65">
        <f ca="1">SUMIF(日報!$J:$J,$O3438,日報!$L:$L)</f>
        <v>0</v>
      </c>
    </row>
    <row r="3439" spans="15:18" x14ac:dyDescent="0.15">
      <c r="O3439" s="7" t="str">
        <f>"REQ"&amp;TEXT([2]RequestList!$A3440,"0000")</f>
        <v>REQ0000</v>
      </c>
      <c r="P3439" s="7">
        <f>[2]RequestList!$J3440</f>
        <v>0</v>
      </c>
      <c r="Q3439" s="65">
        <f>SUMIF(日報!$R:$R,TEXT(YEAR($Q$2),"0000")&amp;TEXT(MONTH($Q$2),"00")&amp;$O3439,日報!$L:$L)</f>
        <v>0</v>
      </c>
      <c r="R3439" s="65">
        <f ca="1">SUMIF(日報!$J:$J,$O3439,日報!$L:$L)</f>
        <v>0</v>
      </c>
    </row>
    <row r="3440" spans="15:18" x14ac:dyDescent="0.15">
      <c r="O3440" s="7" t="str">
        <f>"REQ"&amp;TEXT([2]RequestList!$A3441,"0000")</f>
        <v>REQ0000</v>
      </c>
      <c r="P3440" s="7">
        <f>[2]RequestList!$J3441</f>
        <v>0</v>
      </c>
      <c r="Q3440" s="65">
        <f>SUMIF(日報!$R:$R,TEXT(YEAR($Q$2),"0000")&amp;TEXT(MONTH($Q$2),"00")&amp;$O3440,日報!$L:$L)</f>
        <v>0</v>
      </c>
      <c r="R3440" s="65">
        <f ca="1">SUMIF(日報!$J:$J,$O3440,日報!$L:$L)</f>
        <v>0</v>
      </c>
    </row>
    <row r="3441" spans="15:18" x14ac:dyDescent="0.15">
      <c r="O3441" s="7" t="str">
        <f>"REQ"&amp;TEXT([2]RequestList!$A3442,"0000")</f>
        <v>REQ0000</v>
      </c>
      <c r="P3441" s="7">
        <f>[2]RequestList!$J3442</f>
        <v>0</v>
      </c>
      <c r="Q3441" s="65">
        <f>SUMIF(日報!$R:$R,TEXT(YEAR($Q$2),"0000")&amp;TEXT(MONTH($Q$2),"00")&amp;$O3441,日報!$L:$L)</f>
        <v>0</v>
      </c>
      <c r="R3441" s="65">
        <f ca="1">SUMIF(日報!$J:$J,$O3441,日報!$L:$L)</f>
        <v>0</v>
      </c>
    </row>
    <row r="3442" spans="15:18" x14ac:dyDescent="0.15">
      <c r="O3442" s="7" t="str">
        <f>"REQ"&amp;TEXT([2]RequestList!$A3443,"0000")</f>
        <v>REQ0000</v>
      </c>
      <c r="P3442" s="7">
        <f>[2]RequestList!$J3443</f>
        <v>0</v>
      </c>
      <c r="Q3442" s="65">
        <f>SUMIF(日報!$R:$R,TEXT(YEAR($Q$2),"0000")&amp;TEXT(MONTH($Q$2),"00")&amp;$O3442,日報!$L:$L)</f>
        <v>0</v>
      </c>
      <c r="R3442" s="65">
        <f ca="1">SUMIF(日報!$J:$J,$O3442,日報!$L:$L)</f>
        <v>0</v>
      </c>
    </row>
    <row r="3443" spans="15:18" x14ac:dyDescent="0.15">
      <c r="O3443" s="7" t="str">
        <f>"REQ"&amp;TEXT([2]RequestList!$A3444,"0000")</f>
        <v>REQ0000</v>
      </c>
      <c r="P3443" s="7">
        <f>[2]RequestList!$J3444</f>
        <v>0</v>
      </c>
      <c r="Q3443" s="65">
        <f>SUMIF(日報!$R:$R,TEXT(YEAR($Q$2),"0000")&amp;TEXT(MONTH($Q$2),"00")&amp;$O3443,日報!$L:$L)</f>
        <v>0</v>
      </c>
      <c r="R3443" s="65">
        <f ca="1">SUMIF(日報!$J:$J,$O3443,日報!$L:$L)</f>
        <v>0</v>
      </c>
    </row>
    <row r="3444" spans="15:18" x14ac:dyDescent="0.15">
      <c r="O3444" s="7" t="str">
        <f>"REQ"&amp;TEXT([2]RequestList!$A3445,"0000")</f>
        <v>REQ0000</v>
      </c>
      <c r="P3444" s="7">
        <f>[2]RequestList!$J3445</f>
        <v>0</v>
      </c>
      <c r="Q3444" s="65">
        <f>SUMIF(日報!$R:$R,TEXT(YEAR($Q$2),"0000")&amp;TEXT(MONTH($Q$2),"00")&amp;$O3444,日報!$L:$L)</f>
        <v>0</v>
      </c>
      <c r="R3444" s="65">
        <f ca="1">SUMIF(日報!$J:$J,$O3444,日報!$L:$L)</f>
        <v>0</v>
      </c>
    </row>
    <row r="3445" spans="15:18" x14ac:dyDescent="0.15">
      <c r="O3445" s="7" t="str">
        <f>"REQ"&amp;TEXT([2]RequestList!$A3446,"0000")</f>
        <v>REQ0000</v>
      </c>
      <c r="P3445" s="7">
        <f>[2]RequestList!$J3446</f>
        <v>0</v>
      </c>
      <c r="Q3445" s="65">
        <f>SUMIF(日報!$R:$R,TEXT(YEAR($Q$2),"0000")&amp;TEXT(MONTH($Q$2),"00")&amp;$O3445,日報!$L:$L)</f>
        <v>0</v>
      </c>
      <c r="R3445" s="65">
        <f ca="1">SUMIF(日報!$J:$J,$O3445,日報!$L:$L)</f>
        <v>0</v>
      </c>
    </row>
    <row r="3446" spans="15:18" x14ac:dyDescent="0.15">
      <c r="O3446" s="7" t="str">
        <f>"REQ"&amp;TEXT([2]RequestList!$A3447,"0000")</f>
        <v>REQ0000</v>
      </c>
      <c r="P3446" s="7">
        <f>[2]RequestList!$J3447</f>
        <v>0</v>
      </c>
      <c r="Q3446" s="65">
        <f>SUMIF(日報!$R:$R,TEXT(YEAR($Q$2),"0000")&amp;TEXT(MONTH($Q$2),"00")&amp;$O3446,日報!$L:$L)</f>
        <v>0</v>
      </c>
      <c r="R3446" s="65">
        <f ca="1">SUMIF(日報!$J:$J,$O3446,日報!$L:$L)</f>
        <v>0</v>
      </c>
    </row>
    <row r="3447" spans="15:18" x14ac:dyDescent="0.15">
      <c r="O3447" s="7" t="str">
        <f>"REQ"&amp;TEXT([2]RequestList!$A3448,"0000")</f>
        <v>REQ0000</v>
      </c>
      <c r="P3447" s="7">
        <f>[2]RequestList!$J3448</f>
        <v>0</v>
      </c>
      <c r="Q3447" s="65">
        <f>SUMIF(日報!$R:$R,TEXT(YEAR($Q$2),"0000")&amp;TEXT(MONTH($Q$2),"00")&amp;$O3447,日報!$L:$L)</f>
        <v>0</v>
      </c>
      <c r="R3447" s="65">
        <f ca="1">SUMIF(日報!$J:$J,$O3447,日報!$L:$L)</f>
        <v>0</v>
      </c>
    </row>
    <row r="3448" spans="15:18" x14ac:dyDescent="0.15">
      <c r="O3448" s="7" t="str">
        <f>"REQ"&amp;TEXT([2]RequestList!$A3449,"0000")</f>
        <v>REQ0000</v>
      </c>
      <c r="P3448" s="7">
        <f>[2]RequestList!$J3449</f>
        <v>0</v>
      </c>
      <c r="Q3448" s="65">
        <f>SUMIF(日報!$R:$R,TEXT(YEAR($Q$2),"0000")&amp;TEXT(MONTH($Q$2),"00")&amp;$O3448,日報!$L:$L)</f>
        <v>0</v>
      </c>
      <c r="R3448" s="65">
        <f ca="1">SUMIF(日報!$J:$J,$O3448,日報!$L:$L)</f>
        <v>0</v>
      </c>
    </row>
    <row r="3449" spans="15:18" x14ac:dyDescent="0.15">
      <c r="O3449" s="7" t="str">
        <f>"REQ"&amp;TEXT([2]RequestList!$A3450,"0000")</f>
        <v>REQ0000</v>
      </c>
      <c r="P3449" s="7">
        <f>[2]RequestList!$J3450</f>
        <v>0</v>
      </c>
      <c r="Q3449" s="65">
        <f>SUMIF(日報!$R:$R,TEXT(YEAR($Q$2),"0000")&amp;TEXT(MONTH($Q$2),"00")&amp;$O3449,日報!$L:$L)</f>
        <v>0</v>
      </c>
      <c r="R3449" s="65">
        <f ca="1">SUMIF(日報!$J:$J,$O3449,日報!$L:$L)</f>
        <v>0</v>
      </c>
    </row>
    <row r="3450" spans="15:18" x14ac:dyDescent="0.15">
      <c r="O3450" s="7" t="str">
        <f>"REQ"&amp;TEXT([2]RequestList!$A3451,"0000")</f>
        <v>REQ0000</v>
      </c>
      <c r="P3450" s="7">
        <f>[2]RequestList!$J3451</f>
        <v>0</v>
      </c>
      <c r="Q3450" s="65">
        <f>SUMIF(日報!$R:$R,TEXT(YEAR($Q$2),"0000")&amp;TEXT(MONTH($Q$2),"00")&amp;$O3450,日報!$L:$L)</f>
        <v>0</v>
      </c>
      <c r="R3450" s="65">
        <f ca="1">SUMIF(日報!$J:$J,$O3450,日報!$L:$L)</f>
        <v>0</v>
      </c>
    </row>
    <row r="3451" spans="15:18" x14ac:dyDescent="0.15">
      <c r="O3451" s="7" t="str">
        <f>"REQ"&amp;TEXT([2]RequestList!$A3452,"0000")</f>
        <v>REQ0000</v>
      </c>
      <c r="P3451" s="7">
        <f>[2]RequestList!$J3452</f>
        <v>0</v>
      </c>
      <c r="Q3451" s="65">
        <f>SUMIF(日報!$R:$R,TEXT(YEAR($Q$2),"0000")&amp;TEXT(MONTH($Q$2),"00")&amp;$O3451,日報!$L:$L)</f>
        <v>0</v>
      </c>
      <c r="R3451" s="65">
        <f ca="1">SUMIF(日報!$J:$J,$O3451,日報!$L:$L)</f>
        <v>0</v>
      </c>
    </row>
    <row r="3452" spans="15:18" x14ac:dyDescent="0.15">
      <c r="O3452" s="7" t="str">
        <f>"REQ"&amp;TEXT([2]RequestList!$A3453,"0000")</f>
        <v>REQ0000</v>
      </c>
      <c r="P3452" s="7">
        <f>[2]RequestList!$J3453</f>
        <v>0</v>
      </c>
      <c r="Q3452" s="65">
        <f>SUMIF(日報!$R:$R,TEXT(YEAR($Q$2),"0000")&amp;TEXT(MONTH($Q$2),"00")&amp;$O3452,日報!$L:$L)</f>
        <v>0</v>
      </c>
      <c r="R3452" s="65">
        <f ca="1">SUMIF(日報!$J:$J,$O3452,日報!$L:$L)</f>
        <v>0</v>
      </c>
    </row>
    <row r="3453" spans="15:18" x14ac:dyDescent="0.15">
      <c r="O3453" s="7" t="str">
        <f>"REQ"&amp;TEXT([2]RequestList!$A3454,"0000")</f>
        <v>REQ0000</v>
      </c>
      <c r="P3453" s="7">
        <f>[2]RequestList!$J3454</f>
        <v>0</v>
      </c>
      <c r="Q3453" s="65">
        <f>SUMIF(日報!$R:$R,TEXT(YEAR($Q$2),"0000")&amp;TEXT(MONTH($Q$2),"00")&amp;$O3453,日報!$L:$L)</f>
        <v>0</v>
      </c>
      <c r="R3453" s="65">
        <f ca="1">SUMIF(日報!$J:$J,$O3453,日報!$L:$L)</f>
        <v>0</v>
      </c>
    </row>
    <row r="3454" spans="15:18" x14ac:dyDescent="0.15">
      <c r="O3454" s="7" t="str">
        <f>"REQ"&amp;TEXT([2]RequestList!$A3455,"0000")</f>
        <v>REQ0000</v>
      </c>
      <c r="P3454" s="7">
        <f>[2]RequestList!$J3455</f>
        <v>0</v>
      </c>
      <c r="Q3454" s="65">
        <f>SUMIF(日報!$R:$R,TEXT(YEAR($Q$2),"0000")&amp;TEXT(MONTH($Q$2),"00")&amp;$O3454,日報!$L:$L)</f>
        <v>0</v>
      </c>
      <c r="R3454" s="65">
        <f ca="1">SUMIF(日報!$J:$J,$O3454,日報!$L:$L)</f>
        <v>0</v>
      </c>
    </row>
    <row r="3455" spans="15:18" x14ac:dyDescent="0.15">
      <c r="O3455" s="7" t="str">
        <f>"REQ"&amp;TEXT([2]RequestList!$A3456,"0000")</f>
        <v>REQ0000</v>
      </c>
      <c r="P3455" s="7">
        <f>[2]RequestList!$J3456</f>
        <v>0</v>
      </c>
      <c r="Q3455" s="65">
        <f>SUMIF(日報!$R:$R,TEXT(YEAR($Q$2),"0000")&amp;TEXT(MONTH($Q$2),"00")&amp;$O3455,日報!$L:$L)</f>
        <v>0</v>
      </c>
      <c r="R3455" s="65">
        <f ca="1">SUMIF(日報!$J:$J,$O3455,日報!$L:$L)</f>
        <v>0</v>
      </c>
    </row>
    <row r="3456" spans="15:18" x14ac:dyDescent="0.15">
      <c r="O3456" s="7" t="str">
        <f>"REQ"&amp;TEXT([2]RequestList!$A3457,"0000")</f>
        <v>REQ0000</v>
      </c>
      <c r="P3456" s="7">
        <f>[2]RequestList!$J3457</f>
        <v>0</v>
      </c>
      <c r="Q3456" s="65">
        <f>SUMIF(日報!$R:$R,TEXT(YEAR($Q$2),"0000")&amp;TEXT(MONTH($Q$2),"00")&amp;$O3456,日報!$L:$L)</f>
        <v>0</v>
      </c>
      <c r="R3456" s="65">
        <f ca="1">SUMIF(日報!$J:$J,$O3456,日報!$L:$L)</f>
        <v>0</v>
      </c>
    </row>
    <row r="3457" spans="15:18" x14ac:dyDescent="0.15">
      <c r="O3457" s="7" t="str">
        <f>"REQ"&amp;TEXT([2]RequestList!$A3458,"0000")</f>
        <v>REQ0000</v>
      </c>
      <c r="P3457" s="7">
        <f>[2]RequestList!$J3458</f>
        <v>0</v>
      </c>
      <c r="Q3457" s="65">
        <f>SUMIF(日報!$R:$R,TEXT(YEAR($Q$2),"0000")&amp;TEXT(MONTH($Q$2),"00")&amp;$O3457,日報!$L:$L)</f>
        <v>0</v>
      </c>
      <c r="R3457" s="65">
        <f ca="1">SUMIF(日報!$J:$J,$O3457,日報!$L:$L)</f>
        <v>0</v>
      </c>
    </row>
    <row r="3458" spans="15:18" x14ac:dyDescent="0.15">
      <c r="O3458" s="7" t="str">
        <f>"REQ"&amp;TEXT([2]RequestList!$A3459,"0000")</f>
        <v>REQ0000</v>
      </c>
      <c r="P3458" s="7">
        <f>[2]RequestList!$J3459</f>
        <v>0</v>
      </c>
      <c r="Q3458" s="65">
        <f>SUMIF(日報!$R:$R,TEXT(YEAR($Q$2),"0000")&amp;TEXT(MONTH($Q$2),"00")&amp;$O3458,日報!$L:$L)</f>
        <v>0</v>
      </c>
      <c r="R3458" s="65">
        <f ca="1">SUMIF(日報!$J:$J,$O3458,日報!$L:$L)</f>
        <v>0</v>
      </c>
    </row>
    <row r="3459" spans="15:18" x14ac:dyDescent="0.15">
      <c r="O3459" s="7" t="str">
        <f>"REQ"&amp;TEXT([2]RequestList!$A3460,"0000")</f>
        <v>REQ0000</v>
      </c>
      <c r="P3459" s="7">
        <f>[2]RequestList!$J3460</f>
        <v>0</v>
      </c>
      <c r="Q3459" s="65">
        <f>SUMIF(日報!$R:$R,TEXT(YEAR($Q$2),"0000")&amp;TEXT(MONTH($Q$2),"00")&amp;$O3459,日報!$L:$L)</f>
        <v>0</v>
      </c>
      <c r="R3459" s="65">
        <f ca="1">SUMIF(日報!$J:$J,$O3459,日報!$L:$L)</f>
        <v>0</v>
      </c>
    </row>
    <row r="3460" spans="15:18" x14ac:dyDescent="0.15">
      <c r="O3460" s="7" t="str">
        <f>"REQ"&amp;TEXT([2]RequestList!$A3461,"0000")</f>
        <v>REQ0000</v>
      </c>
      <c r="P3460" s="7">
        <f>[2]RequestList!$J3461</f>
        <v>0</v>
      </c>
      <c r="Q3460" s="65">
        <f>SUMIF(日報!$R:$R,TEXT(YEAR($Q$2),"0000")&amp;TEXT(MONTH($Q$2),"00")&amp;$O3460,日報!$L:$L)</f>
        <v>0</v>
      </c>
      <c r="R3460" s="65">
        <f ca="1">SUMIF(日報!$J:$J,$O3460,日報!$L:$L)</f>
        <v>0</v>
      </c>
    </row>
    <row r="3461" spans="15:18" x14ac:dyDescent="0.15">
      <c r="O3461" s="7" t="str">
        <f>"REQ"&amp;TEXT([2]RequestList!$A3462,"0000")</f>
        <v>REQ0000</v>
      </c>
      <c r="P3461" s="7">
        <f>[2]RequestList!$J3462</f>
        <v>0</v>
      </c>
      <c r="Q3461" s="65">
        <f>SUMIF(日報!$R:$R,TEXT(YEAR($Q$2),"0000")&amp;TEXT(MONTH($Q$2),"00")&amp;$O3461,日報!$L:$L)</f>
        <v>0</v>
      </c>
      <c r="R3461" s="65">
        <f ca="1">SUMIF(日報!$J:$J,$O3461,日報!$L:$L)</f>
        <v>0</v>
      </c>
    </row>
    <row r="3462" spans="15:18" x14ac:dyDescent="0.15">
      <c r="O3462" s="7" t="str">
        <f>"REQ"&amp;TEXT([2]RequestList!$A3463,"0000")</f>
        <v>REQ0000</v>
      </c>
      <c r="P3462" s="7">
        <f>[2]RequestList!$J3463</f>
        <v>0</v>
      </c>
      <c r="Q3462" s="65">
        <f>SUMIF(日報!$R:$R,TEXT(YEAR($Q$2),"0000")&amp;TEXT(MONTH($Q$2),"00")&amp;$O3462,日報!$L:$L)</f>
        <v>0</v>
      </c>
      <c r="R3462" s="65">
        <f ca="1">SUMIF(日報!$J:$J,$O3462,日報!$L:$L)</f>
        <v>0</v>
      </c>
    </row>
    <row r="3463" spans="15:18" x14ac:dyDescent="0.15">
      <c r="O3463" s="7" t="str">
        <f>"REQ"&amp;TEXT([2]RequestList!$A3464,"0000")</f>
        <v>REQ0000</v>
      </c>
      <c r="P3463" s="7">
        <f>[2]RequestList!$J3464</f>
        <v>0</v>
      </c>
      <c r="Q3463" s="65">
        <f>SUMIF(日報!$R:$R,TEXT(YEAR($Q$2),"0000")&amp;TEXT(MONTH($Q$2),"00")&amp;$O3463,日報!$L:$L)</f>
        <v>0</v>
      </c>
      <c r="R3463" s="65">
        <f ca="1">SUMIF(日報!$J:$J,$O3463,日報!$L:$L)</f>
        <v>0</v>
      </c>
    </row>
    <row r="3464" spans="15:18" x14ac:dyDescent="0.15">
      <c r="O3464" s="7" t="str">
        <f>"REQ"&amp;TEXT([2]RequestList!$A3465,"0000")</f>
        <v>REQ0000</v>
      </c>
      <c r="P3464" s="7">
        <f>[2]RequestList!$J3465</f>
        <v>0</v>
      </c>
      <c r="Q3464" s="65">
        <f>SUMIF(日報!$R:$R,TEXT(YEAR($Q$2),"0000")&amp;TEXT(MONTH($Q$2),"00")&amp;$O3464,日報!$L:$L)</f>
        <v>0</v>
      </c>
      <c r="R3464" s="65">
        <f ca="1">SUMIF(日報!$J:$J,$O3464,日報!$L:$L)</f>
        <v>0</v>
      </c>
    </row>
    <row r="3465" spans="15:18" x14ac:dyDescent="0.15">
      <c r="O3465" s="7" t="str">
        <f>"REQ"&amp;TEXT([2]RequestList!$A3466,"0000")</f>
        <v>REQ0000</v>
      </c>
      <c r="P3465" s="7">
        <f>[2]RequestList!$J3466</f>
        <v>0</v>
      </c>
      <c r="Q3465" s="65">
        <f>SUMIF(日報!$R:$R,TEXT(YEAR($Q$2),"0000")&amp;TEXT(MONTH($Q$2),"00")&amp;$O3465,日報!$L:$L)</f>
        <v>0</v>
      </c>
      <c r="R3465" s="65">
        <f ca="1">SUMIF(日報!$J:$J,$O3465,日報!$L:$L)</f>
        <v>0</v>
      </c>
    </row>
    <row r="3466" spans="15:18" x14ac:dyDescent="0.15">
      <c r="O3466" s="7" t="str">
        <f>"REQ"&amp;TEXT([2]RequestList!$A3467,"0000")</f>
        <v>REQ0000</v>
      </c>
      <c r="P3466" s="7">
        <f>[2]RequestList!$J3467</f>
        <v>0</v>
      </c>
      <c r="Q3466" s="65">
        <f>SUMIF(日報!$R:$R,TEXT(YEAR($Q$2),"0000")&amp;TEXT(MONTH($Q$2),"00")&amp;$O3466,日報!$L:$L)</f>
        <v>0</v>
      </c>
      <c r="R3466" s="65">
        <f ca="1">SUMIF(日報!$J:$J,$O3466,日報!$L:$L)</f>
        <v>0</v>
      </c>
    </row>
    <row r="3467" spans="15:18" x14ac:dyDescent="0.15">
      <c r="O3467" s="7" t="str">
        <f>"REQ"&amp;TEXT([2]RequestList!$A3468,"0000")</f>
        <v>REQ0000</v>
      </c>
      <c r="P3467" s="7">
        <f>[2]RequestList!$J3468</f>
        <v>0</v>
      </c>
      <c r="Q3467" s="65">
        <f>SUMIF(日報!$R:$R,TEXT(YEAR($Q$2),"0000")&amp;TEXT(MONTH($Q$2),"00")&amp;$O3467,日報!$L:$L)</f>
        <v>0</v>
      </c>
      <c r="R3467" s="65">
        <f ca="1">SUMIF(日報!$J:$J,$O3467,日報!$L:$L)</f>
        <v>0</v>
      </c>
    </row>
    <row r="3468" spans="15:18" x14ac:dyDescent="0.15">
      <c r="O3468" s="7" t="str">
        <f>"REQ"&amp;TEXT([2]RequestList!$A3469,"0000")</f>
        <v>REQ0000</v>
      </c>
      <c r="P3468" s="7">
        <f>[2]RequestList!$J3469</f>
        <v>0</v>
      </c>
      <c r="Q3468" s="65">
        <f>SUMIF(日報!$R:$R,TEXT(YEAR($Q$2),"0000")&amp;TEXT(MONTH($Q$2),"00")&amp;$O3468,日報!$L:$L)</f>
        <v>0</v>
      </c>
      <c r="R3468" s="65">
        <f ca="1">SUMIF(日報!$J:$J,$O3468,日報!$L:$L)</f>
        <v>0</v>
      </c>
    </row>
    <row r="3469" spans="15:18" x14ac:dyDescent="0.15">
      <c r="O3469" s="7" t="str">
        <f>"REQ"&amp;TEXT([2]RequestList!$A3470,"0000")</f>
        <v>REQ0000</v>
      </c>
      <c r="P3469" s="7">
        <f>[2]RequestList!$J3470</f>
        <v>0</v>
      </c>
      <c r="Q3469" s="65">
        <f>SUMIF(日報!$R:$R,TEXT(YEAR($Q$2),"0000")&amp;TEXT(MONTH($Q$2),"00")&amp;$O3469,日報!$L:$L)</f>
        <v>0</v>
      </c>
      <c r="R3469" s="65">
        <f ca="1">SUMIF(日報!$J:$J,$O3469,日報!$L:$L)</f>
        <v>0</v>
      </c>
    </row>
    <row r="3470" spans="15:18" x14ac:dyDescent="0.15">
      <c r="O3470" s="7" t="str">
        <f>"REQ"&amp;TEXT([2]RequestList!$A3471,"0000")</f>
        <v>REQ0000</v>
      </c>
      <c r="P3470" s="7">
        <f>[2]RequestList!$J3471</f>
        <v>0</v>
      </c>
      <c r="Q3470" s="65">
        <f>SUMIF(日報!$R:$R,TEXT(YEAR($Q$2),"0000")&amp;TEXT(MONTH($Q$2),"00")&amp;$O3470,日報!$L:$L)</f>
        <v>0</v>
      </c>
      <c r="R3470" s="65">
        <f ca="1">SUMIF(日報!$J:$J,$O3470,日報!$L:$L)</f>
        <v>0</v>
      </c>
    </row>
    <row r="3471" spans="15:18" x14ac:dyDescent="0.15">
      <c r="O3471" s="7" t="str">
        <f>"REQ"&amp;TEXT([2]RequestList!$A3472,"0000")</f>
        <v>REQ0000</v>
      </c>
      <c r="P3471" s="7">
        <f>[2]RequestList!$J3472</f>
        <v>0</v>
      </c>
      <c r="Q3471" s="65">
        <f>SUMIF(日報!$R:$R,TEXT(YEAR($Q$2),"0000")&amp;TEXT(MONTH($Q$2),"00")&amp;$O3471,日報!$L:$L)</f>
        <v>0</v>
      </c>
      <c r="R3471" s="65">
        <f ca="1">SUMIF(日報!$J:$J,$O3471,日報!$L:$L)</f>
        <v>0</v>
      </c>
    </row>
    <row r="3472" spans="15:18" x14ac:dyDescent="0.15">
      <c r="O3472" s="7" t="str">
        <f>"REQ"&amp;TEXT([2]RequestList!$A3473,"0000")</f>
        <v>REQ0000</v>
      </c>
      <c r="P3472" s="7">
        <f>[2]RequestList!$J3473</f>
        <v>0</v>
      </c>
      <c r="Q3472" s="65">
        <f>SUMIF(日報!$R:$R,TEXT(YEAR($Q$2),"0000")&amp;TEXT(MONTH($Q$2),"00")&amp;$O3472,日報!$L:$L)</f>
        <v>0</v>
      </c>
      <c r="R3472" s="65">
        <f ca="1">SUMIF(日報!$J:$J,$O3472,日報!$L:$L)</f>
        <v>0</v>
      </c>
    </row>
    <row r="3473" spans="15:18" x14ac:dyDescent="0.15">
      <c r="O3473" s="7" t="str">
        <f>"REQ"&amp;TEXT([2]RequestList!$A3474,"0000")</f>
        <v>REQ0000</v>
      </c>
      <c r="P3473" s="7">
        <f>[2]RequestList!$J3474</f>
        <v>0</v>
      </c>
      <c r="Q3473" s="65">
        <f>SUMIF(日報!$R:$R,TEXT(YEAR($Q$2),"0000")&amp;TEXT(MONTH($Q$2),"00")&amp;$O3473,日報!$L:$L)</f>
        <v>0</v>
      </c>
      <c r="R3473" s="65">
        <f ca="1">SUMIF(日報!$J:$J,$O3473,日報!$L:$L)</f>
        <v>0</v>
      </c>
    </row>
    <row r="3474" spans="15:18" x14ac:dyDescent="0.15">
      <c r="O3474" s="7" t="str">
        <f>"REQ"&amp;TEXT([2]RequestList!$A3475,"0000")</f>
        <v>REQ0000</v>
      </c>
      <c r="P3474" s="7">
        <f>[2]RequestList!$J3475</f>
        <v>0</v>
      </c>
      <c r="Q3474" s="65">
        <f>SUMIF(日報!$R:$R,TEXT(YEAR($Q$2),"0000")&amp;TEXT(MONTH($Q$2),"00")&amp;$O3474,日報!$L:$L)</f>
        <v>0</v>
      </c>
      <c r="R3474" s="65">
        <f ca="1">SUMIF(日報!$J:$J,$O3474,日報!$L:$L)</f>
        <v>0</v>
      </c>
    </row>
    <row r="3475" spans="15:18" x14ac:dyDescent="0.15">
      <c r="O3475" s="7" t="str">
        <f>"REQ"&amp;TEXT([2]RequestList!$A3476,"0000")</f>
        <v>REQ0000</v>
      </c>
      <c r="P3475" s="7">
        <f>[2]RequestList!$J3476</f>
        <v>0</v>
      </c>
      <c r="Q3475" s="65">
        <f>SUMIF(日報!$R:$R,TEXT(YEAR($Q$2),"0000")&amp;TEXT(MONTH($Q$2),"00")&amp;$O3475,日報!$L:$L)</f>
        <v>0</v>
      </c>
      <c r="R3475" s="65">
        <f ca="1">SUMIF(日報!$J:$J,$O3475,日報!$L:$L)</f>
        <v>0</v>
      </c>
    </row>
    <row r="3476" spans="15:18" x14ac:dyDescent="0.15">
      <c r="O3476" s="7" t="str">
        <f>"REQ"&amp;TEXT([2]RequestList!$A3477,"0000")</f>
        <v>REQ0000</v>
      </c>
      <c r="P3476" s="7">
        <f>[2]RequestList!$J3477</f>
        <v>0</v>
      </c>
      <c r="Q3476" s="65">
        <f>SUMIF(日報!$R:$R,TEXT(YEAR($Q$2),"0000")&amp;TEXT(MONTH($Q$2),"00")&amp;$O3476,日報!$L:$L)</f>
        <v>0</v>
      </c>
      <c r="R3476" s="65">
        <f ca="1">SUMIF(日報!$J:$J,$O3476,日報!$L:$L)</f>
        <v>0</v>
      </c>
    </row>
    <row r="3477" spans="15:18" x14ac:dyDescent="0.15">
      <c r="O3477" s="7" t="str">
        <f>"REQ"&amp;TEXT([2]RequestList!$A3478,"0000")</f>
        <v>REQ0000</v>
      </c>
      <c r="P3477" s="7">
        <f>[2]RequestList!$J3478</f>
        <v>0</v>
      </c>
      <c r="Q3477" s="65">
        <f>SUMIF(日報!$R:$R,TEXT(YEAR($Q$2),"0000")&amp;TEXT(MONTH($Q$2),"00")&amp;$O3477,日報!$L:$L)</f>
        <v>0</v>
      </c>
      <c r="R3477" s="65">
        <f ca="1">SUMIF(日報!$J:$J,$O3477,日報!$L:$L)</f>
        <v>0</v>
      </c>
    </row>
    <row r="3478" spans="15:18" x14ac:dyDescent="0.15">
      <c r="O3478" s="7" t="str">
        <f>"REQ"&amp;TEXT([2]RequestList!$A3479,"0000")</f>
        <v>REQ0000</v>
      </c>
      <c r="P3478" s="7">
        <f>[2]RequestList!$J3479</f>
        <v>0</v>
      </c>
      <c r="Q3478" s="65">
        <f>SUMIF(日報!$R:$R,TEXT(YEAR($Q$2),"0000")&amp;TEXT(MONTH($Q$2),"00")&amp;$O3478,日報!$L:$L)</f>
        <v>0</v>
      </c>
      <c r="R3478" s="65">
        <f ca="1">SUMIF(日報!$J:$J,$O3478,日報!$L:$L)</f>
        <v>0</v>
      </c>
    </row>
    <row r="3479" spans="15:18" x14ac:dyDescent="0.15">
      <c r="O3479" s="7" t="str">
        <f>"REQ"&amp;TEXT([2]RequestList!$A3480,"0000")</f>
        <v>REQ0000</v>
      </c>
      <c r="P3479" s="7">
        <f>[2]RequestList!$J3480</f>
        <v>0</v>
      </c>
      <c r="Q3479" s="65">
        <f>SUMIF(日報!$R:$R,TEXT(YEAR($Q$2),"0000")&amp;TEXT(MONTH($Q$2),"00")&amp;$O3479,日報!$L:$L)</f>
        <v>0</v>
      </c>
      <c r="R3479" s="65">
        <f ca="1">SUMIF(日報!$J:$J,$O3479,日報!$L:$L)</f>
        <v>0</v>
      </c>
    </row>
    <row r="3480" spans="15:18" x14ac:dyDescent="0.15">
      <c r="O3480" s="7" t="str">
        <f>"REQ"&amp;TEXT([2]RequestList!$A3481,"0000")</f>
        <v>REQ0000</v>
      </c>
      <c r="P3480" s="7">
        <f>[2]RequestList!$J3481</f>
        <v>0</v>
      </c>
      <c r="Q3480" s="65">
        <f>SUMIF(日報!$R:$R,TEXT(YEAR($Q$2),"0000")&amp;TEXT(MONTH($Q$2),"00")&amp;$O3480,日報!$L:$L)</f>
        <v>0</v>
      </c>
      <c r="R3480" s="65">
        <f ca="1">SUMIF(日報!$J:$J,$O3480,日報!$L:$L)</f>
        <v>0</v>
      </c>
    </row>
    <row r="3481" spans="15:18" x14ac:dyDescent="0.15">
      <c r="O3481" s="7" t="str">
        <f>"REQ"&amp;TEXT([2]RequestList!$A3482,"0000")</f>
        <v>REQ0000</v>
      </c>
      <c r="P3481" s="7">
        <f>[2]RequestList!$J3482</f>
        <v>0</v>
      </c>
      <c r="Q3481" s="65">
        <f>SUMIF(日報!$R:$R,TEXT(YEAR($Q$2),"0000")&amp;TEXT(MONTH($Q$2),"00")&amp;$O3481,日報!$L:$L)</f>
        <v>0</v>
      </c>
      <c r="R3481" s="65">
        <f ca="1">SUMIF(日報!$J:$J,$O3481,日報!$L:$L)</f>
        <v>0</v>
      </c>
    </row>
    <row r="3482" spans="15:18" x14ac:dyDescent="0.15">
      <c r="O3482" s="7" t="str">
        <f>"REQ"&amp;TEXT([2]RequestList!$A3483,"0000")</f>
        <v>REQ0000</v>
      </c>
      <c r="P3482" s="7">
        <f>[2]RequestList!$J3483</f>
        <v>0</v>
      </c>
      <c r="Q3482" s="65">
        <f>SUMIF(日報!$R:$R,TEXT(YEAR($Q$2),"0000")&amp;TEXT(MONTH($Q$2),"00")&amp;$O3482,日報!$L:$L)</f>
        <v>0</v>
      </c>
      <c r="R3482" s="65">
        <f ca="1">SUMIF(日報!$J:$J,$O3482,日報!$L:$L)</f>
        <v>0</v>
      </c>
    </row>
    <row r="3483" spans="15:18" x14ac:dyDescent="0.15">
      <c r="O3483" s="7" t="str">
        <f>"REQ"&amp;TEXT([2]RequestList!$A3484,"0000")</f>
        <v>REQ0000</v>
      </c>
      <c r="P3483" s="7">
        <f>[2]RequestList!$J3484</f>
        <v>0</v>
      </c>
      <c r="Q3483" s="65">
        <f>SUMIF(日報!$R:$R,TEXT(YEAR($Q$2),"0000")&amp;TEXT(MONTH($Q$2),"00")&amp;$O3483,日報!$L:$L)</f>
        <v>0</v>
      </c>
      <c r="R3483" s="65">
        <f ca="1">SUMIF(日報!$J:$J,$O3483,日報!$L:$L)</f>
        <v>0</v>
      </c>
    </row>
    <row r="3484" spans="15:18" x14ac:dyDescent="0.15">
      <c r="O3484" s="7" t="str">
        <f>"REQ"&amp;TEXT([2]RequestList!$A3485,"0000")</f>
        <v>REQ0000</v>
      </c>
      <c r="P3484" s="7">
        <f>[2]RequestList!$J3485</f>
        <v>0</v>
      </c>
      <c r="Q3484" s="65">
        <f>SUMIF(日報!$R:$R,TEXT(YEAR($Q$2),"0000")&amp;TEXT(MONTH($Q$2),"00")&amp;$O3484,日報!$L:$L)</f>
        <v>0</v>
      </c>
      <c r="R3484" s="65">
        <f ca="1">SUMIF(日報!$J:$J,$O3484,日報!$L:$L)</f>
        <v>0</v>
      </c>
    </row>
    <row r="3485" spans="15:18" x14ac:dyDescent="0.15">
      <c r="O3485" s="7" t="str">
        <f>"REQ"&amp;TEXT([2]RequestList!$A3486,"0000")</f>
        <v>REQ0000</v>
      </c>
      <c r="P3485" s="7">
        <f>[2]RequestList!$J3486</f>
        <v>0</v>
      </c>
      <c r="Q3485" s="65">
        <f>SUMIF(日報!$R:$R,TEXT(YEAR($Q$2),"0000")&amp;TEXT(MONTH($Q$2),"00")&amp;$O3485,日報!$L:$L)</f>
        <v>0</v>
      </c>
      <c r="R3485" s="65">
        <f ca="1">SUMIF(日報!$J:$J,$O3485,日報!$L:$L)</f>
        <v>0</v>
      </c>
    </row>
    <row r="3486" spans="15:18" x14ac:dyDescent="0.15">
      <c r="O3486" s="7" t="str">
        <f>"REQ"&amp;TEXT([2]RequestList!$A3487,"0000")</f>
        <v>REQ0000</v>
      </c>
      <c r="P3486" s="7">
        <f>[2]RequestList!$J3487</f>
        <v>0</v>
      </c>
      <c r="Q3486" s="65">
        <f>SUMIF(日報!$R:$R,TEXT(YEAR($Q$2),"0000")&amp;TEXT(MONTH($Q$2),"00")&amp;$O3486,日報!$L:$L)</f>
        <v>0</v>
      </c>
      <c r="R3486" s="65">
        <f ca="1">SUMIF(日報!$J:$J,$O3486,日報!$L:$L)</f>
        <v>0</v>
      </c>
    </row>
    <row r="3487" spans="15:18" x14ac:dyDescent="0.15">
      <c r="O3487" s="7" t="str">
        <f>"REQ"&amp;TEXT([2]RequestList!$A3488,"0000")</f>
        <v>REQ0000</v>
      </c>
      <c r="P3487" s="7">
        <f>[2]RequestList!$J3488</f>
        <v>0</v>
      </c>
      <c r="Q3487" s="65">
        <f>SUMIF(日報!$R:$R,TEXT(YEAR($Q$2),"0000")&amp;TEXT(MONTH($Q$2),"00")&amp;$O3487,日報!$L:$L)</f>
        <v>0</v>
      </c>
      <c r="R3487" s="65">
        <f ca="1">SUMIF(日報!$J:$J,$O3487,日報!$L:$L)</f>
        <v>0</v>
      </c>
    </row>
    <row r="3488" spans="15:18" x14ac:dyDescent="0.15">
      <c r="O3488" s="7" t="str">
        <f>"REQ"&amp;TEXT([2]RequestList!$A3489,"0000")</f>
        <v>REQ0000</v>
      </c>
      <c r="P3488" s="7">
        <f>[2]RequestList!$J3489</f>
        <v>0</v>
      </c>
      <c r="Q3488" s="65">
        <f>SUMIF(日報!$R:$R,TEXT(YEAR($Q$2),"0000")&amp;TEXT(MONTH($Q$2),"00")&amp;$O3488,日報!$L:$L)</f>
        <v>0</v>
      </c>
      <c r="R3488" s="65">
        <f ca="1">SUMIF(日報!$J:$J,$O3488,日報!$L:$L)</f>
        <v>0</v>
      </c>
    </row>
    <row r="3489" spans="15:18" x14ac:dyDescent="0.15">
      <c r="O3489" s="7" t="str">
        <f>"REQ"&amp;TEXT([2]RequestList!$A3490,"0000")</f>
        <v>REQ0000</v>
      </c>
      <c r="P3489" s="7">
        <f>[2]RequestList!$J3490</f>
        <v>0</v>
      </c>
      <c r="Q3489" s="65">
        <f>SUMIF(日報!$R:$R,TEXT(YEAR($Q$2),"0000")&amp;TEXT(MONTH($Q$2),"00")&amp;$O3489,日報!$L:$L)</f>
        <v>0</v>
      </c>
      <c r="R3489" s="65">
        <f ca="1">SUMIF(日報!$J:$J,$O3489,日報!$L:$L)</f>
        <v>0</v>
      </c>
    </row>
    <row r="3490" spans="15:18" x14ac:dyDescent="0.15">
      <c r="O3490" s="7" t="str">
        <f>"REQ"&amp;TEXT([2]RequestList!$A3491,"0000")</f>
        <v>REQ0000</v>
      </c>
      <c r="P3490" s="7">
        <f>[2]RequestList!$J3491</f>
        <v>0</v>
      </c>
      <c r="Q3490" s="65">
        <f>SUMIF(日報!$R:$R,TEXT(YEAR($Q$2),"0000")&amp;TEXT(MONTH($Q$2),"00")&amp;$O3490,日報!$L:$L)</f>
        <v>0</v>
      </c>
      <c r="R3490" s="65">
        <f ca="1">SUMIF(日報!$J:$J,$O3490,日報!$L:$L)</f>
        <v>0</v>
      </c>
    </row>
    <row r="3491" spans="15:18" x14ac:dyDescent="0.15">
      <c r="O3491" s="7" t="str">
        <f>"REQ"&amp;TEXT([2]RequestList!$A3492,"0000")</f>
        <v>REQ0000</v>
      </c>
      <c r="P3491" s="7">
        <f>[2]RequestList!$J3492</f>
        <v>0</v>
      </c>
      <c r="Q3491" s="65">
        <f>SUMIF(日報!$R:$R,TEXT(YEAR($Q$2),"0000")&amp;TEXT(MONTH($Q$2),"00")&amp;$O3491,日報!$L:$L)</f>
        <v>0</v>
      </c>
      <c r="R3491" s="65">
        <f ca="1">SUMIF(日報!$J:$J,$O3491,日報!$L:$L)</f>
        <v>0</v>
      </c>
    </row>
    <row r="3492" spans="15:18" x14ac:dyDescent="0.15">
      <c r="O3492" s="7" t="str">
        <f>"REQ"&amp;TEXT([2]RequestList!$A3493,"0000")</f>
        <v>REQ0000</v>
      </c>
      <c r="P3492" s="7">
        <f>[2]RequestList!$J3493</f>
        <v>0</v>
      </c>
      <c r="Q3492" s="65">
        <f>SUMIF(日報!$R:$R,TEXT(YEAR($Q$2),"0000")&amp;TEXT(MONTH($Q$2),"00")&amp;$O3492,日報!$L:$L)</f>
        <v>0</v>
      </c>
      <c r="R3492" s="65">
        <f ca="1">SUMIF(日報!$J:$J,$O3492,日報!$L:$L)</f>
        <v>0</v>
      </c>
    </row>
    <row r="3493" spans="15:18" x14ac:dyDescent="0.15">
      <c r="O3493" s="7" t="str">
        <f>"REQ"&amp;TEXT([2]RequestList!$A3494,"0000")</f>
        <v>REQ0000</v>
      </c>
      <c r="P3493" s="7">
        <f>[2]RequestList!$J3494</f>
        <v>0</v>
      </c>
      <c r="Q3493" s="65">
        <f>SUMIF(日報!$R:$R,TEXT(YEAR($Q$2),"0000")&amp;TEXT(MONTH($Q$2),"00")&amp;$O3493,日報!$L:$L)</f>
        <v>0</v>
      </c>
      <c r="R3493" s="65">
        <f ca="1">SUMIF(日報!$J:$J,$O3493,日報!$L:$L)</f>
        <v>0</v>
      </c>
    </row>
    <row r="3494" spans="15:18" x14ac:dyDescent="0.15">
      <c r="O3494" s="7" t="str">
        <f>"REQ"&amp;TEXT([2]RequestList!$A3495,"0000")</f>
        <v>REQ0000</v>
      </c>
      <c r="P3494" s="7">
        <f>[2]RequestList!$J3495</f>
        <v>0</v>
      </c>
      <c r="Q3494" s="65">
        <f>SUMIF(日報!$R:$R,TEXT(YEAR($Q$2),"0000")&amp;TEXT(MONTH($Q$2),"00")&amp;$O3494,日報!$L:$L)</f>
        <v>0</v>
      </c>
      <c r="R3494" s="65">
        <f ca="1">SUMIF(日報!$J:$J,$O3494,日報!$L:$L)</f>
        <v>0</v>
      </c>
    </row>
    <row r="3495" spans="15:18" x14ac:dyDescent="0.15">
      <c r="O3495" s="7" t="str">
        <f>"REQ"&amp;TEXT([2]RequestList!$A3496,"0000")</f>
        <v>REQ0000</v>
      </c>
      <c r="P3495" s="7">
        <f>[2]RequestList!$J3496</f>
        <v>0</v>
      </c>
      <c r="Q3495" s="65">
        <f>SUMIF(日報!$R:$R,TEXT(YEAR($Q$2),"0000")&amp;TEXT(MONTH($Q$2),"00")&amp;$O3495,日報!$L:$L)</f>
        <v>0</v>
      </c>
      <c r="R3495" s="65">
        <f ca="1">SUMIF(日報!$J:$J,$O3495,日報!$L:$L)</f>
        <v>0</v>
      </c>
    </row>
    <row r="3496" spans="15:18" x14ac:dyDescent="0.15">
      <c r="O3496" s="7" t="str">
        <f>"REQ"&amp;TEXT([2]RequestList!$A3497,"0000")</f>
        <v>REQ0000</v>
      </c>
      <c r="P3496" s="7">
        <f>[2]RequestList!$J3497</f>
        <v>0</v>
      </c>
      <c r="Q3496" s="65">
        <f>SUMIF(日報!$R:$R,TEXT(YEAR($Q$2),"0000")&amp;TEXT(MONTH($Q$2),"00")&amp;$O3496,日報!$L:$L)</f>
        <v>0</v>
      </c>
      <c r="R3496" s="65">
        <f ca="1">SUMIF(日報!$J:$J,$O3496,日報!$L:$L)</f>
        <v>0</v>
      </c>
    </row>
    <row r="3497" spans="15:18" x14ac:dyDescent="0.15">
      <c r="O3497" s="7" t="str">
        <f>"REQ"&amp;TEXT([2]RequestList!$A3498,"0000")</f>
        <v>REQ0000</v>
      </c>
      <c r="P3497" s="7">
        <f>[2]RequestList!$J3498</f>
        <v>0</v>
      </c>
      <c r="Q3497" s="65">
        <f>SUMIF(日報!$R:$R,TEXT(YEAR($Q$2),"0000")&amp;TEXT(MONTH($Q$2),"00")&amp;$O3497,日報!$L:$L)</f>
        <v>0</v>
      </c>
      <c r="R3497" s="65">
        <f ca="1">SUMIF(日報!$J:$J,$O3497,日報!$L:$L)</f>
        <v>0</v>
      </c>
    </row>
    <row r="3498" spans="15:18" x14ac:dyDescent="0.15">
      <c r="O3498" s="7" t="str">
        <f>"REQ"&amp;TEXT([2]RequestList!$A3499,"0000")</f>
        <v>REQ0000</v>
      </c>
      <c r="P3498" s="7">
        <f>[2]RequestList!$J3499</f>
        <v>0</v>
      </c>
      <c r="Q3498" s="65">
        <f>SUMIF(日報!$R:$R,TEXT(YEAR($Q$2),"0000")&amp;TEXT(MONTH($Q$2),"00")&amp;$O3498,日報!$L:$L)</f>
        <v>0</v>
      </c>
      <c r="R3498" s="65">
        <f ca="1">SUMIF(日報!$J:$J,$O3498,日報!$L:$L)</f>
        <v>0</v>
      </c>
    </row>
    <row r="3499" spans="15:18" x14ac:dyDescent="0.15">
      <c r="O3499" s="7" t="str">
        <f>"REQ"&amp;TEXT([2]RequestList!$A3500,"0000")</f>
        <v>REQ0000</v>
      </c>
      <c r="P3499" s="7">
        <f>[2]RequestList!$J3500</f>
        <v>0</v>
      </c>
      <c r="Q3499" s="65">
        <f>SUMIF(日報!$R:$R,TEXT(YEAR($Q$2),"0000")&amp;TEXT(MONTH($Q$2),"00")&amp;$O3499,日報!$L:$L)</f>
        <v>0</v>
      </c>
      <c r="R3499" s="65">
        <f ca="1">SUMIF(日報!$J:$J,$O3499,日報!$L:$L)</f>
        <v>0</v>
      </c>
    </row>
    <row r="3500" spans="15:18" x14ac:dyDescent="0.15">
      <c r="O3500" s="7" t="str">
        <f>"REQ"&amp;TEXT([2]RequestList!$A3501,"0000")</f>
        <v>REQ0000</v>
      </c>
      <c r="P3500" s="7">
        <f>[2]RequestList!$J3501</f>
        <v>0</v>
      </c>
      <c r="Q3500" s="65">
        <f>SUMIF(日報!$R:$R,TEXT(YEAR($Q$2),"0000")&amp;TEXT(MONTH($Q$2),"00")&amp;$O3500,日報!$L:$L)</f>
        <v>0</v>
      </c>
      <c r="R3500" s="65">
        <f ca="1">SUMIF(日報!$J:$J,$O3500,日報!$L:$L)</f>
        <v>0</v>
      </c>
    </row>
    <row r="3501" spans="15:18" x14ac:dyDescent="0.15">
      <c r="O3501" s="7" t="str">
        <f>"REQ"&amp;TEXT([2]RequestList!$A3502,"0000")</f>
        <v>REQ0000</v>
      </c>
      <c r="P3501" s="7">
        <f>[2]RequestList!$J3502</f>
        <v>0</v>
      </c>
      <c r="Q3501" s="65">
        <f>SUMIF(日報!$R:$R,TEXT(YEAR($Q$2),"0000")&amp;TEXT(MONTH($Q$2),"00")&amp;$O3501,日報!$L:$L)</f>
        <v>0</v>
      </c>
      <c r="R3501" s="65">
        <f ca="1">SUMIF(日報!$J:$J,$O3501,日報!$L:$L)</f>
        <v>0</v>
      </c>
    </row>
    <row r="3502" spans="15:18" x14ac:dyDescent="0.15">
      <c r="O3502" s="7" t="str">
        <f>"REQ"&amp;TEXT([2]RequestList!$A3503,"0000")</f>
        <v>REQ0000</v>
      </c>
      <c r="P3502" s="7">
        <f>[2]RequestList!$J3503</f>
        <v>0</v>
      </c>
      <c r="Q3502" s="65">
        <f>SUMIF(日報!$R:$R,TEXT(YEAR($Q$2),"0000")&amp;TEXT(MONTH($Q$2),"00")&amp;$O3502,日報!$L:$L)</f>
        <v>0</v>
      </c>
      <c r="R3502" s="65">
        <f ca="1">SUMIF(日報!$J:$J,$O3502,日報!$L:$L)</f>
        <v>0</v>
      </c>
    </row>
    <row r="3503" spans="15:18" x14ac:dyDescent="0.15">
      <c r="O3503" s="7" t="str">
        <f>"REQ"&amp;TEXT([2]RequestList!$A3504,"0000")</f>
        <v>REQ0000</v>
      </c>
      <c r="P3503" s="7">
        <f>[2]RequestList!$J3504</f>
        <v>0</v>
      </c>
      <c r="Q3503" s="65">
        <f>SUMIF(日報!$R:$R,TEXT(YEAR($Q$2),"0000")&amp;TEXT(MONTH($Q$2),"00")&amp;$O3503,日報!$L:$L)</f>
        <v>0</v>
      </c>
      <c r="R3503" s="65">
        <f ca="1">SUMIF(日報!$J:$J,$O3503,日報!$L:$L)</f>
        <v>0</v>
      </c>
    </row>
    <row r="3504" spans="15:18" x14ac:dyDescent="0.15">
      <c r="O3504" s="7" t="str">
        <f>"REQ"&amp;TEXT([2]RequestList!$A3505,"0000")</f>
        <v>REQ0000</v>
      </c>
      <c r="P3504" s="7">
        <f>[2]RequestList!$J3505</f>
        <v>0</v>
      </c>
      <c r="Q3504" s="65">
        <f>SUMIF(日報!$R:$R,TEXT(YEAR($Q$2),"0000")&amp;TEXT(MONTH($Q$2),"00")&amp;$O3504,日報!$L:$L)</f>
        <v>0</v>
      </c>
      <c r="R3504" s="65">
        <f ca="1">SUMIF(日報!$J:$J,$O3504,日報!$L:$L)</f>
        <v>0</v>
      </c>
    </row>
    <row r="3505" spans="15:18" x14ac:dyDescent="0.15">
      <c r="O3505" s="7" t="str">
        <f>"REQ"&amp;TEXT([2]RequestList!$A3506,"0000")</f>
        <v>REQ0000</v>
      </c>
      <c r="P3505" s="7">
        <f>[2]RequestList!$J3506</f>
        <v>0</v>
      </c>
      <c r="Q3505" s="65">
        <f>SUMIF(日報!$R:$R,TEXT(YEAR($Q$2),"0000")&amp;TEXT(MONTH($Q$2),"00")&amp;$O3505,日報!$L:$L)</f>
        <v>0</v>
      </c>
      <c r="R3505" s="65">
        <f ca="1">SUMIF(日報!$J:$J,$O3505,日報!$L:$L)</f>
        <v>0</v>
      </c>
    </row>
    <row r="3506" spans="15:18" x14ac:dyDescent="0.15">
      <c r="O3506" s="7" t="str">
        <f>"REQ"&amp;TEXT([2]RequestList!$A3507,"0000")</f>
        <v>REQ0000</v>
      </c>
      <c r="P3506" s="7">
        <f>[2]RequestList!$J3507</f>
        <v>0</v>
      </c>
      <c r="Q3506" s="65">
        <f>SUMIF(日報!$R:$R,TEXT(YEAR($Q$2),"0000")&amp;TEXT(MONTH($Q$2),"00")&amp;$O3506,日報!$L:$L)</f>
        <v>0</v>
      </c>
      <c r="R3506" s="65">
        <f ca="1">SUMIF(日報!$J:$J,$O3506,日報!$L:$L)</f>
        <v>0</v>
      </c>
    </row>
    <row r="3507" spans="15:18" x14ac:dyDescent="0.15">
      <c r="O3507" s="7" t="str">
        <f>"REQ"&amp;TEXT([2]RequestList!$A3508,"0000")</f>
        <v>REQ0000</v>
      </c>
      <c r="P3507" s="7">
        <f>[2]RequestList!$J3508</f>
        <v>0</v>
      </c>
      <c r="Q3507" s="65">
        <f>SUMIF(日報!$R:$R,TEXT(YEAR($Q$2),"0000")&amp;TEXT(MONTH($Q$2),"00")&amp;$O3507,日報!$L:$L)</f>
        <v>0</v>
      </c>
      <c r="R3507" s="65">
        <f ca="1">SUMIF(日報!$J:$J,$O3507,日報!$L:$L)</f>
        <v>0</v>
      </c>
    </row>
    <row r="3508" spans="15:18" x14ac:dyDescent="0.15">
      <c r="O3508" s="7" t="str">
        <f>"REQ"&amp;TEXT([2]RequestList!$A3509,"0000")</f>
        <v>REQ0000</v>
      </c>
      <c r="P3508" s="7">
        <f>[2]RequestList!$J3509</f>
        <v>0</v>
      </c>
      <c r="Q3508" s="65">
        <f>SUMIF(日報!$R:$R,TEXT(YEAR($Q$2),"0000")&amp;TEXT(MONTH($Q$2),"00")&amp;$O3508,日報!$L:$L)</f>
        <v>0</v>
      </c>
      <c r="R3508" s="65">
        <f ca="1">SUMIF(日報!$J:$J,$O3508,日報!$L:$L)</f>
        <v>0</v>
      </c>
    </row>
    <row r="3509" spans="15:18" x14ac:dyDescent="0.15">
      <c r="O3509" s="7" t="str">
        <f>"REQ"&amp;TEXT([2]RequestList!$A3510,"0000")</f>
        <v>REQ0000</v>
      </c>
      <c r="P3509" s="7">
        <f>[2]RequestList!$J3510</f>
        <v>0</v>
      </c>
      <c r="Q3509" s="65">
        <f>SUMIF(日報!$R:$R,TEXT(YEAR($Q$2),"0000")&amp;TEXT(MONTH($Q$2),"00")&amp;$O3509,日報!$L:$L)</f>
        <v>0</v>
      </c>
      <c r="R3509" s="65">
        <f ca="1">SUMIF(日報!$J:$J,$O3509,日報!$L:$L)</f>
        <v>0</v>
      </c>
    </row>
    <row r="3510" spans="15:18" x14ac:dyDescent="0.15">
      <c r="O3510" s="7" t="str">
        <f>"REQ"&amp;TEXT([2]RequestList!$A3511,"0000")</f>
        <v>REQ0000</v>
      </c>
      <c r="P3510" s="7">
        <f>[2]RequestList!$J3511</f>
        <v>0</v>
      </c>
      <c r="Q3510" s="65">
        <f>SUMIF(日報!$R:$R,TEXT(YEAR($Q$2),"0000")&amp;TEXT(MONTH($Q$2),"00")&amp;$O3510,日報!$L:$L)</f>
        <v>0</v>
      </c>
      <c r="R3510" s="65">
        <f ca="1">SUMIF(日報!$J:$J,$O3510,日報!$L:$L)</f>
        <v>0</v>
      </c>
    </row>
    <row r="3511" spans="15:18" x14ac:dyDescent="0.15">
      <c r="O3511" s="7" t="str">
        <f>"REQ"&amp;TEXT([2]RequestList!$A3512,"0000")</f>
        <v>REQ0000</v>
      </c>
      <c r="P3511" s="7">
        <f>[2]RequestList!$J3512</f>
        <v>0</v>
      </c>
      <c r="Q3511" s="65">
        <f>SUMIF(日報!$R:$R,TEXT(YEAR($Q$2),"0000")&amp;TEXT(MONTH($Q$2),"00")&amp;$O3511,日報!$L:$L)</f>
        <v>0</v>
      </c>
      <c r="R3511" s="65">
        <f ca="1">SUMIF(日報!$J:$J,$O3511,日報!$L:$L)</f>
        <v>0</v>
      </c>
    </row>
    <row r="3512" spans="15:18" x14ac:dyDescent="0.15">
      <c r="O3512" s="7" t="str">
        <f>"REQ"&amp;TEXT([2]RequestList!$A3513,"0000")</f>
        <v>REQ0000</v>
      </c>
      <c r="P3512" s="7">
        <f>[2]RequestList!$J3513</f>
        <v>0</v>
      </c>
      <c r="Q3512" s="65">
        <f>SUMIF(日報!$R:$R,TEXT(YEAR($Q$2),"0000")&amp;TEXT(MONTH($Q$2),"00")&amp;$O3512,日報!$L:$L)</f>
        <v>0</v>
      </c>
      <c r="R3512" s="65">
        <f ca="1">SUMIF(日報!$J:$J,$O3512,日報!$L:$L)</f>
        <v>0</v>
      </c>
    </row>
    <row r="3513" spans="15:18" x14ac:dyDescent="0.15">
      <c r="O3513" s="7" t="str">
        <f>"REQ"&amp;TEXT([2]RequestList!$A3514,"0000")</f>
        <v>REQ0000</v>
      </c>
      <c r="P3513" s="7">
        <f>[2]RequestList!$J3514</f>
        <v>0</v>
      </c>
      <c r="Q3513" s="65">
        <f>SUMIF(日報!$R:$R,TEXT(YEAR($Q$2),"0000")&amp;TEXT(MONTH($Q$2),"00")&amp;$O3513,日報!$L:$L)</f>
        <v>0</v>
      </c>
      <c r="R3513" s="65">
        <f ca="1">SUMIF(日報!$J:$J,$O3513,日報!$L:$L)</f>
        <v>0</v>
      </c>
    </row>
    <row r="3514" spans="15:18" x14ac:dyDescent="0.15">
      <c r="O3514" s="7" t="str">
        <f>"REQ"&amp;TEXT([2]RequestList!$A3515,"0000")</f>
        <v>REQ0000</v>
      </c>
      <c r="P3514" s="7">
        <f>[2]RequestList!$J3515</f>
        <v>0</v>
      </c>
      <c r="Q3514" s="65">
        <f>SUMIF(日報!$R:$R,TEXT(YEAR($Q$2),"0000")&amp;TEXT(MONTH($Q$2),"00")&amp;$O3514,日報!$L:$L)</f>
        <v>0</v>
      </c>
      <c r="R3514" s="65">
        <f ca="1">SUMIF(日報!$J:$J,$O3514,日報!$L:$L)</f>
        <v>0</v>
      </c>
    </row>
    <row r="3515" spans="15:18" x14ac:dyDescent="0.15">
      <c r="O3515" s="7" t="str">
        <f>"REQ"&amp;TEXT([2]RequestList!$A3516,"0000")</f>
        <v>REQ0000</v>
      </c>
      <c r="P3515" s="7">
        <f>[2]RequestList!$J3516</f>
        <v>0</v>
      </c>
      <c r="Q3515" s="65">
        <f>SUMIF(日報!$R:$R,TEXT(YEAR($Q$2),"0000")&amp;TEXT(MONTH($Q$2),"00")&amp;$O3515,日報!$L:$L)</f>
        <v>0</v>
      </c>
      <c r="R3515" s="65">
        <f ca="1">SUMIF(日報!$J:$J,$O3515,日報!$L:$L)</f>
        <v>0</v>
      </c>
    </row>
    <row r="3516" spans="15:18" x14ac:dyDescent="0.15">
      <c r="O3516" s="7" t="str">
        <f>"REQ"&amp;TEXT([2]RequestList!$A3517,"0000")</f>
        <v>REQ0000</v>
      </c>
      <c r="P3516" s="7">
        <f>[2]RequestList!$J3517</f>
        <v>0</v>
      </c>
      <c r="Q3516" s="65">
        <f>SUMIF(日報!$R:$R,TEXT(YEAR($Q$2),"0000")&amp;TEXT(MONTH($Q$2),"00")&amp;$O3516,日報!$L:$L)</f>
        <v>0</v>
      </c>
      <c r="R3516" s="65">
        <f ca="1">SUMIF(日報!$J:$J,$O3516,日報!$L:$L)</f>
        <v>0</v>
      </c>
    </row>
    <row r="3517" spans="15:18" x14ac:dyDescent="0.15">
      <c r="O3517" s="7" t="str">
        <f>"REQ"&amp;TEXT([2]RequestList!$A3518,"0000")</f>
        <v>REQ0000</v>
      </c>
      <c r="P3517" s="7">
        <f>[2]RequestList!$J3518</f>
        <v>0</v>
      </c>
      <c r="Q3517" s="65">
        <f>SUMIF(日報!$R:$R,TEXT(YEAR($Q$2),"0000")&amp;TEXT(MONTH($Q$2),"00")&amp;$O3517,日報!$L:$L)</f>
        <v>0</v>
      </c>
      <c r="R3517" s="65">
        <f ca="1">SUMIF(日報!$J:$J,$O3517,日報!$L:$L)</f>
        <v>0</v>
      </c>
    </row>
    <row r="3518" spans="15:18" x14ac:dyDescent="0.15">
      <c r="O3518" s="7" t="str">
        <f>"REQ"&amp;TEXT([2]RequestList!$A3519,"0000")</f>
        <v>REQ0000</v>
      </c>
      <c r="P3518" s="7">
        <f>[2]RequestList!$J3519</f>
        <v>0</v>
      </c>
      <c r="Q3518" s="65">
        <f>SUMIF(日報!$R:$R,TEXT(YEAR($Q$2),"0000")&amp;TEXT(MONTH($Q$2),"00")&amp;$O3518,日報!$L:$L)</f>
        <v>0</v>
      </c>
      <c r="R3518" s="65">
        <f ca="1">SUMIF(日報!$J:$J,$O3518,日報!$L:$L)</f>
        <v>0</v>
      </c>
    </row>
    <row r="3519" spans="15:18" x14ac:dyDescent="0.15">
      <c r="O3519" s="7" t="str">
        <f>"REQ"&amp;TEXT([2]RequestList!$A3520,"0000")</f>
        <v>REQ0000</v>
      </c>
      <c r="P3519" s="7">
        <f>[2]RequestList!$J3520</f>
        <v>0</v>
      </c>
      <c r="Q3519" s="65">
        <f>SUMIF(日報!$R:$R,TEXT(YEAR($Q$2),"0000")&amp;TEXT(MONTH($Q$2),"00")&amp;$O3519,日報!$L:$L)</f>
        <v>0</v>
      </c>
      <c r="R3519" s="65">
        <f ca="1">SUMIF(日報!$J:$J,$O3519,日報!$L:$L)</f>
        <v>0</v>
      </c>
    </row>
    <row r="3520" spans="15:18" x14ac:dyDescent="0.15">
      <c r="O3520" s="7" t="str">
        <f>"REQ"&amp;TEXT([2]RequestList!$A3521,"0000")</f>
        <v>REQ0000</v>
      </c>
      <c r="P3520" s="7">
        <f>[2]RequestList!$J3521</f>
        <v>0</v>
      </c>
      <c r="Q3520" s="65">
        <f>SUMIF(日報!$R:$R,TEXT(YEAR($Q$2),"0000")&amp;TEXT(MONTH($Q$2),"00")&amp;$O3520,日報!$L:$L)</f>
        <v>0</v>
      </c>
      <c r="R3520" s="65">
        <f ca="1">SUMIF(日報!$J:$J,$O3520,日報!$L:$L)</f>
        <v>0</v>
      </c>
    </row>
    <row r="3521" spans="15:18" x14ac:dyDescent="0.15">
      <c r="O3521" s="7" t="str">
        <f>"REQ"&amp;TEXT([2]RequestList!$A3522,"0000")</f>
        <v>REQ0000</v>
      </c>
      <c r="P3521" s="7">
        <f>[2]RequestList!$J3522</f>
        <v>0</v>
      </c>
      <c r="Q3521" s="65">
        <f>SUMIF(日報!$R:$R,TEXT(YEAR($Q$2),"0000")&amp;TEXT(MONTH($Q$2),"00")&amp;$O3521,日報!$L:$L)</f>
        <v>0</v>
      </c>
      <c r="R3521" s="65">
        <f ca="1">SUMIF(日報!$J:$J,$O3521,日報!$L:$L)</f>
        <v>0</v>
      </c>
    </row>
    <row r="3522" spans="15:18" x14ac:dyDescent="0.15">
      <c r="O3522" s="7" t="str">
        <f>"REQ"&amp;TEXT([2]RequestList!$A3523,"0000")</f>
        <v>REQ0000</v>
      </c>
      <c r="P3522" s="7">
        <f>[2]RequestList!$J3523</f>
        <v>0</v>
      </c>
      <c r="Q3522" s="65">
        <f>SUMIF(日報!$R:$R,TEXT(YEAR($Q$2),"0000")&amp;TEXT(MONTH($Q$2),"00")&amp;$O3522,日報!$L:$L)</f>
        <v>0</v>
      </c>
      <c r="R3522" s="65">
        <f ca="1">SUMIF(日報!$J:$J,$O3522,日報!$L:$L)</f>
        <v>0</v>
      </c>
    </row>
    <row r="3523" spans="15:18" x14ac:dyDescent="0.15">
      <c r="O3523" s="7" t="str">
        <f>"REQ"&amp;TEXT([2]RequestList!$A3524,"0000")</f>
        <v>REQ0000</v>
      </c>
      <c r="P3523" s="7">
        <f>[2]RequestList!$J3524</f>
        <v>0</v>
      </c>
      <c r="Q3523" s="65">
        <f>SUMIF(日報!$R:$R,TEXT(YEAR($Q$2),"0000")&amp;TEXT(MONTH($Q$2),"00")&amp;$O3523,日報!$L:$L)</f>
        <v>0</v>
      </c>
      <c r="R3523" s="65">
        <f ca="1">SUMIF(日報!$J:$J,$O3523,日報!$L:$L)</f>
        <v>0</v>
      </c>
    </row>
    <row r="3524" spans="15:18" x14ac:dyDescent="0.15">
      <c r="O3524" s="7" t="str">
        <f>"REQ"&amp;TEXT([2]RequestList!$A3525,"0000")</f>
        <v>REQ0000</v>
      </c>
      <c r="P3524" s="7">
        <f>[2]RequestList!$J3525</f>
        <v>0</v>
      </c>
      <c r="Q3524" s="65">
        <f>SUMIF(日報!$R:$R,TEXT(YEAR($Q$2),"0000")&amp;TEXT(MONTH($Q$2),"00")&amp;$O3524,日報!$L:$L)</f>
        <v>0</v>
      </c>
      <c r="R3524" s="65">
        <f ca="1">SUMIF(日報!$J:$J,$O3524,日報!$L:$L)</f>
        <v>0</v>
      </c>
    </row>
    <row r="3525" spans="15:18" x14ac:dyDescent="0.15">
      <c r="O3525" s="7" t="str">
        <f>"REQ"&amp;TEXT([2]RequestList!$A3526,"0000")</f>
        <v>REQ0000</v>
      </c>
      <c r="P3525" s="7">
        <f>[2]RequestList!$J3526</f>
        <v>0</v>
      </c>
      <c r="Q3525" s="65">
        <f>SUMIF(日報!$R:$R,TEXT(YEAR($Q$2),"0000")&amp;TEXT(MONTH($Q$2),"00")&amp;$O3525,日報!$L:$L)</f>
        <v>0</v>
      </c>
      <c r="R3525" s="65">
        <f ca="1">SUMIF(日報!$J:$J,$O3525,日報!$L:$L)</f>
        <v>0</v>
      </c>
    </row>
    <row r="3526" spans="15:18" x14ac:dyDescent="0.15">
      <c r="O3526" s="7" t="str">
        <f>"REQ"&amp;TEXT([2]RequestList!$A3527,"0000")</f>
        <v>REQ0000</v>
      </c>
      <c r="P3526" s="7">
        <f>[2]RequestList!$J3527</f>
        <v>0</v>
      </c>
      <c r="Q3526" s="65">
        <f>SUMIF(日報!$R:$R,TEXT(YEAR($Q$2),"0000")&amp;TEXT(MONTH($Q$2),"00")&amp;$O3526,日報!$L:$L)</f>
        <v>0</v>
      </c>
      <c r="R3526" s="65">
        <f ca="1">SUMIF(日報!$J:$J,$O3526,日報!$L:$L)</f>
        <v>0</v>
      </c>
    </row>
    <row r="3527" spans="15:18" x14ac:dyDescent="0.15">
      <c r="O3527" s="7" t="str">
        <f>"REQ"&amp;TEXT([2]RequestList!$A3528,"0000")</f>
        <v>REQ0000</v>
      </c>
      <c r="P3527" s="7">
        <f>[2]RequestList!$J3528</f>
        <v>0</v>
      </c>
      <c r="Q3527" s="65">
        <f>SUMIF(日報!$R:$R,TEXT(YEAR($Q$2),"0000")&amp;TEXT(MONTH($Q$2),"00")&amp;$O3527,日報!$L:$L)</f>
        <v>0</v>
      </c>
      <c r="R3527" s="65">
        <f ca="1">SUMIF(日報!$J:$J,$O3527,日報!$L:$L)</f>
        <v>0</v>
      </c>
    </row>
    <row r="3528" spans="15:18" x14ac:dyDescent="0.15">
      <c r="O3528" s="7" t="str">
        <f>"REQ"&amp;TEXT([2]RequestList!$A3529,"0000")</f>
        <v>REQ0000</v>
      </c>
      <c r="P3528" s="7">
        <f>[2]RequestList!$J3529</f>
        <v>0</v>
      </c>
      <c r="Q3528" s="65">
        <f>SUMIF(日報!$R:$R,TEXT(YEAR($Q$2),"0000")&amp;TEXT(MONTH($Q$2),"00")&amp;$O3528,日報!$L:$L)</f>
        <v>0</v>
      </c>
      <c r="R3528" s="65">
        <f ca="1">SUMIF(日報!$J:$J,$O3528,日報!$L:$L)</f>
        <v>0</v>
      </c>
    </row>
    <row r="3529" spans="15:18" x14ac:dyDescent="0.15">
      <c r="O3529" s="7" t="str">
        <f>"REQ"&amp;TEXT([2]RequestList!$A3530,"0000")</f>
        <v>REQ0000</v>
      </c>
      <c r="P3529" s="7">
        <f>[2]RequestList!$J3530</f>
        <v>0</v>
      </c>
      <c r="Q3529" s="65">
        <f>SUMIF(日報!$R:$R,TEXT(YEAR($Q$2),"0000")&amp;TEXT(MONTH($Q$2),"00")&amp;$O3529,日報!$L:$L)</f>
        <v>0</v>
      </c>
      <c r="R3529" s="65">
        <f ca="1">SUMIF(日報!$J:$J,$O3529,日報!$L:$L)</f>
        <v>0</v>
      </c>
    </row>
    <row r="3530" spans="15:18" x14ac:dyDescent="0.15">
      <c r="O3530" s="7" t="str">
        <f>"REQ"&amp;TEXT([2]RequestList!$A3531,"0000")</f>
        <v>REQ0000</v>
      </c>
      <c r="P3530" s="7">
        <f>[2]RequestList!$J3531</f>
        <v>0</v>
      </c>
      <c r="Q3530" s="65">
        <f>SUMIF(日報!$R:$R,TEXT(YEAR($Q$2),"0000")&amp;TEXT(MONTH($Q$2),"00")&amp;$O3530,日報!$L:$L)</f>
        <v>0</v>
      </c>
      <c r="R3530" s="65">
        <f ca="1">SUMIF(日報!$J:$J,$O3530,日報!$L:$L)</f>
        <v>0</v>
      </c>
    </row>
    <row r="3531" spans="15:18" x14ac:dyDescent="0.15">
      <c r="O3531" s="7" t="str">
        <f>"REQ"&amp;TEXT([2]RequestList!$A3532,"0000")</f>
        <v>REQ0000</v>
      </c>
      <c r="P3531" s="7">
        <f>[2]RequestList!$J3532</f>
        <v>0</v>
      </c>
      <c r="Q3531" s="65">
        <f>SUMIF(日報!$R:$R,TEXT(YEAR($Q$2),"0000")&amp;TEXT(MONTH($Q$2),"00")&amp;$O3531,日報!$L:$L)</f>
        <v>0</v>
      </c>
      <c r="R3531" s="65">
        <f ca="1">SUMIF(日報!$J:$J,$O3531,日報!$L:$L)</f>
        <v>0</v>
      </c>
    </row>
    <row r="3532" spans="15:18" x14ac:dyDescent="0.15">
      <c r="O3532" s="7" t="str">
        <f>"REQ"&amp;TEXT([2]RequestList!$A3533,"0000")</f>
        <v>REQ0000</v>
      </c>
      <c r="P3532" s="7">
        <f>[2]RequestList!$J3533</f>
        <v>0</v>
      </c>
      <c r="Q3532" s="65">
        <f>SUMIF(日報!$R:$R,TEXT(YEAR($Q$2),"0000")&amp;TEXT(MONTH($Q$2),"00")&amp;$O3532,日報!$L:$L)</f>
        <v>0</v>
      </c>
      <c r="R3532" s="65">
        <f ca="1">SUMIF(日報!$J:$J,$O3532,日報!$L:$L)</f>
        <v>0</v>
      </c>
    </row>
    <row r="3533" spans="15:18" x14ac:dyDescent="0.15">
      <c r="O3533" s="7" t="str">
        <f>"REQ"&amp;TEXT([2]RequestList!$A3534,"0000")</f>
        <v>REQ0000</v>
      </c>
      <c r="P3533" s="7">
        <f>[2]RequestList!$J3534</f>
        <v>0</v>
      </c>
      <c r="Q3533" s="65">
        <f>SUMIF(日報!$R:$R,TEXT(YEAR($Q$2),"0000")&amp;TEXT(MONTH($Q$2),"00")&amp;$O3533,日報!$L:$L)</f>
        <v>0</v>
      </c>
      <c r="R3533" s="65">
        <f ca="1">SUMIF(日報!$J:$J,$O3533,日報!$L:$L)</f>
        <v>0</v>
      </c>
    </row>
    <row r="3534" spans="15:18" x14ac:dyDescent="0.15">
      <c r="O3534" s="7" t="str">
        <f>"REQ"&amp;TEXT([2]RequestList!$A3535,"0000")</f>
        <v>REQ0000</v>
      </c>
      <c r="P3534" s="7">
        <f>[2]RequestList!$J3535</f>
        <v>0</v>
      </c>
      <c r="Q3534" s="65">
        <f>SUMIF(日報!$R:$R,TEXT(YEAR($Q$2),"0000")&amp;TEXT(MONTH($Q$2),"00")&amp;$O3534,日報!$L:$L)</f>
        <v>0</v>
      </c>
      <c r="R3534" s="65">
        <f ca="1">SUMIF(日報!$J:$J,$O3534,日報!$L:$L)</f>
        <v>0</v>
      </c>
    </row>
    <row r="3535" spans="15:18" x14ac:dyDescent="0.15">
      <c r="O3535" s="7" t="str">
        <f>"REQ"&amp;TEXT([2]RequestList!$A3536,"0000")</f>
        <v>REQ0000</v>
      </c>
      <c r="P3535" s="7">
        <f>[2]RequestList!$J3536</f>
        <v>0</v>
      </c>
      <c r="Q3535" s="65">
        <f>SUMIF(日報!$R:$R,TEXT(YEAR($Q$2),"0000")&amp;TEXT(MONTH($Q$2),"00")&amp;$O3535,日報!$L:$L)</f>
        <v>0</v>
      </c>
      <c r="R3535" s="65">
        <f ca="1">SUMIF(日報!$J:$J,$O3535,日報!$L:$L)</f>
        <v>0</v>
      </c>
    </row>
    <row r="3536" spans="15:18" x14ac:dyDescent="0.15">
      <c r="O3536" s="7" t="str">
        <f>"REQ"&amp;TEXT([2]RequestList!$A3537,"0000")</f>
        <v>REQ0000</v>
      </c>
      <c r="P3536" s="7">
        <f>[2]RequestList!$J3537</f>
        <v>0</v>
      </c>
      <c r="Q3536" s="65">
        <f>SUMIF(日報!$R:$R,TEXT(YEAR($Q$2),"0000")&amp;TEXT(MONTH($Q$2),"00")&amp;$O3536,日報!$L:$L)</f>
        <v>0</v>
      </c>
      <c r="R3536" s="65">
        <f ca="1">SUMIF(日報!$J:$J,$O3536,日報!$L:$L)</f>
        <v>0</v>
      </c>
    </row>
    <row r="3537" spans="15:18" x14ac:dyDescent="0.15">
      <c r="O3537" s="7" t="str">
        <f>"REQ"&amp;TEXT([2]RequestList!$A3538,"0000")</f>
        <v>REQ0000</v>
      </c>
      <c r="P3537" s="7">
        <f>[2]RequestList!$J3538</f>
        <v>0</v>
      </c>
      <c r="Q3537" s="65">
        <f>SUMIF(日報!$R:$R,TEXT(YEAR($Q$2),"0000")&amp;TEXT(MONTH($Q$2),"00")&amp;$O3537,日報!$L:$L)</f>
        <v>0</v>
      </c>
      <c r="R3537" s="65">
        <f ca="1">SUMIF(日報!$J:$J,$O3537,日報!$L:$L)</f>
        <v>0</v>
      </c>
    </row>
    <row r="3538" spans="15:18" x14ac:dyDescent="0.15">
      <c r="O3538" s="7" t="str">
        <f>"REQ"&amp;TEXT([2]RequestList!$A3539,"0000")</f>
        <v>REQ0000</v>
      </c>
      <c r="P3538" s="7">
        <f>[2]RequestList!$J3539</f>
        <v>0</v>
      </c>
      <c r="Q3538" s="65">
        <f>SUMIF(日報!$R:$R,TEXT(YEAR($Q$2),"0000")&amp;TEXT(MONTH($Q$2),"00")&amp;$O3538,日報!$L:$L)</f>
        <v>0</v>
      </c>
      <c r="R3538" s="65">
        <f ca="1">SUMIF(日報!$J:$J,$O3538,日報!$L:$L)</f>
        <v>0</v>
      </c>
    </row>
    <row r="3539" spans="15:18" x14ac:dyDescent="0.15">
      <c r="O3539" s="7" t="str">
        <f>"REQ"&amp;TEXT([2]RequestList!$A3540,"0000")</f>
        <v>REQ0000</v>
      </c>
      <c r="P3539" s="7">
        <f>[2]RequestList!$J3540</f>
        <v>0</v>
      </c>
      <c r="Q3539" s="65">
        <f>SUMIF(日報!$R:$R,TEXT(YEAR($Q$2),"0000")&amp;TEXT(MONTH($Q$2),"00")&amp;$O3539,日報!$L:$L)</f>
        <v>0</v>
      </c>
      <c r="R3539" s="65">
        <f ca="1">SUMIF(日報!$J:$J,$O3539,日報!$L:$L)</f>
        <v>0</v>
      </c>
    </row>
    <row r="3540" spans="15:18" x14ac:dyDescent="0.15">
      <c r="O3540" s="7" t="str">
        <f>"REQ"&amp;TEXT([2]RequestList!$A3541,"0000")</f>
        <v>REQ0000</v>
      </c>
      <c r="P3540" s="7">
        <f>[2]RequestList!$J3541</f>
        <v>0</v>
      </c>
      <c r="Q3540" s="65">
        <f>SUMIF(日報!$R:$R,TEXT(YEAR($Q$2),"0000")&amp;TEXT(MONTH($Q$2),"00")&amp;$O3540,日報!$L:$L)</f>
        <v>0</v>
      </c>
      <c r="R3540" s="65">
        <f ca="1">SUMIF(日報!$J:$J,$O3540,日報!$L:$L)</f>
        <v>0</v>
      </c>
    </row>
    <row r="3541" spans="15:18" x14ac:dyDescent="0.15">
      <c r="O3541" s="7" t="str">
        <f>"REQ"&amp;TEXT([2]RequestList!$A3542,"0000")</f>
        <v>REQ0000</v>
      </c>
      <c r="P3541" s="7">
        <f>[2]RequestList!$J3542</f>
        <v>0</v>
      </c>
      <c r="Q3541" s="65">
        <f>SUMIF(日報!$R:$R,TEXT(YEAR($Q$2),"0000")&amp;TEXT(MONTH($Q$2),"00")&amp;$O3541,日報!$L:$L)</f>
        <v>0</v>
      </c>
      <c r="R3541" s="65">
        <f ca="1">SUMIF(日報!$J:$J,$O3541,日報!$L:$L)</f>
        <v>0</v>
      </c>
    </row>
    <row r="3542" spans="15:18" x14ac:dyDescent="0.15">
      <c r="O3542" s="7" t="str">
        <f>"REQ"&amp;TEXT([2]RequestList!$A3543,"0000")</f>
        <v>REQ0000</v>
      </c>
      <c r="P3542" s="7">
        <f>[2]RequestList!$J3543</f>
        <v>0</v>
      </c>
      <c r="Q3542" s="65">
        <f>SUMIF(日報!$R:$R,TEXT(YEAR($Q$2),"0000")&amp;TEXT(MONTH($Q$2),"00")&amp;$O3542,日報!$L:$L)</f>
        <v>0</v>
      </c>
      <c r="R3542" s="65">
        <f ca="1">SUMIF(日報!$J:$J,$O3542,日報!$L:$L)</f>
        <v>0</v>
      </c>
    </row>
    <row r="3543" spans="15:18" x14ac:dyDescent="0.15">
      <c r="O3543" s="7" t="str">
        <f>"REQ"&amp;TEXT([2]RequestList!$A3544,"0000")</f>
        <v>REQ0000</v>
      </c>
      <c r="P3543" s="7">
        <f>[2]RequestList!$J3544</f>
        <v>0</v>
      </c>
      <c r="Q3543" s="65">
        <f>SUMIF(日報!$R:$R,TEXT(YEAR($Q$2),"0000")&amp;TEXT(MONTH($Q$2),"00")&amp;$O3543,日報!$L:$L)</f>
        <v>0</v>
      </c>
      <c r="R3543" s="65">
        <f ca="1">SUMIF(日報!$J:$J,$O3543,日報!$L:$L)</f>
        <v>0</v>
      </c>
    </row>
    <row r="3544" spans="15:18" x14ac:dyDescent="0.15">
      <c r="O3544" s="7" t="str">
        <f>"REQ"&amp;TEXT([2]RequestList!$A3545,"0000")</f>
        <v>REQ0000</v>
      </c>
      <c r="P3544" s="7">
        <f>[2]RequestList!$J3545</f>
        <v>0</v>
      </c>
      <c r="Q3544" s="65">
        <f>SUMIF(日報!$R:$R,TEXT(YEAR($Q$2),"0000")&amp;TEXT(MONTH($Q$2),"00")&amp;$O3544,日報!$L:$L)</f>
        <v>0</v>
      </c>
      <c r="R3544" s="65">
        <f ca="1">SUMIF(日報!$J:$J,$O3544,日報!$L:$L)</f>
        <v>0</v>
      </c>
    </row>
    <row r="3545" spans="15:18" x14ac:dyDescent="0.15">
      <c r="O3545" s="7" t="str">
        <f>"REQ"&amp;TEXT([2]RequestList!$A3546,"0000")</f>
        <v>REQ0000</v>
      </c>
      <c r="P3545" s="7">
        <f>[2]RequestList!$J3546</f>
        <v>0</v>
      </c>
      <c r="Q3545" s="65">
        <f>SUMIF(日報!$R:$R,TEXT(YEAR($Q$2),"0000")&amp;TEXT(MONTH($Q$2),"00")&amp;$O3545,日報!$L:$L)</f>
        <v>0</v>
      </c>
      <c r="R3545" s="65">
        <f ca="1">SUMIF(日報!$J:$J,$O3545,日報!$L:$L)</f>
        <v>0</v>
      </c>
    </row>
    <row r="3546" spans="15:18" x14ac:dyDescent="0.15">
      <c r="O3546" s="7" t="str">
        <f>"REQ"&amp;TEXT([2]RequestList!$A3547,"0000")</f>
        <v>REQ0000</v>
      </c>
      <c r="P3546" s="7">
        <f>[2]RequestList!$J3547</f>
        <v>0</v>
      </c>
      <c r="Q3546" s="65">
        <f>SUMIF(日報!$R:$R,TEXT(YEAR($Q$2),"0000")&amp;TEXT(MONTH($Q$2),"00")&amp;$O3546,日報!$L:$L)</f>
        <v>0</v>
      </c>
      <c r="R3546" s="65">
        <f ca="1">SUMIF(日報!$J:$J,$O3546,日報!$L:$L)</f>
        <v>0</v>
      </c>
    </row>
    <row r="3547" spans="15:18" x14ac:dyDescent="0.15">
      <c r="O3547" s="7" t="str">
        <f>"REQ"&amp;TEXT([2]RequestList!$A3548,"0000")</f>
        <v>REQ0000</v>
      </c>
      <c r="P3547" s="7">
        <f>[2]RequestList!$J3548</f>
        <v>0</v>
      </c>
      <c r="Q3547" s="65">
        <f>SUMIF(日報!$R:$R,TEXT(YEAR($Q$2),"0000")&amp;TEXT(MONTH($Q$2),"00")&amp;$O3547,日報!$L:$L)</f>
        <v>0</v>
      </c>
      <c r="R3547" s="65">
        <f ca="1">SUMIF(日報!$J:$J,$O3547,日報!$L:$L)</f>
        <v>0</v>
      </c>
    </row>
    <row r="3548" spans="15:18" x14ac:dyDescent="0.15">
      <c r="O3548" s="7" t="str">
        <f>"REQ"&amp;TEXT([2]RequestList!$A3549,"0000")</f>
        <v>REQ0000</v>
      </c>
      <c r="P3548" s="7">
        <f>[2]RequestList!$J3549</f>
        <v>0</v>
      </c>
      <c r="Q3548" s="65">
        <f>SUMIF(日報!$R:$R,TEXT(YEAR($Q$2),"0000")&amp;TEXT(MONTH($Q$2),"00")&amp;$O3548,日報!$L:$L)</f>
        <v>0</v>
      </c>
      <c r="R3548" s="65">
        <f ca="1">SUMIF(日報!$J:$J,$O3548,日報!$L:$L)</f>
        <v>0</v>
      </c>
    </row>
    <row r="3549" spans="15:18" x14ac:dyDescent="0.15">
      <c r="O3549" s="7" t="str">
        <f>"REQ"&amp;TEXT([2]RequestList!$A3550,"0000")</f>
        <v>REQ0000</v>
      </c>
      <c r="P3549" s="7">
        <f>[2]RequestList!$J3550</f>
        <v>0</v>
      </c>
      <c r="Q3549" s="65">
        <f>SUMIF(日報!$R:$R,TEXT(YEAR($Q$2),"0000")&amp;TEXT(MONTH($Q$2),"00")&amp;$O3549,日報!$L:$L)</f>
        <v>0</v>
      </c>
      <c r="R3549" s="65">
        <f ca="1">SUMIF(日報!$J:$J,$O3549,日報!$L:$L)</f>
        <v>0</v>
      </c>
    </row>
    <row r="3550" spans="15:18" x14ac:dyDescent="0.15">
      <c r="O3550" s="7" t="str">
        <f>"REQ"&amp;TEXT([2]RequestList!$A3551,"0000")</f>
        <v>REQ0000</v>
      </c>
      <c r="P3550" s="7">
        <f>[2]RequestList!$J3551</f>
        <v>0</v>
      </c>
      <c r="Q3550" s="65">
        <f>SUMIF(日報!$R:$R,TEXT(YEAR($Q$2),"0000")&amp;TEXT(MONTH($Q$2),"00")&amp;$O3550,日報!$L:$L)</f>
        <v>0</v>
      </c>
      <c r="R3550" s="65">
        <f ca="1">SUMIF(日報!$J:$J,$O3550,日報!$L:$L)</f>
        <v>0</v>
      </c>
    </row>
    <row r="3551" spans="15:18" x14ac:dyDescent="0.15">
      <c r="O3551" s="7" t="str">
        <f>"REQ"&amp;TEXT([2]RequestList!$A3552,"0000")</f>
        <v>REQ0000</v>
      </c>
      <c r="P3551" s="7">
        <f>[2]RequestList!$J3552</f>
        <v>0</v>
      </c>
      <c r="Q3551" s="65">
        <f>SUMIF(日報!$R:$R,TEXT(YEAR($Q$2),"0000")&amp;TEXT(MONTH($Q$2),"00")&amp;$O3551,日報!$L:$L)</f>
        <v>0</v>
      </c>
      <c r="R3551" s="65">
        <f ca="1">SUMIF(日報!$J:$J,$O3551,日報!$L:$L)</f>
        <v>0</v>
      </c>
    </row>
    <row r="3552" spans="15:18" x14ac:dyDescent="0.15">
      <c r="O3552" s="7" t="str">
        <f>"REQ"&amp;TEXT([2]RequestList!$A3553,"0000")</f>
        <v>REQ0000</v>
      </c>
      <c r="P3552" s="7">
        <f>[2]RequestList!$J3553</f>
        <v>0</v>
      </c>
      <c r="Q3552" s="65">
        <f>SUMIF(日報!$R:$R,TEXT(YEAR($Q$2),"0000")&amp;TEXT(MONTH($Q$2),"00")&amp;$O3552,日報!$L:$L)</f>
        <v>0</v>
      </c>
      <c r="R3552" s="65">
        <f ca="1">SUMIF(日報!$J:$J,$O3552,日報!$L:$L)</f>
        <v>0</v>
      </c>
    </row>
    <row r="3553" spans="15:18" x14ac:dyDescent="0.15">
      <c r="O3553" s="7" t="str">
        <f>"REQ"&amp;TEXT([2]RequestList!$A3554,"0000")</f>
        <v>REQ0000</v>
      </c>
      <c r="P3553" s="7">
        <f>[2]RequestList!$J3554</f>
        <v>0</v>
      </c>
      <c r="Q3553" s="65">
        <f>SUMIF(日報!$R:$R,TEXT(YEAR($Q$2),"0000")&amp;TEXT(MONTH($Q$2),"00")&amp;$O3553,日報!$L:$L)</f>
        <v>0</v>
      </c>
      <c r="R3553" s="65">
        <f ca="1">SUMIF(日報!$J:$J,$O3553,日報!$L:$L)</f>
        <v>0</v>
      </c>
    </row>
    <row r="3554" spans="15:18" x14ac:dyDescent="0.15">
      <c r="O3554" s="7" t="str">
        <f>"REQ"&amp;TEXT([2]RequestList!$A3555,"0000")</f>
        <v>REQ0000</v>
      </c>
      <c r="P3554" s="7">
        <f>[2]RequestList!$J3555</f>
        <v>0</v>
      </c>
      <c r="Q3554" s="65">
        <f>SUMIF(日報!$R:$R,TEXT(YEAR($Q$2),"0000")&amp;TEXT(MONTH($Q$2),"00")&amp;$O3554,日報!$L:$L)</f>
        <v>0</v>
      </c>
      <c r="R3554" s="65">
        <f ca="1">SUMIF(日報!$J:$J,$O3554,日報!$L:$L)</f>
        <v>0</v>
      </c>
    </row>
    <row r="3555" spans="15:18" x14ac:dyDescent="0.15">
      <c r="O3555" s="7" t="str">
        <f>"REQ"&amp;TEXT([2]RequestList!$A3556,"0000")</f>
        <v>REQ0000</v>
      </c>
      <c r="P3555" s="7">
        <f>[2]RequestList!$J3556</f>
        <v>0</v>
      </c>
      <c r="Q3555" s="65">
        <f>SUMIF(日報!$R:$R,TEXT(YEAR($Q$2),"0000")&amp;TEXT(MONTH($Q$2),"00")&amp;$O3555,日報!$L:$L)</f>
        <v>0</v>
      </c>
      <c r="R3555" s="65">
        <f ca="1">SUMIF(日報!$J:$J,$O3555,日報!$L:$L)</f>
        <v>0</v>
      </c>
    </row>
    <row r="3556" spans="15:18" x14ac:dyDescent="0.15">
      <c r="O3556" s="7" t="str">
        <f>"REQ"&amp;TEXT([2]RequestList!$A3557,"0000")</f>
        <v>REQ0000</v>
      </c>
      <c r="P3556" s="7">
        <f>[2]RequestList!$J3557</f>
        <v>0</v>
      </c>
      <c r="Q3556" s="65">
        <f>SUMIF(日報!$R:$R,TEXT(YEAR($Q$2),"0000")&amp;TEXT(MONTH($Q$2),"00")&amp;$O3556,日報!$L:$L)</f>
        <v>0</v>
      </c>
      <c r="R3556" s="65">
        <f ca="1">SUMIF(日報!$J:$J,$O3556,日報!$L:$L)</f>
        <v>0</v>
      </c>
    </row>
    <row r="3557" spans="15:18" x14ac:dyDescent="0.15">
      <c r="O3557" s="7" t="str">
        <f>"REQ"&amp;TEXT([2]RequestList!$A3558,"0000")</f>
        <v>REQ0000</v>
      </c>
      <c r="P3557" s="7">
        <f>[2]RequestList!$J3558</f>
        <v>0</v>
      </c>
      <c r="Q3557" s="65">
        <f>SUMIF(日報!$R:$R,TEXT(YEAR($Q$2),"0000")&amp;TEXT(MONTH($Q$2),"00")&amp;$O3557,日報!$L:$L)</f>
        <v>0</v>
      </c>
      <c r="R3557" s="65">
        <f ca="1">SUMIF(日報!$J:$J,$O3557,日報!$L:$L)</f>
        <v>0</v>
      </c>
    </row>
    <row r="3558" spans="15:18" x14ac:dyDescent="0.15">
      <c r="O3558" s="7" t="str">
        <f>"REQ"&amp;TEXT([2]RequestList!$A3559,"0000")</f>
        <v>REQ0000</v>
      </c>
      <c r="P3558" s="7">
        <f>[2]RequestList!$J3559</f>
        <v>0</v>
      </c>
      <c r="Q3558" s="65">
        <f>SUMIF(日報!$R:$R,TEXT(YEAR($Q$2),"0000")&amp;TEXT(MONTH($Q$2),"00")&amp;$O3558,日報!$L:$L)</f>
        <v>0</v>
      </c>
      <c r="R3558" s="65">
        <f ca="1">SUMIF(日報!$J:$J,$O3558,日報!$L:$L)</f>
        <v>0</v>
      </c>
    </row>
    <row r="3559" spans="15:18" x14ac:dyDescent="0.15">
      <c r="O3559" s="7" t="str">
        <f>"REQ"&amp;TEXT([2]RequestList!$A3560,"0000")</f>
        <v>REQ0000</v>
      </c>
      <c r="P3559" s="7">
        <f>[2]RequestList!$J3560</f>
        <v>0</v>
      </c>
      <c r="Q3559" s="65">
        <f>SUMIF(日報!$R:$R,TEXT(YEAR($Q$2),"0000")&amp;TEXT(MONTH($Q$2),"00")&amp;$O3559,日報!$L:$L)</f>
        <v>0</v>
      </c>
      <c r="R3559" s="65">
        <f ca="1">SUMIF(日報!$J:$J,$O3559,日報!$L:$L)</f>
        <v>0</v>
      </c>
    </row>
    <row r="3560" spans="15:18" x14ac:dyDescent="0.15">
      <c r="O3560" s="7" t="str">
        <f>"REQ"&amp;TEXT([2]RequestList!$A3561,"0000")</f>
        <v>REQ0000</v>
      </c>
      <c r="P3560" s="7">
        <f>[2]RequestList!$J3561</f>
        <v>0</v>
      </c>
      <c r="Q3560" s="65">
        <f>SUMIF(日報!$R:$R,TEXT(YEAR($Q$2),"0000")&amp;TEXT(MONTH($Q$2),"00")&amp;$O3560,日報!$L:$L)</f>
        <v>0</v>
      </c>
      <c r="R3560" s="65">
        <f ca="1">SUMIF(日報!$J:$J,$O3560,日報!$L:$L)</f>
        <v>0</v>
      </c>
    </row>
    <row r="3561" spans="15:18" x14ac:dyDescent="0.15">
      <c r="O3561" s="7" t="str">
        <f>"REQ"&amp;TEXT([2]RequestList!$A3562,"0000")</f>
        <v>REQ0000</v>
      </c>
      <c r="P3561" s="7">
        <f>[2]RequestList!$J3562</f>
        <v>0</v>
      </c>
      <c r="Q3561" s="65">
        <f>SUMIF(日報!$R:$R,TEXT(YEAR($Q$2),"0000")&amp;TEXT(MONTH($Q$2),"00")&amp;$O3561,日報!$L:$L)</f>
        <v>0</v>
      </c>
      <c r="R3561" s="65">
        <f ca="1">SUMIF(日報!$J:$J,$O3561,日報!$L:$L)</f>
        <v>0</v>
      </c>
    </row>
    <row r="3562" spans="15:18" x14ac:dyDescent="0.15">
      <c r="O3562" s="7" t="str">
        <f>"REQ"&amp;TEXT([2]RequestList!$A3563,"0000")</f>
        <v>REQ0000</v>
      </c>
      <c r="P3562" s="7">
        <f>[2]RequestList!$J3563</f>
        <v>0</v>
      </c>
      <c r="Q3562" s="65">
        <f>SUMIF(日報!$R:$R,TEXT(YEAR($Q$2),"0000")&amp;TEXT(MONTH($Q$2),"00")&amp;$O3562,日報!$L:$L)</f>
        <v>0</v>
      </c>
      <c r="R3562" s="65">
        <f ca="1">SUMIF(日報!$J:$J,$O3562,日報!$L:$L)</f>
        <v>0</v>
      </c>
    </row>
    <row r="3563" spans="15:18" x14ac:dyDescent="0.15">
      <c r="O3563" s="7" t="str">
        <f>"REQ"&amp;TEXT([2]RequestList!$A3564,"0000")</f>
        <v>REQ0000</v>
      </c>
      <c r="P3563" s="7">
        <f>[2]RequestList!$J3564</f>
        <v>0</v>
      </c>
      <c r="Q3563" s="65">
        <f>SUMIF(日報!$R:$R,TEXT(YEAR($Q$2),"0000")&amp;TEXT(MONTH($Q$2),"00")&amp;$O3563,日報!$L:$L)</f>
        <v>0</v>
      </c>
      <c r="R3563" s="65">
        <f ca="1">SUMIF(日報!$J:$J,$O3563,日報!$L:$L)</f>
        <v>0</v>
      </c>
    </row>
    <row r="3564" spans="15:18" x14ac:dyDescent="0.15">
      <c r="O3564" s="7" t="str">
        <f>"REQ"&amp;TEXT([2]RequestList!$A3565,"0000")</f>
        <v>REQ0000</v>
      </c>
      <c r="P3564" s="7">
        <f>[2]RequestList!$J3565</f>
        <v>0</v>
      </c>
      <c r="Q3564" s="65">
        <f>SUMIF(日報!$R:$R,TEXT(YEAR($Q$2),"0000")&amp;TEXT(MONTH($Q$2),"00")&amp;$O3564,日報!$L:$L)</f>
        <v>0</v>
      </c>
      <c r="R3564" s="65">
        <f ca="1">SUMIF(日報!$J:$J,$O3564,日報!$L:$L)</f>
        <v>0</v>
      </c>
    </row>
    <row r="3565" spans="15:18" x14ac:dyDescent="0.15">
      <c r="O3565" s="7" t="str">
        <f>"REQ"&amp;TEXT([2]RequestList!$A3566,"0000")</f>
        <v>REQ0000</v>
      </c>
      <c r="P3565" s="7">
        <f>[2]RequestList!$J3566</f>
        <v>0</v>
      </c>
      <c r="Q3565" s="65">
        <f>SUMIF(日報!$R:$R,TEXT(YEAR($Q$2),"0000")&amp;TEXT(MONTH($Q$2),"00")&amp;$O3565,日報!$L:$L)</f>
        <v>0</v>
      </c>
      <c r="R3565" s="65">
        <f ca="1">SUMIF(日報!$J:$J,$O3565,日報!$L:$L)</f>
        <v>0</v>
      </c>
    </row>
    <row r="3566" spans="15:18" x14ac:dyDescent="0.15">
      <c r="O3566" s="7" t="str">
        <f>"REQ"&amp;TEXT([2]RequestList!$A3567,"0000")</f>
        <v>REQ0000</v>
      </c>
      <c r="P3566" s="7">
        <f>[2]RequestList!$J3567</f>
        <v>0</v>
      </c>
      <c r="Q3566" s="65">
        <f>SUMIF(日報!$R:$R,TEXT(YEAR($Q$2),"0000")&amp;TEXT(MONTH($Q$2),"00")&amp;$O3566,日報!$L:$L)</f>
        <v>0</v>
      </c>
      <c r="R3566" s="65">
        <f ca="1">SUMIF(日報!$J:$J,$O3566,日報!$L:$L)</f>
        <v>0</v>
      </c>
    </row>
    <row r="3567" spans="15:18" x14ac:dyDescent="0.15">
      <c r="O3567" s="7" t="str">
        <f>"REQ"&amp;TEXT([2]RequestList!$A3568,"0000")</f>
        <v>REQ0000</v>
      </c>
      <c r="P3567" s="7">
        <f>[2]RequestList!$J3568</f>
        <v>0</v>
      </c>
      <c r="Q3567" s="65">
        <f>SUMIF(日報!$R:$R,TEXT(YEAR($Q$2),"0000")&amp;TEXT(MONTH($Q$2),"00")&amp;$O3567,日報!$L:$L)</f>
        <v>0</v>
      </c>
      <c r="R3567" s="65">
        <f ca="1">SUMIF(日報!$J:$J,$O3567,日報!$L:$L)</f>
        <v>0</v>
      </c>
    </row>
    <row r="3568" spans="15:18" x14ac:dyDescent="0.15">
      <c r="O3568" s="7" t="str">
        <f>"REQ"&amp;TEXT([2]RequestList!$A3569,"0000")</f>
        <v>REQ0000</v>
      </c>
      <c r="P3568" s="7">
        <f>[2]RequestList!$J3569</f>
        <v>0</v>
      </c>
      <c r="Q3568" s="65">
        <f>SUMIF(日報!$R:$R,TEXT(YEAR($Q$2),"0000")&amp;TEXT(MONTH($Q$2),"00")&amp;$O3568,日報!$L:$L)</f>
        <v>0</v>
      </c>
      <c r="R3568" s="65">
        <f ca="1">SUMIF(日報!$J:$J,$O3568,日報!$L:$L)</f>
        <v>0</v>
      </c>
    </row>
    <row r="3569" spans="15:18" x14ac:dyDescent="0.15">
      <c r="O3569" s="7" t="str">
        <f>"REQ"&amp;TEXT([2]RequestList!$A3570,"0000")</f>
        <v>REQ0000</v>
      </c>
      <c r="P3569" s="7">
        <f>[2]RequestList!$J3570</f>
        <v>0</v>
      </c>
      <c r="Q3569" s="65">
        <f>SUMIF(日報!$R:$R,TEXT(YEAR($Q$2),"0000")&amp;TEXT(MONTH($Q$2),"00")&amp;$O3569,日報!$L:$L)</f>
        <v>0</v>
      </c>
      <c r="R3569" s="65">
        <f ca="1">SUMIF(日報!$J:$J,$O3569,日報!$L:$L)</f>
        <v>0</v>
      </c>
    </row>
    <row r="3570" spans="15:18" x14ac:dyDescent="0.15">
      <c r="O3570" s="7" t="str">
        <f>"REQ"&amp;TEXT([2]RequestList!$A3571,"0000")</f>
        <v>REQ0000</v>
      </c>
      <c r="P3570" s="7">
        <f>[2]RequestList!$J3571</f>
        <v>0</v>
      </c>
      <c r="Q3570" s="65">
        <f>SUMIF(日報!$R:$R,TEXT(YEAR($Q$2),"0000")&amp;TEXT(MONTH($Q$2),"00")&amp;$O3570,日報!$L:$L)</f>
        <v>0</v>
      </c>
      <c r="R3570" s="65">
        <f ca="1">SUMIF(日報!$J:$J,$O3570,日報!$L:$L)</f>
        <v>0</v>
      </c>
    </row>
    <row r="3571" spans="15:18" x14ac:dyDescent="0.15">
      <c r="O3571" s="7" t="str">
        <f>"REQ"&amp;TEXT([2]RequestList!$A3572,"0000")</f>
        <v>REQ0000</v>
      </c>
      <c r="P3571" s="7">
        <f>[2]RequestList!$J3572</f>
        <v>0</v>
      </c>
      <c r="Q3571" s="65">
        <f>SUMIF(日報!$R:$R,TEXT(YEAR($Q$2),"0000")&amp;TEXT(MONTH($Q$2),"00")&amp;$O3571,日報!$L:$L)</f>
        <v>0</v>
      </c>
      <c r="R3571" s="65">
        <f ca="1">SUMIF(日報!$J:$J,$O3571,日報!$L:$L)</f>
        <v>0</v>
      </c>
    </row>
    <row r="3572" spans="15:18" x14ac:dyDescent="0.15">
      <c r="O3572" s="7" t="str">
        <f>"REQ"&amp;TEXT([2]RequestList!$A3573,"0000")</f>
        <v>REQ0000</v>
      </c>
      <c r="P3572" s="7">
        <f>[2]RequestList!$J3573</f>
        <v>0</v>
      </c>
      <c r="Q3572" s="65">
        <f>SUMIF(日報!$R:$R,TEXT(YEAR($Q$2),"0000")&amp;TEXT(MONTH($Q$2),"00")&amp;$O3572,日報!$L:$L)</f>
        <v>0</v>
      </c>
      <c r="R3572" s="65">
        <f ca="1">SUMIF(日報!$J:$J,$O3572,日報!$L:$L)</f>
        <v>0</v>
      </c>
    </row>
    <row r="3573" spans="15:18" x14ac:dyDescent="0.15">
      <c r="O3573" s="7" t="str">
        <f>"REQ"&amp;TEXT([2]RequestList!$A3574,"0000")</f>
        <v>REQ0000</v>
      </c>
      <c r="P3573" s="7">
        <f>[2]RequestList!$J3574</f>
        <v>0</v>
      </c>
      <c r="Q3573" s="65">
        <f>SUMIF(日報!$R:$R,TEXT(YEAR($Q$2),"0000")&amp;TEXT(MONTH($Q$2),"00")&amp;$O3573,日報!$L:$L)</f>
        <v>0</v>
      </c>
      <c r="R3573" s="65">
        <f ca="1">SUMIF(日報!$J:$J,$O3573,日報!$L:$L)</f>
        <v>0</v>
      </c>
    </row>
    <row r="3574" spans="15:18" x14ac:dyDescent="0.15">
      <c r="O3574" s="7" t="str">
        <f>"REQ"&amp;TEXT([2]RequestList!$A3575,"0000")</f>
        <v>REQ0000</v>
      </c>
      <c r="P3574" s="7">
        <f>[2]RequestList!$J3575</f>
        <v>0</v>
      </c>
      <c r="Q3574" s="65">
        <f>SUMIF(日報!$R:$R,TEXT(YEAR($Q$2),"0000")&amp;TEXT(MONTH($Q$2),"00")&amp;$O3574,日報!$L:$L)</f>
        <v>0</v>
      </c>
      <c r="R3574" s="65">
        <f ca="1">SUMIF(日報!$J:$J,$O3574,日報!$L:$L)</f>
        <v>0</v>
      </c>
    </row>
    <row r="3575" spans="15:18" x14ac:dyDescent="0.15">
      <c r="O3575" s="7" t="str">
        <f>"REQ"&amp;TEXT([2]RequestList!$A3576,"0000")</f>
        <v>REQ0000</v>
      </c>
      <c r="P3575" s="7">
        <f>[2]RequestList!$J3576</f>
        <v>0</v>
      </c>
      <c r="Q3575" s="65">
        <f>SUMIF(日報!$R:$R,TEXT(YEAR($Q$2),"0000")&amp;TEXT(MONTH($Q$2),"00")&amp;$O3575,日報!$L:$L)</f>
        <v>0</v>
      </c>
      <c r="R3575" s="65">
        <f ca="1">SUMIF(日報!$J:$J,$O3575,日報!$L:$L)</f>
        <v>0</v>
      </c>
    </row>
    <row r="3576" spans="15:18" x14ac:dyDescent="0.15">
      <c r="O3576" s="7" t="str">
        <f>"REQ"&amp;TEXT([2]RequestList!$A3577,"0000")</f>
        <v>REQ0000</v>
      </c>
      <c r="P3576" s="7">
        <f>[2]RequestList!$J3577</f>
        <v>0</v>
      </c>
      <c r="Q3576" s="65">
        <f>SUMIF(日報!$R:$R,TEXT(YEAR($Q$2),"0000")&amp;TEXT(MONTH($Q$2),"00")&amp;$O3576,日報!$L:$L)</f>
        <v>0</v>
      </c>
      <c r="R3576" s="65">
        <f ca="1">SUMIF(日報!$J:$J,$O3576,日報!$L:$L)</f>
        <v>0</v>
      </c>
    </row>
    <row r="3577" spans="15:18" x14ac:dyDescent="0.15">
      <c r="O3577" s="7" t="str">
        <f>"REQ"&amp;TEXT([2]RequestList!$A3578,"0000")</f>
        <v>REQ0000</v>
      </c>
      <c r="P3577" s="7">
        <f>[2]RequestList!$J3578</f>
        <v>0</v>
      </c>
      <c r="Q3577" s="65">
        <f>SUMIF(日報!$R:$R,TEXT(YEAR($Q$2),"0000")&amp;TEXT(MONTH($Q$2),"00")&amp;$O3577,日報!$L:$L)</f>
        <v>0</v>
      </c>
      <c r="R3577" s="65">
        <f ca="1">SUMIF(日報!$J:$J,$O3577,日報!$L:$L)</f>
        <v>0</v>
      </c>
    </row>
    <row r="3578" spans="15:18" x14ac:dyDescent="0.15">
      <c r="O3578" s="7" t="str">
        <f>"REQ"&amp;TEXT([2]RequestList!$A3579,"0000")</f>
        <v>REQ0000</v>
      </c>
      <c r="P3578" s="7">
        <f>[2]RequestList!$J3579</f>
        <v>0</v>
      </c>
      <c r="Q3578" s="65">
        <f>SUMIF(日報!$R:$R,TEXT(YEAR($Q$2),"0000")&amp;TEXT(MONTH($Q$2),"00")&amp;$O3578,日報!$L:$L)</f>
        <v>0</v>
      </c>
      <c r="R3578" s="65">
        <f ca="1">SUMIF(日報!$J:$J,$O3578,日報!$L:$L)</f>
        <v>0</v>
      </c>
    </row>
    <row r="3579" spans="15:18" x14ac:dyDescent="0.15">
      <c r="O3579" s="7" t="str">
        <f>"REQ"&amp;TEXT([2]RequestList!$A3580,"0000")</f>
        <v>REQ0000</v>
      </c>
      <c r="P3579" s="7">
        <f>[2]RequestList!$J3580</f>
        <v>0</v>
      </c>
      <c r="Q3579" s="65">
        <f>SUMIF(日報!$R:$R,TEXT(YEAR($Q$2),"0000")&amp;TEXT(MONTH($Q$2),"00")&amp;$O3579,日報!$L:$L)</f>
        <v>0</v>
      </c>
      <c r="R3579" s="65">
        <f ca="1">SUMIF(日報!$J:$J,$O3579,日報!$L:$L)</f>
        <v>0</v>
      </c>
    </row>
    <row r="3580" spans="15:18" x14ac:dyDescent="0.15">
      <c r="O3580" s="7" t="str">
        <f>"REQ"&amp;TEXT([2]RequestList!$A3581,"0000")</f>
        <v>REQ0000</v>
      </c>
      <c r="P3580" s="7">
        <f>[2]RequestList!$J3581</f>
        <v>0</v>
      </c>
      <c r="Q3580" s="65">
        <f>SUMIF(日報!$R:$R,TEXT(YEAR($Q$2),"0000")&amp;TEXT(MONTH($Q$2),"00")&amp;$O3580,日報!$L:$L)</f>
        <v>0</v>
      </c>
      <c r="R3580" s="65">
        <f ca="1">SUMIF(日報!$J:$J,$O3580,日報!$L:$L)</f>
        <v>0</v>
      </c>
    </row>
    <row r="3581" spans="15:18" x14ac:dyDescent="0.15">
      <c r="O3581" s="7" t="str">
        <f>"REQ"&amp;TEXT([2]RequestList!$A3582,"0000")</f>
        <v>REQ0000</v>
      </c>
      <c r="P3581" s="7">
        <f>[2]RequestList!$J3582</f>
        <v>0</v>
      </c>
      <c r="Q3581" s="65">
        <f>SUMIF(日報!$R:$R,TEXT(YEAR($Q$2),"0000")&amp;TEXT(MONTH($Q$2),"00")&amp;$O3581,日報!$L:$L)</f>
        <v>0</v>
      </c>
      <c r="R3581" s="65">
        <f ca="1">SUMIF(日報!$J:$J,$O3581,日報!$L:$L)</f>
        <v>0</v>
      </c>
    </row>
    <row r="3582" spans="15:18" x14ac:dyDescent="0.15">
      <c r="O3582" s="7" t="str">
        <f>"REQ"&amp;TEXT([2]RequestList!$A3583,"0000")</f>
        <v>REQ0000</v>
      </c>
      <c r="P3582" s="7">
        <f>[2]RequestList!$J3583</f>
        <v>0</v>
      </c>
      <c r="Q3582" s="65">
        <f>SUMIF(日報!$R:$R,TEXT(YEAR($Q$2),"0000")&amp;TEXT(MONTH($Q$2),"00")&amp;$O3582,日報!$L:$L)</f>
        <v>0</v>
      </c>
      <c r="R3582" s="65">
        <f ca="1">SUMIF(日報!$J:$J,$O3582,日報!$L:$L)</f>
        <v>0</v>
      </c>
    </row>
    <row r="3583" spans="15:18" x14ac:dyDescent="0.15">
      <c r="O3583" s="7" t="str">
        <f>"REQ"&amp;TEXT([2]RequestList!$A3584,"0000")</f>
        <v>REQ0000</v>
      </c>
      <c r="P3583" s="7">
        <f>[2]RequestList!$J3584</f>
        <v>0</v>
      </c>
      <c r="Q3583" s="65">
        <f>SUMIF(日報!$R:$R,TEXT(YEAR($Q$2),"0000")&amp;TEXT(MONTH($Q$2),"00")&amp;$O3583,日報!$L:$L)</f>
        <v>0</v>
      </c>
      <c r="R3583" s="65">
        <f ca="1">SUMIF(日報!$J:$J,$O3583,日報!$L:$L)</f>
        <v>0</v>
      </c>
    </row>
    <row r="3584" spans="15:18" x14ac:dyDescent="0.15">
      <c r="O3584" s="7" t="str">
        <f>"REQ"&amp;TEXT([2]RequestList!$A3585,"0000")</f>
        <v>REQ0000</v>
      </c>
      <c r="P3584" s="7">
        <f>[2]RequestList!$J3585</f>
        <v>0</v>
      </c>
      <c r="Q3584" s="65">
        <f>SUMIF(日報!$R:$R,TEXT(YEAR($Q$2),"0000")&amp;TEXT(MONTH($Q$2),"00")&amp;$O3584,日報!$L:$L)</f>
        <v>0</v>
      </c>
      <c r="R3584" s="65">
        <f ca="1">SUMIF(日報!$J:$J,$O3584,日報!$L:$L)</f>
        <v>0</v>
      </c>
    </row>
    <row r="3585" spans="15:18" x14ac:dyDescent="0.15">
      <c r="O3585" s="7" t="str">
        <f>"REQ"&amp;TEXT([2]RequestList!$A3586,"0000")</f>
        <v>REQ0000</v>
      </c>
      <c r="P3585" s="7">
        <f>[2]RequestList!$J3586</f>
        <v>0</v>
      </c>
      <c r="Q3585" s="65">
        <f>SUMIF(日報!$R:$R,TEXT(YEAR($Q$2),"0000")&amp;TEXT(MONTH($Q$2),"00")&amp;$O3585,日報!$L:$L)</f>
        <v>0</v>
      </c>
      <c r="R3585" s="65">
        <f ca="1">SUMIF(日報!$J:$J,$O3585,日報!$L:$L)</f>
        <v>0</v>
      </c>
    </row>
    <row r="3586" spans="15:18" x14ac:dyDescent="0.15">
      <c r="O3586" s="7" t="str">
        <f>"REQ"&amp;TEXT([2]RequestList!$A3587,"0000")</f>
        <v>REQ0000</v>
      </c>
      <c r="P3586" s="7">
        <f>[2]RequestList!$J3587</f>
        <v>0</v>
      </c>
      <c r="Q3586" s="65">
        <f>SUMIF(日報!$R:$R,TEXT(YEAR($Q$2),"0000")&amp;TEXT(MONTH($Q$2),"00")&amp;$O3586,日報!$L:$L)</f>
        <v>0</v>
      </c>
      <c r="R3586" s="65">
        <f ca="1">SUMIF(日報!$J:$J,$O3586,日報!$L:$L)</f>
        <v>0</v>
      </c>
    </row>
    <row r="3587" spans="15:18" x14ac:dyDescent="0.15">
      <c r="O3587" s="7" t="str">
        <f>"REQ"&amp;TEXT([2]RequestList!$A3588,"0000")</f>
        <v>REQ0000</v>
      </c>
      <c r="P3587" s="7">
        <f>[2]RequestList!$J3588</f>
        <v>0</v>
      </c>
      <c r="Q3587" s="65">
        <f>SUMIF(日報!$R:$R,TEXT(YEAR($Q$2),"0000")&amp;TEXT(MONTH($Q$2),"00")&amp;$O3587,日報!$L:$L)</f>
        <v>0</v>
      </c>
      <c r="R3587" s="65">
        <f ca="1">SUMIF(日報!$J:$J,$O3587,日報!$L:$L)</f>
        <v>0</v>
      </c>
    </row>
    <row r="3588" spans="15:18" x14ac:dyDescent="0.15">
      <c r="O3588" s="7" t="str">
        <f>"REQ"&amp;TEXT([2]RequestList!$A3589,"0000")</f>
        <v>REQ0000</v>
      </c>
      <c r="P3588" s="7">
        <f>[2]RequestList!$J3589</f>
        <v>0</v>
      </c>
      <c r="Q3588" s="65">
        <f>SUMIF(日報!$R:$R,TEXT(YEAR($Q$2),"0000")&amp;TEXT(MONTH($Q$2),"00")&amp;$O3588,日報!$L:$L)</f>
        <v>0</v>
      </c>
      <c r="R3588" s="65">
        <f ca="1">SUMIF(日報!$J:$J,$O3588,日報!$L:$L)</f>
        <v>0</v>
      </c>
    </row>
    <row r="3589" spans="15:18" x14ac:dyDescent="0.15">
      <c r="O3589" s="7" t="str">
        <f>"REQ"&amp;TEXT([2]RequestList!$A3590,"0000")</f>
        <v>REQ0000</v>
      </c>
      <c r="P3589" s="7">
        <f>[2]RequestList!$J3590</f>
        <v>0</v>
      </c>
      <c r="Q3589" s="65">
        <f>SUMIF(日報!$R:$R,TEXT(YEAR($Q$2),"0000")&amp;TEXT(MONTH($Q$2),"00")&amp;$O3589,日報!$L:$L)</f>
        <v>0</v>
      </c>
      <c r="R3589" s="65">
        <f ca="1">SUMIF(日報!$J:$J,$O3589,日報!$L:$L)</f>
        <v>0</v>
      </c>
    </row>
    <row r="3590" spans="15:18" x14ac:dyDescent="0.15">
      <c r="O3590" s="7" t="str">
        <f>"REQ"&amp;TEXT([2]RequestList!$A3591,"0000")</f>
        <v>REQ0000</v>
      </c>
      <c r="P3590" s="7">
        <f>[2]RequestList!$J3591</f>
        <v>0</v>
      </c>
      <c r="Q3590" s="65">
        <f>SUMIF(日報!$R:$R,TEXT(YEAR($Q$2),"0000")&amp;TEXT(MONTH($Q$2),"00")&amp;$O3590,日報!$L:$L)</f>
        <v>0</v>
      </c>
      <c r="R3590" s="65">
        <f ca="1">SUMIF(日報!$J:$J,$O3590,日報!$L:$L)</f>
        <v>0</v>
      </c>
    </row>
    <row r="3591" spans="15:18" x14ac:dyDescent="0.15">
      <c r="O3591" s="7" t="str">
        <f>"REQ"&amp;TEXT([2]RequestList!$A3592,"0000")</f>
        <v>REQ0000</v>
      </c>
      <c r="P3591" s="7">
        <f>[2]RequestList!$J3592</f>
        <v>0</v>
      </c>
      <c r="Q3591" s="65">
        <f>SUMIF(日報!$R:$R,TEXT(YEAR($Q$2),"0000")&amp;TEXT(MONTH($Q$2),"00")&amp;$O3591,日報!$L:$L)</f>
        <v>0</v>
      </c>
      <c r="R3591" s="65">
        <f ca="1">SUMIF(日報!$J:$J,$O3591,日報!$L:$L)</f>
        <v>0</v>
      </c>
    </row>
    <row r="3592" spans="15:18" x14ac:dyDescent="0.15">
      <c r="O3592" s="7" t="str">
        <f>"REQ"&amp;TEXT([2]RequestList!$A3593,"0000")</f>
        <v>REQ0000</v>
      </c>
      <c r="P3592" s="7">
        <f>[2]RequestList!$J3593</f>
        <v>0</v>
      </c>
      <c r="Q3592" s="65">
        <f>SUMIF(日報!$R:$R,TEXT(YEAR($Q$2),"0000")&amp;TEXT(MONTH($Q$2),"00")&amp;$O3592,日報!$L:$L)</f>
        <v>0</v>
      </c>
      <c r="R3592" s="65">
        <f ca="1">SUMIF(日報!$J:$J,$O3592,日報!$L:$L)</f>
        <v>0</v>
      </c>
    </row>
    <row r="3593" spans="15:18" x14ac:dyDescent="0.15">
      <c r="O3593" s="7" t="str">
        <f>"REQ"&amp;TEXT([2]RequestList!$A3594,"0000")</f>
        <v>REQ0000</v>
      </c>
      <c r="P3593" s="7">
        <f>[2]RequestList!$J3594</f>
        <v>0</v>
      </c>
      <c r="Q3593" s="65">
        <f>SUMIF(日報!$R:$R,TEXT(YEAR($Q$2),"0000")&amp;TEXT(MONTH($Q$2),"00")&amp;$O3593,日報!$L:$L)</f>
        <v>0</v>
      </c>
      <c r="R3593" s="65">
        <f ca="1">SUMIF(日報!$J:$J,$O3593,日報!$L:$L)</f>
        <v>0</v>
      </c>
    </row>
    <row r="3594" spans="15:18" x14ac:dyDescent="0.15">
      <c r="O3594" s="7" t="str">
        <f>"REQ"&amp;TEXT([2]RequestList!$A3595,"0000")</f>
        <v>REQ0000</v>
      </c>
      <c r="P3594" s="7">
        <f>[2]RequestList!$J3595</f>
        <v>0</v>
      </c>
      <c r="Q3594" s="65">
        <f>SUMIF(日報!$R:$R,TEXT(YEAR($Q$2),"0000")&amp;TEXT(MONTH($Q$2),"00")&amp;$O3594,日報!$L:$L)</f>
        <v>0</v>
      </c>
      <c r="R3594" s="65">
        <f ca="1">SUMIF(日報!$J:$J,$O3594,日報!$L:$L)</f>
        <v>0</v>
      </c>
    </row>
    <row r="3595" spans="15:18" x14ac:dyDescent="0.15">
      <c r="O3595" s="7" t="str">
        <f>"REQ"&amp;TEXT([2]RequestList!$A3596,"0000")</f>
        <v>REQ0000</v>
      </c>
      <c r="P3595" s="7">
        <f>[2]RequestList!$J3596</f>
        <v>0</v>
      </c>
      <c r="Q3595" s="65">
        <f>SUMIF(日報!$R:$R,TEXT(YEAR($Q$2),"0000")&amp;TEXT(MONTH($Q$2),"00")&amp;$O3595,日報!$L:$L)</f>
        <v>0</v>
      </c>
      <c r="R3595" s="65">
        <f ca="1">SUMIF(日報!$J:$J,$O3595,日報!$L:$L)</f>
        <v>0</v>
      </c>
    </row>
    <row r="3596" spans="15:18" x14ac:dyDescent="0.15">
      <c r="O3596" s="7" t="str">
        <f>"REQ"&amp;TEXT([2]RequestList!$A3597,"0000")</f>
        <v>REQ0000</v>
      </c>
      <c r="P3596" s="7">
        <f>[2]RequestList!$J3597</f>
        <v>0</v>
      </c>
      <c r="Q3596" s="65">
        <f>SUMIF(日報!$R:$R,TEXT(YEAR($Q$2),"0000")&amp;TEXT(MONTH($Q$2),"00")&amp;$O3596,日報!$L:$L)</f>
        <v>0</v>
      </c>
      <c r="R3596" s="65">
        <f ca="1">SUMIF(日報!$J:$J,$O3596,日報!$L:$L)</f>
        <v>0</v>
      </c>
    </row>
    <row r="3597" spans="15:18" x14ac:dyDescent="0.15">
      <c r="O3597" s="7" t="str">
        <f>"REQ"&amp;TEXT([2]RequestList!$A3598,"0000")</f>
        <v>REQ0000</v>
      </c>
      <c r="P3597" s="7">
        <f>[2]RequestList!$J3598</f>
        <v>0</v>
      </c>
      <c r="Q3597" s="65">
        <f>SUMIF(日報!$R:$R,TEXT(YEAR($Q$2),"0000")&amp;TEXT(MONTH($Q$2),"00")&amp;$O3597,日報!$L:$L)</f>
        <v>0</v>
      </c>
      <c r="R3597" s="65">
        <f ca="1">SUMIF(日報!$J:$J,$O3597,日報!$L:$L)</f>
        <v>0</v>
      </c>
    </row>
    <row r="3598" spans="15:18" x14ac:dyDescent="0.15">
      <c r="O3598" s="7" t="str">
        <f>"REQ"&amp;TEXT([2]RequestList!$A3599,"0000")</f>
        <v>REQ0000</v>
      </c>
      <c r="P3598" s="7">
        <f>[2]RequestList!$J3599</f>
        <v>0</v>
      </c>
      <c r="Q3598" s="65">
        <f>SUMIF(日報!$R:$R,TEXT(YEAR($Q$2),"0000")&amp;TEXT(MONTH($Q$2),"00")&amp;$O3598,日報!$L:$L)</f>
        <v>0</v>
      </c>
      <c r="R3598" s="65">
        <f ca="1">SUMIF(日報!$J:$J,$O3598,日報!$L:$L)</f>
        <v>0</v>
      </c>
    </row>
    <row r="3599" spans="15:18" x14ac:dyDescent="0.15">
      <c r="O3599" s="7" t="str">
        <f>"REQ"&amp;TEXT([2]RequestList!$A3600,"0000")</f>
        <v>REQ0000</v>
      </c>
      <c r="P3599" s="7">
        <f>[2]RequestList!$J3600</f>
        <v>0</v>
      </c>
      <c r="Q3599" s="65">
        <f>SUMIF(日報!$R:$R,TEXT(YEAR($Q$2),"0000")&amp;TEXT(MONTH($Q$2),"00")&amp;$O3599,日報!$L:$L)</f>
        <v>0</v>
      </c>
      <c r="R3599" s="65">
        <f ca="1">SUMIF(日報!$J:$J,$O3599,日報!$L:$L)</f>
        <v>0</v>
      </c>
    </row>
    <row r="3600" spans="15:18" x14ac:dyDescent="0.15">
      <c r="O3600" s="7" t="str">
        <f>"REQ"&amp;TEXT([2]RequestList!$A3601,"0000")</f>
        <v>REQ0000</v>
      </c>
      <c r="P3600" s="7">
        <f>[2]RequestList!$J3601</f>
        <v>0</v>
      </c>
      <c r="Q3600" s="65">
        <f>SUMIF(日報!$R:$R,TEXT(YEAR($Q$2),"0000")&amp;TEXT(MONTH($Q$2),"00")&amp;$O3600,日報!$L:$L)</f>
        <v>0</v>
      </c>
      <c r="R3600" s="65">
        <f ca="1">SUMIF(日報!$J:$J,$O3600,日報!$L:$L)</f>
        <v>0</v>
      </c>
    </row>
    <row r="3601" spans="15:18" x14ac:dyDescent="0.15">
      <c r="O3601" s="7" t="str">
        <f>"REQ"&amp;TEXT([2]RequestList!$A3602,"0000")</f>
        <v>REQ0000</v>
      </c>
      <c r="P3601" s="7">
        <f>[2]RequestList!$J3602</f>
        <v>0</v>
      </c>
      <c r="Q3601" s="65">
        <f>SUMIF(日報!$R:$R,TEXT(YEAR($Q$2),"0000")&amp;TEXT(MONTH($Q$2),"00")&amp;$O3601,日報!$L:$L)</f>
        <v>0</v>
      </c>
      <c r="R3601" s="65">
        <f ca="1">SUMIF(日報!$J:$J,$O3601,日報!$L:$L)</f>
        <v>0</v>
      </c>
    </row>
    <row r="3602" spans="15:18" x14ac:dyDescent="0.15">
      <c r="O3602" s="7" t="str">
        <f>"REQ"&amp;TEXT([2]RequestList!$A3603,"0000")</f>
        <v>REQ0000</v>
      </c>
      <c r="P3602" s="7">
        <f>[2]RequestList!$J3603</f>
        <v>0</v>
      </c>
      <c r="Q3602" s="65">
        <f>SUMIF(日報!$R:$R,TEXT(YEAR($Q$2),"0000")&amp;TEXT(MONTH($Q$2),"00")&amp;$O3602,日報!$L:$L)</f>
        <v>0</v>
      </c>
      <c r="R3602" s="65">
        <f ca="1">SUMIF(日報!$J:$J,$O3602,日報!$L:$L)</f>
        <v>0</v>
      </c>
    </row>
    <row r="3603" spans="15:18" x14ac:dyDescent="0.15">
      <c r="O3603" s="7" t="str">
        <f>"REQ"&amp;TEXT([2]RequestList!$A3604,"0000")</f>
        <v>REQ0000</v>
      </c>
      <c r="P3603" s="7">
        <f>[2]RequestList!$J3604</f>
        <v>0</v>
      </c>
      <c r="Q3603" s="65">
        <f>SUMIF(日報!$R:$R,TEXT(YEAR($Q$2),"0000")&amp;TEXT(MONTH($Q$2),"00")&amp;$O3603,日報!$L:$L)</f>
        <v>0</v>
      </c>
      <c r="R3603" s="65">
        <f ca="1">SUMIF(日報!$J:$J,$O3603,日報!$L:$L)</f>
        <v>0</v>
      </c>
    </row>
    <row r="3604" spans="15:18" x14ac:dyDescent="0.15">
      <c r="O3604" s="7" t="str">
        <f>"REQ"&amp;TEXT([2]RequestList!$A3605,"0000")</f>
        <v>REQ0000</v>
      </c>
      <c r="P3604" s="7">
        <f>[2]RequestList!$J3605</f>
        <v>0</v>
      </c>
      <c r="Q3604" s="65">
        <f>SUMIF(日報!$R:$R,TEXT(YEAR($Q$2),"0000")&amp;TEXT(MONTH($Q$2),"00")&amp;$O3604,日報!$L:$L)</f>
        <v>0</v>
      </c>
      <c r="R3604" s="65">
        <f ca="1">SUMIF(日報!$J:$J,$O3604,日報!$L:$L)</f>
        <v>0</v>
      </c>
    </row>
    <row r="3605" spans="15:18" x14ac:dyDescent="0.15">
      <c r="O3605" s="7" t="str">
        <f>"REQ"&amp;TEXT([2]RequestList!$A3606,"0000")</f>
        <v>REQ0000</v>
      </c>
      <c r="P3605" s="7">
        <f>[2]RequestList!$J3606</f>
        <v>0</v>
      </c>
      <c r="Q3605" s="65">
        <f>SUMIF(日報!$R:$R,TEXT(YEAR($Q$2),"0000")&amp;TEXT(MONTH($Q$2),"00")&amp;$O3605,日報!$L:$L)</f>
        <v>0</v>
      </c>
      <c r="R3605" s="65">
        <f ca="1">SUMIF(日報!$J:$J,$O3605,日報!$L:$L)</f>
        <v>0</v>
      </c>
    </row>
    <row r="3606" spans="15:18" x14ac:dyDescent="0.15">
      <c r="O3606" s="7" t="str">
        <f>"REQ"&amp;TEXT([2]RequestList!$A3607,"0000")</f>
        <v>REQ0000</v>
      </c>
      <c r="P3606" s="7">
        <f>[2]RequestList!$J3607</f>
        <v>0</v>
      </c>
      <c r="Q3606" s="65">
        <f>SUMIF(日報!$R:$R,TEXT(YEAR($Q$2),"0000")&amp;TEXT(MONTH($Q$2),"00")&amp;$O3606,日報!$L:$L)</f>
        <v>0</v>
      </c>
      <c r="R3606" s="65">
        <f ca="1">SUMIF(日報!$J:$J,$O3606,日報!$L:$L)</f>
        <v>0</v>
      </c>
    </row>
    <row r="3607" spans="15:18" x14ac:dyDescent="0.15">
      <c r="O3607" s="7" t="str">
        <f>"REQ"&amp;TEXT([2]RequestList!$A3608,"0000")</f>
        <v>REQ0000</v>
      </c>
      <c r="P3607" s="7">
        <f>[2]RequestList!$J3608</f>
        <v>0</v>
      </c>
      <c r="Q3607" s="65">
        <f>SUMIF(日報!$R:$R,TEXT(YEAR($Q$2),"0000")&amp;TEXT(MONTH($Q$2),"00")&amp;$O3607,日報!$L:$L)</f>
        <v>0</v>
      </c>
      <c r="R3607" s="65">
        <f ca="1">SUMIF(日報!$J:$J,$O3607,日報!$L:$L)</f>
        <v>0</v>
      </c>
    </row>
    <row r="3608" spans="15:18" x14ac:dyDescent="0.15">
      <c r="O3608" s="7" t="str">
        <f>"REQ"&amp;TEXT([2]RequestList!$A3609,"0000")</f>
        <v>REQ0000</v>
      </c>
      <c r="P3608" s="7">
        <f>[2]RequestList!$J3609</f>
        <v>0</v>
      </c>
      <c r="Q3608" s="65">
        <f>SUMIF(日報!$R:$R,TEXT(YEAR($Q$2),"0000")&amp;TEXT(MONTH($Q$2),"00")&amp;$O3608,日報!$L:$L)</f>
        <v>0</v>
      </c>
      <c r="R3608" s="65">
        <f ca="1">SUMIF(日報!$J:$J,$O3608,日報!$L:$L)</f>
        <v>0</v>
      </c>
    </row>
    <row r="3609" spans="15:18" x14ac:dyDescent="0.15">
      <c r="O3609" s="7" t="str">
        <f>"REQ"&amp;TEXT([2]RequestList!$A3610,"0000")</f>
        <v>REQ0000</v>
      </c>
      <c r="P3609" s="7">
        <f>[2]RequestList!$J3610</f>
        <v>0</v>
      </c>
      <c r="Q3609" s="65">
        <f>SUMIF(日報!$R:$R,TEXT(YEAR($Q$2),"0000")&amp;TEXT(MONTH($Q$2),"00")&amp;$O3609,日報!$L:$L)</f>
        <v>0</v>
      </c>
      <c r="R3609" s="65">
        <f ca="1">SUMIF(日報!$J:$J,$O3609,日報!$L:$L)</f>
        <v>0</v>
      </c>
    </row>
    <row r="3610" spans="15:18" x14ac:dyDescent="0.15">
      <c r="O3610" s="7" t="str">
        <f>"REQ"&amp;TEXT([2]RequestList!$A3611,"0000")</f>
        <v>REQ0000</v>
      </c>
      <c r="P3610" s="7">
        <f>[2]RequestList!$J3611</f>
        <v>0</v>
      </c>
      <c r="Q3610" s="65">
        <f>SUMIF(日報!$R:$R,TEXT(YEAR($Q$2),"0000")&amp;TEXT(MONTH($Q$2),"00")&amp;$O3610,日報!$L:$L)</f>
        <v>0</v>
      </c>
      <c r="R3610" s="65">
        <f ca="1">SUMIF(日報!$J:$J,$O3610,日報!$L:$L)</f>
        <v>0</v>
      </c>
    </row>
    <row r="3611" spans="15:18" x14ac:dyDescent="0.15">
      <c r="O3611" s="7" t="str">
        <f>"REQ"&amp;TEXT([2]RequestList!$A3612,"0000")</f>
        <v>REQ0000</v>
      </c>
      <c r="P3611" s="7">
        <f>[2]RequestList!$J3612</f>
        <v>0</v>
      </c>
      <c r="Q3611" s="65">
        <f>SUMIF(日報!$R:$R,TEXT(YEAR($Q$2),"0000")&amp;TEXT(MONTH($Q$2),"00")&amp;$O3611,日報!$L:$L)</f>
        <v>0</v>
      </c>
      <c r="R3611" s="65">
        <f ca="1">SUMIF(日報!$J:$J,$O3611,日報!$L:$L)</f>
        <v>0</v>
      </c>
    </row>
    <row r="3612" spans="15:18" x14ac:dyDescent="0.15">
      <c r="O3612" s="7" t="str">
        <f>"REQ"&amp;TEXT([2]RequestList!$A3613,"0000")</f>
        <v>REQ0000</v>
      </c>
      <c r="P3612" s="7">
        <f>[2]RequestList!$J3613</f>
        <v>0</v>
      </c>
      <c r="Q3612" s="65">
        <f>SUMIF(日報!$R:$R,TEXT(YEAR($Q$2),"0000")&amp;TEXT(MONTH($Q$2),"00")&amp;$O3612,日報!$L:$L)</f>
        <v>0</v>
      </c>
      <c r="R3612" s="65">
        <f ca="1">SUMIF(日報!$J:$J,$O3612,日報!$L:$L)</f>
        <v>0</v>
      </c>
    </row>
    <row r="3613" spans="15:18" x14ac:dyDescent="0.15">
      <c r="O3613" s="7" t="str">
        <f>"REQ"&amp;TEXT([2]RequestList!$A3614,"0000")</f>
        <v>REQ0000</v>
      </c>
      <c r="P3613" s="7">
        <f>[2]RequestList!$J3614</f>
        <v>0</v>
      </c>
      <c r="Q3613" s="65">
        <f>SUMIF(日報!$R:$R,TEXT(YEAR($Q$2),"0000")&amp;TEXT(MONTH($Q$2),"00")&amp;$O3613,日報!$L:$L)</f>
        <v>0</v>
      </c>
      <c r="R3613" s="65">
        <f ca="1">SUMIF(日報!$J:$J,$O3613,日報!$L:$L)</f>
        <v>0</v>
      </c>
    </row>
    <row r="3614" spans="15:18" x14ac:dyDescent="0.15">
      <c r="O3614" s="7" t="str">
        <f>"REQ"&amp;TEXT([2]RequestList!$A3615,"0000")</f>
        <v>REQ0000</v>
      </c>
      <c r="P3614" s="7">
        <f>[2]RequestList!$J3615</f>
        <v>0</v>
      </c>
      <c r="Q3614" s="65">
        <f>SUMIF(日報!$R:$R,TEXT(YEAR($Q$2),"0000")&amp;TEXT(MONTH($Q$2),"00")&amp;$O3614,日報!$L:$L)</f>
        <v>0</v>
      </c>
      <c r="R3614" s="65">
        <f ca="1">SUMIF(日報!$J:$J,$O3614,日報!$L:$L)</f>
        <v>0</v>
      </c>
    </row>
    <row r="3615" spans="15:18" x14ac:dyDescent="0.15">
      <c r="O3615" s="7" t="str">
        <f>"REQ"&amp;TEXT([2]RequestList!$A3616,"0000")</f>
        <v>REQ0000</v>
      </c>
      <c r="P3615" s="7">
        <f>[2]RequestList!$J3616</f>
        <v>0</v>
      </c>
      <c r="Q3615" s="65">
        <f>SUMIF(日報!$R:$R,TEXT(YEAR($Q$2),"0000")&amp;TEXT(MONTH($Q$2),"00")&amp;$O3615,日報!$L:$L)</f>
        <v>0</v>
      </c>
      <c r="R3615" s="65">
        <f ca="1">SUMIF(日報!$J:$J,$O3615,日報!$L:$L)</f>
        <v>0</v>
      </c>
    </row>
    <row r="3616" spans="15:18" x14ac:dyDescent="0.15">
      <c r="O3616" s="7" t="str">
        <f>"REQ"&amp;TEXT([2]RequestList!$A3617,"0000")</f>
        <v>REQ0000</v>
      </c>
      <c r="P3616" s="7">
        <f>[2]RequestList!$J3617</f>
        <v>0</v>
      </c>
      <c r="Q3616" s="65">
        <f>SUMIF(日報!$R:$R,TEXT(YEAR($Q$2),"0000")&amp;TEXT(MONTH($Q$2),"00")&amp;$O3616,日報!$L:$L)</f>
        <v>0</v>
      </c>
      <c r="R3616" s="65">
        <f ca="1">SUMIF(日報!$J:$J,$O3616,日報!$L:$L)</f>
        <v>0</v>
      </c>
    </row>
    <row r="3617" spans="15:18" x14ac:dyDescent="0.15">
      <c r="O3617" s="7" t="str">
        <f>"REQ"&amp;TEXT([2]RequestList!$A3618,"0000")</f>
        <v>REQ0000</v>
      </c>
      <c r="P3617" s="7">
        <f>[2]RequestList!$J3618</f>
        <v>0</v>
      </c>
      <c r="Q3617" s="65">
        <f>SUMIF(日報!$R:$R,TEXT(YEAR($Q$2),"0000")&amp;TEXT(MONTH($Q$2),"00")&amp;$O3617,日報!$L:$L)</f>
        <v>0</v>
      </c>
      <c r="R3617" s="65">
        <f ca="1">SUMIF(日報!$J:$J,$O3617,日報!$L:$L)</f>
        <v>0</v>
      </c>
    </row>
    <row r="3618" spans="15:18" x14ac:dyDescent="0.15">
      <c r="O3618" s="7" t="str">
        <f>"REQ"&amp;TEXT([2]RequestList!$A3619,"0000")</f>
        <v>REQ0000</v>
      </c>
      <c r="P3618" s="7">
        <f>[2]RequestList!$J3619</f>
        <v>0</v>
      </c>
      <c r="Q3618" s="65">
        <f>SUMIF(日報!$R:$R,TEXT(YEAR($Q$2),"0000")&amp;TEXT(MONTH($Q$2),"00")&amp;$O3618,日報!$L:$L)</f>
        <v>0</v>
      </c>
      <c r="R3618" s="65">
        <f ca="1">SUMIF(日報!$J:$J,$O3618,日報!$L:$L)</f>
        <v>0</v>
      </c>
    </row>
    <row r="3619" spans="15:18" x14ac:dyDescent="0.15">
      <c r="O3619" s="7" t="str">
        <f>"REQ"&amp;TEXT([2]RequestList!$A3620,"0000")</f>
        <v>REQ0000</v>
      </c>
      <c r="P3619" s="7">
        <f>[2]RequestList!$J3620</f>
        <v>0</v>
      </c>
      <c r="Q3619" s="65">
        <f>SUMIF(日報!$R:$R,TEXT(YEAR($Q$2),"0000")&amp;TEXT(MONTH($Q$2),"00")&amp;$O3619,日報!$L:$L)</f>
        <v>0</v>
      </c>
      <c r="R3619" s="65">
        <f ca="1">SUMIF(日報!$J:$J,$O3619,日報!$L:$L)</f>
        <v>0</v>
      </c>
    </row>
    <row r="3620" spans="15:18" x14ac:dyDescent="0.15">
      <c r="O3620" s="7" t="str">
        <f>"REQ"&amp;TEXT([2]RequestList!$A3621,"0000")</f>
        <v>REQ0000</v>
      </c>
      <c r="P3620" s="7">
        <f>[2]RequestList!$J3621</f>
        <v>0</v>
      </c>
      <c r="Q3620" s="65">
        <f>SUMIF(日報!$R:$R,TEXT(YEAR($Q$2),"0000")&amp;TEXT(MONTH($Q$2),"00")&amp;$O3620,日報!$L:$L)</f>
        <v>0</v>
      </c>
      <c r="R3620" s="65">
        <f ca="1">SUMIF(日報!$J:$J,$O3620,日報!$L:$L)</f>
        <v>0</v>
      </c>
    </row>
    <row r="3621" spans="15:18" x14ac:dyDescent="0.15">
      <c r="O3621" s="7" t="str">
        <f>"REQ"&amp;TEXT([2]RequestList!$A3622,"0000")</f>
        <v>REQ0000</v>
      </c>
      <c r="P3621" s="7">
        <f>[2]RequestList!$J3622</f>
        <v>0</v>
      </c>
      <c r="Q3621" s="65">
        <f>SUMIF(日報!$R:$R,TEXT(YEAR($Q$2),"0000")&amp;TEXT(MONTH($Q$2),"00")&amp;$O3621,日報!$L:$L)</f>
        <v>0</v>
      </c>
      <c r="R3621" s="65">
        <f ca="1">SUMIF(日報!$J:$J,$O3621,日報!$L:$L)</f>
        <v>0</v>
      </c>
    </row>
    <row r="3622" spans="15:18" x14ac:dyDescent="0.15">
      <c r="O3622" s="7" t="str">
        <f>"REQ"&amp;TEXT([2]RequestList!$A3623,"0000")</f>
        <v>REQ0000</v>
      </c>
      <c r="P3622" s="7">
        <f>[2]RequestList!$J3623</f>
        <v>0</v>
      </c>
      <c r="Q3622" s="65">
        <f>SUMIF(日報!$R:$R,TEXT(YEAR($Q$2),"0000")&amp;TEXT(MONTH($Q$2),"00")&amp;$O3622,日報!$L:$L)</f>
        <v>0</v>
      </c>
      <c r="R3622" s="65">
        <f ca="1">SUMIF(日報!$J:$J,$O3622,日報!$L:$L)</f>
        <v>0</v>
      </c>
    </row>
    <row r="3623" spans="15:18" x14ac:dyDescent="0.15">
      <c r="O3623" s="7" t="str">
        <f>"REQ"&amp;TEXT([2]RequestList!$A3624,"0000")</f>
        <v>REQ0000</v>
      </c>
      <c r="P3623" s="7">
        <f>[2]RequestList!$J3624</f>
        <v>0</v>
      </c>
      <c r="Q3623" s="65">
        <f>SUMIF(日報!$R:$R,TEXT(YEAR($Q$2),"0000")&amp;TEXT(MONTH($Q$2),"00")&amp;$O3623,日報!$L:$L)</f>
        <v>0</v>
      </c>
      <c r="R3623" s="65">
        <f ca="1">SUMIF(日報!$J:$J,$O3623,日報!$L:$L)</f>
        <v>0</v>
      </c>
    </row>
    <row r="3624" spans="15:18" x14ac:dyDescent="0.15">
      <c r="O3624" s="7" t="str">
        <f>"REQ"&amp;TEXT([2]RequestList!$A3625,"0000")</f>
        <v>REQ0000</v>
      </c>
      <c r="P3624" s="7">
        <f>[2]RequestList!$J3625</f>
        <v>0</v>
      </c>
      <c r="Q3624" s="65">
        <f>SUMIF(日報!$R:$R,TEXT(YEAR($Q$2),"0000")&amp;TEXT(MONTH($Q$2),"00")&amp;$O3624,日報!$L:$L)</f>
        <v>0</v>
      </c>
      <c r="R3624" s="65">
        <f ca="1">SUMIF(日報!$J:$J,$O3624,日報!$L:$L)</f>
        <v>0</v>
      </c>
    </row>
    <row r="3625" spans="15:18" x14ac:dyDescent="0.15">
      <c r="O3625" s="7" t="str">
        <f>"REQ"&amp;TEXT([2]RequestList!$A3626,"0000")</f>
        <v>REQ0000</v>
      </c>
      <c r="P3625" s="7">
        <f>[2]RequestList!$J3626</f>
        <v>0</v>
      </c>
      <c r="Q3625" s="65">
        <f>SUMIF(日報!$R:$R,TEXT(YEAR($Q$2),"0000")&amp;TEXT(MONTH($Q$2),"00")&amp;$O3625,日報!$L:$L)</f>
        <v>0</v>
      </c>
      <c r="R3625" s="65">
        <f ca="1">SUMIF(日報!$J:$J,$O3625,日報!$L:$L)</f>
        <v>0</v>
      </c>
    </row>
    <row r="3626" spans="15:18" x14ac:dyDescent="0.15">
      <c r="O3626" s="7" t="str">
        <f>"REQ"&amp;TEXT([2]RequestList!$A3627,"0000")</f>
        <v>REQ0000</v>
      </c>
      <c r="P3626" s="7">
        <f>[2]RequestList!$J3627</f>
        <v>0</v>
      </c>
      <c r="Q3626" s="65">
        <f>SUMIF(日報!$R:$R,TEXT(YEAR($Q$2),"0000")&amp;TEXT(MONTH($Q$2),"00")&amp;$O3626,日報!$L:$L)</f>
        <v>0</v>
      </c>
      <c r="R3626" s="65">
        <f ca="1">SUMIF(日報!$J:$J,$O3626,日報!$L:$L)</f>
        <v>0</v>
      </c>
    </row>
    <row r="3627" spans="15:18" x14ac:dyDescent="0.15">
      <c r="O3627" s="7" t="str">
        <f>"REQ"&amp;TEXT([2]RequestList!$A3628,"0000")</f>
        <v>REQ0000</v>
      </c>
      <c r="P3627" s="7">
        <f>[2]RequestList!$J3628</f>
        <v>0</v>
      </c>
      <c r="Q3627" s="65">
        <f>SUMIF(日報!$R:$R,TEXT(YEAR($Q$2),"0000")&amp;TEXT(MONTH($Q$2),"00")&amp;$O3627,日報!$L:$L)</f>
        <v>0</v>
      </c>
      <c r="R3627" s="65">
        <f ca="1">SUMIF(日報!$J:$J,$O3627,日報!$L:$L)</f>
        <v>0</v>
      </c>
    </row>
    <row r="3628" spans="15:18" x14ac:dyDescent="0.15">
      <c r="O3628" s="7" t="str">
        <f>"REQ"&amp;TEXT([2]RequestList!$A3629,"0000")</f>
        <v>REQ0000</v>
      </c>
      <c r="P3628" s="7">
        <f>[2]RequestList!$J3629</f>
        <v>0</v>
      </c>
      <c r="Q3628" s="65">
        <f>SUMIF(日報!$R:$R,TEXT(YEAR($Q$2),"0000")&amp;TEXT(MONTH($Q$2),"00")&amp;$O3628,日報!$L:$L)</f>
        <v>0</v>
      </c>
      <c r="R3628" s="65">
        <f ca="1">SUMIF(日報!$J:$J,$O3628,日報!$L:$L)</f>
        <v>0</v>
      </c>
    </row>
    <row r="3629" spans="15:18" x14ac:dyDescent="0.15">
      <c r="O3629" s="7" t="str">
        <f>"REQ"&amp;TEXT([2]RequestList!$A3630,"0000")</f>
        <v>REQ0000</v>
      </c>
      <c r="P3629" s="7">
        <f>[2]RequestList!$J3630</f>
        <v>0</v>
      </c>
      <c r="Q3629" s="65">
        <f>SUMIF(日報!$R:$R,TEXT(YEAR($Q$2),"0000")&amp;TEXT(MONTH($Q$2),"00")&amp;$O3629,日報!$L:$L)</f>
        <v>0</v>
      </c>
      <c r="R3629" s="65">
        <f ca="1">SUMIF(日報!$J:$J,$O3629,日報!$L:$L)</f>
        <v>0</v>
      </c>
    </row>
    <row r="3630" spans="15:18" x14ac:dyDescent="0.15">
      <c r="O3630" s="7" t="str">
        <f>"REQ"&amp;TEXT([2]RequestList!$A3631,"0000")</f>
        <v>REQ0000</v>
      </c>
      <c r="P3630" s="7">
        <f>[2]RequestList!$J3631</f>
        <v>0</v>
      </c>
      <c r="Q3630" s="65">
        <f>SUMIF(日報!$R:$R,TEXT(YEAR($Q$2),"0000")&amp;TEXT(MONTH($Q$2),"00")&amp;$O3630,日報!$L:$L)</f>
        <v>0</v>
      </c>
      <c r="R3630" s="65">
        <f ca="1">SUMIF(日報!$J:$J,$O3630,日報!$L:$L)</f>
        <v>0</v>
      </c>
    </row>
    <row r="3631" spans="15:18" x14ac:dyDescent="0.15">
      <c r="O3631" s="7" t="str">
        <f>"REQ"&amp;TEXT([2]RequestList!$A3632,"0000")</f>
        <v>REQ0000</v>
      </c>
      <c r="P3631" s="7">
        <f>[2]RequestList!$J3632</f>
        <v>0</v>
      </c>
      <c r="Q3631" s="65">
        <f>SUMIF(日報!$R:$R,TEXT(YEAR($Q$2),"0000")&amp;TEXT(MONTH($Q$2),"00")&amp;$O3631,日報!$L:$L)</f>
        <v>0</v>
      </c>
      <c r="R3631" s="65">
        <f ca="1">SUMIF(日報!$J:$J,$O3631,日報!$L:$L)</f>
        <v>0</v>
      </c>
    </row>
    <row r="3632" spans="15:18" x14ac:dyDescent="0.15">
      <c r="O3632" s="7" t="str">
        <f>"REQ"&amp;TEXT([2]RequestList!$A3633,"0000")</f>
        <v>REQ0000</v>
      </c>
      <c r="P3632" s="7">
        <f>[2]RequestList!$J3633</f>
        <v>0</v>
      </c>
      <c r="Q3632" s="65">
        <f>SUMIF(日報!$R:$R,TEXT(YEAR($Q$2),"0000")&amp;TEXT(MONTH($Q$2),"00")&amp;$O3632,日報!$L:$L)</f>
        <v>0</v>
      </c>
      <c r="R3632" s="65">
        <f ca="1">SUMIF(日報!$J:$J,$O3632,日報!$L:$L)</f>
        <v>0</v>
      </c>
    </row>
    <row r="3633" spans="15:18" x14ac:dyDescent="0.15">
      <c r="O3633" s="7" t="str">
        <f>"REQ"&amp;TEXT([2]RequestList!$A3634,"0000")</f>
        <v>REQ0000</v>
      </c>
      <c r="P3633" s="7">
        <f>[2]RequestList!$J3634</f>
        <v>0</v>
      </c>
      <c r="Q3633" s="65">
        <f>SUMIF(日報!$R:$R,TEXT(YEAR($Q$2),"0000")&amp;TEXT(MONTH($Q$2),"00")&amp;$O3633,日報!$L:$L)</f>
        <v>0</v>
      </c>
      <c r="R3633" s="65">
        <f ca="1">SUMIF(日報!$J:$J,$O3633,日報!$L:$L)</f>
        <v>0</v>
      </c>
    </row>
    <row r="3634" spans="15:18" x14ac:dyDescent="0.15">
      <c r="O3634" s="7" t="str">
        <f>"REQ"&amp;TEXT([2]RequestList!$A3635,"0000")</f>
        <v>REQ0000</v>
      </c>
      <c r="P3634" s="7">
        <f>[2]RequestList!$J3635</f>
        <v>0</v>
      </c>
      <c r="Q3634" s="65">
        <f>SUMIF(日報!$R:$R,TEXT(YEAR($Q$2),"0000")&amp;TEXT(MONTH($Q$2),"00")&amp;$O3634,日報!$L:$L)</f>
        <v>0</v>
      </c>
      <c r="R3634" s="65">
        <f ca="1">SUMIF(日報!$J:$J,$O3634,日報!$L:$L)</f>
        <v>0</v>
      </c>
    </row>
    <row r="3635" spans="15:18" x14ac:dyDescent="0.15">
      <c r="O3635" s="7" t="str">
        <f>"REQ"&amp;TEXT([2]RequestList!$A3636,"0000")</f>
        <v>REQ0000</v>
      </c>
      <c r="P3635" s="7">
        <f>[2]RequestList!$J3636</f>
        <v>0</v>
      </c>
      <c r="Q3635" s="65">
        <f>SUMIF(日報!$R:$R,TEXT(YEAR($Q$2),"0000")&amp;TEXT(MONTH($Q$2),"00")&amp;$O3635,日報!$L:$L)</f>
        <v>0</v>
      </c>
      <c r="R3635" s="65">
        <f ca="1">SUMIF(日報!$J:$J,$O3635,日報!$L:$L)</f>
        <v>0</v>
      </c>
    </row>
    <row r="3636" spans="15:18" x14ac:dyDescent="0.15">
      <c r="O3636" s="7" t="str">
        <f>"REQ"&amp;TEXT([2]RequestList!$A3637,"0000")</f>
        <v>REQ0000</v>
      </c>
      <c r="P3636" s="7">
        <f>[2]RequestList!$J3637</f>
        <v>0</v>
      </c>
      <c r="Q3636" s="65">
        <f>SUMIF(日報!$R:$R,TEXT(YEAR($Q$2),"0000")&amp;TEXT(MONTH($Q$2),"00")&amp;$O3636,日報!$L:$L)</f>
        <v>0</v>
      </c>
      <c r="R3636" s="65">
        <f ca="1">SUMIF(日報!$J:$J,$O3636,日報!$L:$L)</f>
        <v>0</v>
      </c>
    </row>
    <row r="3637" spans="15:18" x14ac:dyDescent="0.15">
      <c r="O3637" s="7" t="str">
        <f>"REQ"&amp;TEXT([2]RequestList!$A3638,"0000")</f>
        <v>REQ0000</v>
      </c>
      <c r="P3637" s="7">
        <f>[2]RequestList!$J3638</f>
        <v>0</v>
      </c>
      <c r="Q3637" s="65">
        <f>SUMIF(日報!$R:$R,TEXT(YEAR($Q$2),"0000")&amp;TEXT(MONTH($Q$2),"00")&amp;$O3637,日報!$L:$L)</f>
        <v>0</v>
      </c>
      <c r="R3637" s="65">
        <f ca="1">SUMIF(日報!$J:$J,$O3637,日報!$L:$L)</f>
        <v>0</v>
      </c>
    </row>
    <row r="3638" spans="15:18" x14ac:dyDescent="0.15">
      <c r="O3638" s="7" t="str">
        <f>"REQ"&amp;TEXT([2]RequestList!$A3639,"0000")</f>
        <v>REQ0000</v>
      </c>
      <c r="P3638" s="7">
        <f>[2]RequestList!$J3639</f>
        <v>0</v>
      </c>
      <c r="Q3638" s="65">
        <f>SUMIF(日報!$R:$R,TEXT(YEAR($Q$2),"0000")&amp;TEXT(MONTH($Q$2),"00")&amp;$O3638,日報!$L:$L)</f>
        <v>0</v>
      </c>
      <c r="R3638" s="65">
        <f ca="1">SUMIF(日報!$J:$J,$O3638,日報!$L:$L)</f>
        <v>0</v>
      </c>
    </row>
    <row r="3639" spans="15:18" x14ac:dyDescent="0.15">
      <c r="O3639" s="7" t="str">
        <f>"REQ"&amp;TEXT([2]RequestList!$A3640,"0000")</f>
        <v>REQ0000</v>
      </c>
      <c r="P3639" s="7">
        <f>[2]RequestList!$J3640</f>
        <v>0</v>
      </c>
      <c r="Q3639" s="65">
        <f>SUMIF(日報!$R:$R,TEXT(YEAR($Q$2),"0000")&amp;TEXT(MONTH($Q$2),"00")&amp;$O3639,日報!$L:$L)</f>
        <v>0</v>
      </c>
      <c r="R3639" s="65">
        <f ca="1">SUMIF(日報!$J:$J,$O3639,日報!$L:$L)</f>
        <v>0</v>
      </c>
    </row>
    <row r="3640" spans="15:18" x14ac:dyDescent="0.15">
      <c r="O3640" s="7" t="str">
        <f>"REQ"&amp;TEXT([2]RequestList!$A3641,"0000")</f>
        <v>REQ0000</v>
      </c>
      <c r="P3640" s="7">
        <f>[2]RequestList!$J3641</f>
        <v>0</v>
      </c>
      <c r="Q3640" s="65">
        <f>SUMIF(日報!$R:$R,TEXT(YEAR($Q$2),"0000")&amp;TEXT(MONTH($Q$2),"00")&amp;$O3640,日報!$L:$L)</f>
        <v>0</v>
      </c>
      <c r="R3640" s="65">
        <f ca="1">SUMIF(日報!$J:$J,$O3640,日報!$L:$L)</f>
        <v>0</v>
      </c>
    </row>
    <row r="3641" spans="15:18" x14ac:dyDescent="0.15">
      <c r="O3641" s="7" t="str">
        <f>"REQ"&amp;TEXT([2]RequestList!$A3642,"0000")</f>
        <v>REQ0000</v>
      </c>
      <c r="P3641" s="7">
        <f>[2]RequestList!$J3642</f>
        <v>0</v>
      </c>
      <c r="Q3641" s="65">
        <f>SUMIF(日報!$R:$R,TEXT(YEAR($Q$2),"0000")&amp;TEXT(MONTH($Q$2),"00")&amp;$O3641,日報!$L:$L)</f>
        <v>0</v>
      </c>
      <c r="R3641" s="65">
        <f ca="1">SUMIF(日報!$J:$J,$O3641,日報!$L:$L)</f>
        <v>0</v>
      </c>
    </row>
    <row r="3642" spans="15:18" x14ac:dyDescent="0.15">
      <c r="O3642" s="7" t="str">
        <f>"REQ"&amp;TEXT([2]RequestList!$A3643,"0000")</f>
        <v>REQ0000</v>
      </c>
      <c r="P3642" s="7">
        <f>[2]RequestList!$J3643</f>
        <v>0</v>
      </c>
      <c r="Q3642" s="65">
        <f>SUMIF(日報!$R:$R,TEXT(YEAR($Q$2),"0000")&amp;TEXT(MONTH($Q$2),"00")&amp;$O3642,日報!$L:$L)</f>
        <v>0</v>
      </c>
      <c r="R3642" s="65">
        <f ca="1">SUMIF(日報!$J:$J,$O3642,日報!$L:$L)</f>
        <v>0</v>
      </c>
    </row>
    <row r="3643" spans="15:18" x14ac:dyDescent="0.15">
      <c r="O3643" s="7" t="str">
        <f>"REQ"&amp;TEXT([2]RequestList!$A3644,"0000")</f>
        <v>REQ0000</v>
      </c>
      <c r="P3643" s="7">
        <f>[2]RequestList!$J3644</f>
        <v>0</v>
      </c>
      <c r="Q3643" s="65">
        <f>SUMIF(日報!$R:$R,TEXT(YEAR($Q$2),"0000")&amp;TEXT(MONTH($Q$2),"00")&amp;$O3643,日報!$L:$L)</f>
        <v>0</v>
      </c>
      <c r="R3643" s="65">
        <f ca="1">SUMIF(日報!$J:$J,$O3643,日報!$L:$L)</f>
        <v>0</v>
      </c>
    </row>
    <row r="3644" spans="15:18" x14ac:dyDescent="0.15">
      <c r="O3644" s="7" t="str">
        <f>"REQ"&amp;TEXT([2]RequestList!$A3645,"0000")</f>
        <v>REQ0000</v>
      </c>
      <c r="P3644" s="7">
        <f>[2]RequestList!$J3645</f>
        <v>0</v>
      </c>
      <c r="Q3644" s="65">
        <f>SUMIF(日報!$R:$R,TEXT(YEAR($Q$2),"0000")&amp;TEXT(MONTH($Q$2),"00")&amp;$O3644,日報!$L:$L)</f>
        <v>0</v>
      </c>
      <c r="R3644" s="65">
        <f ca="1">SUMIF(日報!$J:$J,$O3644,日報!$L:$L)</f>
        <v>0</v>
      </c>
    </row>
    <row r="3645" spans="15:18" x14ac:dyDescent="0.15">
      <c r="O3645" s="7" t="str">
        <f>"REQ"&amp;TEXT([2]RequestList!$A3646,"0000")</f>
        <v>REQ0000</v>
      </c>
      <c r="P3645" s="7">
        <f>[2]RequestList!$J3646</f>
        <v>0</v>
      </c>
      <c r="Q3645" s="65">
        <f>SUMIF(日報!$R:$R,TEXT(YEAR($Q$2),"0000")&amp;TEXT(MONTH($Q$2),"00")&amp;$O3645,日報!$L:$L)</f>
        <v>0</v>
      </c>
      <c r="R3645" s="65">
        <f ca="1">SUMIF(日報!$J:$J,$O3645,日報!$L:$L)</f>
        <v>0</v>
      </c>
    </row>
    <row r="3646" spans="15:18" x14ac:dyDescent="0.15">
      <c r="O3646" s="7" t="str">
        <f>"REQ"&amp;TEXT([2]RequestList!$A3647,"0000")</f>
        <v>REQ0000</v>
      </c>
      <c r="P3646" s="7">
        <f>[2]RequestList!$J3647</f>
        <v>0</v>
      </c>
      <c r="Q3646" s="65">
        <f>SUMIF(日報!$R:$R,TEXT(YEAR($Q$2),"0000")&amp;TEXT(MONTH($Q$2),"00")&amp;$O3646,日報!$L:$L)</f>
        <v>0</v>
      </c>
      <c r="R3646" s="65">
        <f ca="1">SUMIF(日報!$J:$J,$O3646,日報!$L:$L)</f>
        <v>0</v>
      </c>
    </row>
    <row r="3647" spans="15:18" x14ac:dyDescent="0.15">
      <c r="O3647" s="7" t="str">
        <f>"REQ"&amp;TEXT([2]RequestList!$A3648,"0000")</f>
        <v>REQ0000</v>
      </c>
      <c r="P3647" s="7">
        <f>[2]RequestList!$J3648</f>
        <v>0</v>
      </c>
      <c r="Q3647" s="65">
        <f>SUMIF(日報!$R:$R,TEXT(YEAR($Q$2),"0000")&amp;TEXT(MONTH($Q$2),"00")&amp;$O3647,日報!$L:$L)</f>
        <v>0</v>
      </c>
      <c r="R3647" s="65">
        <f ca="1">SUMIF(日報!$J:$J,$O3647,日報!$L:$L)</f>
        <v>0</v>
      </c>
    </row>
    <row r="3648" spans="15:18" x14ac:dyDescent="0.15">
      <c r="O3648" s="7" t="str">
        <f>"REQ"&amp;TEXT([2]RequestList!$A3649,"0000")</f>
        <v>REQ0000</v>
      </c>
      <c r="P3648" s="7">
        <f>[2]RequestList!$J3649</f>
        <v>0</v>
      </c>
      <c r="Q3648" s="65">
        <f>SUMIF(日報!$R:$R,TEXT(YEAR($Q$2),"0000")&amp;TEXT(MONTH($Q$2),"00")&amp;$O3648,日報!$L:$L)</f>
        <v>0</v>
      </c>
      <c r="R3648" s="65">
        <f ca="1">SUMIF(日報!$J:$J,$O3648,日報!$L:$L)</f>
        <v>0</v>
      </c>
    </row>
    <row r="3649" spans="15:18" x14ac:dyDescent="0.15">
      <c r="O3649" s="7" t="str">
        <f>"REQ"&amp;TEXT([2]RequestList!$A3650,"0000")</f>
        <v>REQ0000</v>
      </c>
      <c r="P3649" s="7">
        <f>[2]RequestList!$J3650</f>
        <v>0</v>
      </c>
      <c r="Q3649" s="65">
        <f>SUMIF(日報!$R:$R,TEXT(YEAR($Q$2),"0000")&amp;TEXT(MONTH($Q$2),"00")&amp;$O3649,日報!$L:$L)</f>
        <v>0</v>
      </c>
      <c r="R3649" s="65">
        <f ca="1">SUMIF(日報!$J:$J,$O3649,日報!$L:$L)</f>
        <v>0</v>
      </c>
    </row>
    <row r="3650" spans="15:18" x14ac:dyDescent="0.15">
      <c r="O3650" s="7" t="str">
        <f>"REQ"&amp;TEXT([2]RequestList!$A3651,"0000")</f>
        <v>REQ0000</v>
      </c>
      <c r="P3650" s="7">
        <f>[2]RequestList!$J3651</f>
        <v>0</v>
      </c>
      <c r="Q3650" s="65">
        <f>SUMIF(日報!$R:$R,TEXT(YEAR($Q$2),"0000")&amp;TEXT(MONTH($Q$2),"00")&amp;$O3650,日報!$L:$L)</f>
        <v>0</v>
      </c>
      <c r="R3650" s="65">
        <f ca="1">SUMIF(日報!$J:$J,$O3650,日報!$L:$L)</f>
        <v>0</v>
      </c>
    </row>
    <row r="3651" spans="15:18" x14ac:dyDescent="0.15">
      <c r="O3651" s="7" t="str">
        <f>"REQ"&amp;TEXT([2]RequestList!$A3652,"0000")</f>
        <v>REQ0000</v>
      </c>
      <c r="P3651" s="7">
        <f>[2]RequestList!$J3652</f>
        <v>0</v>
      </c>
      <c r="Q3651" s="65">
        <f>SUMIF(日報!$R:$R,TEXT(YEAR($Q$2),"0000")&amp;TEXT(MONTH($Q$2),"00")&amp;$O3651,日報!$L:$L)</f>
        <v>0</v>
      </c>
      <c r="R3651" s="65">
        <f ca="1">SUMIF(日報!$J:$J,$O3651,日報!$L:$L)</f>
        <v>0</v>
      </c>
    </row>
    <row r="3652" spans="15:18" x14ac:dyDescent="0.15">
      <c r="O3652" s="7" t="str">
        <f>"REQ"&amp;TEXT([2]RequestList!$A3653,"0000")</f>
        <v>REQ0000</v>
      </c>
      <c r="P3652" s="7">
        <f>[2]RequestList!$J3653</f>
        <v>0</v>
      </c>
      <c r="Q3652" s="65">
        <f>SUMIF(日報!$R:$R,TEXT(YEAR($Q$2),"0000")&amp;TEXT(MONTH($Q$2),"00")&amp;$O3652,日報!$L:$L)</f>
        <v>0</v>
      </c>
      <c r="R3652" s="65">
        <f ca="1">SUMIF(日報!$J:$J,$O3652,日報!$L:$L)</f>
        <v>0</v>
      </c>
    </row>
    <row r="3653" spans="15:18" x14ac:dyDescent="0.15">
      <c r="O3653" s="7" t="str">
        <f>"REQ"&amp;TEXT([2]RequestList!$A3654,"0000")</f>
        <v>REQ0000</v>
      </c>
      <c r="P3653" s="7">
        <f>[2]RequestList!$J3654</f>
        <v>0</v>
      </c>
      <c r="Q3653" s="65">
        <f>SUMIF(日報!$R:$R,TEXT(YEAR($Q$2),"0000")&amp;TEXT(MONTH($Q$2),"00")&amp;$O3653,日報!$L:$L)</f>
        <v>0</v>
      </c>
      <c r="R3653" s="65">
        <f ca="1">SUMIF(日報!$J:$J,$O3653,日報!$L:$L)</f>
        <v>0</v>
      </c>
    </row>
    <row r="3654" spans="15:18" x14ac:dyDescent="0.15">
      <c r="O3654" s="7" t="str">
        <f>"REQ"&amp;TEXT([2]RequestList!$A3655,"0000")</f>
        <v>REQ0000</v>
      </c>
      <c r="P3654" s="7">
        <f>[2]RequestList!$J3655</f>
        <v>0</v>
      </c>
      <c r="Q3654" s="65">
        <f>SUMIF(日報!$R:$R,TEXT(YEAR($Q$2),"0000")&amp;TEXT(MONTH($Q$2),"00")&amp;$O3654,日報!$L:$L)</f>
        <v>0</v>
      </c>
      <c r="R3654" s="65">
        <f ca="1">SUMIF(日報!$J:$J,$O3654,日報!$L:$L)</f>
        <v>0</v>
      </c>
    </row>
    <row r="3655" spans="15:18" x14ac:dyDescent="0.15">
      <c r="O3655" s="7" t="str">
        <f>"REQ"&amp;TEXT([2]RequestList!$A3656,"0000")</f>
        <v>REQ0000</v>
      </c>
      <c r="P3655" s="7">
        <f>[2]RequestList!$J3656</f>
        <v>0</v>
      </c>
      <c r="Q3655" s="65">
        <f>SUMIF(日報!$R:$R,TEXT(YEAR($Q$2),"0000")&amp;TEXT(MONTH($Q$2),"00")&amp;$O3655,日報!$L:$L)</f>
        <v>0</v>
      </c>
      <c r="R3655" s="65">
        <f ca="1">SUMIF(日報!$J:$J,$O3655,日報!$L:$L)</f>
        <v>0</v>
      </c>
    </row>
    <row r="3656" spans="15:18" x14ac:dyDescent="0.15">
      <c r="O3656" s="7" t="str">
        <f>"REQ"&amp;TEXT([2]RequestList!$A3657,"0000")</f>
        <v>REQ0000</v>
      </c>
      <c r="P3656" s="7">
        <f>[2]RequestList!$J3657</f>
        <v>0</v>
      </c>
      <c r="Q3656" s="65">
        <f>SUMIF(日報!$R:$R,TEXT(YEAR($Q$2),"0000")&amp;TEXT(MONTH($Q$2),"00")&amp;$O3656,日報!$L:$L)</f>
        <v>0</v>
      </c>
      <c r="R3656" s="65">
        <f ca="1">SUMIF(日報!$J:$J,$O3656,日報!$L:$L)</f>
        <v>0</v>
      </c>
    </row>
    <row r="3657" spans="15:18" x14ac:dyDescent="0.15">
      <c r="O3657" s="7" t="str">
        <f>"REQ"&amp;TEXT([2]RequestList!$A3658,"0000")</f>
        <v>REQ0000</v>
      </c>
      <c r="P3657" s="7">
        <f>[2]RequestList!$J3658</f>
        <v>0</v>
      </c>
      <c r="Q3657" s="65">
        <f>SUMIF(日報!$R:$R,TEXT(YEAR($Q$2),"0000")&amp;TEXT(MONTH($Q$2),"00")&amp;$O3657,日報!$L:$L)</f>
        <v>0</v>
      </c>
      <c r="R3657" s="65">
        <f ca="1">SUMIF(日報!$J:$J,$O3657,日報!$L:$L)</f>
        <v>0</v>
      </c>
    </row>
    <row r="3658" spans="15:18" x14ac:dyDescent="0.15">
      <c r="O3658" s="7" t="str">
        <f>"REQ"&amp;TEXT([2]RequestList!$A3659,"0000")</f>
        <v>REQ0000</v>
      </c>
      <c r="P3658" s="7">
        <f>[2]RequestList!$J3659</f>
        <v>0</v>
      </c>
      <c r="Q3658" s="65">
        <f>SUMIF(日報!$R:$R,TEXT(YEAR($Q$2),"0000")&amp;TEXT(MONTH($Q$2),"00")&amp;$O3658,日報!$L:$L)</f>
        <v>0</v>
      </c>
      <c r="R3658" s="65">
        <f ca="1">SUMIF(日報!$J:$J,$O3658,日報!$L:$L)</f>
        <v>0</v>
      </c>
    </row>
    <row r="3659" spans="15:18" x14ac:dyDescent="0.15">
      <c r="O3659" s="7" t="str">
        <f>"REQ"&amp;TEXT([2]RequestList!$A3660,"0000")</f>
        <v>REQ0000</v>
      </c>
      <c r="P3659" s="7">
        <f>[2]RequestList!$J3660</f>
        <v>0</v>
      </c>
      <c r="Q3659" s="65">
        <f>SUMIF(日報!$R:$R,TEXT(YEAR($Q$2),"0000")&amp;TEXT(MONTH($Q$2),"00")&amp;$O3659,日報!$L:$L)</f>
        <v>0</v>
      </c>
      <c r="R3659" s="65">
        <f ca="1">SUMIF(日報!$J:$J,$O3659,日報!$L:$L)</f>
        <v>0</v>
      </c>
    </row>
    <row r="3660" spans="15:18" x14ac:dyDescent="0.15">
      <c r="O3660" s="7" t="str">
        <f>"REQ"&amp;TEXT([2]RequestList!$A3661,"0000")</f>
        <v>REQ0000</v>
      </c>
      <c r="P3660" s="7">
        <f>[2]RequestList!$J3661</f>
        <v>0</v>
      </c>
      <c r="Q3660" s="65">
        <f>SUMIF(日報!$R:$R,TEXT(YEAR($Q$2),"0000")&amp;TEXT(MONTH($Q$2),"00")&amp;$O3660,日報!$L:$L)</f>
        <v>0</v>
      </c>
      <c r="R3660" s="65">
        <f ca="1">SUMIF(日報!$J:$J,$O3660,日報!$L:$L)</f>
        <v>0</v>
      </c>
    </row>
    <row r="3661" spans="15:18" x14ac:dyDescent="0.15">
      <c r="O3661" s="7" t="str">
        <f>"REQ"&amp;TEXT([2]RequestList!$A3662,"0000")</f>
        <v>REQ0000</v>
      </c>
      <c r="P3661" s="7">
        <f>[2]RequestList!$J3662</f>
        <v>0</v>
      </c>
      <c r="Q3661" s="65">
        <f>SUMIF(日報!$R:$R,TEXT(YEAR($Q$2),"0000")&amp;TEXT(MONTH($Q$2),"00")&amp;$O3661,日報!$L:$L)</f>
        <v>0</v>
      </c>
      <c r="R3661" s="65">
        <f ca="1">SUMIF(日報!$J:$J,$O3661,日報!$L:$L)</f>
        <v>0</v>
      </c>
    </row>
    <row r="3662" spans="15:18" x14ac:dyDescent="0.15">
      <c r="O3662" s="7" t="str">
        <f>"REQ"&amp;TEXT([2]RequestList!$A3663,"0000")</f>
        <v>REQ0000</v>
      </c>
      <c r="P3662" s="7">
        <f>[2]RequestList!$J3663</f>
        <v>0</v>
      </c>
      <c r="Q3662" s="65">
        <f>SUMIF(日報!$R:$R,TEXT(YEAR($Q$2),"0000")&amp;TEXT(MONTH($Q$2),"00")&amp;$O3662,日報!$L:$L)</f>
        <v>0</v>
      </c>
      <c r="R3662" s="65">
        <f ca="1">SUMIF(日報!$J:$J,$O3662,日報!$L:$L)</f>
        <v>0</v>
      </c>
    </row>
    <row r="3663" spans="15:18" x14ac:dyDescent="0.15">
      <c r="O3663" s="7" t="str">
        <f>"REQ"&amp;TEXT([2]RequestList!$A3664,"0000")</f>
        <v>REQ0000</v>
      </c>
      <c r="P3663" s="7">
        <f>[2]RequestList!$J3664</f>
        <v>0</v>
      </c>
      <c r="Q3663" s="65">
        <f>SUMIF(日報!$R:$R,TEXT(YEAR($Q$2),"0000")&amp;TEXT(MONTH($Q$2),"00")&amp;$O3663,日報!$L:$L)</f>
        <v>0</v>
      </c>
      <c r="R3663" s="65">
        <f ca="1">SUMIF(日報!$J:$J,$O3663,日報!$L:$L)</f>
        <v>0</v>
      </c>
    </row>
    <row r="3664" spans="15:18" x14ac:dyDescent="0.15">
      <c r="O3664" s="7" t="str">
        <f>"REQ"&amp;TEXT([2]RequestList!$A3665,"0000")</f>
        <v>REQ0000</v>
      </c>
      <c r="P3664" s="7">
        <f>[2]RequestList!$J3665</f>
        <v>0</v>
      </c>
      <c r="Q3664" s="65">
        <f>SUMIF(日報!$R:$R,TEXT(YEAR($Q$2),"0000")&amp;TEXT(MONTH($Q$2),"00")&amp;$O3664,日報!$L:$L)</f>
        <v>0</v>
      </c>
      <c r="R3664" s="65">
        <f ca="1">SUMIF(日報!$J:$J,$O3664,日報!$L:$L)</f>
        <v>0</v>
      </c>
    </row>
    <row r="3665" spans="15:18" x14ac:dyDescent="0.15">
      <c r="O3665" s="7" t="str">
        <f>"REQ"&amp;TEXT([2]RequestList!$A3666,"0000")</f>
        <v>REQ0000</v>
      </c>
      <c r="P3665" s="7">
        <f>[2]RequestList!$J3666</f>
        <v>0</v>
      </c>
      <c r="Q3665" s="65">
        <f>SUMIF(日報!$R:$R,TEXT(YEAR($Q$2),"0000")&amp;TEXT(MONTH($Q$2),"00")&amp;$O3665,日報!$L:$L)</f>
        <v>0</v>
      </c>
      <c r="R3665" s="65">
        <f ca="1">SUMIF(日報!$J:$J,$O3665,日報!$L:$L)</f>
        <v>0</v>
      </c>
    </row>
    <row r="3666" spans="15:18" x14ac:dyDescent="0.15">
      <c r="O3666" s="7" t="str">
        <f>"REQ"&amp;TEXT([2]RequestList!$A3667,"0000")</f>
        <v>REQ0000</v>
      </c>
      <c r="P3666" s="7">
        <f>[2]RequestList!$J3667</f>
        <v>0</v>
      </c>
      <c r="Q3666" s="65">
        <f>SUMIF(日報!$R:$R,TEXT(YEAR($Q$2),"0000")&amp;TEXT(MONTH($Q$2),"00")&amp;$O3666,日報!$L:$L)</f>
        <v>0</v>
      </c>
      <c r="R3666" s="65">
        <f ca="1">SUMIF(日報!$J:$J,$O3666,日報!$L:$L)</f>
        <v>0</v>
      </c>
    </row>
    <row r="3667" spans="15:18" x14ac:dyDescent="0.15">
      <c r="O3667" s="7" t="str">
        <f>"REQ"&amp;TEXT([2]RequestList!$A3668,"0000")</f>
        <v>REQ0000</v>
      </c>
      <c r="P3667" s="7">
        <f>[2]RequestList!$J3668</f>
        <v>0</v>
      </c>
      <c r="Q3667" s="65">
        <f>SUMIF(日報!$R:$R,TEXT(YEAR($Q$2),"0000")&amp;TEXT(MONTH($Q$2),"00")&amp;$O3667,日報!$L:$L)</f>
        <v>0</v>
      </c>
      <c r="R3667" s="65">
        <f ca="1">SUMIF(日報!$J:$J,$O3667,日報!$L:$L)</f>
        <v>0</v>
      </c>
    </row>
    <row r="3668" spans="15:18" x14ac:dyDescent="0.15">
      <c r="O3668" s="7" t="str">
        <f>"REQ"&amp;TEXT([2]RequestList!$A3669,"0000")</f>
        <v>REQ0000</v>
      </c>
      <c r="P3668" s="7">
        <f>[2]RequestList!$J3669</f>
        <v>0</v>
      </c>
      <c r="Q3668" s="65">
        <f>SUMIF(日報!$R:$R,TEXT(YEAR($Q$2),"0000")&amp;TEXT(MONTH($Q$2),"00")&amp;$O3668,日報!$L:$L)</f>
        <v>0</v>
      </c>
      <c r="R3668" s="65">
        <f ca="1">SUMIF(日報!$J:$J,$O3668,日報!$L:$L)</f>
        <v>0</v>
      </c>
    </row>
    <row r="3669" spans="15:18" x14ac:dyDescent="0.15">
      <c r="O3669" s="7" t="str">
        <f>"REQ"&amp;TEXT([2]RequestList!$A3670,"0000")</f>
        <v>REQ0000</v>
      </c>
      <c r="P3669" s="7">
        <f>[2]RequestList!$J3670</f>
        <v>0</v>
      </c>
      <c r="Q3669" s="65">
        <f>SUMIF(日報!$R:$R,TEXT(YEAR($Q$2),"0000")&amp;TEXT(MONTH($Q$2),"00")&amp;$O3669,日報!$L:$L)</f>
        <v>0</v>
      </c>
      <c r="R3669" s="65">
        <f ca="1">SUMIF(日報!$J:$J,$O3669,日報!$L:$L)</f>
        <v>0</v>
      </c>
    </row>
    <row r="3670" spans="15:18" x14ac:dyDescent="0.15">
      <c r="O3670" s="7" t="str">
        <f>"REQ"&amp;TEXT([2]RequestList!$A3671,"0000")</f>
        <v>REQ0000</v>
      </c>
      <c r="P3670" s="7">
        <f>[2]RequestList!$J3671</f>
        <v>0</v>
      </c>
      <c r="Q3670" s="65">
        <f>SUMIF(日報!$R:$R,TEXT(YEAR($Q$2),"0000")&amp;TEXT(MONTH($Q$2),"00")&amp;$O3670,日報!$L:$L)</f>
        <v>0</v>
      </c>
      <c r="R3670" s="65">
        <f ca="1">SUMIF(日報!$J:$J,$O3670,日報!$L:$L)</f>
        <v>0</v>
      </c>
    </row>
    <row r="3671" spans="15:18" x14ac:dyDescent="0.15">
      <c r="O3671" s="7" t="str">
        <f>"REQ"&amp;TEXT([2]RequestList!$A3672,"0000")</f>
        <v>REQ0000</v>
      </c>
      <c r="P3671" s="7">
        <f>[2]RequestList!$J3672</f>
        <v>0</v>
      </c>
      <c r="Q3671" s="65">
        <f>SUMIF(日報!$R:$R,TEXT(YEAR($Q$2),"0000")&amp;TEXT(MONTH($Q$2),"00")&amp;$O3671,日報!$L:$L)</f>
        <v>0</v>
      </c>
      <c r="R3671" s="65">
        <f ca="1">SUMIF(日報!$J:$J,$O3671,日報!$L:$L)</f>
        <v>0</v>
      </c>
    </row>
    <row r="3672" spans="15:18" x14ac:dyDescent="0.15">
      <c r="O3672" s="7" t="str">
        <f>"REQ"&amp;TEXT([2]RequestList!$A3673,"0000")</f>
        <v>REQ0000</v>
      </c>
      <c r="P3672" s="7">
        <f>[2]RequestList!$J3673</f>
        <v>0</v>
      </c>
      <c r="Q3672" s="65">
        <f>SUMIF(日報!$R:$R,TEXT(YEAR($Q$2),"0000")&amp;TEXT(MONTH($Q$2),"00")&amp;$O3672,日報!$L:$L)</f>
        <v>0</v>
      </c>
      <c r="R3672" s="65">
        <f ca="1">SUMIF(日報!$J:$J,$O3672,日報!$L:$L)</f>
        <v>0</v>
      </c>
    </row>
    <row r="3673" spans="15:18" x14ac:dyDescent="0.15">
      <c r="O3673" s="7" t="str">
        <f>"REQ"&amp;TEXT([2]RequestList!$A3674,"0000")</f>
        <v>REQ0000</v>
      </c>
      <c r="P3673" s="7">
        <f>[2]RequestList!$J3674</f>
        <v>0</v>
      </c>
      <c r="Q3673" s="65">
        <f>SUMIF(日報!$R:$R,TEXT(YEAR($Q$2),"0000")&amp;TEXT(MONTH($Q$2),"00")&amp;$O3673,日報!$L:$L)</f>
        <v>0</v>
      </c>
      <c r="R3673" s="65">
        <f ca="1">SUMIF(日報!$J:$J,$O3673,日報!$L:$L)</f>
        <v>0</v>
      </c>
    </row>
    <row r="3674" spans="15:18" x14ac:dyDescent="0.15">
      <c r="O3674" s="7" t="str">
        <f>"REQ"&amp;TEXT([2]RequestList!$A3675,"0000")</f>
        <v>REQ0000</v>
      </c>
      <c r="P3674" s="7">
        <f>[2]RequestList!$J3675</f>
        <v>0</v>
      </c>
      <c r="Q3674" s="65">
        <f>SUMIF(日報!$R:$R,TEXT(YEAR($Q$2),"0000")&amp;TEXT(MONTH($Q$2),"00")&amp;$O3674,日報!$L:$L)</f>
        <v>0</v>
      </c>
      <c r="R3674" s="65">
        <f ca="1">SUMIF(日報!$J:$J,$O3674,日報!$L:$L)</f>
        <v>0</v>
      </c>
    </row>
    <row r="3675" spans="15:18" x14ac:dyDescent="0.15">
      <c r="O3675" s="7" t="str">
        <f>"REQ"&amp;TEXT([2]RequestList!$A3676,"0000")</f>
        <v>REQ0000</v>
      </c>
      <c r="P3675" s="7">
        <f>[2]RequestList!$J3676</f>
        <v>0</v>
      </c>
      <c r="Q3675" s="65">
        <f>SUMIF(日報!$R:$R,TEXT(YEAR($Q$2),"0000")&amp;TEXT(MONTH($Q$2),"00")&amp;$O3675,日報!$L:$L)</f>
        <v>0</v>
      </c>
      <c r="R3675" s="65">
        <f ca="1">SUMIF(日報!$J:$J,$O3675,日報!$L:$L)</f>
        <v>0</v>
      </c>
    </row>
    <row r="3676" spans="15:18" x14ac:dyDescent="0.15">
      <c r="O3676" s="7" t="str">
        <f>"REQ"&amp;TEXT([2]RequestList!$A3677,"0000")</f>
        <v>REQ0000</v>
      </c>
      <c r="P3676" s="7">
        <f>[2]RequestList!$J3677</f>
        <v>0</v>
      </c>
      <c r="Q3676" s="65">
        <f>SUMIF(日報!$R:$R,TEXT(YEAR($Q$2),"0000")&amp;TEXT(MONTH($Q$2),"00")&amp;$O3676,日報!$L:$L)</f>
        <v>0</v>
      </c>
      <c r="R3676" s="65">
        <f ca="1">SUMIF(日報!$J:$J,$O3676,日報!$L:$L)</f>
        <v>0</v>
      </c>
    </row>
    <row r="3677" spans="15:18" x14ac:dyDescent="0.15">
      <c r="O3677" s="7" t="str">
        <f>"REQ"&amp;TEXT([2]RequestList!$A3678,"0000")</f>
        <v>REQ0000</v>
      </c>
      <c r="P3677" s="7">
        <f>[2]RequestList!$J3678</f>
        <v>0</v>
      </c>
      <c r="Q3677" s="65">
        <f>SUMIF(日報!$R:$R,TEXT(YEAR($Q$2),"0000")&amp;TEXT(MONTH($Q$2),"00")&amp;$O3677,日報!$L:$L)</f>
        <v>0</v>
      </c>
      <c r="R3677" s="65">
        <f ca="1">SUMIF(日報!$J:$J,$O3677,日報!$L:$L)</f>
        <v>0</v>
      </c>
    </row>
    <row r="3678" spans="15:18" x14ac:dyDescent="0.15">
      <c r="O3678" s="7" t="str">
        <f>"REQ"&amp;TEXT([2]RequestList!$A3679,"0000")</f>
        <v>REQ0000</v>
      </c>
      <c r="P3678" s="7">
        <f>[2]RequestList!$J3679</f>
        <v>0</v>
      </c>
      <c r="Q3678" s="65">
        <f>SUMIF(日報!$R:$R,TEXT(YEAR($Q$2),"0000")&amp;TEXT(MONTH($Q$2),"00")&amp;$O3678,日報!$L:$L)</f>
        <v>0</v>
      </c>
      <c r="R3678" s="65">
        <f ca="1">SUMIF(日報!$J:$J,$O3678,日報!$L:$L)</f>
        <v>0</v>
      </c>
    </row>
    <row r="3679" spans="15:18" x14ac:dyDescent="0.15">
      <c r="O3679" s="7" t="str">
        <f>"REQ"&amp;TEXT([2]RequestList!$A3680,"0000")</f>
        <v>REQ0000</v>
      </c>
      <c r="P3679" s="7">
        <f>[2]RequestList!$J3680</f>
        <v>0</v>
      </c>
      <c r="Q3679" s="65">
        <f>SUMIF(日報!$R:$R,TEXT(YEAR($Q$2),"0000")&amp;TEXT(MONTH($Q$2),"00")&amp;$O3679,日報!$L:$L)</f>
        <v>0</v>
      </c>
      <c r="R3679" s="65">
        <f ca="1">SUMIF(日報!$J:$J,$O3679,日報!$L:$L)</f>
        <v>0</v>
      </c>
    </row>
    <row r="3680" spans="15:18" x14ac:dyDescent="0.15">
      <c r="O3680" s="7" t="str">
        <f>"REQ"&amp;TEXT([2]RequestList!$A3681,"0000")</f>
        <v>REQ0000</v>
      </c>
      <c r="P3680" s="7">
        <f>[2]RequestList!$J3681</f>
        <v>0</v>
      </c>
      <c r="Q3680" s="65">
        <f>SUMIF(日報!$R:$R,TEXT(YEAR($Q$2),"0000")&amp;TEXT(MONTH($Q$2),"00")&amp;$O3680,日報!$L:$L)</f>
        <v>0</v>
      </c>
      <c r="R3680" s="65">
        <f ca="1">SUMIF(日報!$J:$J,$O3680,日報!$L:$L)</f>
        <v>0</v>
      </c>
    </row>
    <row r="3681" spans="15:18" x14ac:dyDescent="0.15">
      <c r="O3681" s="7" t="str">
        <f>"REQ"&amp;TEXT([2]RequestList!$A3682,"0000")</f>
        <v>REQ0000</v>
      </c>
      <c r="P3681" s="7">
        <f>[2]RequestList!$J3682</f>
        <v>0</v>
      </c>
      <c r="Q3681" s="65">
        <f>SUMIF(日報!$R:$R,TEXT(YEAR($Q$2),"0000")&amp;TEXT(MONTH($Q$2),"00")&amp;$O3681,日報!$L:$L)</f>
        <v>0</v>
      </c>
      <c r="R3681" s="65">
        <f ca="1">SUMIF(日報!$J:$J,$O3681,日報!$L:$L)</f>
        <v>0</v>
      </c>
    </row>
    <row r="3682" spans="15:18" x14ac:dyDescent="0.15">
      <c r="O3682" s="7" t="str">
        <f>"REQ"&amp;TEXT([2]RequestList!$A3683,"0000")</f>
        <v>REQ0000</v>
      </c>
      <c r="P3682" s="7">
        <f>[2]RequestList!$J3683</f>
        <v>0</v>
      </c>
      <c r="Q3682" s="65">
        <f>SUMIF(日報!$R:$R,TEXT(YEAR($Q$2),"0000")&amp;TEXT(MONTH($Q$2),"00")&amp;$O3682,日報!$L:$L)</f>
        <v>0</v>
      </c>
      <c r="R3682" s="65">
        <f ca="1">SUMIF(日報!$J:$J,$O3682,日報!$L:$L)</f>
        <v>0</v>
      </c>
    </row>
    <row r="3683" spans="15:18" x14ac:dyDescent="0.15">
      <c r="O3683" s="7" t="str">
        <f>"REQ"&amp;TEXT([2]RequestList!$A3684,"0000")</f>
        <v>REQ0000</v>
      </c>
      <c r="P3683" s="7">
        <f>[2]RequestList!$J3684</f>
        <v>0</v>
      </c>
      <c r="Q3683" s="65">
        <f>SUMIF(日報!$R:$R,TEXT(YEAR($Q$2),"0000")&amp;TEXT(MONTH($Q$2),"00")&amp;$O3683,日報!$L:$L)</f>
        <v>0</v>
      </c>
      <c r="R3683" s="65">
        <f ca="1">SUMIF(日報!$J:$J,$O3683,日報!$L:$L)</f>
        <v>0</v>
      </c>
    </row>
    <row r="3684" spans="15:18" x14ac:dyDescent="0.15">
      <c r="O3684" s="7" t="str">
        <f>"REQ"&amp;TEXT([2]RequestList!$A3685,"0000")</f>
        <v>REQ0000</v>
      </c>
      <c r="P3684" s="7">
        <f>[2]RequestList!$J3685</f>
        <v>0</v>
      </c>
      <c r="Q3684" s="65">
        <f>SUMIF(日報!$R:$R,TEXT(YEAR($Q$2),"0000")&amp;TEXT(MONTH($Q$2),"00")&amp;$O3684,日報!$L:$L)</f>
        <v>0</v>
      </c>
      <c r="R3684" s="65">
        <f ca="1">SUMIF(日報!$J:$J,$O3684,日報!$L:$L)</f>
        <v>0</v>
      </c>
    </row>
    <row r="3685" spans="15:18" x14ac:dyDescent="0.15">
      <c r="O3685" s="7" t="str">
        <f>"REQ"&amp;TEXT([2]RequestList!$A3686,"0000")</f>
        <v>REQ0000</v>
      </c>
      <c r="P3685" s="7">
        <f>[2]RequestList!$J3686</f>
        <v>0</v>
      </c>
      <c r="Q3685" s="65">
        <f>SUMIF(日報!$R:$R,TEXT(YEAR($Q$2),"0000")&amp;TEXT(MONTH($Q$2),"00")&amp;$O3685,日報!$L:$L)</f>
        <v>0</v>
      </c>
      <c r="R3685" s="65">
        <f ca="1">SUMIF(日報!$J:$J,$O3685,日報!$L:$L)</f>
        <v>0</v>
      </c>
    </row>
    <row r="3686" spans="15:18" x14ac:dyDescent="0.15">
      <c r="O3686" s="7" t="str">
        <f>"REQ"&amp;TEXT([2]RequestList!$A3687,"0000")</f>
        <v>REQ0000</v>
      </c>
      <c r="P3686" s="7">
        <f>[2]RequestList!$J3687</f>
        <v>0</v>
      </c>
      <c r="Q3686" s="65">
        <f>SUMIF(日報!$R:$R,TEXT(YEAR($Q$2),"0000")&amp;TEXT(MONTH($Q$2),"00")&amp;$O3686,日報!$L:$L)</f>
        <v>0</v>
      </c>
      <c r="R3686" s="65">
        <f ca="1">SUMIF(日報!$J:$J,$O3686,日報!$L:$L)</f>
        <v>0</v>
      </c>
    </row>
    <row r="3687" spans="15:18" x14ac:dyDescent="0.15">
      <c r="O3687" s="7" t="str">
        <f>"REQ"&amp;TEXT([2]RequestList!$A3688,"0000")</f>
        <v>REQ0000</v>
      </c>
      <c r="P3687" s="7">
        <f>[2]RequestList!$J3688</f>
        <v>0</v>
      </c>
      <c r="Q3687" s="65">
        <f>SUMIF(日報!$R:$R,TEXT(YEAR($Q$2),"0000")&amp;TEXT(MONTH($Q$2),"00")&amp;$O3687,日報!$L:$L)</f>
        <v>0</v>
      </c>
      <c r="R3687" s="65">
        <f ca="1">SUMIF(日報!$J:$J,$O3687,日報!$L:$L)</f>
        <v>0</v>
      </c>
    </row>
    <row r="3688" spans="15:18" x14ac:dyDescent="0.15">
      <c r="O3688" s="7" t="str">
        <f>"REQ"&amp;TEXT([2]RequestList!$A3689,"0000")</f>
        <v>REQ0000</v>
      </c>
      <c r="P3688" s="7">
        <f>[2]RequestList!$J3689</f>
        <v>0</v>
      </c>
      <c r="Q3688" s="65">
        <f>SUMIF(日報!$R:$R,TEXT(YEAR($Q$2),"0000")&amp;TEXT(MONTH($Q$2),"00")&amp;$O3688,日報!$L:$L)</f>
        <v>0</v>
      </c>
      <c r="R3688" s="65">
        <f ca="1">SUMIF(日報!$J:$J,$O3688,日報!$L:$L)</f>
        <v>0</v>
      </c>
    </row>
    <row r="3689" spans="15:18" x14ac:dyDescent="0.15">
      <c r="O3689" s="7" t="str">
        <f>"REQ"&amp;TEXT([2]RequestList!$A3690,"0000")</f>
        <v>REQ0000</v>
      </c>
      <c r="P3689" s="7">
        <f>[2]RequestList!$J3690</f>
        <v>0</v>
      </c>
      <c r="Q3689" s="65">
        <f>SUMIF(日報!$R:$R,TEXT(YEAR($Q$2),"0000")&amp;TEXT(MONTH($Q$2),"00")&amp;$O3689,日報!$L:$L)</f>
        <v>0</v>
      </c>
      <c r="R3689" s="65">
        <f ca="1">SUMIF(日報!$J:$J,$O3689,日報!$L:$L)</f>
        <v>0</v>
      </c>
    </row>
    <row r="3690" spans="15:18" x14ac:dyDescent="0.15">
      <c r="O3690" s="7" t="str">
        <f>"REQ"&amp;TEXT([2]RequestList!$A3691,"0000")</f>
        <v>REQ0000</v>
      </c>
      <c r="P3690" s="7">
        <f>[2]RequestList!$J3691</f>
        <v>0</v>
      </c>
      <c r="Q3690" s="65">
        <f>SUMIF(日報!$R:$R,TEXT(YEAR($Q$2),"0000")&amp;TEXT(MONTH($Q$2),"00")&amp;$O3690,日報!$L:$L)</f>
        <v>0</v>
      </c>
      <c r="R3690" s="65">
        <f ca="1">SUMIF(日報!$J:$J,$O3690,日報!$L:$L)</f>
        <v>0</v>
      </c>
    </row>
    <row r="3691" spans="15:18" x14ac:dyDescent="0.15">
      <c r="O3691" s="7" t="str">
        <f>"REQ"&amp;TEXT([2]RequestList!$A3692,"0000")</f>
        <v>REQ0000</v>
      </c>
      <c r="P3691" s="7">
        <f>[2]RequestList!$J3692</f>
        <v>0</v>
      </c>
      <c r="Q3691" s="65">
        <f>SUMIF(日報!$R:$R,TEXT(YEAR($Q$2),"0000")&amp;TEXT(MONTH($Q$2),"00")&amp;$O3691,日報!$L:$L)</f>
        <v>0</v>
      </c>
      <c r="R3691" s="65">
        <f ca="1">SUMIF(日報!$J:$J,$O3691,日報!$L:$L)</f>
        <v>0</v>
      </c>
    </row>
    <row r="3692" spans="15:18" x14ac:dyDescent="0.15">
      <c r="O3692" s="7" t="str">
        <f>"REQ"&amp;TEXT([2]RequestList!$A3693,"0000")</f>
        <v>REQ0000</v>
      </c>
      <c r="P3692" s="7">
        <f>[2]RequestList!$J3693</f>
        <v>0</v>
      </c>
      <c r="Q3692" s="65">
        <f>SUMIF(日報!$R:$R,TEXT(YEAR($Q$2),"0000")&amp;TEXT(MONTH($Q$2),"00")&amp;$O3692,日報!$L:$L)</f>
        <v>0</v>
      </c>
      <c r="R3692" s="65">
        <f ca="1">SUMIF(日報!$J:$J,$O3692,日報!$L:$L)</f>
        <v>0</v>
      </c>
    </row>
    <row r="3693" spans="15:18" x14ac:dyDescent="0.15">
      <c r="O3693" s="7" t="str">
        <f>"REQ"&amp;TEXT([2]RequestList!$A3694,"0000")</f>
        <v>REQ0000</v>
      </c>
      <c r="P3693" s="7">
        <f>[2]RequestList!$J3694</f>
        <v>0</v>
      </c>
      <c r="Q3693" s="65">
        <f>SUMIF(日報!$R:$R,TEXT(YEAR($Q$2),"0000")&amp;TEXT(MONTH($Q$2),"00")&amp;$O3693,日報!$L:$L)</f>
        <v>0</v>
      </c>
      <c r="R3693" s="65">
        <f ca="1">SUMIF(日報!$J:$J,$O3693,日報!$L:$L)</f>
        <v>0</v>
      </c>
    </row>
    <row r="3694" spans="15:18" x14ac:dyDescent="0.15">
      <c r="O3694" s="7" t="str">
        <f>"REQ"&amp;TEXT([2]RequestList!$A3695,"0000")</f>
        <v>REQ0000</v>
      </c>
      <c r="P3694" s="7">
        <f>[2]RequestList!$J3695</f>
        <v>0</v>
      </c>
      <c r="Q3694" s="65">
        <f>SUMIF(日報!$R:$R,TEXT(YEAR($Q$2),"0000")&amp;TEXT(MONTH($Q$2),"00")&amp;$O3694,日報!$L:$L)</f>
        <v>0</v>
      </c>
      <c r="R3694" s="65">
        <f ca="1">SUMIF(日報!$J:$J,$O3694,日報!$L:$L)</f>
        <v>0</v>
      </c>
    </row>
    <row r="3695" spans="15:18" x14ac:dyDescent="0.15">
      <c r="O3695" s="7" t="str">
        <f>"REQ"&amp;TEXT([2]RequestList!$A3696,"0000")</f>
        <v>REQ0000</v>
      </c>
      <c r="P3695" s="7">
        <f>[2]RequestList!$J3696</f>
        <v>0</v>
      </c>
      <c r="Q3695" s="65">
        <f>SUMIF(日報!$R:$R,TEXT(YEAR($Q$2),"0000")&amp;TEXT(MONTH($Q$2),"00")&amp;$O3695,日報!$L:$L)</f>
        <v>0</v>
      </c>
      <c r="R3695" s="65">
        <f ca="1">SUMIF(日報!$J:$J,$O3695,日報!$L:$L)</f>
        <v>0</v>
      </c>
    </row>
    <row r="3696" spans="15:18" x14ac:dyDescent="0.15">
      <c r="O3696" s="7" t="str">
        <f>"REQ"&amp;TEXT([2]RequestList!$A3697,"0000")</f>
        <v>REQ0000</v>
      </c>
      <c r="P3696" s="7">
        <f>[2]RequestList!$J3697</f>
        <v>0</v>
      </c>
      <c r="Q3696" s="65">
        <f>SUMIF(日報!$R:$R,TEXT(YEAR($Q$2),"0000")&amp;TEXT(MONTH($Q$2),"00")&amp;$O3696,日報!$L:$L)</f>
        <v>0</v>
      </c>
      <c r="R3696" s="65">
        <f ca="1">SUMIF(日報!$J:$J,$O3696,日報!$L:$L)</f>
        <v>0</v>
      </c>
    </row>
    <row r="3697" spans="15:18" x14ac:dyDescent="0.15">
      <c r="O3697" s="7" t="str">
        <f>"REQ"&amp;TEXT([2]RequestList!$A3698,"0000")</f>
        <v>REQ0000</v>
      </c>
      <c r="P3697" s="7">
        <f>[2]RequestList!$J3698</f>
        <v>0</v>
      </c>
      <c r="Q3697" s="65">
        <f>SUMIF(日報!$R:$R,TEXT(YEAR($Q$2),"0000")&amp;TEXT(MONTH($Q$2),"00")&amp;$O3697,日報!$L:$L)</f>
        <v>0</v>
      </c>
      <c r="R3697" s="65">
        <f ca="1">SUMIF(日報!$J:$J,$O3697,日報!$L:$L)</f>
        <v>0</v>
      </c>
    </row>
    <row r="3698" spans="15:18" x14ac:dyDescent="0.15">
      <c r="O3698" s="7" t="str">
        <f>"REQ"&amp;TEXT([2]RequestList!$A3699,"0000")</f>
        <v>REQ0000</v>
      </c>
      <c r="P3698" s="7">
        <f>[2]RequestList!$J3699</f>
        <v>0</v>
      </c>
      <c r="Q3698" s="65">
        <f>SUMIF(日報!$R:$R,TEXT(YEAR($Q$2),"0000")&amp;TEXT(MONTH($Q$2),"00")&amp;$O3698,日報!$L:$L)</f>
        <v>0</v>
      </c>
      <c r="R3698" s="65">
        <f ca="1">SUMIF(日報!$J:$J,$O3698,日報!$L:$L)</f>
        <v>0</v>
      </c>
    </row>
    <row r="3699" spans="15:18" x14ac:dyDescent="0.15">
      <c r="O3699" s="7" t="str">
        <f>"REQ"&amp;TEXT([2]RequestList!$A3700,"0000")</f>
        <v>REQ0000</v>
      </c>
      <c r="P3699" s="7">
        <f>[2]RequestList!$J3700</f>
        <v>0</v>
      </c>
      <c r="Q3699" s="65">
        <f>SUMIF(日報!$R:$R,TEXT(YEAR($Q$2),"0000")&amp;TEXT(MONTH($Q$2),"00")&amp;$O3699,日報!$L:$L)</f>
        <v>0</v>
      </c>
      <c r="R3699" s="65">
        <f ca="1">SUMIF(日報!$J:$J,$O3699,日報!$L:$L)</f>
        <v>0</v>
      </c>
    </row>
    <row r="3700" spans="15:18" x14ac:dyDescent="0.15">
      <c r="O3700" s="7" t="str">
        <f>"REQ"&amp;TEXT([2]RequestList!$A3701,"0000")</f>
        <v>REQ0000</v>
      </c>
      <c r="P3700" s="7">
        <f>[2]RequestList!$J3701</f>
        <v>0</v>
      </c>
      <c r="Q3700" s="65">
        <f>SUMIF(日報!$R:$R,TEXT(YEAR($Q$2),"0000")&amp;TEXT(MONTH($Q$2),"00")&amp;$O3700,日報!$L:$L)</f>
        <v>0</v>
      </c>
      <c r="R3700" s="65">
        <f ca="1">SUMIF(日報!$J:$J,$O3700,日報!$L:$L)</f>
        <v>0</v>
      </c>
    </row>
    <row r="3701" spans="15:18" x14ac:dyDescent="0.15">
      <c r="O3701" s="7" t="str">
        <f>"REQ"&amp;TEXT([2]RequestList!$A3702,"0000")</f>
        <v>REQ0000</v>
      </c>
      <c r="P3701" s="7">
        <f>[2]RequestList!$J3702</f>
        <v>0</v>
      </c>
      <c r="Q3701" s="65">
        <f>SUMIF(日報!$R:$R,TEXT(YEAR($Q$2),"0000")&amp;TEXT(MONTH($Q$2),"00")&amp;$O3701,日報!$L:$L)</f>
        <v>0</v>
      </c>
      <c r="R3701" s="65">
        <f ca="1">SUMIF(日報!$J:$J,$O3701,日報!$L:$L)</f>
        <v>0</v>
      </c>
    </row>
    <row r="3702" spans="15:18" x14ac:dyDescent="0.15">
      <c r="O3702" s="7" t="str">
        <f>"REQ"&amp;TEXT([2]RequestList!$A3703,"0000")</f>
        <v>REQ0000</v>
      </c>
      <c r="P3702" s="7">
        <f>[2]RequestList!$J3703</f>
        <v>0</v>
      </c>
      <c r="Q3702" s="65">
        <f>SUMIF(日報!$R:$R,TEXT(YEAR($Q$2),"0000")&amp;TEXT(MONTH($Q$2),"00")&amp;$O3702,日報!$L:$L)</f>
        <v>0</v>
      </c>
      <c r="R3702" s="65">
        <f ca="1">SUMIF(日報!$J:$J,$O3702,日報!$L:$L)</f>
        <v>0</v>
      </c>
    </row>
    <row r="3703" spans="15:18" x14ac:dyDescent="0.15">
      <c r="O3703" s="7" t="str">
        <f>"REQ"&amp;TEXT([2]RequestList!$A3704,"0000")</f>
        <v>REQ0000</v>
      </c>
      <c r="P3703" s="7">
        <f>[2]RequestList!$J3704</f>
        <v>0</v>
      </c>
      <c r="Q3703" s="65">
        <f>SUMIF(日報!$R:$R,TEXT(YEAR($Q$2),"0000")&amp;TEXT(MONTH($Q$2),"00")&amp;$O3703,日報!$L:$L)</f>
        <v>0</v>
      </c>
      <c r="R3703" s="65">
        <f ca="1">SUMIF(日報!$J:$J,$O3703,日報!$L:$L)</f>
        <v>0</v>
      </c>
    </row>
    <row r="3704" spans="15:18" x14ac:dyDescent="0.15">
      <c r="O3704" s="7" t="str">
        <f>"REQ"&amp;TEXT([2]RequestList!$A3705,"0000")</f>
        <v>REQ0000</v>
      </c>
      <c r="P3704" s="7">
        <f>[2]RequestList!$J3705</f>
        <v>0</v>
      </c>
      <c r="Q3704" s="65">
        <f>SUMIF(日報!$R:$R,TEXT(YEAR($Q$2),"0000")&amp;TEXT(MONTH($Q$2),"00")&amp;$O3704,日報!$L:$L)</f>
        <v>0</v>
      </c>
      <c r="R3704" s="65">
        <f ca="1">SUMIF(日報!$J:$J,$O3704,日報!$L:$L)</f>
        <v>0</v>
      </c>
    </row>
    <row r="3705" spans="15:18" x14ac:dyDescent="0.15">
      <c r="O3705" s="7" t="str">
        <f>"REQ"&amp;TEXT([2]RequestList!$A3706,"0000")</f>
        <v>REQ0000</v>
      </c>
      <c r="P3705" s="7">
        <f>[2]RequestList!$J3706</f>
        <v>0</v>
      </c>
      <c r="Q3705" s="65">
        <f>SUMIF(日報!$R:$R,TEXT(YEAR($Q$2),"0000")&amp;TEXT(MONTH($Q$2),"00")&amp;$O3705,日報!$L:$L)</f>
        <v>0</v>
      </c>
      <c r="R3705" s="65">
        <f ca="1">SUMIF(日報!$J:$J,$O3705,日報!$L:$L)</f>
        <v>0</v>
      </c>
    </row>
    <row r="3706" spans="15:18" x14ac:dyDescent="0.15">
      <c r="O3706" s="7" t="str">
        <f>"REQ"&amp;TEXT([2]RequestList!$A3707,"0000")</f>
        <v>REQ0000</v>
      </c>
      <c r="P3706" s="7">
        <f>[2]RequestList!$J3707</f>
        <v>0</v>
      </c>
      <c r="Q3706" s="65">
        <f>SUMIF(日報!$R:$R,TEXT(YEAR($Q$2),"0000")&amp;TEXT(MONTH($Q$2),"00")&amp;$O3706,日報!$L:$L)</f>
        <v>0</v>
      </c>
      <c r="R3706" s="65">
        <f ca="1">SUMIF(日報!$J:$J,$O3706,日報!$L:$L)</f>
        <v>0</v>
      </c>
    </row>
    <row r="3707" spans="15:18" x14ac:dyDescent="0.15">
      <c r="O3707" s="7" t="str">
        <f>"REQ"&amp;TEXT([2]RequestList!$A3708,"0000")</f>
        <v>REQ0000</v>
      </c>
      <c r="P3707" s="7">
        <f>[2]RequestList!$J3708</f>
        <v>0</v>
      </c>
      <c r="Q3707" s="65">
        <f>SUMIF(日報!$R:$R,TEXT(YEAR($Q$2),"0000")&amp;TEXT(MONTH($Q$2),"00")&amp;$O3707,日報!$L:$L)</f>
        <v>0</v>
      </c>
      <c r="R3707" s="65">
        <f ca="1">SUMIF(日報!$J:$J,$O3707,日報!$L:$L)</f>
        <v>0</v>
      </c>
    </row>
    <row r="3708" spans="15:18" x14ac:dyDescent="0.15">
      <c r="O3708" s="7" t="str">
        <f>"REQ"&amp;TEXT([2]RequestList!$A3709,"0000")</f>
        <v>REQ0000</v>
      </c>
      <c r="P3708" s="7">
        <f>[2]RequestList!$J3709</f>
        <v>0</v>
      </c>
      <c r="Q3708" s="65">
        <f>SUMIF(日報!$R:$R,TEXT(YEAR($Q$2),"0000")&amp;TEXT(MONTH($Q$2),"00")&amp;$O3708,日報!$L:$L)</f>
        <v>0</v>
      </c>
      <c r="R3708" s="65">
        <f ca="1">SUMIF(日報!$J:$J,$O3708,日報!$L:$L)</f>
        <v>0</v>
      </c>
    </row>
    <row r="3709" spans="15:18" x14ac:dyDescent="0.15">
      <c r="O3709" s="7" t="str">
        <f>"REQ"&amp;TEXT([2]RequestList!$A3710,"0000")</f>
        <v>REQ0000</v>
      </c>
      <c r="P3709" s="7">
        <f>[2]RequestList!$J3710</f>
        <v>0</v>
      </c>
      <c r="Q3709" s="65">
        <f>SUMIF(日報!$R:$R,TEXT(YEAR($Q$2),"0000")&amp;TEXT(MONTH($Q$2),"00")&amp;$O3709,日報!$L:$L)</f>
        <v>0</v>
      </c>
      <c r="R3709" s="65">
        <f ca="1">SUMIF(日報!$J:$J,$O3709,日報!$L:$L)</f>
        <v>0</v>
      </c>
    </row>
    <row r="3710" spans="15:18" x14ac:dyDescent="0.15">
      <c r="O3710" s="7" t="str">
        <f>"REQ"&amp;TEXT([2]RequestList!$A3711,"0000")</f>
        <v>REQ0000</v>
      </c>
      <c r="P3710" s="7">
        <f>[2]RequestList!$J3711</f>
        <v>0</v>
      </c>
      <c r="Q3710" s="65">
        <f>SUMIF(日報!$R:$R,TEXT(YEAR($Q$2),"0000")&amp;TEXT(MONTH($Q$2),"00")&amp;$O3710,日報!$L:$L)</f>
        <v>0</v>
      </c>
      <c r="R3710" s="65">
        <f ca="1">SUMIF(日報!$J:$J,$O3710,日報!$L:$L)</f>
        <v>0</v>
      </c>
    </row>
    <row r="3711" spans="15:18" x14ac:dyDescent="0.15">
      <c r="O3711" s="7" t="str">
        <f>"REQ"&amp;TEXT([2]RequestList!$A3712,"0000")</f>
        <v>REQ0000</v>
      </c>
      <c r="P3711" s="7">
        <f>[2]RequestList!$J3712</f>
        <v>0</v>
      </c>
      <c r="Q3711" s="65">
        <f>SUMIF(日報!$R:$R,TEXT(YEAR($Q$2),"0000")&amp;TEXT(MONTH($Q$2),"00")&amp;$O3711,日報!$L:$L)</f>
        <v>0</v>
      </c>
      <c r="R3711" s="65">
        <f ca="1">SUMIF(日報!$J:$J,$O3711,日報!$L:$L)</f>
        <v>0</v>
      </c>
    </row>
    <row r="3712" spans="15:18" x14ac:dyDescent="0.15">
      <c r="O3712" s="7" t="str">
        <f>"REQ"&amp;TEXT([2]RequestList!$A3713,"0000")</f>
        <v>REQ0000</v>
      </c>
      <c r="P3712" s="7">
        <f>[2]RequestList!$J3713</f>
        <v>0</v>
      </c>
      <c r="Q3712" s="65">
        <f>SUMIF(日報!$R:$R,TEXT(YEAR($Q$2),"0000")&amp;TEXT(MONTH($Q$2),"00")&amp;$O3712,日報!$L:$L)</f>
        <v>0</v>
      </c>
      <c r="R3712" s="65">
        <f ca="1">SUMIF(日報!$J:$J,$O3712,日報!$L:$L)</f>
        <v>0</v>
      </c>
    </row>
    <row r="3713" spans="15:18" x14ac:dyDescent="0.15">
      <c r="O3713" s="7" t="str">
        <f>"REQ"&amp;TEXT([2]RequestList!$A3714,"0000")</f>
        <v>REQ0000</v>
      </c>
      <c r="P3713" s="7">
        <f>[2]RequestList!$J3714</f>
        <v>0</v>
      </c>
      <c r="Q3713" s="65">
        <f>SUMIF(日報!$R:$R,TEXT(YEAR($Q$2),"0000")&amp;TEXT(MONTH($Q$2),"00")&amp;$O3713,日報!$L:$L)</f>
        <v>0</v>
      </c>
      <c r="R3713" s="65">
        <f ca="1">SUMIF(日報!$J:$J,$O3713,日報!$L:$L)</f>
        <v>0</v>
      </c>
    </row>
    <row r="3714" spans="15:18" x14ac:dyDescent="0.15">
      <c r="O3714" s="7" t="str">
        <f>"REQ"&amp;TEXT([2]RequestList!$A3715,"0000")</f>
        <v>REQ0000</v>
      </c>
      <c r="P3714" s="7">
        <f>[2]RequestList!$J3715</f>
        <v>0</v>
      </c>
      <c r="Q3714" s="65">
        <f>SUMIF(日報!$R:$R,TEXT(YEAR($Q$2),"0000")&amp;TEXT(MONTH($Q$2),"00")&amp;$O3714,日報!$L:$L)</f>
        <v>0</v>
      </c>
      <c r="R3714" s="65">
        <f ca="1">SUMIF(日報!$J:$J,$O3714,日報!$L:$L)</f>
        <v>0</v>
      </c>
    </row>
    <row r="3715" spans="15:18" x14ac:dyDescent="0.15">
      <c r="O3715" s="7" t="str">
        <f>"REQ"&amp;TEXT([2]RequestList!$A3716,"0000")</f>
        <v>REQ0000</v>
      </c>
      <c r="P3715" s="7">
        <f>[2]RequestList!$J3716</f>
        <v>0</v>
      </c>
      <c r="Q3715" s="65">
        <f>SUMIF(日報!$R:$R,TEXT(YEAR($Q$2),"0000")&amp;TEXT(MONTH($Q$2),"00")&amp;$O3715,日報!$L:$L)</f>
        <v>0</v>
      </c>
      <c r="R3715" s="65">
        <f ca="1">SUMIF(日報!$J:$J,$O3715,日報!$L:$L)</f>
        <v>0</v>
      </c>
    </row>
    <row r="3716" spans="15:18" x14ac:dyDescent="0.15">
      <c r="O3716" s="7" t="str">
        <f>"REQ"&amp;TEXT([2]RequestList!$A3717,"0000")</f>
        <v>REQ0000</v>
      </c>
      <c r="P3716" s="7">
        <f>[2]RequestList!$J3717</f>
        <v>0</v>
      </c>
      <c r="Q3716" s="65">
        <f>SUMIF(日報!$R:$R,TEXT(YEAR($Q$2),"0000")&amp;TEXT(MONTH($Q$2),"00")&amp;$O3716,日報!$L:$L)</f>
        <v>0</v>
      </c>
      <c r="R3716" s="65">
        <f ca="1">SUMIF(日報!$J:$J,$O3716,日報!$L:$L)</f>
        <v>0</v>
      </c>
    </row>
    <row r="3717" spans="15:18" x14ac:dyDescent="0.15">
      <c r="O3717" s="7" t="str">
        <f>"REQ"&amp;TEXT([2]RequestList!$A3718,"0000")</f>
        <v>REQ0000</v>
      </c>
      <c r="P3717" s="7">
        <f>[2]RequestList!$J3718</f>
        <v>0</v>
      </c>
      <c r="Q3717" s="65">
        <f>SUMIF(日報!$R:$R,TEXT(YEAR($Q$2),"0000")&amp;TEXT(MONTH($Q$2),"00")&amp;$O3717,日報!$L:$L)</f>
        <v>0</v>
      </c>
      <c r="R3717" s="65">
        <f ca="1">SUMIF(日報!$J:$J,$O3717,日報!$L:$L)</f>
        <v>0</v>
      </c>
    </row>
    <row r="3718" spans="15:18" x14ac:dyDescent="0.15">
      <c r="O3718" s="7" t="str">
        <f>"REQ"&amp;TEXT([2]RequestList!$A3719,"0000")</f>
        <v>REQ0000</v>
      </c>
      <c r="P3718" s="7">
        <f>[2]RequestList!$J3719</f>
        <v>0</v>
      </c>
      <c r="Q3718" s="65">
        <f>SUMIF(日報!$R:$R,TEXT(YEAR($Q$2),"0000")&amp;TEXT(MONTH($Q$2),"00")&amp;$O3718,日報!$L:$L)</f>
        <v>0</v>
      </c>
      <c r="R3718" s="65">
        <f ca="1">SUMIF(日報!$J:$J,$O3718,日報!$L:$L)</f>
        <v>0</v>
      </c>
    </row>
    <row r="3719" spans="15:18" x14ac:dyDescent="0.15">
      <c r="O3719" s="7" t="str">
        <f>"REQ"&amp;TEXT([2]RequestList!$A3720,"0000")</f>
        <v>REQ0000</v>
      </c>
      <c r="P3719" s="7">
        <f>[2]RequestList!$J3720</f>
        <v>0</v>
      </c>
      <c r="Q3719" s="65">
        <f>SUMIF(日報!$R:$R,TEXT(YEAR($Q$2),"0000")&amp;TEXT(MONTH($Q$2),"00")&amp;$O3719,日報!$L:$L)</f>
        <v>0</v>
      </c>
      <c r="R3719" s="65">
        <f ca="1">SUMIF(日報!$J:$J,$O3719,日報!$L:$L)</f>
        <v>0</v>
      </c>
    </row>
    <row r="3720" spans="15:18" x14ac:dyDescent="0.15">
      <c r="O3720" s="7" t="str">
        <f>"REQ"&amp;TEXT([2]RequestList!$A3721,"0000")</f>
        <v>REQ0000</v>
      </c>
      <c r="P3720" s="7">
        <f>[2]RequestList!$J3721</f>
        <v>0</v>
      </c>
      <c r="Q3720" s="65">
        <f>SUMIF(日報!$R:$R,TEXT(YEAR($Q$2),"0000")&amp;TEXT(MONTH($Q$2),"00")&amp;$O3720,日報!$L:$L)</f>
        <v>0</v>
      </c>
      <c r="R3720" s="65">
        <f ca="1">SUMIF(日報!$J:$J,$O3720,日報!$L:$L)</f>
        <v>0</v>
      </c>
    </row>
    <row r="3721" spans="15:18" x14ac:dyDescent="0.15">
      <c r="O3721" s="7" t="str">
        <f>"REQ"&amp;TEXT([2]RequestList!$A3722,"0000")</f>
        <v>REQ0000</v>
      </c>
      <c r="P3721" s="7">
        <f>[2]RequestList!$J3722</f>
        <v>0</v>
      </c>
      <c r="Q3721" s="65">
        <f>SUMIF(日報!$R:$R,TEXT(YEAR($Q$2),"0000")&amp;TEXT(MONTH($Q$2),"00")&amp;$O3721,日報!$L:$L)</f>
        <v>0</v>
      </c>
      <c r="R3721" s="65">
        <f ca="1">SUMIF(日報!$J:$J,$O3721,日報!$L:$L)</f>
        <v>0</v>
      </c>
    </row>
    <row r="3722" spans="15:18" x14ac:dyDescent="0.15">
      <c r="O3722" s="7" t="str">
        <f>"REQ"&amp;TEXT([2]RequestList!$A3723,"0000")</f>
        <v>REQ0000</v>
      </c>
      <c r="P3722" s="7">
        <f>[2]RequestList!$J3723</f>
        <v>0</v>
      </c>
      <c r="Q3722" s="65">
        <f>SUMIF(日報!$R:$R,TEXT(YEAR($Q$2),"0000")&amp;TEXT(MONTH($Q$2),"00")&amp;$O3722,日報!$L:$L)</f>
        <v>0</v>
      </c>
      <c r="R3722" s="65">
        <f ca="1">SUMIF(日報!$J:$J,$O3722,日報!$L:$L)</f>
        <v>0</v>
      </c>
    </row>
    <row r="3723" spans="15:18" x14ac:dyDescent="0.15">
      <c r="O3723" s="7" t="str">
        <f>"REQ"&amp;TEXT([2]RequestList!$A3724,"0000")</f>
        <v>REQ0000</v>
      </c>
      <c r="P3723" s="7">
        <f>[2]RequestList!$J3724</f>
        <v>0</v>
      </c>
      <c r="Q3723" s="65">
        <f>SUMIF(日報!$R:$R,TEXT(YEAR($Q$2),"0000")&amp;TEXT(MONTH($Q$2),"00")&amp;$O3723,日報!$L:$L)</f>
        <v>0</v>
      </c>
      <c r="R3723" s="65">
        <f ca="1">SUMIF(日報!$J:$J,$O3723,日報!$L:$L)</f>
        <v>0</v>
      </c>
    </row>
    <row r="3724" spans="15:18" x14ac:dyDescent="0.15">
      <c r="O3724" s="7" t="str">
        <f>"REQ"&amp;TEXT([2]RequestList!$A3725,"0000")</f>
        <v>REQ0000</v>
      </c>
      <c r="P3724" s="7">
        <f>[2]RequestList!$J3725</f>
        <v>0</v>
      </c>
      <c r="Q3724" s="65">
        <f>SUMIF(日報!$R:$R,TEXT(YEAR($Q$2),"0000")&amp;TEXT(MONTH($Q$2),"00")&amp;$O3724,日報!$L:$L)</f>
        <v>0</v>
      </c>
      <c r="R3724" s="65">
        <f ca="1">SUMIF(日報!$J:$J,$O3724,日報!$L:$L)</f>
        <v>0</v>
      </c>
    </row>
    <row r="3725" spans="15:18" x14ac:dyDescent="0.15">
      <c r="O3725" s="7" t="str">
        <f>"REQ"&amp;TEXT([2]RequestList!$A3726,"0000")</f>
        <v>REQ0000</v>
      </c>
      <c r="P3725" s="7">
        <f>[2]RequestList!$J3726</f>
        <v>0</v>
      </c>
      <c r="Q3725" s="65">
        <f>SUMIF(日報!$R:$R,TEXT(YEAR($Q$2),"0000")&amp;TEXT(MONTH($Q$2),"00")&amp;$O3725,日報!$L:$L)</f>
        <v>0</v>
      </c>
      <c r="R3725" s="65">
        <f ca="1">SUMIF(日報!$J:$J,$O3725,日報!$L:$L)</f>
        <v>0</v>
      </c>
    </row>
    <row r="3726" spans="15:18" x14ac:dyDescent="0.15">
      <c r="O3726" s="7" t="str">
        <f>"REQ"&amp;TEXT([2]RequestList!$A3727,"0000")</f>
        <v>REQ0000</v>
      </c>
      <c r="P3726" s="7">
        <f>[2]RequestList!$J3727</f>
        <v>0</v>
      </c>
      <c r="Q3726" s="65">
        <f>SUMIF(日報!$R:$R,TEXT(YEAR($Q$2),"0000")&amp;TEXT(MONTH($Q$2),"00")&amp;$O3726,日報!$L:$L)</f>
        <v>0</v>
      </c>
      <c r="R3726" s="65">
        <f ca="1">SUMIF(日報!$J:$J,$O3726,日報!$L:$L)</f>
        <v>0</v>
      </c>
    </row>
    <row r="3727" spans="15:18" x14ac:dyDescent="0.15">
      <c r="O3727" s="7" t="str">
        <f>"REQ"&amp;TEXT([2]RequestList!$A3728,"0000")</f>
        <v>REQ0000</v>
      </c>
      <c r="P3727" s="7">
        <f>[2]RequestList!$J3728</f>
        <v>0</v>
      </c>
      <c r="Q3727" s="65">
        <f>SUMIF(日報!$R:$R,TEXT(YEAR($Q$2),"0000")&amp;TEXT(MONTH($Q$2),"00")&amp;$O3727,日報!$L:$L)</f>
        <v>0</v>
      </c>
      <c r="R3727" s="65">
        <f ca="1">SUMIF(日報!$J:$J,$O3727,日報!$L:$L)</f>
        <v>0</v>
      </c>
    </row>
    <row r="3728" spans="15:18" x14ac:dyDescent="0.15">
      <c r="O3728" s="7" t="str">
        <f>"REQ"&amp;TEXT([2]RequestList!$A3729,"0000")</f>
        <v>REQ0000</v>
      </c>
      <c r="P3728" s="7">
        <f>[2]RequestList!$J3729</f>
        <v>0</v>
      </c>
      <c r="Q3728" s="65">
        <f>SUMIF(日報!$R:$R,TEXT(YEAR($Q$2),"0000")&amp;TEXT(MONTH($Q$2),"00")&amp;$O3728,日報!$L:$L)</f>
        <v>0</v>
      </c>
      <c r="R3728" s="65">
        <f ca="1">SUMIF(日報!$J:$J,$O3728,日報!$L:$L)</f>
        <v>0</v>
      </c>
    </row>
    <row r="3729" spans="15:18" x14ac:dyDescent="0.15">
      <c r="O3729" s="7" t="str">
        <f>"REQ"&amp;TEXT([2]RequestList!$A3730,"0000")</f>
        <v>REQ0000</v>
      </c>
      <c r="P3729" s="7">
        <f>[2]RequestList!$J3730</f>
        <v>0</v>
      </c>
      <c r="Q3729" s="65">
        <f>SUMIF(日報!$R:$R,TEXT(YEAR($Q$2),"0000")&amp;TEXT(MONTH($Q$2),"00")&amp;$O3729,日報!$L:$L)</f>
        <v>0</v>
      </c>
      <c r="R3729" s="65">
        <f ca="1">SUMIF(日報!$J:$J,$O3729,日報!$L:$L)</f>
        <v>0</v>
      </c>
    </row>
    <row r="3730" spans="15:18" x14ac:dyDescent="0.15">
      <c r="O3730" s="7" t="str">
        <f>"REQ"&amp;TEXT([2]RequestList!$A3731,"0000")</f>
        <v>REQ0000</v>
      </c>
      <c r="P3730" s="7">
        <f>[2]RequestList!$J3731</f>
        <v>0</v>
      </c>
      <c r="Q3730" s="65">
        <f>SUMIF(日報!$R:$R,TEXT(YEAR($Q$2),"0000")&amp;TEXT(MONTH($Q$2),"00")&amp;$O3730,日報!$L:$L)</f>
        <v>0</v>
      </c>
      <c r="R3730" s="65">
        <f ca="1">SUMIF(日報!$J:$J,$O3730,日報!$L:$L)</f>
        <v>0</v>
      </c>
    </row>
    <row r="3731" spans="15:18" x14ac:dyDescent="0.15">
      <c r="O3731" s="7" t="str">
        <f>"REQ"&amp;TEXT([2]RequestList!$A3732,"0000")</f>
        <v>REQ0000</v>
      </c>
      <c r="P3731" s="7">
        <f>[2]RequestList!$J3732</f>
        <v>0</v>
      </c>
      <c r="Q3731" s="65">
        <f>SUMIF(日報!$R:$R,TEXT(YEAR($Q$2),"0000")&amp;TEXT(MONTH($Q$2),"00")&amp;$O3731,日報!$L:$L)</f>
        <v>0</v>
      </c>
      <c r="R3731" s="65">
        <f ca="1">SUMIF(日報!$J:$J,$O3731,日報!$L:$L)</f>
        <v>0</v>
      </c>
    </row>
    <row r="3732" spans="15:18" x14ac:dyDescent="0.15">
      <c r="O3732" s="7" t="str">
        <f>"REQ"&amp;TEXT([2]RequestList!$A3733,"0000")</f>
        <v>REQ0000</v>
      </c>
      <c r="P3732" s="7">
        <f>[2]RequestList!$J3733</f>
        <v>0</v>
      </c>
      <c r="Q3732" s="65">
        <f>SUMIF(日報!$R:$R,TEXT(YEAR($Q$2),"0000")&amp;TEXT(MONTH($Q$2),"00")&amp;$O3732,日報!$L:$L)</f>
        <v>0</v>
      </c>
      <c r="R3732" s="65">
        <f ca="1">SUMIF(日報!$J:$J,$O3732,日報!$L:$L)</f>
        <v>0</v>
      </c>
    </row>
    <row r="3733" spans="15:18" x14ac:dyDescent="0.15">
      <c r="O3733" s="7" t="str">
        <f>"REQ"&amp;TEXT([2]RequestList!$A3734,"0000")</f>
        <v>REQ0000</v>
      </c>
      <c r="P3733" s="7">
        <f>[2]RequestList!$J3734</f>
        <v>0</v>
      </c>
      <c r="Q3733" s="65">
        <f>SUMIF(日報!$R:$R,TEXT(YEAR($Q$2),"0000")&amp;TEXT(MONTH($Q$2),"00")&amp;$O3733,日報!$L:$L)</f>
        <v>0</v>
      </c>
      <c r="R3733" s="65">
        <f ca="1">SUMIF(日報!$J:$J,$O3733,日報!$L:$L)</f>
        <v>0</v>
      </c>
    </row>
    <row r="3734" spans="15:18" x14ac:dyDescent="0.15">
      <c r="O3734" s="7" t="str">
        <f>"REQ"&amp;TEXT([2]RequestList!$A3735,"0000")</f>
        <v>REQ0000</v>
      </c>
      <c r="P3734" s="7">
        <f>[2]RequestList!$J3735</f>
        <v>0</v>
      </c>
      <c r="Q3734" s="65">
        <f>SUMIF(日報!$R:$R,TEXT(YEAR($Q$2),"0000")&amp;TEXT(MONTH($Q$2),"00")&amp;$O3734,日報!$L:$L)</f>
        <v>0</v>
      </c>
      <c r="R3734" s="65">
        <f ca="1">SUMIF(日報!$J:$J,$O3734,日報!$L:$L)</f>
        <v>0</v>
      </c>
    </row>
    <row r="3735" spans="15:18" x14ac:dyDescent="0.15">
      <c r="O3735" s="7" t="str">
        <f>"REQ"&amp;TEXT([2]RequestList!$A3736,"0000")</f>
        <v>REQ0000</v>
      </c>
      <c r="P3735" s="7">
        <f>[2]RequestList!$J3736</f>
        <v>0</v>
      </c>
      <c r="Q3735" s="65">
        <f>SUMIF(日報!$R:$R,TEXT(YEAR($Q$2),"0000")&amp;TEXT(MONTH($Q$2),"00")&amp;$O3735,日報!$L:$L)</f>
        <v>0</v>
      </c>
      <c r="R3735" s="65">
        <f ca="1">SUMIF(日報!$J:$J,$O3735,日報!$L:$L)</f>
        <v>0</v>
      </c>
    </row>
    <row r="3736" spans="15:18" x14ac:dyDescent="0.15">
      <c r="O3736" s="7" t="str">
        <f>"REQ"&amp;TEXT([2]RequestList!$A3737,"0000")</f>
        <v>REQ0000</v>
      </c>
      <c r="P3736" s="7">
        <f>[2]RequestList!$J3737</f>
        <v>0</v>
      </c>
      <c r="Q3736" s="65">
        <f>SUMIF(日報!$R:$R,TEXT(YEAR($Q$2),"0000")&amp;TEXT(MONTH($Q$2),"00")&amp;$O3736,日報!$L:$L)</f>
        <v>0</v>
      </c>
      <c r="R3736" s="65">
        <f ca="1">SUMIF(日報!$J:$J,$O3736,日報!$L:$L)</f>
        <v>0</v>
      </c>
    </row>
    <row r="3737" spans="15:18" x14ac:dyDescent="0.15">
      <c r="O3737" s="7" t="str">
        <f>"REQ"&amp;TEXT([2]RequestList!$A3738,"0000")</f>
        <v>REQ0000</v>
      </c>
      <c r="P3737" s="7">
        <f>[2]RequestList!$J3738</f>
        <v>0</v>
      </c>
      <c r="Q3737" s="65">
        <f>SUMIF(日報!$R:$R,TEXT(YEAR($Q$2),"0000")&amp;TEXT(MONTH($Q$2),"00")&amp;$O3737,日報!$L:$L)</f>
        <v>0</v>
      </c>
      <c r="R3737" s="65">
        <f ca="1">SUMIF(日報!$J:$J,$O3737,日報!$L:$L)</f>
        <v>0</v>
      </c>
    </row>
    <row r="3738" spans="15:18" x14ac:dyDescent="0.15">
      <c r="O3738" s="7" t="str">
        <f>"REQ"&amp;TEXT([2]RequestList!$A3739,"0000")</f>
        <v>REQ0000</v>
      </c>
      <c r="P3738" s="7">
        <f>[2]RequestList!$J3739</f>
        <v>0</v>
      </c>
      <c r="Q3738" s="65">
        <f>SUMIF(日報!$R:$R,TEXT(YEAR($Q$2),"0000")&amp;TEXT(MONTH($Q$2),"00")&amp;$O3738,日報!$L:$L)</f>
        <v>0</v>
      </c>
      <c r="R3738" s="65">
        <f ca="1">SUMIF(日報!$J:$J,$O3738,日報!$L:$L)</f>
        <v>0</v>
      </c>
    </row>
    <row r="3739" spans="15:18" x14ac:dyDescent="0.15">
      <c r="O3739" s="7" t="str">
        <f>"REQ"&amp;TEXT([2]RequestList!$A3740,"0000")</f>
        <v>REQ0000</v>
      </c>
      <c r="P3739" s="7">
        <f>[2]RequestList!$J3740</f>
        <v>0</v>
      </c>
      <c r="Q3739" s="65">
        <f>SUMIF(日報!$R:$R,TEXT(YEAR($Q$2),"0000")&amp;TEXT(MONTH($Q$2),"00")&amp;$O3739,日報!$L:$L)</f>
        <v>0</v>
      </c>
      <c r="R3739" s="65">
        <f ca="1">SUMIF(日報!$J:$J,$O3739,日報!$L:$L)</f>
        <v>0</v>
      </c>
    </row>
    <row r="3740" spans="15:18" x14ac:dyDescent="0.15">
      <c r="O3740" s="7" t="str">
        <f>"REQ"&amp;TEXT([2]RequestList!$A3741,"0000")</f>
        <v>REQ0000</v>
      </c>
      <c r="P3740" s="7">
        <f>[2]RequestList!$J3741</f>
        <v>0</v>
      </c>
      <c r="Q3740" s="65">
        <f>SUMIF(日報!$R:$R,TEXT(YEAR($Q$2),"0000")&amp;TEXT(MONTH($Q$2),"00")&amp;$O3740,日報!$L:$L)</f>
        <v>0</v>
      </c>
      <c r="R3740" s="65">
        <f ca="1">SUMIF(日報!$J:$J,$O3740,日報!$L:$L)</f>
        <v>0</v>
      </c>
    </row>
    <row r="3741" spans="15:18" x14ac:dyDescent="0.15">
      <c r="O3741" s="7" t="str">
        <f>"REQ"&amp;TEXT([2]RequestList!$A3742,"0000")</f>
        <v>REQ0000</v>
      </c>
      <c r="P3741" s="7">
        <f>[2]RequestList!$J3742</f>
        <v>0</v>
      </c>
      <c r="Q3741" s="65">
        <f>SUMIF(日報!$R:$R,TEXT(YEAR($Q$2),"0000")&amp;TEXT(MONTH($Q$2),"00")&amp;$O3741,日報!$L:$L)</f>
        <v>0</v>
      </c>
      <c r="R3741" s="65">
        <f ca="1">SUMIF(日報!$J:$J,$O3741,日報!$L:$L)</f>
        <v>0</v>
      </c>
    </row>
    <row r="3742" spans="15:18" x14ac:dyDescent="0.15">
      <c r="O3742" s="7" t="str">
        <f>"REQ"&amp;TEXT([2]RequestList!$A3743,"0000")</f>
        <v>REQ0000</v>
      </c>
      <c r="P3742" s="7">
        <f>[2]RequestList!$J3743</f>
        <v>0</v>
      </c>
      <c r="Q3742" s="65">
        <f>SUMIF(日報!$R:$R,TEXT(YEAR($Q$2),"0000")&amp;TEXT(MONTH($Q$2),"00")&amp;$O3742,日報!$L:$L)</f>
        <v>0</v>
      </c>
      <c r="R3742" s="65">
        <f ca="1">SUMIF(日報!$J:$J,$O3742,日報!$L:$L)</f>
        <v>0</v>
      </c>
    </row>
    <row r="3743" spans="15:18" x14ac:dyDescent="0.15">
      <c r="O3743" s="7" t="str">
        <f>"REQ"&amp;TEXT([2]RequestList!$A3744,"0000")</f>
        <v>REQ0000</v>
      </c>
      <c r="P3743" s="7">
        <f>[2]RequestList!$J3744</f>
        <v>0</v>
      </c>
      <c r="Q3743" s="65">
        <f>SUMIF(日報!$R:$R,TEXT(YEAR($Q$2),"0000")&amp;TEXT(MONTH($Q$2),"00")&amp;$O3743,日報!$L:$L)</f>
        <v>0</v>
      </c>
      <c r="R3743" s="65">
        <f ca="1">SUMIF(日報!$J:$J,$O3743,日報!$L:$L)</f>
        <v>0</v>
      </c>
    </row>
    <row r="3744" spans="15:18" x14ac:dyDescent="0.15">
      <c r="O3744" s="7" t="str">
        <f>"REQ"&amp;TEXT([2]RequestList!$A3745,"0000")</f>
        <v>REQ0000</v>
      </c>
      <c r="P3744" s="7">
        <f>[2]RequestList!$J3745</f>
        <v>0</v>
      </c>
      <c r="Q3744" s="65">
        <f>SUMIF(日報!$R:$R,TEXT(YEAR($Q$2),"0000")&amp;TEXT(MONTH($Q$2),"00")&amp;$O3744,日報!$L:$L)</f>
        <v>0</v>
      </c>
      <c r="R3744" s="65">
        <f ca="1">SUMIF(日報!$J:$J,$O3744,日報!$L:$L)</f>
        <v>0</v>
      </c>
    </row>
    <row r="3745" spans="15:18" x14ac:dyDescent="0.15">
      <c r="O3745" s="7" t="str">
        <f>"REQ"&amp;TEXT([2]RequestList!$A3746,"0000")</f>
        <v>REQ0000</v>
      </c>
      <c r="P3745" s="7">
        <f>[2]RequestList!$J3746</f>
        <v>0</v>
      </c>
      <c r="Q3745" s="65">
        <f>SUMIF(日報!$R:$R,TEXT(YEAR($Q$2),"0000")&amp;TEXT(MONTH($Q$2),"00")&amp;$O3745,日報!$L:$L)</f>
        <v>0</v>
      </c>
      <c r="R3745" s="65">
        <f ca="1">SUMIF(日報!$J:$J,$O3745,日報!$L:$L)</f>
        <v>0</v>
      </c>
    </row>
    <row r="3746" spans="15:18" x14ac:dyDescent="0.15">
      <c r="O3746" s="7" t="str">
        <f>"REQ"&amp;TEXT([2]RequestList!$A3747,"0000")</f>
        <v>REQ0000</v>
      </c>
      <c r="P3746" s="7">
        <f>[2]RequestList!$J3747</f>
        <v>0</v>
      </c>
      <c r="Q3746" s="65">
        <f>SUMIF(日報!$R:$R,TEXT(YEAR($Q$2),"0000")&amp;TEXT(MONTH($Q$2),"00")&amp;$O3746,日報!$L:$L)</f>
        <v>0</v>
      </c>
      <c r="R3746" s="65">
        <f ca="1">SUMIF(日報!$J:$J,$O3746,日報!$L:$L)</f>
        <v>0</v>
      </c>
    </row>
    <row r="3747" spans="15:18" x14ac:dyDescent="0.15">
      <c r="O3747" s="7" t="str">
        <f>"REQ"&amp;TEXT([2]RequestList!$A3748,"0000")</f>
        <v>REQ0000</v>
      </c>
      <c r="P3747" s="7">
        <f>[2]RequestList!$J3748</f>
        <v>0</v>
      </c>
      <c r="Q3747" s="65">
        <f>SUMIF(日報!$R:$R,TEXT(YEAR($Q$2),"0000")&amp;TEXT(MONTH($Q$2),"00")&amp;$O3747,日報!$L:$L)</f>
        <v>0</v>
      </c>
      <c r="R3747" s="65">
        <f ca="1">SUMIF(日報!$J:$J,$O3747,日報!$L:$L)</f>
        <v>0</v>
      </c>
    </row>
    <row r="3748" spans="15:18" x14ac:dyDescent="0.15">
      <c r="O3748" s="7" t="str">
        <f>"REQ"&amp;TEXT([2]RequestList!$A3749,"0000")</f>
        <v>REQ0000</v>
      </c>
      <c r="P3748" s="7">
        <f>[2]RequestList!$J3749</f>
        <v>0</v>
      </c>
      <c r="Q3748" s="65">
        <f>SUMIF(日報!$R:$R,TEXT(YEAR($Q$2),"0000")&amp;TEXT(MONTH($Q$2),"00")&amp;$O3748,日報!$L:$L)</f>
        <v>0</v>
      </c>
      <c r="R3748" s="65">
        <f ca="1">SUMIF(日報!$J:$J,$O3748,日報!$L:$L)</f>
        <v>0</v>
      </c>
    </row>
    <row r="3749" spans="15:18" x14ac:dyDescent="0.15">
      <c r="O3749" s="7" t="str">
        <f>"REQ"&amp;TEXT([2]RequestList!$A3750,"0000")</f>
        <v>REQ0000</v>
      </c>
      <c r="P3749" s="7">
        <f>[2]RequestList!$J3750</f>
        <v>0</v>
      </c>
      <c r="Q3749" s="65">
        <f>SUMIF(日報!$R:$R,TEXT(YEAR($Q$2),"0000")&amp;TEXT(MONTH($Q$2),"00")&amp;$O3749,日報!$L:$L)</f>
        <v>0</v>
      </c>
      <c r="R3749" s="65">
        <f ca="1">SUMIF(日報!$J:$J,$O3749,日報!$L:$L)</f>
        <v>0</v>
      </c>
    </row>
    <row r="3750" spans="15:18" x14ac:dyDescent="0.15">
      <c r="O3750" s="7" t="str">
        <f>"REQ"&amp;TEXT([2]RequestList!$A3751,"0000")</f>
        <v>REQ0000</v>
      </c>
      <c r="P3750" s="7">
        <f>[2]RequestList!$J3751</f>
        <v>0</v>
      </c>
      <c r="Q3750" s="65">
        <f>SUMIF(日報!$R:$R,TEXT(YEAR($Q$2),"0000")&amp;TEXT(MONTH($Q$2),"00")&amp;$O3750,日報!$L:$L)</f>
        <v>0</v>
      </c>
      <c r="R3750" s="65">
        <f ca="1">SUMIF(日報!$J:$J,$O3750,日報!$L:$L)</f>
        <v>0</v>
      </c>
    </row>
    <row r="3751" spans="15:18" x14ac:dyDescent="0.15">
      <c r="O3751" s="7" t="str">
        <f>"REQ"&amp;TEXT([2]RequestList!$A3752,"0000")</f>
        <v>REQ0000</v>
      </c>
      <c r="P3751" s="7">
        <f>[2]RequestList!$J3752</f>
        <v>0</v>
      </c>
      <c r="Q3751" s="65">
        <f>SUMIF(日報!$R:$R,TEXT(YEAR($Q$2),"0000")&amp;TEXT(MONTH($Q$2),"00")&amp;$O3751,日報!$L:$L)</f>
        <v>0</v>
      </c>
      <c r="R3751" s="65">
        <f ca="1">SUMIF(日報!$J:$J,$O3751,日報!$L:$L)</f>
        <v>0</v>
      </c>
    </row>
    <row r="3752" spans="15:18" x14ac:dyDescent="0.15">
      <c r="O3752" s="7" t="str">
        <f>"REQ"&amp;TEXT([2]RequestList!$A3753,"0000")</f>
        <v>REQ0000</v>
      </c>
      <c r="P3752" s="7">
        <f>[2]RequestList!$J3753</f>
        <v>0</v>
      </c>
      <c r="Q3752" s="65">
        <f>SUMIF(日報!$R:$R,TEXT(YEAR($Q$2),"0000")&amp;TEXT(MONTH($Q$2),"00")&amp;$O3752,日報!$L:$L)</f>
        <v>0</v>
      </c>
      <c r="R3752" s="65">
        <f ca="1">SUMIF(日報!$J:$J,$O3752,日報!$L:$L)</f>
        <v>0</v>
      </c>
    </row>
    <row r="3753" spans="15:18" x14ac:dyDescent="0.15">
      <c r="O3753" s="7" t="str">
        <f>"REQ"&amp;TEXT([2]RequestList!$A3754,"0000")</f>
        <v>REQ0000</v>
      </c>
      <c r="P3753" s="7">
        <f>[2]RequestList!$J3754</f>
        <v>0</v>
      </c>
      <c r="Q3753" s="65">
        <f>SUMIF(日報!$R:$R,TEXT(YEAR($Q$2),"0000")&amp;TEXT(MONTH($Q$2),"00")&amp;$O3753,日報!$L:$L)</f>
        <v>0</v>
      </c>
      <c r="R3753" s="65">
        <f ca="1">SUMIF(日報!$J:$J,$O3753,日報!$L:$L)</f>
        <v>0</v>
      </c>
    </row>
    <row r="3754" spans="15:18" x14ac:dyDescent="0.15">
      <c r="O3754" s="7" t="str">
        <f>"REQ"&amp;TEXT([2]RequestList!$A3755,"0000")</f>
        <v>REQ0000</v>
      </c>
      <c r="P3754" s="7">
        <f>[2]RequestList!$J3755</f>
        <v>0</v>
      </c>
      <c r="Q3754" s="65">
        <f>SUMIF(日報!$R:$R,TEXT(YEAR($Q$2),"0000")&amp;TEXT(MONTH($Q$2),"00")&amp;$O3754,日報!$L:$L)</f>
        <v>0</v>
      </c>
      <c r="R3754" s="65">
        <f ca="1">SUMIF(日報!$J:$J,$O3754,日報!$L:$L)</f>
        <v>0</v>
      </c>
    </row>
    <row r="3755" spans="15:18" x14ac:dyDescent="0.15">
      <c r="O3755" s="7" t="str">
        <f>"REQ"&amp;TEXT([2]RequestList!$A3756,"0000")</f>
        <v>REQ0000</v>
      </c>
      <c r="P3755" s="7">
        <f>[2]RequestList!$J3756</f>
        <v>0</v>
      </c>
      <c r="Q3755" s="65">
        <f>SUMIF(日報!$R:$R,TEXT(YEAR($Q$2),"0000")&amp;TEXT(MONTH($Q$2),"00")&amp;$O3755,日報!$L:$L)</f>
        <v>0</v>
      </c>
      <c r="R3755" s="65">
        <f ca="1">SUMIF(日報!$J:$J,$O3755,日報!$L:$L)</f>
        <v>0</v>
      </c>
    </row>
    <row r="3756" spans="15:18" x14ac:dyDescent="0.15">
      <c r="O3756" s="7" t="str">
        <f>"REQ"&amp;TEXT([2]RequestList!$A3757,"0000")</f>
        <v>REQ0000</v>
      </c>
      <c r="P3756" s="7">
        <f>[2]RequestList!$J3757</f>
        <v>0</v>
      </c>
      <c r="Q3756" s="65">
        <f>SUMIF(日報!$R:$R,TEXT(YEAR($Q$2),"0000")&amp;TEXT(MONTH($Q$2),"00")&amp;$O3756,日報!$L:$L)</f>
        <v>0</v>
      </c>
      <c r="R3756" s="65">
        <f ca="1">SUMIF(日報!$J:$J,$O3756,日報!$L:$L)</f>
        <v>0</v>
      </c>
    </row>
    <row r="3757" spans="15:18" x14ac:dyDescent="0.15">
      <c r="O3757" s="7" t="str">
        <f>"REQ"&amp;TEXT([2]RequestList!$A3758,"0000")</f>
        <v>REQ0000</v>
      </c>
      <c r="P3757" s="7">
        <f>[2]RequestList!$J3758</f>
        <v>0</v>
      </c>
      <c r="Q3757" s="65">
        <f>SUMIF(日報!$R:$R,TEXT(YEAR($Q$2),"0000")&amp;TEXT(MONTH($Q$2),"00")&amp;$O3757,日報!$L:$L)</f>
        <v>0</v>
      </c>
      <c r="R3757" s="65">
        <f ca="1">SUMIF(日報!$J:$J,$O3757,日報!$L:$L)</f>
        <v>0</v>
      </c>
    </row>
    <row r="3758" spans="15:18" x14ac:dyDescent="0.15">
      <c r="O3758" s="7" t="str">
        <f>"REQ"&amp;TEXT([2]RequestList!$A3759,"0000")</f>
        <v>REQ0000</v>
      </c>
      <c r="P3758" s="7">
        <f>[2]RequestList!$J3759</f>
        <v>0</v>
      </c>
      <c r="Q3758" s="65">
        <f>SUMIF(日報!$R:$R,TEXT(YEAR($Q$2),"0000")&amp;TEXT(MONTH($Q$2),"00")&amp;$O3758,日報!$L:$L)</f>
        <v>0</v>
      </c>
      <c r="R3758" s="65">
        <f ca="1">SUMIF(日報!$J:$J,$O3758,日報!$L:$L)</f>
        <v>0</v>
      </c>
    </row>
    <row r="3759" spans="15:18" x14ac:dyDescent="0.15">
      <c r="O3759" s="7" t="str">
        <f>"REQ"&amp;TEXT([2]RequestList!$A3760,"0000")</f>
        <v>REQ0000</v>
      </c>
      <c r="P3759" s="7">
        <f>[2]RequestList!$J3760</f>
        <v>0</v>
      </c>
      <c r="Q3759" s="65">
        <f>SUMIF(日報!$R:$R,TEXT(YEAR($Q$2),"0000")&amp;TEXT(MONTH($Q$2),"00")&amp;$O3759,日報!$L:$L)</f>
        <v>0</v>
      </c>
      <c r="R3759" s="65">
        <f ca="1">SUMIF(日報!$J:$J,$O3759,日報!$L:$L)</f>
        <v>0</v>
      </c>
    </row>
    <row r="3760" spans="15:18" x14ac:dyDescent="0.15">
      <c r="O3760" s="7" t="str">
        <f>"REQ"&amp;TEXT([2]RequestList!$A3761,"0000")</f>
        <v>REQ0000</v>
      </c>
      <c r="P3760" s="7">
        <f>[2]RequestList!$J3761</f>
        <v>0</v>
      </c>
      <c r="Q3760" s="65">
        <f>SUMIF(日報!$R:$R,TEXT(YEAR($Q$2),"0000")&amp;TEXT(MONTH($Q$2),"00")&amp;$O3760,日報!$L:$L)</f>
        <v>0</v>
      </c>
      <c r="R3760" s="65">
        <f ca="1">SUMIF(日報!$J:$J,$O3760,日報!$L:$L)</f>
        <v>0</v>
      </c>
    </row>
    <row r="3761" spans="15:18" x14ac:dyDescent="0.15">
      <c r="O3761" s="7" t="str">
        <f>"REQ"&amp;TEXT([2]RequestList!$A3762,"0000")</f>
        <v>REQ0000</v>
      </c>
      <c r="P3761" s="7">
        <f>[2]RequestList!$J3762</f>
        <v>0</v>
      </c>
      <c r="Q3761" s="65">
        <f>SUMIF(日報!$R:$R,TEXT(YEAR($Q$2),"0000")&amp;TEXT(MONTH($Q$2),"00")&amp;$O3761,日報!$L:$L)</f>
        <v>0</v>
      </c>
      <c r="R3761" s="65">
        <f ca="1">SUMIF(日報!$J:$J,$O3761,日報!$L:$L)</f>
        <v>0</v>
      </c>
    </row>
    <row r="3762" spans="15:18" x14ac:dyDescent="0.15">
      <c r="O3762" s="7" t="str">
        <f>"REQ"&amp;TEXT([2]RequestList!$A3763,"0000")</f>
        <v>REQ0000</v>
      </c>
      <c r="P3762" s="7">
        <f>[2]RequestList!$J3763</f>
        <v>0</v>
      </c>
      <c r="Q3762" s="65">
        <f>SUMIF(日報!$R:$R,TEXT(YEAR($Q$2),"0000")&amp;TEXT(MONTH($Q$2),"00")&amp;$O3762,日報!$L:$L)</f>
        <v>0</v>
      </c>
      <c r="R3762" s="65">
        <f ca="1">SUMIF(日報!$J:$J,$O3762,日報!$L:$L)</f>
        <v>0</v>
      </c>
    </row>
    <row r="3763" spans="15:18" x14ac:dyDescent="0.15">
      <c r="O3763" s="7" t="str">
        <f>"REQ"&amp;TEXT([2]RequestList!$A3764,"0000")</f>
        <v>REQ0000</v>
      </c>
      <c r="P3763" s="7">
        <f>[2]RequestList!$J3764</f>
        <v>0</v>
      </c>
      <c r="Q3763" s="65">
        <f>SUMIF(日報!$R:$R,TEXT(YEAR($Q$2),"0000")&amp;TEXT(MONTH($Q$2),"00")&amp;$O3763,日報!$L:$L)</f>
        <v>0</v>
      </c>
      <c r="R3763" s="65">
        <f ca="1">SUMIF(日報!$J:$J,$O3763,日報!$L:$L)</f>
        <v>0</v>
      </c>
    </row>
    <row r="3764" spans="15:18" x14ac:dyDescent="0.15">
      <c r="O3764" s="7" t="str">
        <f>"REQ"&amp;TEXT([2]RequestList!$A3765,"0000")</f>
        <v>REQ0000</v>
      </c>
      <c r="P3764" s="7">
        <f>[2]RequestList!$J3765</f>
        <v>0</v>
      </c>
      <c r="Q3764" s="65">
        <f>SUMIF(日報!$R:$R,TEXT(YEAR($Q$2),"0000")&amp;TEXT(MONTH($Q$2),"00")&amp;$O3764,日報!$L:$L)</f>
        <v>0</v>
      </c>
      <c r="R3764" s="65">
        <f ca="1">SUMIF(日報!$J:$J,$O3764,日報!$L:$L)</f>
        <v>0</v>
      </c>
    </row>
    <row r="3765" spans="15:18" x14ac:dyDescent="0.15">
      <c r="O3765" s="7" t="str">
        <f>"REQ"&amp;TEXT([2]RequestList!$A3766,"0000")</f>
        <v>REQ0000</v>
      </c>
      <c r="P3765" s="7">
        <f>[2]RequestList!$J3766</f>
        <v>0</v>
      </c>
      <c r="Q3765" s="65">
        <f>SUMIF(日報!$R:$R,TEXT(YEAR($Q$2),"0000")&amp;TEXT(MONTH($Q$2),"00")&amp;$O3765,日報!$L:$L)</f>
        <v>0</v>
      </c>
      <c r="R3765" s="65">
        <f ca="1">SUMIF(日報!$J:$J,$O3765,日報!$L:$L)</f>
        <v>0</v>
      </c>
    </row>
    <row r="3766" spans="15:18" x14ac:dyDescent="0.15">
      <c r="O3766" s="7" t="str">
        <f>"REQ"&amp;TEXT([2]RequestList!$A3767,"0000")</f>
        <v>REQ0000</v>
      </c>
      <c r="P3766" s="7">
        <f>[2]RequestList!$J3767</f>
        <v>0</v>
      </c>
      <c r="Q3766" s="65">
        <f>SUMIF(日報!$R:$R,TEXT(YEAR($Q$2),"0000")&amp;TEXT(MONTH($Q$2),"00")&amp;$O3766,日報!$L:$L)</f>
        <v>0</v>
      </c>
      <c r="R3766" s="65">
        <f ca="1">SUMIF(日報!$J:$J,$O3766,日報!$L:$L)</f>
        <v>0</v>
      </c>
    </row>
    <row r="3767" spans="15:18" x14ac:dyDescent="0.15">
      <c r="O3767" s="7" t="str">
        <f>"REQ"&amp;TEXT([2]RequestList!$A3768,"0000")</f>
        <v>REQ0000</v>
      </c>
      <c r="P3767" s="7">
        <f>[2]RequestList!$J3768</f>
        <v>0</v>
      </c>
      <c r="Q3767" s="65">
        <f>SUMIF(日報!$R:$R,TEXT(YEAR($Q$2),"0000")&amp;TEXT(MONTH($Q$2),"00")&amp;$O3767,日報!$L:$L)</f>
        <v>0</v>
      </c>
      <c r="R3767" s="65">
        <f ca="1">SUMIF(日報!$J:$J,$O3767,日報!$L:$L)</f>
        <v>0</v>
      </c>
    </row>
    <row r="3768" spans="15:18" x14ac:dyDescent="0.15">
      <c r="O3768" s="7" t="str">
        <f>"REQ"&amp;TEXT([2]RequestList!$A3769,"0000")</f>
        <v>REQ0000</v>
      </c>
      <c r="P3768" s="7">
        <f>[2]RequestList!$J3769</f>
        <v>0</v>
      </c>
      <c r="Q3768" s="65">
        <f>SUMIF(日報!$R:$R,TEXT(YEAR($Q$2),"0000")&amp;TEXT(MONTH($Q$2),"00")&amp;$O3768,日報!$L:$L)</f>
        <v>0</v>
      </c>
      <c r="R3768" s="65">
        <f ca="1">SUMIF(日報!$J:$J,$O3768,日報!$L:$L)</f>
        <v>0</v>
      </c>
    </row>
    <row r="3769" spans="15:18" x14ac:dyDescent="0.15">
      <c r="O3769" s="7" t="str">
        <f>"REQ"&amp;TEXT([2]RequestList!$A3770,"0000")</f>
        <v>REQ0000</v>
      </c>
      <c r="P3769" s="7">
        <f>[2]RequestList!$J3770</f>
        <v>0</v>
      </c>
      <c r="Q3769" s="65">
        <f>SUMIF(日報!$R:$R,TEXT(YEAR($Q$2),"0000")&amp;TEXT(MONTH($Q$2),"00")&amp;$O3769,日報!$L:$L)</f>
        <v>0</v>
      </c>
      <c r="R3769" s="65">
        <f ca="1">SUMIF(日報!$J:$J,$O3769,日報!$L:$L)</f>
        <v>0</v>
      </c>
    </row>
    <row r="3770" spans="15:18" x14ac:dyDescent="0.15">
      <c r="O3770" s="7" t="str">
        <f>"REQ"&amp;TEXT([2]RequestList!$A3771,"0000")</f>
        <v>REQ0000</v>
      </c>
      <c r="P3770" s="7">
        <f>[2]RequestList!$J3771</f>
        <v>0</v>
      </c>
      <c r="Q3770" s="65">
        <f>SUMIF(日報!$R:$R,TEXT(YEAR($Q$2),"0000")&amp;TEXT(MONTH($Q$2),"00")&amp;$O3770,日報!$L:$L)</f>
        <v>0</v>
      </c>
      <c r="R3770" s="65">
        <f ca="1">SUMIF(日報!$J:$J,$O3770,日報!$L:$L)</f>
        <v>0</v>
      </c>
    </row>
    <row r="3771" spans="15:18" x14ac:dyDescent="0.15">
      <c r="O3771" s="7" t="str">
        <f>"REQ"&amp;TEXT([2]RequestList!$A3772,"0000")</f>
        <v>REQ0000</v>
      </c>
      <c r="P3771" s="7">
        <f>[2]RequestList!$J3772</f>
        <v>0</v>
      </c>
      <c r="Q3771" s="65">
        <f>SUMIF(日報!$R:$R,TEXT(YEAR($Q$2),"0000")&amp;TEXT(MONTH($Q$2),"00")&amp;$O3771,日報!$L:$L)</f>
        <v>0</v>
      </c>
      <c r="R3771" s="65">
        <f ca="1">SUMIF(日報!$J:$J,$O3771,日報!$L:$L)</f>
        <v>0</v>
      </c>
    </row>
    <row r="3772" spans="15:18" x14ac:dyDescent="0.15">
      <c r="O3772" s="7" t="str">
        <f>"REQ"&amp;TEXT([2]RequestList!$A3773,"0000")</f>
        <v>REQ0000</v>
      </c>
      <c r="P3772" s="7">
        <f>[2]RequestList!$J3773</f>
        <v>0</v>
      </c>
      <c r="Q3772" s="65">
        <f>SUMIF(日報!$R:$R,TEXT(YEAR($Q$2),"0000")&amp;TEXT(MONTH($Q$2),"00")&amp;$O3772,日報!$L:$L)</f>
        <v>0</v>
      </c>
      <c r="R3772" s="65">
        <f ca="1">SUMIF(日報!$J:$J,$O3772,日報!$L:$L)</f>
        <v>0</v>
      </c>
    </row>
    <row r="3773" spans="15:18" x14ac:dyDescent="0.15">
      <c r="O3773" s="7" t="str">
        <f>"REQ"&amp;TEXT([2]RequestList!$A3774,"0000")</f>
        <v>REQ0000</v>
      </c>
      <c r="P3773" s="7">
        <f>[2]RequestList!$J3774</f>
        <v>0</v>
      </c>
      <c r="Q3773" s="65">
        <f>SUMIF(日報!$R:$R,TEXT(YEAR($Q$2),"0000")&amp;TEXT(MONTH($Q$2),"00")&amp;$O3773,日報!$L:$L)</f>
        <v>0</v>
      </c>
      <c r="R3773" s="65">
        <f ca="1">SUMIF(日報!$J:$J,$O3773,日報!$L:$L)</f>
        <v>0</v>
      </c>
    </row>
    <row r="3774" spans="15:18" x14ac:dyDescent="0.15">
      <c r="O3774" s="7" t="str">
        <f>"REQ"&amp;TEXT([2]RequestList!$A3775,"0000")</f>
        <v>REQ0000</v>
      </c>
      <c r="P3774" s="7">
        <f>[2]RequestList!$J3775</f>
        <v>0</v>
      </c>
      <c r="Q3774" s="65">
        <f>SUMIF(日報!$R:$R,TEXT(YEAR($Q$2),"0000")&amp;TEXT(MONTH($Q$2),"00")&amp;$O3774,日報!$L:$L)</f>
        <v>0</v>
      </c>
      <c r="R3774" s="65">
        <f ca="1">SUMIF(日報!$J:$J,$O3774,日報!$L:$L)</f>
        <v>0</v>
      </c>
    </row>
    <row r="3775" spans="15:18" x14ac:dyDescent="0.15">
      <c r="O3775" s="7" t="str">
        <f>"REQ"&amp;TEXT([2]RequestList!$A3776,"0000")</f>
        <v>REQ0000</v>
      </c>
      <c r="P3775" s="7">
        <f>[2]RequestList!$J3776</f>
        <v>0</v>
      </c>
      <c r="Q3775" s="65">
        <f>SUMIF(日報!$R:$R,TEXT(YEAR($Q$2),"0000")&amp;TEXT(MONTH($Q$2),"00")&amp;$O3775,日報!$L:$L)</f>
        <v>0</v>
      </c>
      <c r="R3775" s="65">
        <f ca="1">SUMIF(日報!$J:$J,$O3775,日報!$L:$L)</f>
        <v>0</v>
      </c>
    </row>
    <row r="3776" spans="15:18" x14ac:dyDescent="0.15">
      <c r="O3776" s="7" t="str">
        <f>"REQ"&amp;TEXT([2]RequestList!$A3777,"0000")</f>
        <v>REQ0000</v>
      </c>
      <c r="P3776" s="7">
        <f>[2]RequestList!$J3777</f>
        <v>0</v>
      </c>
      <c r="Q3776" s="65">
        <f>SUMIF(日報!$R:$R,TEXT(YEAR($Q$2),"0000")&amp;TEXT(MONTH($Q$2),"00")&amp;$O3776,日報!$L:$L)</f>
        <v>0</v>
      </c>
      <c r="R3776" s="65">
        <f ca="1">SUMIF(日報!$J:$J,$O3776,日報!$L:$L)</f>
        <v>0</v>
      </c>
    </row>
    <row r="3777" spans="15:18" x14ac:dyDescent="0.15">
      <c r="O3777" s="7" t="str">
        <f>"REQ"&amp;TEXT([2]RequestList!$A3778,"0000")</f>
        <v>REQ0000</v>
      </c>
      <c r="P3777" s="7">
        <f>[2]RequestList!$J3778</f>
        <v>0</v>
      </c>
      <c r="Q3777" s="65">
        <f>SUMIF(日報!$R:$R,TEXT(YEAR($Q$2),"0000")&amp;TEXT(MONTH($Q$2),"00")&amp;$O3777,日報!$L:$L)</f>
        <v>0</v>
      </c>
      <c r="R3777" s="65">
        <f ca="1">SUMIF(日報!$J:$J,$O3777,日報!$L:$L)</f>
        <v>0</v>
      </c>
    </row>
    <row r="3778" spans="15:18" x14ac:dyDescent="0.15">
      <c r="O3778" s="7" t="str">
        <f>"REQ"&amp;TEXT([2]RequestList!$A3779,"0000")</f>
        <v>REQ0000</v>
      </c>
      <c r="P3778" s="7">
        <f>[2]RequestList!$J3779</f>
        <v>0</v>
      </c>
      <c r="Q3778" s="65">
        <f>SUMIF(日報!$R:$R,TEXT(YEAR($Q$2),"0000")&amp;TEXT(MONTH($Q$2),"00")&amp;$O3778,日報!$L:$L)</f>
        <v>0</v>
      </c>
      <c r="R3778" s="65">
        <f ca="1">SUMIF(日報!$J:$J,$O3778,日報!$L:$L)</f>
        <v>0</v>
      </c>
    </row>
    <row r="3779" spans="15:18" x14ac:dyDescent="0.15">
      <c r="O3779" s="7" t="str">
        <f>"REQ"&amp;TEXT([2]RequestList!$A3780,"0000")</f>
        <v>REQ0000</v>
      </c>
      <c r="P3779" s="7">
        <f>[2]RequestList!$J3780</f>
        <v>0</v>
      </c>
      <c r="Q3779" s="65">
        <f>SUMIF(日報!$R:$R,TEXT(YEAR($Q$2),"0000")&amp;TEXT(MONTH($Q$2),"00")&amp;$O3779,日報!$L:$L)</f>
        <v>0</v>
      </c>
      <c r="R3779" s="65">
        <f ca="1">SUMIF(日報!$J:$J,$O3779,日報!$L:$L)</f>
        <v>0</v>
      </c>
    </row>
    <row r="3780" spans="15:18" x14ac:dyDescent="0.15">
      <c r="O3780" s="7" t="str">
        <f>"REQ"&amp;TEXT([2]RequestList!$A3781,"0000")</f>
        <v>REQ0000</v>
      </c>
      <c r="P3780" s="7">
        <f>[2]RequestList!$J3781</f>
        <v>0</v>
      </c>
      <c r="Q3780" s="65">
        <f>SUMIF(日報!$R:$R,TEXT(YEAR($Q$2),"0000")&amp;TEXT(MONTH($Q$2),"00")&amp;$O3780,日報!$L:$L)</f>
        <v>0</v>
      </c>
      <c r="R3780" s="65">
        <f ca="1">SUMIF(日報!$J:$J,$O3780,日報!$L:$L)</f>
        <v>0</v>
      </c>
    </row>
    <row r="3781" spans="15:18" x14ac:dyDescent="0.15">
      <c r="O3781" s="7" t="str">
        <f>"REQ"&amp;TEXT([2]RequestList!$A3782,"0000")</f>
        <v>REQ0000</v>
      </c>
      <c r="P3781" s="7">
        <f>[2]RequestList!$J3782</f>
        <v>0</v>
      </c>
      <c r="Q3781" s="65">
        <f>SUMIF(日報!$R:$R,TEXT(YEAR($Q$2),"0000")&amp;TEXT(MONTH($Q$2),"00")&amp;$O3781,日報!$L:$L)</f>
        <v>0</v>
      </c>
      <c r="R3781" s="65">
        <f ca="1">SUMIF(日報!$J:$J,$O3781,日報!$L:$L)</f>
        <v>0</v>
      </c>
    </row>
    <row r="3782" spans="15:18" x14ac:dyDescent="0.15">
      <c r="O3782" s="7" t="str">
        <f>"REQ"&amp;TEXT([2]RequestList!$A3783,"0000")</f>
        <v>REQ0000</v>
      </c>
      <c r="P3782" s="7">
        <f>[2]RequestList!$J3783</f>
        <v>0</v>
      </c>
      <c r="Q3782" s="65">
        <f>SUMIF(日報!$R:$R,TEXT(YEAR($Q$2),"0000")&amp;TEXT(MONTH($Q$2),"00")&amp;$O3782,日報!$L:$L)</f>
        <v>0</v>
      </c>
      <c r="R3782" s="65">
        <f ca="1">SUMIF(日報!$J:$J,$O3782,日報!$L:$L)</f>
        <v>0</v>
      </c>
    </row>
    <row r="3783" spans="15:18" x14ac:dyDescent="0.15">
      <c r="O3783" s="7" t="str">
        <f>"REQ"&amp;TEXT([2]RequestList!$A3784,"0000")</f>
        <v>REQ0000</v>
      </c>
      <c r="P3783" s="7">
        <f>[2]RequestList!$J3784</f>
        <v>0</v>
      </c>
      <c r="Q3783" s="65">
        <f>SUMIF(日報!$R:$R,TEXT(YEAR($Q$2),"0000")&amp;TEXT(MONTH($Q$2),"00")&amp;$O3783,日報!$L:$L)</f>
        <v>0</v>
      </c>
      <c r="R3783" s="65">
        <f ca="1">SUMIF(日報!$J:$J,$O3783,日報!$L:$L)</f>
        <v>0</v>
      </c>
    </row>
    <row r="3784" spans="15:18" x14ac:dyDescent="0.15">
      <c r="O3784" s="7" t="str">
        <f>"REQ"&amp;TEXT([2]RequestList!$A3785,"0000")</f>
        <v>REQ0000</v>
      </c>
      <c r="P3784" s="7">
        <f>[2]RequestList!$J3785</f>
        <v>0</v>
      </c>
      <c r="Q3784" s="65">
        <f>SUMIF(日報!$R:$R,TEXT(YEAR($Q$2),"0000")&amp;TEXT(MONTH($Q$2),"00")&amp;$O3784,日報!$L:$L)</f>
        <v>0</v>
      </c>
      <c r="R3784" s="65">
        <f ca="1">SUMIF(日報!$J:$J,$O3784,日報!$L:$L)</f>
        <v>0</v>
      </c>
    </row>
    <row r="3785" spans="15:18" x14ac:dyDescent="0.15">
      <c r="O3785" s="7" t="str">
        <f>"REQ"&amp;TEXT([2]RequestList!$A3786,"0000")</f>
        <v>REQ0000</v>
      </c>
      <c r="P3785" s="7">
        <f>[2]RequestList!$J3786</f>
        <v>0</v>
      </c>
      <c r="Q3785" s="65">
        <f>SUMIF(日報!$R:$R,TEXT(YEAR($Q$2),"0000")&amp;TEXT(MONTH($Q$2),"00")&amp;$O3785,日報!$L:$L)</f>
        <v>0</v>
      </c>
      <c r="R3785" s="65">
        <f ca="1">SUMIF(日報!$J:$J,$O3785,日報!$L:$L)</f>
        <v>0</v>
      </c>
    </row>
    <row r="3786" spans="15:18" x14ac:dyDescent="0.15">
      <c r="O3786" s="7" t="str">
        <f>"REQ"&amp;TEXT([2]RequestList!$A3787,"0000")</f>
        <v>REQ0000</v>
      </c>
      <c r="P3786" s="7">
        <f>[2]RequestList!$J3787</f>
        <v>0</v>
      </c>
      <c r="Q3786" s="65">
        <f>SUMIF(日報!$R:$R,TEXT(YEAR($Q$2),"0000")&amp;TEXT(MONTH($Q$2),"00")&amp;$O3786,日報!$L:$L)</f>
        <v>0</v>
      </c>
      <c r="R3786" s="65">
        <f ca="1">SUMIF(日報!$J:$J,$O3786,日報!$L:$L)</f>
        <v>0</v>
      </c>
    </row>
    <row r="3787" spans="15:18" x14ac:dyDescent="0.15">
      <c r="O3787" s="7" t="str">
        <f>"REQ"&amp;TEXT([2]RequestList!$A3788,"0000")</f>
        <v>REQ0000</v>
      </c>
      <c r="P3787" s="7">
        <f>[2]RequestList!$J3788</f>
        <v>0</v>
      </c>
      <c r="Q3787" s="65">
        <f>SUMIF(日報!$R:$R,TEXT(YEAR($Q$2),"0000")&amp;TEXT(MONTH($Q$2),"00")&amp;$O3787,日報!$L:$L)</f>
        <v>0</v>
      </c>
      <c r="R3787" s="65">
        <f ca="1">SUMIF(日報!$J:$J,$O3787,日報!$L:$L)</f>
        <v>0</v>
      </c>
    </row>
    <row r="3788" spans="15:18" x14ac:dyDescent="0.15">
      <c r="O3788" s="7" t="str">
        <f>"REQ"&amp;TEXT([2]RequestList!$A3789,"0000")</f>
        <v>REQ0000</v>
      </c>
      <c r="P3788" s="7">
        <f>[2]RequestList!$J3789</f>
        <v>0</v>
      </c>
      <c r="Q3788" s="65">
        <f>SUMIF(日報!$R:$R,TEXT(YEAR($Q$2),"0000")&amp;TEXT(MONTH($Q$2),"00")&amp;$O3788,日報!$L:$L)</f>
        <v>0</v>
      </c>
      <c r="R3788" s="65">
        <f ca="1">SUMIF(日報!$J:$J,$O3788,日報!$L:$L)</f>
        <v>0</v>
      </c>
    </row>
    <row r="3789" spans="15:18" x14ac:dyDescent="0.15">
      <c r="O3789" s="7" t="str">
        <f>"REQ"&amp;TEXT([2]RequestList!$A3790,"0000")</f>
        <v>REQ0000</v>
      </c>
      <c r="P3789" s="7">
        <f>[2]RequestList!$J3790</f>
        <v>0</v>
      </c>
      <c r="Q3789" s="65">
        <f>SUMIF(日報!$R:$R,TEXT(YEAR($Q$2),"0000")&amp;TEXT(MONTH($Q$2),"00")&amp;$O3789,日報!$L:$L)</f>
        <v>0</v>
      </c>
      <c r="R3789" s="65">
        <f ca="1">SUMIF(日報!$J:$J,$O3789,日報!$L:$L)</f>
        <v>0</v>
      </c>
    </row>
    <row r="3790" spans="15:18" x14ac:dyDescent="0.15">
      <c r="O3790" s="7" t="str">
        <f>"REQ"&amp;TEXT([2]RequestList!$A3791,"0000")</f>
        <v>REQ0000</v>
      </c>
      <c r="P3790" s="7">
        <f>[2]RequestList!$J3791</f>
        <v>0</v>
      </c>
      <c r="Q3790" s="65">
        <f>SUMIF(日報!$R:$R,TEXT(YEAR($Q$2),"0000")&amp;TEXT(MONTH($Q$2),"00")&amp;$O3790,日報!$L:$L)</f>
        <v>0</v>
      </c>
      <c r="R3790" s="65">
        <f ca="1">SUMIF(日報!$J:$J,$O3790,日報!$L:$L)</f>
        <v>0</v>
      </c>
    </row>
    <row r="3791" spans="15:18" x14ac:dyDescent="0.15">
      <c r="O3791" s="7" t="str">
        <f>"REQ"&amp;TEXT([2]RequestList!$A3792,"0000")</f>
        <v>REQ0000</v>
      </c>
      <c r="P3791" s="7">
        <f>[2]RequestList!$J3792</f>
        <v>0</v>
      </c>
      <c r="Q3791" s="65">
        <f>SUMIF(日報!$R:$R,TEXT(YEAR($Q$2),"0000")&amp;TEXT(MONTH($Q$2),"00")&amp;$O3791,日報!$L:$L)</f>
        <v>0</v>
      </c>
      <c r="R3791" s="65">
        <f ca="1">SUMIF(日報!$J:$J,$O3791,日報!$L:$L)</f>
        <v>0</v>
      </c>
    </row>
    <row r="3792" spans="15:18" x14ac:dyDescent="0.15">
      <c r="O3792" s="7" t="str">
        <f>"REQ"&amp;TEXT([2]RequestList!$A3793,"0000")</f>
        <v>REQ0000</v>
      </c>
      <c r="P3792" s="7">
        <f>[2]RequestList!$J3793</f>
        <v>0</v>
      </c>
      <c r="Q3792" s="65">
        <f>SUMIF(日報!$R:$R,TEXT(YEAR($Q$2),"0000")&amp;TEXT(MONTH($Q$2),"00")&amp;$O3792,日報!$L:$L)</f>
        <v>0</v>
      </c>
      <c r="R3792" s="65">
        <f ca="1">SUMIF(日報!$J:$J,$O3792,日報!$L:$L)</f>
        <v>0</v>
      </c>
    </row>
    <row r="3793" spans="15:18" x14ac:dyDescent="0.15">
      <c r="O3793" s="7" t="str">
        <f>"REQ"&amp;TEXT([2]RequestList!$A3794,"0000")</f>
        <v>REQ0000</v>
      </c>
      <c r="P3793" s="7">
        <f>[2]RequestList!$J3794</f>
        <v>0</v>
      </c>
      <c r="Q3793" s="65">
        <f>SUMIF(日報!$R:$R,TEXT(YEAR($Q$2),"0000")&amp;TEXT(MONTH($Q$2),"00")&amp;$O3793,日報!$L:$L)</f>
        <v>0</v>
      </c>
      <c r="R3793" s="65">
        <f ca="1">SUMIF(日報!$J:$J,$O3793,日報!$L:$L)</f>
        <v>0</v>
      </c>
    </row>
    <row r="3794" spans="15:18" x14ac:dyDescent="0.15">
      <c r="O3794" s="7" t="str">
        <f>"REQ"&amp;TEXT([2]RequestList!$A3795,"0000")</f>
        <v>REQ0000</v>
      </c>
      <c r="P3794" s="7">
        <f>[2]RequestList!$J3795</f>
        <v>0</v>
      </c>
      <c r="Q3794" s="65">
        <f>SUMIF(日報!$R:$R,TEXT(YEAR($Q$2),"0000")&amp;TEXT(MONTH($Q$2),"00")&amp;$O3794,日報!$L:$L)</f>
        <v>0</v>
      </c>
      <c r="R3794" s="65">
        <f ca="1">SUMIF(日報!$J:$J,$O3794,日報!$L:$L)</f>
        <v>0</v>
      </c>
    </row>
    <row r="3795" spans="15:18" x14ac:dyDescent="0.15">
      <c r="O3795" s="7" t="str">
        <f>"REQ"&amp;TEXT([2]RequestList!$A3796,"0000")</f>
        <v>REQ0000</v>
      </c>
      <c r="P3795" s="7">
        <f>[2]RequestList!$J3796</f>
        <v>0</v>
      </c>
      <c r="Q3795" s="65">
        <f>SUMIF(日報!$R:$R,TEXT(YEAR($Q$2),"0000")&amp;TEXT(MONTH($Q$2),"00")&amp;$O3795,日報!$L:$L)</f>
        <v>0</v>
      </c>
      <c r="R3795" s="65">
        <f ca="1">SUMIF(日報!$J:$J,$O3795,日報!$L:$L)</f>
        <v>0</v>
      </c>
    </row>
    <row r="3796" spans="15:18" x14ac:dyDescent="0.15">
      <c r="O3796" s="7" t="str">
        <f>"REQ"&amp;TEXT([2]RequestList!$A3797,"0000")</f>
        <v>REQ0000</v>
      </c>
      <c r="P3796" s="7">
        <f>[2]RequestList!$J3797</f>
        <v>0</v>
      </c>
      <c r="Q3796" s="65">
        <f>SUMIF(日報!$R:$R,TEXT(YEAR($Q$2),"0000")&amp;TEXT(MONTH($Q$2),"00")&amp;$O3796,日報!$L:$L)</f>
        <v>0</v>
      </c>
      <c r="R3796" s="65">
        <f ca="1">SUMIF(日報!$J:$J,$O3796,日報!$L:$L)</f>
        <v>0</v>
      </c>
    </row>
    <row r="3797" spans="15:18" x14ac:dyDescent="0.15">
      <c r="O3797" s="7" t="str">
        <f>"REQ"&amp;TEXT([2]RequestList!$A3798,"0000")</f>
        <v>REQ0000</v>
      </c>
      <c r="P3797" s="7">
        <f>[2]RequestList!$J3798</f>
        <v>0</v>
      </c>
      <c r="Q3797" s="65">
        <f>SUMIF(日報!$R:$R,TEXT(YEAR($Q$2),"0000")&amp;TEXT(MONTH($Q$2),"00")&amp;$O3797,日報!$L:$L)</f>
        <v>0</v>
      </c>
      <c r="R3797" s="65">
        <f ca="1">SUMIF(日報!$J:$J,$O3797,日報!$L:$L)</f>
        <v>0</v>
      </c>
    </row>
    <row r="3798" spans="15:18" x14ac:dyDescent="0.15">
      <c r="O3798" s="7" t="str">
        <f>"REQ"&amp;TEXT([2]RequestList!$A3799,"0000")</f>
        <v>REQ0000</v>
      </c>
      <c r="P3798" s="7">
        <f>[2]RequestList!$J3799</f>
        <v>0</v>
      </c>
      <c r="Q3798" s="65">
        <f>SUMIF(日報!$R:$R,TEXT(YEAR($Q$2),"0000")&amp;TEXT(MONTH($Q$2),"00")&amp;$O3798,日報!$L:$L)</f>
        <v>0</v>
      </c>
      <c r="R3798" s="65">
        <f ca="1">SUMIF(日報!$J:$J,$O3798,日報!$L:$L)</f>
        <v>0</v>
      </c>
    </row>
    <row r="3799" spans="15:18" x14ac:dyDescent="0.15">
      <c r="O3799" s="7" t="str">
        <f>"REQ"&amp;TEXT([2]RequestList!$A3800,"0000")</f>
        <v>REQ0000</v>
      </c>
      <c r="P3799" s="7">
        <f>[2]RequestList!$J3800</f>
        <v>0</v>
      </c>
      <c r="Q3799" s="65">
        <f>SUMIF(日報!$R:$R,TEXT(YEAR($Q$2),"0000")&amp;TEXT(MONTH($Q$2),"00")&amp;$O3799,日報!$L:$L)</f>
        <v>0</v>
      </c>
      <c r="R3799" s="65">
        <f ca="1">SUMIF(日報!$J:$J,$O3799,日報!$L:$L)</f>
        <v>0</v>
      </c>
    </row>
    <row r="3800" spans="15:18" x14ac:dyDescent="0.15">
      <c r="O3800" s="7" t="str">
        <f>"REQ"&amp;TEXT([2]RequestList!$A3801,"0000")</f>
        <v>REQ0000</v>
      </c>
      <c r="P3800" s="7">
        <f>[2]RequestList!$J3801</f>
        <v>0</v>
      </c>
      <c r="Q3800" s="65">
        <f>SUMIF(日報!$R:$R,TEXT(YEAR($Q$2),"0000")&amp;TEXT(MONTH($Q$2),"00")&amp;$O3800,日報!$L:$L)</f>
        <v>0</v>
      </c>
      <c r="R3800" s="65">
        <f ca="1">SUMIF(日報!$J:$J,$O3800,日報!$L:$L)</f>
        <v>0</v>
      </c>
    </row>
    <row r="3801" spans="15:18" x14ac:dyDescent="0.15">
      <c r="O3801" s="7" t="str">
        <f>"REQ"&amp;TEXT([2]RequestList!$A3802,"0000")</f>
        <v>REQ0000</v>
      </c>
      <c r="P3801" s="7">
        <f>[2]RequestList!$J3802</f>
        <v>0</v>
      </c>
      <c r="Q3801" s="65">
        <f>SUMIF(日報!$R:$R,TEXT(YEAR($Q$2),"0000")&amp;TEXT(MONTH($Q$2),"00")&amp;$O3801,日報!$L:$L)</f>
        <v>0</v>
      </c>
      <c r="R3801" s="65">
        <f ca="1">SUMIF(日報!$J:$J,$O3801,日報!$L:$L)</f>
        <v>0</v>
      </c>
    </row>
    <row r="3802" spans="15:18" x14ac:dyDescent="0.15">
      <c r="O3802" s="7" t="str">
        <f>"REQ"&amp;TEXT([2]RequestList!$A3803,"0000")</f>
        <v>REQ0000</v>
      </c>
      <c r="P3802" s="7">
        <f>[2]RequestList!$J3803</f>
        <v>0</v>
      </c>
      <c r="Q3802" s="65">
        <f>SUMIF(日報!$R:$R,TEXT(YEAR($Q$2),"0000")&amp;TEXT(MONTH($Q$2),"00")&amp;$O3802,日報!$L:$L)</f>
        <v>0</v>
      </c>
      <c r="R3802" s="65">
        <f ca="1">SUMIF(日報!$J:$J,$O3802,日報!$L:$L)</f>
        <v>0</v>
      </c>
    </row>
    <row r="3803" spans="15:18" x14ac:dyDescent="0.15">
      <c r="O3803" s="7" t="str">
        <f>"REQ"&amp;TEXT([2]RequestList!$A3804,"0000")</f>
        <v>REQ0000</v>
      </c>
      <c r="P3803" s="7">
        <f>[2]RequestList!$J3804</f>
        <v>0</v>
      </c>
      <c r="Q3803" s="65">
        <f>SUMIF(日報!$R:$R,TEXT(YEAR($Q$2),"0000")&amp;TEXT(MONTH($Q$2),"00")&amp;$O3803,日報!$L:$L)</f>
        <v>0</v>
      </c>
      <c r="R3803" s="65">
        <f ca="1">SUMIF(日報!$J:$J,$O3803,日報!$L:$L)</f>
        <v>0</v>
      </c>
    </row>
    <row r="3804" spans="15:18" x14ac:dyDescent="0.15">
      <c r="O3804" s="7" t="str">
        <f>"REQ"&amp;TEXT([2]RequestList!$A3805,"0000")</f>
        <v>REQ0000</v>
      </c>
      <c r="P3804" s="7">
        <f>[2]RequestList!$J3805</f>
        <v>0</v>
      </c>
      <c r="Q3804" s="65">
        <f>SUMIF(日報!$R:$R,TEXT(YEAR($Q$2),"0000")&amp;TEXT(MONTH($Q$2),"00")&amp;$O3804,日報!$L:$L)</f>
        <v>0</v>
      </c>
      <c r="R3804" s="65">
        <f ca="1">SUMIF(日報!$J:$J,$O3804,日報!$L:$L)</f>
        <v>0</v>
      </c>
    </row>
    <row r="3805" spans="15:18" x14ac:dyDescent="0.15">
      <c r="O3805" s="7" t="str">
        <f>"REQ"&amp;TEXT([2]RequestList!$A3806,"0000")</f>
        <v>REQ0000</v>
      </c>
      <c r="P3805" s="7">
        <f>[2]RequestList!$J3806</f>
        <v>0</v>
      </c>
      <c r="Q3805" s="65">
        <f>SUMIF(日報!$R:$R,TEXT(YEAR($Q$2),"0000")&amp;TEXT(MONTH($Q$2),"00")&amp;$O3805,日報!$L:$L)</f>
        <v>0</v>
      </c>
      <c r="R3805" s="65">
        <f ca="1">SUMIF(日報!$J:$J,$O3805,日報!$L:$L)</f>
        <v>0</v>
      </c>
    </row>
    <row r="3806" spans="15:18" x14ac:dyDescent="0.15">
      <c r="O3806" s="7" t="str">
        <f>"REQ"&amp;TEXT([2]RequestList!$A3807,"0000")</f>
        <v>REQ0000</v>
      </c>
      <c r="P3806" s="7">
        <f>[2]RequestList!$J3807</f>
        <v>0</v>
      </c>
      <c r="Q3806" s="65">
        <f>SUMIF(日報!$R:$R,TEXT(YEAR($Q$2),"0000")&amp;TEXT(MONTH($Q$2),"00")&amp;$O3806,日報!$L:$L)</f>
        <v>0</v>
      </c>
      <c r="R3806" s="65">
        <f ca="1">SUMIF(日報!$J:$J,$O3806,日報!$L:$L)</f>
        <v>0</v>
      </c>
    </row>
    <row r="3807" spans="15:18" x14ac:dyDescent="0.15">
      <c r="O3807" s="7" t="str">
        <f>"REQ"&amp;TEXT([2]RequestList!$A3808,"0000")</f>
        <v>REQ0000</v>
      </c>
      <c r="P3807" s="7">
        <f>[2]RequestList!$J3808</f>
        <v>0</v>
      </c>
      <c r="Q3807" s="65">
        <f>SUMIF(日報!$R:$R,TEXT(YEAR($Q$2),"0000")&amp;TEXT(MONTH($Q$2),"00")&amp;$O3807,日報!$L:$L)</f>
        <v>0</v>
      </c>
      <c r="R3807" s="65">
        <f ca="1">SUMIF(日報!$J:$J,$O3807,日報!$L:$L)</f>
        <v>0</v>
      </c>
    </row>
    <row r="3808" spans="15:18" x14ac:dyDescent="0.15">
      <c r="O3808" s="7" t="str">
        <f>"REQ"&amp;TEXT([2]RequestList!$A3809,"0000")</f>
        <v>REQ0000</v>
      </c>
      <c r="P3808" s="7">
        <f>[2]RequestList!$J3809</f>
        <v>0</v>
      </c>
      <c r="Q3808" s="65">
        <f>SUMIF(日報!$R:$R,TEXT(YEAR($Q$2),"0000")&amp;TEXT(MONTH($Q$2),"00")&amp;$O3808,日報!$L:$L)</f>
        <v>0</v>
      </c>
      <c r="R3808" s="65">
        <f ca="1">SUMIF(日報!$J:$J,$O3808,日報!$L:$L)</f>
        <v>0</v>
      </c>
    </row>
    <row r="3809" spans="15:18" x14ac:dyDescent="0.15">
      <c r="O3809" s="7" t="str">
        <f>"REQ"&amp;TEXT([2]RequestList!$A3810,"0000")</f>
        <v>REQ0000</v>
      </c>
      <c r="P3809" s="7">
        <f>[2]RequestList!$J3810</f>
        <v>0</v>
      </c>
      <c r="Q3809" s="65">
        <f>SUMIF(日報!$R:$R,TEXT(YEAR($Q$2),"0000")&amp;TEXT(MONTH($Q$2),"00")&amp;$O3809,日報!$L:$L)</f>
        <v>0</v>
      </c>
      <c r="R3809" s="65">
        <f ca="1">SUMIF(日報!$J:$J,$O3809,日報!$L:$L)</f>
        <v>0</v>
      </c>
    </row>
    <row r="3810" spans="15:18" x14ac:dyDescent="0.15">
      <c r="O3810" s="7" t="str">
        <f>"REQ"&amp;TEXT([2]RequestList!$A3811,"0000")</f>
        <v>REQ0000</v>
      </c>
      <c r="P3810" s="7">
        <f>[2]RequestList!$J3811</f>
        <v>0</v>
      </c>
      <c r="Q3810" s="65">
        <f>SUMIF(日報!$R:$R,TEXT(YEAR($Q$2),"0000")&amp;TEXT(MONTH($Q$2),"00")&amp;$O3810,日報!$L:$L)</f>
        <v>0</v>
      </c>
      <c r="R3810" s="65">
        <f ca="1">SUMIF(日報!$J:$J,$O3810,日報!$L:$L)</f>
        <v>0</v>
      </c>
    </row>
    <row r="3811" spans="15:18" x14ac:dyDescent="0.15">
      <c r="O3811" s="7" t="str">
        <f>"REQ"&amp;TEXT([2]RequestList!$A3812,"0000")</f>
        <v>REQ0000</v>
      </c>
      <c r="P3811" s="7">
        <f>[2]RequestList!$J3812</f>
        <v>0</v>
      </c>
      <c r="Q3811" s="65">
        <f>SUMIF(日報!$R:$R,TEXT(YEAR($Q$2),"0000")&amp;TEXT(MONTH($Q$2),"00")&amp;$O3811,日報!$L:$L)</f>
        <v>0</v>
      </c>
      <c r="R3811" s="65">
        <f ca="1">SUMIF(日報!$J:$J,$O3811,日報!$L:$L)</f>
        <v>0</v>
      </c>
    </row>
    <row r="3812" spans="15:18" x14ac:dyDescent="0.15">
      <c r="O3812" s="7" t="str">
        <f>"REQ"&amp;TEXT([2]RequestList!$A3813,"0000")</f>
        <v>REQ0000</v>
      </c>
      <c r="P3812" s="7">
        <f>[2]RequestList!$J3813</f>
        <v>0</v>
      </c>
      <c r="Q3812" s="65">
        <f>SUMIF(日報!$R:$R,TEXT(YEAR($Q$2),"0000")&amp;TEXT(MONTH($Q$2),"00")&amp;$O3812,日報!$L:$L)</f>
        <v>0</v>
      </c>
      <c r="R3812" s="65">
        <f ca="1">SUMIF(日報!$J:$J,$O3812,日報!$L:$L)</f>
        <v>0</v>
      </c>
    </row>
    <row r="3813" spans="15:18" x14ac:dyDescent="0.15">
      <c r="O3813" s="7" t="str">
        <f>"REQ"&amp;TEXT([2]RequestList!$A3814,"0000")</f>
        <v>REQ0000</v>
      </c>
      <c r="P3813" s="7">
        <f>[2]RequestList!$J3814</f>
        <v>0</v>
      </c>
      <c r="Q3813" s="65">
        <f>SUMIF(日報!$R:$R,TEXT(YEAR($Q$2),"0000")&amp;TEXT(MONTH($Q$2),"00")&amp;$O3813,日報!$L:$L)</f>
        <v>0</v>
      </c>
      <c r="R3813" s="65">
        <f ca="1">SUMIF(日報!$J:$J,$O3813,日報!$L:$L)</f>
        <v>0</v>
      </c>
    </row>
    <row r="3814" spans="15:18" x14ac:dyDescent="0.15">
      <c r="O3814" s="7" t="str">
        <f>"REQ"&amp;TEXT([2]RequestList!$A3815,"0000")</f>
        <v>REQ0000</v>
      </c>
      <c r="P3814" s="7">
        <f>[2]RequestList!$J3815</f>
        <v>0</v>
      </c>
      <c r="Q3814" s="65">
        <f>SUMIF(日報!$R:$R,TEXT(YEAR($Q$2),"0000")&amp;TEXT(MONTH($Q$2),"00")&amp;$O3814,日報!$L:$L)</f>
        <v>0</v>
      </c>
      <c r="R3814" s="65">
        <f ca="1">SUMIF(日報!$J:$J,$O3814,日報!$L:$L)</f>
        <v>0</v>
      </c>
    </row>
    <row r="3815" spans="15:18" x14ac:dyDescent="0.15">
      <c r="O3815" s="7" t="str">
        <f>"REQ"&amp;TEXT([2]RequestList!$A3816,"0000")</f>
        <v>REQ0000</v>
      </c>
      <c r="P3815" s="7">
        <f>[2]RequestList!$J3816</f>
        <v>0</v>
      </c>
      <c r="Q3815" s="65">
        <f>SUMIF(日報!$R:$R,TEXT(YEAR($Q$2),"0000")&amp;TEXT(MONTH($Q$2),"00")&amp;$O3815,日報!$L:$L)</f>
        <v>0</v>
      </c>
      <c r="R3815" s="65">
        <f ca="1">SUMIF(日報!$J:$J,$O3815,日報!$L:$L)</f>
        <v>0</v>
      </c>
    </row>
    <row r="3816" spans="15:18" x14ac:dyDescent="0.15">
      <c r="O3816" s="7" t="str">
        <f>"REQ"&amp;TEXT([2]RequestList!$A3817,"0000")</f>
        <v>REQ0000</v>
      </c>
      <c r="P3816" s="7">
        <f>[2]RequestList!$J3817</f>
        <v>0</v>
      </c>
      <c r="Q3816" s="65">
        <f>SUMIF(日報!$R:$R,TEXT(YEAR($Q$2),"0000")&amp;TEXT(MONTH($Q$2),"00")&amp;$O3816,日報!$L:$L)</f>
        <v>0</v>
      </c>
      <c r="R3816" s="65">
        <f ca="1">SUMIF(日報!$J:$J,$O3816,日報!$L:$L)</f>
        <v>0</v>
      </c>
    </row>
    <row r="3817" spans="15:18" x14ac:dyDescent="0.15">
      <c r="O3817" s="7" t="str">
        <f>"REQ"&amp;TEXT([2]RequestList!$A3818,"0000")</f>
        <v>REQ0000</v>
      </c>
      <c r="P3817" s="7">
        <f>[2]RequestList!$J3818</f>
        <v>0</v>
      </c>
      <c r="Q3817" s="65">
        <f>SUMIF(日報!$R:$R,TEXT(YEAR($Q$2),"0000")&amp;TEXT(MONTH($Q$2),"00")&amp;$O3817,日報!$L:$L)</f>
        <v>0</v>
      </c>
      <c r="R3817" s="65">
        <f ca="1">SUMIF(日報!$J:$J,$O3817,日報!$L:$L)</f>
        <v>0</v>
      </c>
    </row>
    <row r="3818" spans="15:18" x14ac:dyDescent="0.15">
      <c r="O3818" s="7" t="str">
        <f>"REQ"&amp;TEXT([2]RequestList!$A3819,"0000")</f>
        <v>REQ0000</v>
      </c>
      <c r="P3818" s="7">
        <f>[2]RequestList!$J3819</f>
        <v>0</v>
      </c>
      <c r="Q3818" s="65">
        <f>SUMIF(日報!$R:$R,TEXT(YEAR($Q$2),"0000")&amp;TEXT(MONTH($Q$2),"00")&amp;$O3818,日報!$L:$L)</f>
        <v>0</v>
      </c>
      <c r="R3818" s="65">
        <f ca="1">SUMIF(日報!$J:$J,$O3818,日報!$L:$L)</f>
        <v>0</v>
      </c>
    </row>
    <row r="3819" spans="15:18" x14ac:dyDescent="0.15">
      <c r="O3819" s="7" t="str">
        <f>"REQ"&amp;TEXT([2]RequestList!$A3820,"0000")</f>
        <v>REQ0000</v>
      </c>
      <c r="P3819" s="7">
        <f>[2]RequestList!$J3820</f>
        <v>0</v>
      </c>
      <c r="Q3819" s="65">
        <f>SUMIF(日報!$R:$R,TEXT(YEAR($Q$2),"0000")&amp;TEXT(MONTH($Q$2),"00")&amp;$O3819,日報!$L:$L)</f>
        <v>0</v>
      </c>
      <c r="R3819" s="65">
        <f ca="1">SUMIF(日報!$J:$J,$O3819,日報!$L:$L)</f>
        <v>0</v>
      </c>
    </row>
    <row r="3820" spans="15:18" x14ac:dyDescent="0.15">
      <c r="O3820" s="7" t="str">
        <f>"REQ"&amp;TEXT([2]RequestList!$A3821,"0000")</f>
        <v>REQ0000</v>
      </c>
      <c r="P3820" s="7">
        <f>[2]RequestList!$J3821</f>
        <v>0</v>
      </c>
      <c r="Q3820" s="65">
        <f>SUMIF(日報!$R:$R,TEXT(YEAR($Q$2),"0000")&amp;TEXT(MONTH($Q$2),"00")&amp;$O3820,日報!$L:$L)</f>
        <v>0</v>
      </c>
      <c r="R3820" s="65">
        <f ca="1">SUMIF(日報!$J:$J,$O3820,日報!$L:$L)</f>
        <v>0</v>
      </c>
    </row>
    <row r="3821" spans="15:18" x14ac:dyDescent="0.15">
      <c r="O3821" s="7" t="str">
        <f>"REQ"&amp;TEXT([2]RequestList!$A3822,"0000")</f>
        <v>REQ0000</v>
      </c>
      <c r="P3821" s="7">
        <f>[2]RequestList!$J3822</f>
        <v>0</v>
      </c>
      <c r="Q3821" s="65">
        <f>SUMIF(日報!$R:$R,TEXT(YEAR($Q$2),"0000")&amp;TEXT(MONTH($Q$2),"00")&amp;$O3821,日報!$L:$L)</f>
        <v>0</v>
      </c>
      <c r="R3821" s="65">
        <f ca="1">SUMIF(日報!$J:$J,$O3821,日報!$L:$L)</f>
        <v>0</v>
      </c>
    </row>
    <row r="3822" spans="15:18" x14ac:dyDescent="0.15">
      <c r="O3822" s="7" t="str">
        <f>"REQ"&amp;TEXT([2]RequestList!$A3823,"0000")</f>
        <v>REQ0000</v>
      </c>
      <c r="P3822" s="7">
        <f>[2]RequestList!$J3823</f>
        <v>0</v>
      </c>
      <c r="Q3822" s="65">
        <f>SUMIF(日報!$R:$R,TEXT(YEAR($Q$2),"0000")&amp;TEXT(MONTH($Q$2),"00")&amp;$O3822,日報!$L:$L)</f>
        <v>0</v>
      </c>
      <c r="R3822" s="65">
        <f ca="1">SUMIF(日報!$J:$J,$O3822,日報!$L:$L)</f>
        <v>0</v>
      </c>
    </row>
    <row r="3823" spans="15:18" x14ac:dyDescent="0.15">
      <c r="O3823" s="7" t="str">
        <f>"REQ"&amp;TEXT([2]RequestList!$A3824,"0000")</f>
        <v>REQ0000</v>
      </c>
      <c r="P3823" s="7">
        <f>[2]RequestList!$J3824</f>
        <v>0</v>
      </c>
      <c r="Q3823" s="65">
        <f>SUMIF(日報!$R:$R,TEXT(YEAR($Q$2),"0000")&amp;TEXT(MONTH($Q$2),"00")&amp;$O3823,日報!$L:$L)</f>
        <v>0</v>
      </c>
      <c r="R3823" s="65">
        <f ca="1">SUMIF(日報!$J:$J,$O3823,日報!$L:$L)</f>
        <v>0</v>
      </c>
    </row>
    <row r="3824" spans="15:18" x14ac:dyDescent="0.15">
      <c r="O3824" s="7" t="str">
        <f>"REQ"&amp;TEXT([2]RequestList!$A3825,"0000")</f>
        <v>REQ0000</v>
      </c>
      <c r="P3824" s="7">
        <f>[2]RequestList!$J3825</f>
        <v>0</v>
      </c>
      <c r="Q3824" s="65">
        <f>SUMIF(日報!$R:$R,TEXT(YEAR($Q$2),"0000")&amp;TEXT(MONTH($Q$2),"00")&amp;$O3824,日報!$L:$L)</f>
        <v>0</v>
      </c>
      <c r="R3824" s="65">
        <f ca="1">SUMIF(日報!$J:$J,$O3824,日報!$L:$L)</f>
        <v>0</v>
      </c>
    </row>
    <row r="3825" spans="15:18" x14ac:dyDescent="0.15">
      <c r="O3825" s="7" t="str">
        <f>"REQ"&amp;TEXT([2]RequestList!$A3826,"0000")</f>
        <v>REQ0000</v>
      </c>
      <c r="P3825" s="7">
        <f>[2]RequestList!$J3826</f>
        <v>0</v>
      </c>
      <c r="Q3825" s="65">
        <f>SUMIF(日報!$R:$R,TEXT(YEAR($Q$2),"0000")&amp;TEXT(MONTH($Q$2),"00")&amp;$O3825,日報!$L:$L)</f>
        <v>0</v>
      </c>
      <c r="R3825" s="65">
        <f ca="1">SUMIF(日報!$J:$J,$O3825,日報!$L:$L)</f>
        <v>0</v>
      </c>
    </row>
    <row r="3826" spans="15:18" x14ac:dyDescent="0.15">
      <c r="O3826" s="7" t="str">
        <f>"REQ"&amp;TEXT([2]RequestList!$A3827,"0000")</f>
        <v>REQ0000</v>
      </c>
      <c r="P3826" s="7">
        <f>[2]RequestList!$J3827</f>
        <v>0</v>
      </c>
      <c r="Q3826" s="65">
        <f>SUMIF(日報!$R:$R,TEXT(YEAR($Q$2),"0000")&amp;TEXT(MONTH($Q$2),"00")&amp;$O3826,日報!$L:$L)</f>
        <v>0</v>
      </c>
      <c r="R3826" s="65">
        <f ca="1">SUMIF(日報!$J:$J,$O3826,日報!$L:$L)</f>
        <v>0</v>
      </c>
    </row>
    <row r="3827" spans="15:18" x14ac:dyDescent="0.15">
      <c r="O3827" s="7" t="str">
        <f>"REQ"&amp;TEXT([2]RequestList!$A3828,"0000")</f>
        <v>REQ0000</v>
      </c>
      <c r="P3827" s="7">
        <f>[2]RequestList!$J3828</f>
        <v>0</v>
      </c>
      <c r="Q3827" s="65">
        <f>SUMIF(日報!$R:$R,TEXT(YEAR($Q$2),"0000")&amp;TEXT(MONTH($Q$2),"00")&amp;$O3827,日報!$L:$L)</f>
        <v>0</v>
      </c>
      <c r="R3827" s="65">
        <f ca="1">SUMIF(日報!$J:$J,$O3827,日報!$L:$L)</f>
        <v>0</v>
      </c>
    </row>
    <row r="3828" spans="15:18" x14ac:dyDescent="0.15">
      <c r="O3828" s="7" t="str">
        <f>"REQ"&amp;TEXT([2]RequestList!$A3829,"0000")</f>
        <v>REQ0000</v>
      </c>
      <c r="P3828" s="7">
        <f>[2]RequestList!$J3829</f>
        <v>0</v>
      </c>
      <c r="Q3828" s="65">
        <f>SUMIF(日報!$R:$R,TEXT(YEAR($Q$2),"0000")&amp;TEXT(MONTH($Q$2),"00")&amp;$O3828,日報!$L:$L)</f>
        <v>0</v>
      </c>
      <c r="R3828" s="65">
        <f ca="1">SUMIF(日報!$J:$J,$O3828,日報!$L:$L)</f>
        <v>0</v>
      </c>
    </row>
    <row r="3829" spans="15:18" x14ac:dyDescent="0.15">
      <c r="O3829" s="7" t="str">
        <f>"REQ"&amp;TEXT([2]RequestList!$A3830,"0000")</f>
        <v>REQ0000</v>
      </c>
      <c r="P3829" s="7">
        <f>[2]RequestList!$J3830</f>
        <v>0</v>
      </c>
      <c r="Q3829" s="65">
        <f>SUMIF(日報!$R:$R,TEXT(YEAR($Q$2),"0000")&amp;TEXT(MONTH($Q$2),"00")&amp;$O3829,日報!$L:$L)</f>
        <v>0</v>
      </c>
      <c r="R3829" s="65">
        <f ca="1">SUMIF(日報!$J:$J,$O3829,日報!$L:$L)</f>
        <v>0</v>
      </c>
    </row>
    <row r="3830" spans="15:18" x14ac:dyDescent="0.15">
      <c r="O3830" s="7" t="str">
        <f>"REQ"&amp;TEXT([2]RequestList!$A3831,"0000")</f>
        <v>REQ0000</v>
      </c>
      <c r="P3830" s="7">
        <f>[2]RequestList!$J3831</f>
        <v>0</v>
      </c>
      <c r="Q3830" s="65">
        <f>SUMIF(日報!$R:$R,TEXT(YEAR($Q$2),"0000")&amp;TEXT(MONTH($Q$2),"00")&amp;$O3830,日報!$L:$L)</f>
        <v>0</v>
      </c>
      <c r="R3830" s="65">
        <f ca="1">SUMIF(日報!$J:$J,$O3830,日報!$L:$L)</f>
        <v>0</v>
      </c>
    </row>
    <row r="3831" spans="15:18" x14ac:dyDescent="0.15">
      <c r="O3831" s="7" t="str">
        <f>"REQ"&amp;TEXT([2]RequestList!$A3832,"0000")</f>
        <v>REQ0000</v>
      </c>
      <c r="P3831" s="7">
        <f>[2]RequestList!$J3832</f>
        <v>0</v>
      </c>
      <c r="Q3831" s="65">
        <f>SUMIF(日報!$R:$R,TEXT(YEAR($Q$2),"0000")&amp;TEXT(MONTH($Q$2),"00")&amp;$O3831,日報!$L:$L)</f>
        <v>0</v>
      </c>
      <c r="R3831" s="65">
        <f ca="1">SUMIF(日報!$J:$J,$O3831,日報!$L:$L)</f>
        <v>0</v>
      </c>
    </row>
    <row r="3832" spans="15:18" x14ac:dyDescent="0.15">
      <c r="O3832" s="7" t="str">
        <f>"REQ"&amp;TEXT([2]RequestList!$A3833,"0000")</f>
        <v>REQ0000</v>
      </c>
      <c r="P3832" s="7">
        <f>[2]RequestList!$J3833</f>
        <v>0</v>
      </c>
      <c r="Q3832" s="65">
        <f>SUMIF(日報!$R:$R,TEXT(YEAR($Q$2),"0000")&amp;TEXT(MONTH($Q$2),"00")&amp;$O3832,日報!$L:$L)</f>
        <v>0</v>
      </c>
      <c r="R3832" s="65">
        <f ca="1">SUMIF(日報!$J:$J,$O3832,日報!$L:$L)</f>
        <v>0</v>
      </c>
    </row>
    <row r="3833" spans="15:18" x14ac:dyDescent="0.15">
      <c r="O3833" s="7" t="str">
        <f>"REQ"&amp;TEXT([2]RequestList!$A3834,"0000")</f>
        <v>REQ0000</v>
      </c>
      <c r="P3833" s="7">
        <f>[2]RequestList!$J3834</f>
        <v>0</v>
      </c>
      <c r="Q3833" s="65">
        <f>SUMIF(日報!$R:$R,TEXT(YEAR($Q$2),"0000")&amp;TEXT(MONTH($Q$2),"00")&amp;$O3833,日報!$L:$L)</f>
        <v>0</v>
      </c>
      <c r="R3833" s="65">
        <f ca="1">SUMIF(日報!$J:$J,$O3833,日報!$L:$L)</f>
        <v>0</v>
      </c>
    </row>
    <row r="3834" spans="15:18" x14ac:dyDescent="0.15">
      <c r="O3834" s="7" t="str">
        <f>"REQ"&amp;TEXT([2]RequestList!$A3835,"0000")</f>
        <v>REQ0000</v>
      </c>
      <c r="P3834" s="7">
        <f>[2]RequestList!$J3835</f>
        <v>0</v>
      </c>
      <c r="Q3834" s="65">
        <f>SUMIF(日報!$R:$R,TEXT(YEAR($Q$2),"0000")&amp;TEXT(MONTH($Q$2),"00")&amp;$O3834,日報!$L:$L)</f>
        <v>0</v>
      </c>
      <c r="R3834" s="65">
        <f ca="1">SUMIF(日報!$J:$J,$O3834,日報!$L:$L)</f>
        <v>0</v>
      </c>
    </row>
    <row r="3835" spans="15:18" x14ac:dyDescent="0.15">
      <c r="O3835" s="7" t="str">
        <f>"REQ"&amp;TEXT([2]RequestList!$A3836,"0000")</f>
        <v>REQ0000</v>
      </c>
      <c r="P3835" s="7">
        <f>[2]RequestList!$J3836</f>
        <v>0</v>
      </c>
      <c r="Q3835" s="65">
        <f>SUMIF(日報!$R:$R,TEXT(YEAR($Q$2),"0000")&amp;TEXT(MONTH($Q$2),"00")&amp;$O3835,日報!$L:$L)</f>
        <v>0</v>
      </c>
      <c r="R3835" s="65">
        <f ca="1">SUMIF(日報!$J:$J,$O3835,日報!$L:$L)</f>
        <v>0</v>
      </c>
    </row>
    <row r="3836" spans="15:18" x14ac:dyDescent="0.15">
      <c r="O3836" s="7" t="str">
        <f>"REQ"&amp;TEXT([2]RequestList!$A3837,"0000")</f>
        <v>REQ0000</v>
      </c>
      <c r="P3836" s="7">
        <f>[2]RequestList!$J3837</f>
        <v>0</v>
      </c>
      <c r="Q3836" s="65">
        <f>SUMIF(日報!$R:$R,TEXT(YEAR($Q$2),"0000")&amp;TEXT(MONTH($Q$2),"00")&amp;$O3836,日報!$L:$L)</f>
        <v>0</v>
      </c>
      <c r="R3836" s="65">
        <f ca="1">SUMIF(日報!$J:$J,$O3836,日報!$L:$L)</f>
        <v>0</v>
      </c>
    </row>
    <row r="3837" spans="15:18" x14ac:dyDescent="0.15">
      <c r="O3837" s="7" t="str">
        <f>"REQ"&amp;TEXT([2]RequestList!$A3838,"0000")</f>
        <v>REQ0000</v>
      </c>
      <c r="P3837" s="7">
        <f>[2]RequestList!$J3838</f>
        <v>0</v>
      </c>
      <c r="Q3837" s="65">
        <f>SUMIF(日報!$R:$R,TEXT(YEAR($Q$2),"0000")&amp;TEXT(MONTH($Q$2),"00")&amp;$O3837,日報!$L:$L)</f>
        <v>0</v>
      </c>
      <c r="R3837" s="65">
        <f ca="1">SUMIF(日報!$J:$J,$O3837,日報!$L:$L)</f>
        <v>0</v>
      </c>
    </row>
    <row r="3838" spans="15:18" x14ac:dyDescent="0.15">
      <c r="O3838" s="7" t="str">
        <f>"REQ"&amp;TEXT([2]RequestList!$A3839,"0000")</f>
        <v>REQ0000</v>
      </c>
      <c r="P3838" s="7">
        <f>[2]RequestList!$J3839</f>
        <v>0</v>
      </c>
      <c r="Q3838" s="65">
        <f>SUMIF(日報!$R:$R,TEXT(YEAR($Q$2),"0000")&amp;TEXT(MONTH($Q$2),"00")&amp;$O3838,日報!$L:$L)</f>
        <v>0</v>
      </c>
      <c r="R3838" s="65">
        <f ca="1">SUMIF(日報!$J:$J,$O3838,日報!$L:$L)</f>
        <v>0</v>
      </c>
    </row>
    <row r="3839" spans="15:18" x14ac:dyDescent="0.15">
      <c r="O3839" s="7" t="str">
        <f>"REQ"&amp;TEXT([2]RequestList!$A3840,"0000")</f>
        <v>REQ0000</v>
      </c>
      <c r="P3839" s="7">
        <f>[2]RequestList!$J3840</f>
        <v>0</v>
      </c>
      <c r="Q3839" s="65">
        <f>SUMIF(日報!$R:$R,TEXT(YEAR($Q$2),"0000")&amp;TEXT(MONTH($Q$2),"00")&amp;$O3839,日報!$L:$L)</f>
        <v>0</v>
      </c>
      <c r="R3839" s="65">
        <f ca="1">SUMIF(日報!$J:$J,$O3839,日報!$L:$L)</f>
        <v>0</v>
      </c>
    </row>
    <row r="3840" spans="15:18" x14ac:dyDescent="0.15">
      <c r="O3840" s="7" t="str">
        <f>"REQ"&amp;TEXT([2]RequestList!$A3841,"0000")</f>
        <v>REQ0000</v>
      </c>
      <c r="P3840" s="7">
        <f>[2]RequestList!$J3841</f>
        <v>0</v>
      </c>
      <c r="Q3840" s="65">
        <f>SUMIF(日報!$R:$R,TEXT(YEAR($Q$2),"0000")&amp;TEXT(MONTH($Q$2),"00")&amp;$O3840,日報!$L:$L)</f>
        <v>0</v>
      </c>
      <c r="R3840" s="65">
        <f ca="1">SUMIF(日報!$J:$J,$O3840,日報!$L:$L)</f>
        <v>0</v>
      </c>
    </row>
    <row r="3841" spans="15:18" x14ac:dyDescent="0.15">
      <c r="O3841" s="7" t="str">
        <f>"REQ"&amp;TEXT([2]RequestList!$A3842,"0000")</f>
        <v>REQ0000</v>
      </c>
      <c r="P3841" s="7">
        <f>[2]RequestList!$J3842</f>
        <v>0</v>
      </c>
      <c r="Q3841" s="65">
        <f>SUMIF(日報!$R:$R,TEXT(YEAR($Q$2),"0000")&amp;TEXT(MONTH($Q$2),"00")&amp;$O3841,日報!$L:$L)</f>
        <v>0</v>
      </c>
      <c r="R3841" s="65">
        <f ca="1">SUMIF(日報!$J:$J,$O3841,日報!$L:$L)</f>
        <v>0</v>
      </c>
    </row>
    <row r="3842" spans="15:18" x14ac:dyDescent="0.15">
      <c r="O3842" s="7" t="str">
        <f>"REQ"&amp;TEXT([2]RequestList!$A3843,"0000")</f>
        <v>REQ0000</v>
      </c>
      <c r="P3842" s="7">
        <f>[2]RequestList!$J3843</f>
        <v>0</v>
      </c>
      <c r="Q3842" s="65">
        <f>SUMIF(日報!$R:$R,TEXT(YEAR($Q$2),"0000")&amp;TEXT(MONTH($Q$2),"00")&amp;$O3842,日報!$L:$L)</f>
        <v>0</v>
      </c>
      <c r="R3842" s="65">
        <f ca="1">SUMIF(日報!$J:$J,$O3842,日報!$L:$L)</f>
        <v>0</v>
      </c>
    </row>
    <row r="3843" spans="15:18" x14ac:dyDescent="0.15">
      <c r="O3843" s="7" t="str">
        <f>"REQ"&amp;TEXT([2]RequestList!$A3844,"0000")</f>
        <v>REQ0000</v>
      </c>
      <c r="P3843" s="7">
        <f>[2]RequestList!$J3844</f>
        <v>0</v>
      </c>
      <c r="Q3843" s="65">
        <f>SUMIF(日報!$R:$R,TEXT(YEAR($Q$2),"0000")&amp;TEXT(MONTH($Q$2),"00")&amp;$O3843,日報!$L:$L)</f>
        <v>0</v>
      </c>
      <c r="R3843" s="65">
        <f ca="1">SUMIF(日報!$J:$J,$O3843,日報!$L:$L)</f>
        <v>0</v>
      </c>
    </row>
    <row r="3844" spans="15:18" x14ac:dyDescent="0.15">
      <c r="O3844" s="7" t="str">
        <f>"REQ"&amp;TEXT([2]RequestList!$A3845,"0000")</f>
        <v>REQ0000</v>
      </c>
      <c r="P3844" s="7">
        <f>[2]RequestList!$J3845</f>
        <v>0</v>
      </c>
      <c r="Q3844" s="65">
        <f>SUMIF(日報!$R:$R,TEXT(YEAR($Q$2),"0000")&amp;TEXT(MONTH($Q$2),"00")&amp;$O3844,日報!$L:$L)</f>
        <v>0</v>
      </c>
      <c r="R3844" s="65">
        <f ca="1">SUMIF(日報!$J:$J,$O3844,日報!$L:$L)</f>
        <v>0</v>
      </c>
    </row>
    <row r="3845" spans="15:18" x14ac:dyDescent="0.15">
      <c r="O3845" s="7" t="str">
        <f>"REQ"&amp;TEXT([2]RequestList!$A3846,"0000")</f>
        <v>REQ0000</v>
      </c>
      <c r="P3845" s="7">
        <f>[2]RequestList!$J3846</f>
        <v>0</v>
      </c>
      <c r="Q3845" s="65">
        <f>SUMIF(日報!$R:$R,TEXT(YEAR($Q$2),"0000")&amp;TEXT(MONTH($Q$2),"00")&amp;$O3845,日報!$L:$L)</f>
        <v>0</v>
      </c>
      <c r="R3845" s="65">
        <f ca="1">SUMIF(日報!$J:$J,$O3845,日報!$L:$L)</f>
        <v>0</v>
      </c>
    </row>
    <row r="3846" spans="15:18" x14ac:dyDescent="0.15">
      <c r="O3846" s="7" t="str">
        <f>"REQ"&amp;TEXT([2]RequestList!$A3847,"0000")</f>
        <v>REQ0000</v>
      </c>
      <c r="P3846" s="7">
        <f>[2]RequestList!$J3847</f>
        <v>0</v>
      </c>
      <c r="Q3846" s="65">
        <f>SUMIF(日報!$R:$R,TEXT(YEAR($Q$2),"0000")&amp;TEXT(MONTH($Q$2),"00")&amp;$O3846,日報!$L:$L)</f>
        <v>0</v>
      </c>
      <c r="R3846" s="65">
        <f ca="1">SUMIF(日報!$J:$J,$O3846,日報!$L:$L)</f>
        <v>0</v>
      </c>
    </row>
    <row r="3847" spans="15:18" x14ac:dyDescent="0.15">
      <c r="O3847" s="7" t="str">
        <f>"REQ"&amp;TEXT([2]RequestList!$A3848,"0000")</f>
        <v>REQ0000</v>
      </c>
      <c r="P3847" s="7">
        <f>[2]RequestList!$J3848</f>
        <v>0</v>
      </c>
      <c r="Q3847" s="65">
        <f>SUMIF(日報!$R:$R,TEXT(YEAR($Q$2),"0000")&amp;TEXT(MONTH($Q$2),"00")&amp;$O3847,日報!$L:$L)</f>
        <v>0</v>
      </c>
      <c r="R3847" s="65">
        <f ca="1">SUMIF(日報!$J:$J,$O3847,日報!$L:$L)</f>
        <v>0</v>
      </c>
    </row>
    <row r="3848" spans="15:18" x14ac:dyDescent="0.15">
      <c r="O3848" s="7" t="str">
        <f>"REQ"&amp;TEXT([2]RequestList!$A3849,"0000")</f>
        <v>REQ0000</v>
      </c>
      <c r="P3848" s="7">
        <f>[2]RequestList!$J3849</f>
        <v>0</v>
      </c>
      <c r="Q3848" s="65">
        <f>SUMIF(日報!$R:$R,TEXT(YEAR($Q$2),"0000")&amp;TEXT(MONTH($Q$2),"00")&amp;$O3848,日報!$L:$L)</f>
        <v>0</v>
      </c>
      <c r="R3848" s="65">
        <f ca="1">SUMIF(日報!$J:$J,$O3848,日報!$L:$L)</f>
        <v>0</v>
      </c>
    </row>
    <row r="3849" spans="15:18" x14ac:dyDescent="0.15">
      <c r="O3849" s="7" t="str">
        <f>"REQ"&amp;TEXT([2]RequestList!$A3850,"0000")</f>
        <v>REQ0000</v>
      </c>
      <c r="P3849" s="7">
        <f>[2]RequestList!$J3850</f>
        <v>0</v>
      </c>
      <c r="Q3849" s="65">
        <f>SUMIF(日報!$R:$R,TEXT(YEAR($Q$2),"0000")&amp;TEXT(MONTH($Q$2),"00")&amp;$O3849,日報!$L:$L)</f>
        <v>0</v>
      </c>
      <c r="R3849" s="65">
        <f ca="1">SUMIF(日報!$J:$J,$O3849,日報!$L:$L)</f>
        <v>0</v>
      </c>
    </row>
    <row r="3850" spans="15:18" x14ac:dyDescent="0.15">
      <c r="O3850" s="7" t="str">
        <f>"REQ"&amp;TEXT([2]RequestList!$A3851,"0000")</f>
        <v>REQ0000</v>
      </c>
      <c r="P3850" s="7">
        <f>[2]RequestList!$J3851</f>
        <v>0</v>
      </c>
      <c r="Q3850" s="65">
        <f>SUMIF(日報!$R:$R,TEXT(YEAR($Q$2),"0000")&amp;TEXT(MONTH($Q$2),"00")&amp;$O3850,日報!$L:$L)</f>
        <v>0</v>
      </c>
      <c r="R3850" s="65">
        <f ca="1">SUMIF(日報!$J:$J,$O3850,日報!$L:$L)</f>
        <v>0</v>
      </c>
    </row>
    <row r="3851" spans="15:18" x14ac:dyDescent="0.15">
      <c r="O3851" s="7" t="str">
        <f>"REQ"&amp;TEXT([2]RequestList!$A3852,"0000")</f>
        <v>REQ0000</v>
      </c>
      <c r="P3851" s="7">
        <f>[2]RequestList!$J3852</f>
        <v>0</v>
      </c>
      <c r="Q3851" s="65">
        <f>SUMIF(日報!$R:$R,TEXT(YEAR($Q$2),"0000")&amp;TEXT(MONTH($Q$2),"00")&amp;$O3851,日報!$L:$L)</f>
        <v>0</v>
      </c>
      <c r="R3851" s="65">
        <f ca="1">SUMIF(日報!$J:$J,$O3851,日報!$L:$L)</f>
        <v>0</v>
      </c>
    </row>
    <row r="3852" spans="15:18" x14ac:dyDescent="0.15">
      <c r="O3852" s="7" t="str">
        <f>"REQ"&amp;TEXT([2]RequestList!$A3853,"0000")</f>
        <v>REQ0000</v>
      </c>
      <c r="P3852" s="7">
        <f>[2]RequestList!$J3853</f>
        <v>0</v>
      </c>
      <c r="Q3852" s="65">
        <f>SUMIF(日報!$R:$R,TEXT(YEAR($Q$2),"0000")&amp;TEXT(MONTH($Q$2),"00")&amp;$O3852,日報!$L:$L)</f>
        <v>0</v>
      </c>
      <c r="R3852" s="65">
        <f ca="1">SUMIF(日報!$J:$J,$O3852,日報!$L:$L)</f>
        <v>0</v>
      </c>
    </row>
    <row r="3853" spans="15:18" x14ac:dyDescent="0.15">
      <c r="O3853" s="7" t="str">
        <f>"REQ"&amp;TEXT([2]RequestList!$A3854,"0000")</f>
        <v>REQ0000</v>
      </c>
      <c r="P3853" s="7">
        <f>[2]RequestList!$J3854</f>
        <v>0</v>
      </c>
      <c r="Q3853" s="65">
        <f>SUMIF(日報!$R:$R,TEXT(YEAR($Q$2),"0000")&amp;TEXT(MONTH($Q$2),"00")&amp;$O3853,日報!$L:$L)</f>
        <v>0</v>
      </c>
      <c r="R3853" s="65">
        <f ca="1">SUMIF(日報!$J:$J,$O3853,日報!$L:$L)</f>
        <v>0</v>
      </c>
    </row>
    <row r="3854" spans="15:18" x14ac:dyDescent="0.15">
      <c r="O3854" s="7" t="str">
        <f>"REQ"&amp;TEXT([2]RequestList!$A3855,"0000")</f>
        <v>REQ0000</v>
      </c>
      <c r="P3854" s="7">
        <f>[2]RequestList!$J3855</f>
        <v>0</v>
      </c>
      <c r="Q3854" s="65">
        <f>SUMIF(日報!$R:$R,TEXT(YEAR($Q$2),"0000")&amp;TEXT(MONTH($Q$2),"00")&amp;$O3854,日報!$L:$L)</f>
        <v>0</v>
      </c>
      <c r="R3854" s="65">
        <f ca="1">SUMIF(日報!$J:$J,$O3854,日報!$L:$L)</f>
        <v>0</v>
      </c>
    </row>
    <row r="3855" spans="15:18" x14ac:dyDescent="0.15">
      <c r="O3855" s="7" t="str">
        <f>"REQ"&amp;TEXT([2]RequestList!$A3856,"0000")</f>
        <v>REQ0000</v>
      </c>
      <c r="P3855" s="7">
        <f>[2]RequestList!$J3856</f>
        <v>0</v>
      </c>
      <c r="Q3855" s="65">
        <f>SUMIF(日報!$R:$R,TEXT(YEAR($Q$2),"0000")&amp;TEXT(MONTH($Q$2),"00")&amp;$O3855,日報!$L:$L)</f>
        <v>0</v>
      </c>
      <c r="R3855" s="65">
        <f ca="1">SUMIF(日報!$J:$J,$O3855,日報!$L:$L)</f>
        <v>0</v>
      </c>
    </row>
    <row r="3856" spans="15:18" x14ac:dyDescent="0.15">
      <c r="O3856" s="7" t="str">
        <f>"REQ"&amp;TEXT([2]RequestList!$A3857,"0000")</f>
        <v>REQ0000</v>
      </c>
      <c r="P3856" s="7">
        <f>[2]RequestList!$J3857</f>
        <v>0</v>
      </c>
      <c r="Q3856" s="65">
        <f>SUMIF(日報!$R:$R,TEXT(YEAR($Q$2),"0000")&amp;TEXT(MONTH($Q$2),"00")&amp;$O3856,日報!$L:$L)</f>
        <v>0</v>
      </c>
      <c r="R3856" s="65">
        <f ca="1">SUMIF(日報!$J:$J,$O3856,日報!$L:$L)</f>
        <v>0</v>
      </c>
    </row>
    <row r="3857" spans="15:18" x14ac:dyDescent="0.15">
      <c r="O3857" s="7" t="str">
        <f>"REQ"&amp;TEXT([2]RequestList!$A3858,"0000")</f>
        <v>REQ0000</v>
      </c>
      <c r="P3857" s="7">
        <f>[2]RequestList!$J3858</f>
        <v>0</v>
      </c>
      <c r="Q3857" s="65">
        <f>SUMIF(日報!$R:$R,TEXT(YEAR($Q$2),"0000")&amp;TEXT(MONTH($Q$2),"00")&amp;$O3857,日報!$L:$L)</f>
        <v>0</v>
      </c>
      <c r="R3857" s="65">
        <f ca="1">SUMIF(日報!$J:$J,$O3857,日報!$L:$L)</f>
        <v>0</v>
      </c>
    </row>
    <row r="3858" spans="15:18" x14ac:dyDescent="0.15">
      <c r="O3858" s="7" t="str">
        <f>"REQ"&amp;TEXT([2]RequestList!$A3859,"0000")</f>
        <v>REQ0000</v>
      </c>
      <c r="P3858" s="7">
        <f>[2]RequestList!$J3859</f>
        <v>0</v>
      </c>
      <c r="Q3858" s="65">
        <f>SUMIF(日報!$R:$R,TEXT(YEAR($Q$2),"0000")&amp;TEXT(MONTH($Q$2),"00")&amp;$O3858,日報!$L:$L)</f>
        <v>0</v>
      </c>
      <c r="R3858" s="65">
        <f ca="1">SUMIF(日報!$J:$J,$O3858,日報!$L:$L)</f>
        <v>0</v>
      </c>
    </row>
    <row r="3859" spans="15:18" x14ac:dyDescent="0.15">
      <c r="O3859" s="7" t="str">
        <f>"REQ"&amp;TEXT([2]RequestList!$A3860,"0000")</f>
        <v>REQ0000</v>
      </c>
      <c r="P3859" s="7">
        <f>[2]RequestList!$J3860</f>
        <v>0</v>
      </c>
      <c r="Q3859" s="65">
        <f>SUMIF(日報!$R:$R,TEXT(YEAR($Q$2),"0000")&amp;TEXT(MONTH($Q$2),"00")&amp;$O3859,日報!$L:$L)</f>
        <v>0</v>
      </c>
      <c r="R3859" s="65">
        <f ca="1">SUMIF(日報!$J:$J,$O3859,日報!$L:$L)</f>
        <v>0</v>
      </c>
    </row>
    <row r="3860" spans="15:18" x14ac:dyDescent="0.15">
      <c r="O3860" s="7" t="str">
        <f>"REQ"&amp;TEXT([2]RequestList!$A3861,"0000")</f>
        <v>REQ0000</v>
      </c>
      <c r="P3860" s="7">
        <f>[2]RequestList!$J3861</f>
        <v>0</v>
      </c>
      <c r="Q3860" s="65">
        <f>SUMIF(日報!$R:$R,TEXT(YEAR($Q$2),"0000")&amp;TEXT(MONTH($Q$2),"00")&amp;$O3860,日報!$L:$L)</f>
        <v>0</v>
      </c>
      <c r="R3860" s="65">
        <f ca="1">SUMIF(日報!$J:$J,$O3860,日報!$L:$L)</f>
        <v>0</v>
      </c>
    </row>
    <row r="3861" spans="15:18" x14ac:dyDescent="0.15">
      <c r="O3861" s="7" t="str">
        <f>"REQ"&amp;TEXT([2]RequestList!$A3862,"0000")</f>
        <v>REQ0000</v>
      </c>
      <c r="P3861" s="7">
        <f>[2]RequestList!$J3862</f>
        <v>0</v>
      </c>
      <c r="Q3861" s="65">
        <f>SUMIF(日報!$R:$R,TEXT(YEAR($Q$2),"0000")&amp;TEXT(MONTH($Q$2),"00")&amp;$O3861,日報!$L:$L)</f>
        <v>0</v>
      </c>
      <c r="R3861" s="65">
        <f ca="1">SUMIF(日報!$J:$J,$O3861,日報!$L:$L)</f>
        <v>0</v>
      </c>
    </row>
    <row r="3862" spans="15:18" x14ac:dyDescent="0.15">
      <c r="O3862" s="7" t="str">
        <f>"REQ"&amp;TEXT([2]RequestList!$A3863,"0000")</f>
        <v>REQ0000</v>
      </c>
      <c r="P3862" s="7">
        <f>[2]RequestList!$J3863</f>
        <v>0</v>
      </c>
      <c r="Q3862" s="65">
        <f>SUMIF(日報!$R:$R,TEXT(YEAR($Q$2),"0000")&amp;TEXT(MONTH($Q$2),"00")&amp;$O3862,日報!$L:$L)</f>
        <v>0</v>
      </c>
      <c r="R3862" s="65">
        <f ca="1">SUMIF(日報!$J:$J,$O3862,日報!$L:$L)</f>
        <v>0</v>
      </c>
    </row>
    <row r="3863" spans="15:18" x14ac:dyDescent="0.15">
      <c r="O3863" s="7" t="str">
        <f>"REQ"&amp;TEXT([2]RequestList!$A3864,"0000")</f>
        <v>REQ0000</v>
      </c>
      <c r="P3863" s="7">
        <f>[2]RequestList!$J3864</f>
        <v>0</v>
      </c>
      <c r="Q3863" s="65">
        <f>SUMIF(日報!$R:$R,TEXT(YEAR($Q$2),"0000")&amp;TEXT(MONTH($Q$2),"00")&amp;$O3863,日報!$L:$L)</f>
        <v>0</v>
      </c>
      <c r="R3863" s="65">
        <f ca="1">SUMIF(日報!$J:$J,$O3863,日報!$L:$L)</f>
        <v>0</v>
      </c>
    </row>
    <row r="3864" spans="15:18" x14ac:dyDescent="0.15">
      <c r="O3864" s="7" t="str">
        <f>"REQ"&amp;TEXT([2]RequestList!$A3865,"0000")</f>
        <v>REQ0000</v>
      </c>
      <c r="P3864" s="7">
        <f>[2]RequestList!$J3865</f>
        <v>0</v>
      </c>
      <c r="Q3864" s="65">
        <f>SUMIF(日報!$R:$R,TEXT(YEAR($Q$2),"0000")&amp;TEXT(MONTH($Q$2),"00")&amp;$O3864,日報!$L:$L)</f>
        <v>0</v>
      </c>
      <c r="R3864" s="65">
        <f ca="1">SUMIF(日報!$J:$J,$O3864,日報!$L:$L)</f>
        <v>0</v>
      </c>
    </row>
    <row r="3865" spans="15:18" x14ac:dyDescent="0.15">
      <c r="O3865" s="7" t="str">
        <f>"REQ"&amp;TEXT([2]RequestList!$A3866,"0000")</f>
        <v>REQ0000</v>
      </c>
      <c r="P3865" s="7">
        <f>[2]RequestList!$J3866</f>
        <v>0</v>
      </c>
      <c r="Q3865" s="65">
        <f>SUMIF(日報!$R:$R,TEXT(YEAR($Q$2),"0000")&amp;TEXT(MONTH($Q$2),"00")&amp;$O3865,日報!$L:$L)</f>
        <v>0</v>
      </c>
      <c r="R3865" s="65">
        <f ca="1">SUMIF(日報!$J:$J,$O3865,日報!$L:$L)</f>
        <v>0</v>
      </c>
    </row>
    <row r="3866" spans="15:18" x14ac:dyDescent="0.15">
      <c r="O3866" s="7" t="str">
        <f>"REQ"&amp;TEXT([2]RequestList!$A3867,"0000")</f>
        <v>REQ0000</v>
      </c>
      <c r="P3866" s="7">
        <f>[2]RequestList!$J3867</f>
        <v>0</v>
      </c>
      <c r="Q3866" s="65">
        <f>SUMIF(日報!$R:$R,TEXT(YEAR($Q$2),"0000")&amp;TEXT(MONTH($Q$2),"00")&amp;$O3866,日報!$L:$L)</f>
        <v>0</v>
      </c>
      <c r="R3866" s="65">
        <f ca="1">SUMIF(日報!$J:$J,$O3866,日報!$L:$L)</f>
        <v>0</v>
      </c>
    </row>
    <row r="3867" spans="15:18" x14ac:dyDescent="0.15">
      <c r="O3867" s="7" t="str">
        <f>"REQ"&amp;TEXT([2]RequestList!$A3868,"0000")</f>
        <v>REQ0000</v>
      </c>
      <c r="P3867" s="7">
        <f>[2]RequestList!$J3868</f>
        <v>0</v>
      </c>
      <c r="Q3867" s="65">
        <f>SUMIF(日報!$R:$R,TEXT(YEAR($Q$2),"0000")&amp;TEXT(MONTH($Q$2),"00")&amp;$O3867,日報!$L:$L)</f>
        <v>0</v>
      </c>
      <c r="R3867" s="65">
        <f ca="1">SUMIF(日報!$J:$J,$O3867,日報!$L:$L)</f>
        <v>0</v>
      </c>
    </row>
    <row r="3868" spans="15:18" x14ac:dyDescent="0.15">
      <c r="O3868" s="7" t="str">
        <f>"REQ"&amp;TEXT([2]RequestList!$A3869,"0000")</f>
        <v>REQ0000</v>
      </c>
      <c r="P3868" s="7">
        <f>[2]RequestList!$J3869</f>
        <v>0</v>
      </c>
      <c r="Q3868" s="65">
        <f>SUMIF(日報!$R:$R,TEXT(YEAR($Q$2),"0000")&amp;TEXT(MONTH($Q$2),"00")&amp;$O3868,日報!$L:$L)</f>
        <v>0</v>
      </c>
      <c r="R3868" s="65">
        <f ca="1">SUMIF(日報!$J:$J,$O3868,日報!$L:$L)</f>
        <v>0</v>
      </c>
    </row>
    <row r="3869" spans="15:18" x14ac:dyDescent="0.15">
      <c r="O3869" s="7" t="str">
        <f>"REQ"&amp;TEXT([2]RequestList!$A3870,"0000")</f>
        <v>REQ0000</v>
      </c>
      <c r="P3869" s="7">
        <f>[2]RequestList!$J3870</f>
        <v>0</v>
      </c>
      <c r="Q3869" s="65">
        <f>SUMIF(日報!$R:$R,TEXT(YEAR($Q$2),"0000")&amp;TEXT(MONTH($Q$2),"00")&amp;$O3869,日報!$L:$L)</f>
        <v>0</v>
      </c>
      <c r="R3869" s="65">
        <f ca="1">SUMIF(日報!$J:$J,$O3869,日報!$L:$L)</f>
        <v>0</v>
      </c>
    </row>
    <row r="3870" spans="15:18" x14ac:dyDescent="0.15">
      <c r="O3870" s="7" t="str">
        <f>"REQ"&amp;TEXT([2]RequestList!$A3871,"0000")</f>
        <v>REQ0000</v>
      </c>
      <c r="P3870" s="7">
        <f>[2]RequestList!$J3871</f>
        <v>0</v>
      </c>
      <c r="Q3870" s="65">
        <f>SUMIF(日報!$R:$R,TEXT(YEAR($Q$2),"0000")&amp;TEXT(MONTH($Q$2),"00")&amp;$O3870,日報!$L:$L)</f>
        <v>0</v>
      </c>
      <c r="R3870" s="65">
        <f ca="1">SUMIF(日報!$J:$J,$O3870,日報!$L:$L)</f>
        <v>0</v>
      </c>
    </row>
    <row r="3871" spans="15:18" x14ac:dyDescent="0.15">
      <c r="O3871" s="7" t="str">
        <f>"REQ"&amp;TEXT([2]RequestList!$A3872,"0000")</f>
        <v>REQ0000</v>
      </c>
      <c r="P3871" s="7">
        <f>[2]RequestList!$J3872</f>
        <v>0</v>
      </c>
      <c r="Q3871" s="65">
        <f>SUMIF(日報!$R:$R,TEXT(YEAR($Q$2),"0000")&amp;TEXT(MONTH($Q$2),"00")&amp;$O3871,日報!$L:$L)</f>
        <v>0</v>
      </c>
      <c r="R3871" s="65">
        <f ca="1">SUMIF(日報!$J:$J,$O3871,日報!$L:$L)</f>
        <v>0</v>
      </c>
    </row>
    <row r="3872" spans="15:18" x14ac:dyDescent="0.15">
      <c r="O3872" s="7" t="str">
        <f>"REQ"&amp;TEXT([2]RequestList!$A3873,"0000")</f>
        <v>REQ0000</v>
      </c>
      <c r="P3872" s="7">
        <f>[2]RequestList!$J3873</f>
        <v>0</v>
      </c>
      <c r="Q3872" s="65">
        <f>SUMIF(日報!$R:$R,TEXT(YEAR($Q$2),"0000")&amp;TEXT(MONTH($Q$2),"00")&amp;$O3872,日報!$L:$L)</f>
        <v>0</v>
      </c>
      <c r="R3872" s="65">
        <f ca="1">SUMIF(日報!$J:$J,$O3872,日報!$L:$L)</f>
        <v>0</v>
      </c>
    </row>
    <row r="3873" spans="15:18" x14ac:dyDescent="0.15">
      <c r="O3873" s="7" t="str">
        <f>"REQ"&amp;TEXT([2]RequestList!$A3874,"0000")</f>
        <v>REQ0000</v>
      </c>
      <c r="P3873" s="7">
        <f>[2]RequestList!$J3874</f>
        <v>0</v>
      </c>
      <c r="Q3873" s="65">
        <f>SUMIF(日報!$R:$R,TEXT(YEAR($Q$2),"0000")&amp;TEXT(MONTH($Q$2),"00")&amp;$O3873,日報!$L:$L)</f>
        <v>0</v>
      </c>
      <c r="R3873" s="65">
        <f ca="1">SUMIF(日報!$J:$J,$O3873,日報!$L:$L)</f>
        <v>0</v>
      </c>
    </row>
    <row r="3874" spans="15:18" x14ac:dyDescent="0.15">
      <c r="O3874" s="7" t="str">
        <f>"REQ"&amp;TEXT([2]RequestList!$A3875,"0000")</f>
        <v>REQ0000</v>
      </c>
      <c r="P3874" s="7">
        <f>[2]RequestList!$J3875</f>
        <v>0</v>
      </c>
      <c r="Q3874" s="65">
        <f>SUMIF(日報!$R:$R,TEXT(YEAR($Q$2),"0000")&amp;TEXT(MONTH($Q$2),"00")&amp;$O3874,日報!$L:$L)</f>
        <v>0</v>
      </c>
      <c r="R3874" s="65">
        <f ca="1">SUMIF(日報!$J:$J,$O3874,日報!$L:$L)</f>
        <v>0</v>
      </c>
    </row>
    <row r="3875" spans="15:18" x14ac:dyDescent="0.15">
      <c r="O3875" s="7" t="str">
        <f>"REQ"&amp;TEXT([2]RequestList!$A3876,"0000")</f>
        <v>REQ0000</v>
      </c>
      <c r="P3875" s="7">
        <f>[2]RequestList!$J3876</f>
        <v>0</v>
      </c>
      <c r="Q3875" s="65">
        <f>SUMIF(日報!$R:$R,TEXT(YEAR($Q$2),"0000")&amp;TEXT(MONTH($Q$2),"00")&amp;$O3875,日報!$L:$L)</f>
        <v>0</v>
      </c>
      <c r="R3875" s="65">
        <f ca="1">SUMIF(日報!$J:$J,$O3875,日報!$L:$L)</f>
        <v>0</v>
      </c>
    </row>
    <row r="3876" spans="15:18" x14ac:dyDescent="0.15">
      <c r="O3876" s="7" t="str">
        <f>"REQ"&amp;TEXT([2]RequestList!$A3877,"0000")</f>
        <v>REQ0000</v>
      </c>
      <c r="P3876" s="7">
        <f>[2]RequestList!$J3877</f>
        <v>0</v>
      </c>
      <c r="Q3876" s="65">
        <f>SUMIF(日報!$R:$R,TEXT(YEAR($Q$2),"0000")&amp;TEXT(MONTH($Q$2),"00")&amp;$O3876,日報!$L:$L)</f>
        <v>0</v>
      </c>
      <c r="R3876" s="65">
        <f ca="1">SUMIF(日報!$J:$J,$O3876,日報!$L:$L)</f>
        <v>0</v>
      </c>
    </row>
    <row r="3877" spans="15:18" x14ac:dyDescent="0.15">
      <c r="O3877" s="7" t="str">
        <f>"REQ"&amp;TEXT([2]RequestList!$A3878,"0000")</f>
        <v>REQ0000</v>
      </c>
      <c r="P3877" s="7">
        <f>[2]RequestList!$J3878</f>
        <v>0</v>
      </c>
      <c r="Q3877" s="65">
        <f>SUMIF(日報!$R:$R,TEXT(YEAR($Q$2),"0000")&amp;TEXT(MONTH($Q$2),"00")&amp;$O3877,日報!$L:$L)</f>
        <v>0</v>
      </c>
      <c r="R3877" s="65">
        <f ca="1">SUMIF(日報!$J:$J,$O3877,日報!$L:$L)</f>
        <v>0</v>
      </c>
    </row>
    <row r="3878" spans="15:18" x14ac:dyDescent="0.15">
      <c r="O3878" s="7" t="str">
        <f>"REQ"&amp;TEXT([2]RequestList!$A3879,"0000")</f>
        <v>REQ0000</v>
      </c>
      <c r="P3878" s="7">
        <f>[2]RequestList!$J3879</f>
        <v>0</v>
      </c>
      <c r="Q3878" s="65">
        <f>SUMIF(日報!$R:$R,TEXT(YEAR($Q$2),"0000")&amp;TEXT(MONTH($Q$2),"00")&amp;$O3878,日報!$L:$L)</f>
        <v>0</v>
      </c>
      <c r="R3878" s="65">
        <f ca="1">SUMIF(日報!$J:$J,$O3878,日報!$L:$L)</f>
        <v>0</v>
      </c>
    </row>
    <row r="3879" spans="15:18" x14ac:dyDescent="0.15">
      <c r="O3879" s="7" t="str">
        <f>"REQ"&amp;TEXT([2]RequestList!$A3880,"0000")</f>
        <v>REQ0000</v>
      </c>
      <c r="P3879" s="7">
        <f>[2]RequestList!$J3880</f>
        <v>0</v>
      </c>
      <c r="Q3879" s="65">
        <f>SUMIF(日報!$R:$R,TEXT(YEAR($Q$2),"0000")&amp;TEXT(MONTH($Q$2),"00")&amp;$O3879,日報!$L:$L)</f>
        <v>0</v>
      </c>
      <c r="R3879" s="65">
        <f ca="1">SUMIF(日報!$J:$J,$O3879,日報!$L:$L)</f>
        <v>0</v>
      </c>
    </row>
    <row r="3880" spans="15:18" x14ac:dyDescent="0.15">
      <c r="O3880" s="7" t="str">
        <f>"REQ"&amp;TEXT([2]RequestList!$A3881,"0000")</f>
        <v>REQ0000</v>
      </c>
      <c r="P3880" s="7">
        <f>[2]RequestList!$J3881</f>
        <v>0</v>
      </c>
      <c r="Q3880" s="65">
        <f>SUMIF(日報!$R:$R,TEXT(YEAR($Q$2),"0000")&amp;TEXT(MONTH($Q$2),"00")&amp;$O3880,日報!$L:$L)</f>
        <v>0</v>
      </c>
      <c r="R3880" s="65">
        <f ca="1">SUMIF(日報!$J:$J,$O3880,日報!$L:$L)</f>
        <v>0</v>
      </c>
    </row>
    <row r="3881" spans="15:18" x14ac:dyDescent="0.15">
      <c r="O3881" s="7" t="str">
        <f>"REQ"&amp;TEXT([2]RequestList!$A3882,"0000")</f>
        <v>REQ0000</v>
      </c>
      <c r="P3881" s="7">
        <f>[2]RequestList!$J3882</f>
        <v>0</v>
      </c>
      <c r="Q3881" s="65">
        <f>SUMIF(日報!$R:$R,TEXT(YEAR($Q$2),"0000")&amp;TEXT(MONTH($Q$2),"00")&amp;$O3881,日報!$L:$L)</f>
        <v>0</v>
      </c>
      <c r="R3881" s="65">
        <f ca="1">SUMIF(日報!$J:$J,$O3881,日報!$L:$L)</f>
        <v>0</v>
      </c>
    </row>
    <row r="3882" spans="15:18" x14ac:dyDescent="0.15">
      <c r="O3882" s="7" t="str">
        <f>"REQ"&amp;TEXT([2]RequestList!$A3883,"0000")</f>
        <v>REQ0000</v>
      </c>
      <c r="P3882" s="7">
        <f>[2]RequestList!$J3883</f>
        <v>0</v>
      </c>
      <c r="Q3882" s="65">
        <f>SUMIF(日報!$R:$R,TEXT(YEAR($Q$2),"0000")&amp;TEXT(MONTH($Q$2),"00")&amp;$O3882,日報!$L:$L)</f>
        <v>0</v>
      </c>
      <c r="R3882" s="65">
        <f ca="1">SUMIF(日報!$J:$J,$O3882,日報!$L:$L)</f>
        <v>0</v>
      </c>
    </row>
    <row r="3883" spans="15:18" x14ac:dyDescent="0.15">
      <c r="O3883" s="7" t="str">
        <f>"REQ"&amp;TEXT([2]RequestList!$A3884,"0000")</f>
        <v>REQ0000</v>
      </c>
      <c r="P3883" s="7">
        <f>[2]RequestList!$J3884</f>
        <v>0</v>
      </c>
      <c r="Q3883" s="65">
        <f>SUMIF(日報!$R:$R,TEXT(YEAR($Q$2),"0000")&amp;TEXT(MONTH($Q$2),"00")&amp;$O3883,日報!$L:$L)</f>
        <v>0</v>
      </c>
      <c r="R3883" s="65">
        <f ca="1">SUMIF(日報!$J:$J,$O3883,日報!$L:$L)</f>
        <v>0</v>
      </c>
    </row>
    <row r="3884" spans="15:18" x14ac:dyDescent="0.15">
      <c r="O3884" s="7" t="str">
        <f>"REQ"&amp;TEXT([2]RequestList!$A3885,"0000")</f>
        <v>REQ0000</v>
      </c>
      <c r="P3884" s="7">
        <f>[2]RequestList!$J3885</f>
        <v>0</v>
      </c>
      <c r="Q3884" s="65">
        <f>SUMIF(日報!$R:$R,TEXT(YEAR($Q$2),"0000")&amp;TEXT(MONTH($Q$2),"00")&amp;$O3884,日報!$L:$L)</f>
        <v>0</v>
      </c>
      <c r="R3884" s="65">
        <f ca="1">SUMIF(日報!$J:$J,$O3884,日報!$L:$L)</f>
        <v>0</v>
      </c>
    </row>
    <row r="3885" spans="15:18" x14ac:dyDescent="0.15">
      <c r="O3885" s="7" t="str">
        <f>"REQ"&amp;TEXT([2]RequestList!$A3886,"0000")</f>
        <v>REQ0000</v>
      </c>
      <c r="P3885" s="7">
        <f>[2]RequestList!$J3886</f>
        <v>0</v>
      </c>
      <c r="Q3885" s="65">
        <f>SUMIF(日報!$R:$R,TEXT(YEAR($Q$2),"0000")&amp;TEXT(MONTH($Q$2),"00")&amp;$O3885,日報!$L:$L)</f>
        <v>0</v>
      </c>
      <c r="R3885" s="65">
        <f ca="1">SUMIF(日報!$J:$J,$O3885,日報!$L:$L)</f>
        <v>0</v>
      </c>
    </row>
    <row r="3886" spans="15:18" x14ac:dyDescent="0.15">
      <c r="O3886" s="7" t="str">
        <f>"REQ"&amp;TEXT([2]RequestList!$A3887,"0000")</f>
        <v>REQ0000</v>
      </c>
      <c r="P3886" s="7">
        <f>[2]RequestList!$J3887</f>
        <v>0</v>
      </c>
      <c r="Q3886" s="65">
        <f>SUMIF(日報!$R:$R,TEXT(YEAR($Q$2),"0000")&amp;TEXT(MONTH($Q$2),"00")&amp;$O3886,日報!$L:$L)</f>
        <v>0</v>
      </c>
      <c r="R3886" s="65">
        <f ca="1">SUMIF(日報!$J:$J,$O3886,日報!$L:$L)</f>
        <v>0</v>
      </c>
    </row>
    <row r="3887" spans="15:18" x14ac:dyDescent="0.15">
      <c r="O3887" s="7" t="str">
        <f>"REQ"&amp;TEXT([2]RequestList!$A3888,"0000")</f>
        <v>REQ0000</v>
      </c>
      <c r="P3887" s="7">
        <f>[2]RequestList!$J3888</f>
        <v>0</v>
      </c>
      <c r="Q3887" s="65">
        <f>SUMIF(日報!$R:$R,TEXT(YEAR($Q$2),"0000")&amp;TEXT(MONTH($Q$2),"00")&amp;$O3887,日報!$L:$L)</f>
        <v>0</v>
      </c>
      <c r="R3887" s="65">
        <f ca="1">SUMIF(日報!$J:$J,$O3887,日報!$L:$L)</f>
        <v>0</v>
      </c>
    </row>
    <row r="3888" spans="15:18" x14ac:dyDescent="0.15">
      <c r="O3888" s="7" t="str">
        <f>"REQ"&amp;TEXT([2]RequestList!$A3889,"0000")</f>
        <v>REQ0000</v>
      </c>
      <c r="P3888" s="7">
        <f>[2]RequestList!$J3889</f>
        <v>0</v>
      </c>
      <c r="Q3888" s="65">
        <f>SUMIF(日報!$R:$R,TEXT(YEAR($Q$2),"0000")&amp;TEXT(MONTH($Q$2),"00")&amp;$O3888,日報!$L:$L)</f>
        <v>0</v>
      </c>
      <c r="R3888" s="65">
        <f ca="1">SUMIF(日報!$J:$J,$O3888,日報!$L:$L)</f>
        <v>0</v>
      </c>
    </row>
    <row r="3889" spans="15:18" x14ac:dyDescent="0.15">
      <c r="O3889" s="7" t="str">
        <f>"REQ"&amp;TEXT([2]RequestList!$A3890,"0000")</f>
        <v>REQ0000</v>
      </c>
      <c r="P3889" s="7">
        <f>[2]RequestList!$J3890</f>
        <v>0</v>
      </c>
      <c r="Q3889" s="65">
        <f>SUMIF(日報!$R:$R,TEXT(YEAR($Q$2),"0000")&amp;TEXT(MONTH($Q$2),"00")&amp;$O3889,日報!$L:$L)</f>
        <v>0</v>
      </c>
      <c r="R3889" s="65">
        <f ca="1">SUMIF(日報!$J:$J,$O3889,日報!$L:$L)</f>
        <v>0</v>
      </c>
    </row>
    <row r="3890" spans="15:18" x14ac:dyDescent="0.15">
      <c r="O3890" s="7" t="str">
        <f>"REQ"&amp;TEXT([2]RequestList!$A3891,"0000")</f>
        <v>REQ0000</v>
      </c>
      <c r="P3890" s="7">
        <f>[2]RequestList!$J3891</f>
        <v>0</v>
      </c>
      <c r="Q3890" s="65">
        <f>SUMIF(日報!$R:$R,TEXT(YEAR($Q$2),"0000")&amp;TEXT(MONTH($Q$2),"00")&amp;$O3890,日報!$L:$L)</f>
        <v>0</v>
      </c>
      <c r="R3890" s="65">
        <f ca="1">SUMIF(日報!$J:$J,$O3890,日報!$L:$L)</f>
        <v>0</v>
      </c>
    </row>
    <row r="3891" spans="15:18" x14ac:dyDescent="0.15">
      <c r="O3891" s="7" t="str">
        <f>"REQ"&amp;TEXT([2]RequestList!$A3892,"0000")</f>
        <v>REQ0000</v>
      </c>
      <c r="P3891" s="7">
        <f>[2]RequestList!$J3892</f>
        <v>0</v>
      </c>
      <c r="Q3891" s="65">
        <f>SUMIF(日報!$R:$R,TEXT(YEAR($Q$2),"0000")&amp;TEXT(MONTH($Q$2),"00")&amp;$O3891,日報!$L:$L)</f>
        <v>0</v>
      </c>
      <c r="R3891" s="65">
        <f ca="1">SUMIF(日報!$J:$J,$O3891,日報!$L:$L)</f>
        <v>0</v>
      </c>
    </row>
    <row r="3892" spans="15:18" x14ac:dyDescent="0.15">
      <c r="O3892" s="7" t="str">
        <f>"REQ"&amp;TEXT([2]RequestList!$A3893,"0000")</f>
        <v>REQ0000</v>
      </c>
      <c r="P3892" s="7">
        <f>[2]RequestList!$J3893</f>
        <v>0</v>
      </c>
      <c r="Q3892" s="65">
        <f>SUMIF(日報!$R:$R,TEXT(YEAR($Q$2),"0000")&amp;TEXT(MONTH($Q$2),"00")&amp;$O3892,日報!$L:$L)</f>
        <v>0</v>
      </c>
      <c r="R3892" s="65">
        <f ca="1">SUMIF(日報!$J:$J,$O3892,日報!$L:$L)</f>
        <v>0</v>
      </c>
    </row>
    <row r="3893" spans="15:18" x14ac:dyDescent="0.15">
      <c r="O3893" s="7" t="str">
        <f>"REQ"&amp;TEXT([2]RequestList!$A3894,"0000")</f>
        <v>REQ0000</v>
      </c>
      <c r="P3893" s="7">
        <f>[2]RequestList!$J3894</f>
        <v>0</v>
      </c>
      <c r="Q3893" s="65">
        <f>SUMIF(日報!$R:$R,TEXT(YEAR($Q$2),"0000")&amp;TEXT(MONTH($Q$2),"00")&amp;$O3893,日報!$L:$L)</f>
        <v>0</v>
      </c>
      <c r="R3893" s="65">
        <f ca="1">SUMIF(日報!$J:$J,$O3893,日報!$L:$L)</f>
        <v>0</v>
      </c>
    </row>
    <row r="3894" spans="15:18" x14ac:dyDescent="0.15">
      <c r="O3894" s="7" t="str">
        <f>"REQ"&amp;TEXT([2]RequestList!$A3895,"0000")</f>
        <v>REQ0000</v>
      </c>
      <c r="P3894" s="7">
        <f>[2]RequestList!$J3895</f>
        <v>0</v>
      </c>
      <c r="Q3894" s="65">
        <f>SUMIF(日報!$R:$R,TEXT(YEAR($Q$2),"0000")&amp;TEXT(MONTH($Q$2),"00")&amp;$O3894,日報!$L:$L)</f>
        <v>0</v>
      </c>
      <c r="R3894" s="65">
        <f ca="1">SUMIF(日報!$J:$J,$O3894,日報!$L:$L)</f>
        <v>0</v>
      </c>
    </row>
    <row r="3895" spans="15:18" x14ac:dyDescent="0.15">
      <c r="O3895" s="7" t="str">
        <f>"REQ"&amp;TEXT([2]RequestList!$A3896,"0000")</f>
        <v>REQ0000</v>
      </c>
      <c r="P3895" s="7">
        <f>[2]RequestList!$J3896</f>
        <v>0</v>
      </c>
      <c r="Q3895" s="65">
        <f>SUMIF(日報!$R:$R,TEXT(YEAR($Q$2),"0000")&amp;TEXT(MONTH($Q$2),"00")&amp;$O3895,日報!$L:$L)</f>
        <v>0</v>
      </c>
      <c r="R3895" s="65">
        <f ca="1">SUMIF(日報!$J:$J,$O3895,日報!$L:$L)</f>
        <v>0</v>
      </c>
    </row>
    <row r="3896" spans="15:18" x14ac:dyDescent="0.15">
      <c r="O3896" s="7" t="str">
        <f>"REQ"&amp;TEXT([2]RequestList!$A3897,"0000")</f>
        <v>REQ0000</v>
      </c>
      <c r="P3896" s="7">
        <f>[2]RequestList!$J3897</f>
        <v>0</v>
      </c>
      <c r="Q3896" s="65">
        <f>SUMIF(日報!$R:$R,TEXT(YEAR($Q$2),"0000")&amp;TEXT(MONTH($Q$2),"00")&amp;$O3896,日報!$L:$L)</f>
        <v>0</v>
      </c>
      <c r="R3896" s="65">
        <f ca="1">SUMIF(日報!$J:$J,$O3896,日報!$L:$L)</f>
        <v>0</v>
      </c>
    </row>
    <row r="3897" spans="15:18" x14ac:dyDescent="0.15">
      <c r="O3897" s="7" t="str">
        <f>"REQ"&amp;TEXT([2]RequestList!$A3898,"0000")</f>
        <v>REQ0000</v>
      </c>
      <c r="P3897" s="7">
        <f>[2]RequestList!$J3898</f>
        <v>0</v>
      </c>
      <c r="Q3897" s="65">
        <f>SUMIF(日報!$R:$R,TEXT(YEAR($Q$2),"0000")&amp;TEXT(MONTH($Q$2),"00")&amp;$O3897,日報!$L:$L)</f>
        <v>0</v>
      </c>
      <c r="R3897" s="65">
        <f ca="1">SUMIF(日報!$J:$J,$O3897,日報!$L:$L)</f>
        <v>0</v>
      </c>
    </row>
    <row r="3898" spans="15:18" x14ac:dyDescent="0.15">
      <c r="O3898" s="7" t="str">
        <f>"REQ"&amp;TEXT([2]RequestList!$A3899,"0000")</f>
        <v>REQ0000</v>
      </c>
      <c r="P3898" s="7">
        <f>[2]RequestList!$J3899</f>
        <v>0</v>
      </c>
      <c r="Q3898" s="65">
        <f>SUMIF(日報!$R:$R,TEXT(YEAR($Q$2),"0000")&amp;TEXT(MONTH($Q$2),"00")&amp;$O3898,日報!$L:$L)</f>
        <v>0</v>
      </c>
      <c r="R3898" s="65">
        <f ca="1">SUMIF(日報!$J:$J,$O3898,日報!$L:$L)</f>
        <v>0</v>
      </c>
    </row>
    <row r="3899" spans="15:18" x14ac:dyDescent="0.15">
      <c r="O3899" s="7" t="str">
        <f>"REQ"&amp;TEXT([2]RequestList!$A3900,"0000")</f>
        <v>REQ0000</v>
      </c>
      <c r="P3899" s="7">
        <f>[2]RequestList!$J3900</f>
        <v>0</v>
      </c>
      <c r="Q3899" s="65">
        <f>SUMIF(日報!$R:$R,TEXT(YEAR($Q$2),"0000")&amp;TEXT(MONTH($Q$2),"00")&amp;$O3899,日報!$L:$L)</f>
        <v>0</v>
      </c>
      <c r="R3899" s="65">
        <f ca="1">SUMIF(日報!$J:$J,$O3899,日報!$L:$L)</f>
        <v>0</v>
      </c>
    </row>
    <row r="3900" spans="15:18" x14ac:dyDescent="0.15">
      <c r="O3900" s="7" t="str">
        <f>"REQ"&amp;TEXT([2]RequestList!$A3901,"0000")</f>
        <v>REQ0000</v>
      </c>
      <c r="P3900" s="7">
        <f>[2]RequestList!$J3901</f>
        <v>0</v>
      </c>
      <c r="Q3900" s="65">
        <f>SUMIF(日報!$R:$R,TEXT(YEAR($Q$2),"0000")&amp;TEXT(MONTH($Q$2),"00")&amp;$O3900,日報!$L:$L)</f>
        <v>0</v>
      </c>
      <c r="R3900" s="65">
        <f ca="1">SUMIF(日報!$J:$J,$O3900,日報!$L:$L)</f>
        <v>0</v>
      </c>
    </row>
    <row r="3901" spans="15:18" x14ac:dyDescent="0.15">
      <c r="O3901" s="7" t="str">
        <f>"REQ"&amp;TEXT([2]RequestList!$A3902,"0000")</f>
        <v>REQ0000</v>
      </c>
      <c r="P3901" s="7">
        <f>[2]RequestList!$J3902</f>
        <v>0</v>
      </c>
      <c r="Q3901" s="65">
        <f>SUMIF(日報!$R:$R,TEXT(YEAR($Q$2),"0000")&amp;TEXT(MONTH($Q$2),"00")&amp;$O3901,日報!$L:$L)</f>
        <v>0</v>
      </c>
      <c r="R3901" s="65">
        <f ca="1">SUMIF(日報!$J:$J,$O3901,日報!$L:$L)</f>
        <v>0</v>
      </c>
    </row>
    <row r="3902" spans="15:18" x14ac:dyDescent="0.15">
      <c r="O3902" s="7" t="str">
        <f>"REQ"&amp;TEXT([2]RequestList!$A3903,"0000")</f>
        <v>REQ0000</v>
      </c>
      <c r="P3902" s="7">
        <f>[2]RequestList!$J3903</f>
        <v>0</v>
      </c>
      <c r="Q3902" s="65">
        <f>SUMIF(日報!$R:$R,TEXT(YEAR($Q$2),"0000")&amp;TEXT(MONTH($Q$2),"00")&amp;$O3902,日報!$L:$L)</f>
        <v>0</v>
      </c>
      <c r="R3902" s="65">
        <f ca="1">SUMIF(日報!$J:$J,$O3902,日報!$L:$L)</f>
        <v>0</v>
      </c>
    </row>
    <row r="3903" spans="15:18" x14ac:dyDescent="0.15">
      <c r="O3903" s="7" t="str">
        <f>"REQ"&amp;TEXT([2]RequestList!$A3904,"0000")</f>
        <v>REQ0000</v>
      </c>
      <c r="P3903" s="7">
        <f>[2]RequestList!$J3904</f>
        <v>0</v>
      </c>
      <c r="Q3903" s="65">
        <f>SUMIF(日報!$R:$R,TEXT(YEAR($Q$2),"0000")&amp;TEXT(MONTH($Q$2),"00")&amp;$O3903,日報!$L:$L)</f>
        <v>0</v>
      </c>
      <c r="R3903" s="65">
        <f ca="1">SUMIF(日報!$J:$J,$O3903,日報!$L:$L)</f>
        <v>0</v>
      </c>
    </row>
    <row r="3904" spans="15:18" x14ac:dyDescent="0.15">
      <c r="O3904" s="7" t="str">
        <f>"REQ"&amp;TEXT([2]RequestList!$A3905,"0000")</f>
        <v>REQ0000</v>
      </c>
      <c r="P3904" s="7">
        <f>[2]RequestList!$J3905</f>
        <v>0</v>
      </c>
      <c r="Q3904" s="65">
        <f>SUMIF(日報!$R:$R,TEXT(YEAR($Q$2),"0000")&amp;TEXT(MONTH($Q$2),"00")&amp;$O3904,日報!$L:$L)</f>
        <v>0</v>
      </c>
      <c r="R3904" s="65">
        <f ca="1">SUMIF(日報!$J:$J,$O3904,日報!$L:$L)</f>
        <v>0</v>
      </c>
    </row>
    <row r="3905" spans="15:18" x14ac:dyDescent="0.15">
      <c r="O3905" s="7" t="str">
        <f>"REQ"&amp;TEXT([2]RequestList!$A3906,"0000")</f>
        <v>REQ0000</v>
      </c>
      <c r="P3905" s="7">
        <f>[2]RequestList!$J3906</f>
        <v>0</v>
      </c>
      <c r="Q3905" s="65">
        <f>SUMIF(日報!$R:$R,TEXT(YEAR($Q$2),"0000")&amp;TEXT(MONTH($Q$2),"00")&amp;$O3905,日報!$L:$L)</f>
        <v>0</v>
      </c>
      <c r="R3905" s="65">
        <f ca="1">SUMIF(日報!$J:$J,$O3905,日報!$L:$L)</f>
        <v>0</v>
      </c>
    </row>
    <row r="3906" spans="15:18" x14ac:dyDescent="0.15">
      <c r="O3906" s="7" t="str">
        <f>"REQ"&amp;TEXT([2]RequestList!$A3907,"0000")</f>
        <v>REQ0000</v>
      </c>
      <c r="P3906" s="7">
        <f>[2]RequestList!$J3907</f>
        <v>0</v>
      </c>
      <c r="Q3906" s="65">
        <f>SUMIF(日報!$R:$R,TEXT(YEAR($Q$2),"0000")&amp;TEXT(MONTH($Q$2),"00")&amp;$O3906,日報!$L:$L)</f>
        <v>0</v>
      </c>
      <c r="R3906" s="65">
        <f ca="1">SUMIF(日報!$J:$J,$O3906,日報!$L:$L)</f>
        <v>0</v>
      </c>
    </row>
    <row r="3907" spans="15:18" x14ac:dyDescent="0.15">
      <c r="O3907" s="7" t="str">
        <f>"REQ"&amp;TEXT([2]RequestList!$A3908,"0000")</f>
        <v>REQ0000</v>
      </c>
      <c r="P3907" s="7">
        <f>[2]RequestList!$J3908</f>
        <v>0</v>
      </c>
      <c r="Q3907" s="65">
        <f>SUMIF(日報!$R:$R,TEXT(YEAR($Q$2),"0000")&amp;TEXT(MONTH($Q$2),"00")&amp;$O3907,日報!$L:$L)</f>
        <v>0</v>
      </c>
      <c r="R3907" s="65">
        <f ca="1">SUMIF(日報!$J:$J,$O3907,日報!$L:$L)</f>
        <v>0</v>
      </c>
    </row>
    <row r="3908" spans="15:18" x14ac:dyDescent="0.15">
      <c r="O3908" s="7" t="str">
        <f>"REQ"&amp;TEXT([2]RequestList!$A3909,"0000")</f>
        <v>REQ0000</v>
      </c>
      <c r="P3908" s="7">
        <f>[2]RequestList!$J3909</f>
        <v>0</v>
      </c>
      <c r="Q3908" s="65">
        <f>SUMIF(日報!$R:$R,TEXT(YEAR($Q$2),"0000")&amp;TEXT(MONTH($Q$2),"00")&amp;$O3908,日報!$L:$L)</f>
        <v>0</v>
      </c>
      <c r="R3908" s="65">
        <f ca="1">SUMIF(日報!$J:$J,$O3908,日報!$L:$L)</f>
        <v>0</v>
      </c>
    </row>
    <row r="3909" spans="15:18" x14ac:dyDescent="0.15">
      <c r="O3909" s="7" t="str">
        <f>"REQ"&amp;TEXT([2]RequestList!$A3910,"0000")</f>
        <v>REQ0000</v>
      </c>
      <c r="P3909" s="7">
        <f>[2]RequestList!$J3910</f>
        <v>0</v>
      </c>
      <c r="Q3909" s="65">
        <f>SUMIF(日報!$R:$R,TEXT(YEAR($Q$2),"0000")&amp;TEXT(MONTH($Q$2),"00")&amp;$O3909,日報!$L:$L)</f>
        <v>0</v>
      </c>
      <c r="R3909" s="65">
        <f ca="1">SUMIF(日報!$J:$J,$O3909,日報!$L:$L)</f>
        <v>0</v>
      </c>
    </row>
    <row r="3910" spans="15:18" x14ac:dyDescent="0.15">
      <c r="O3910" s="7" t="str">
        <f>"REQ"&amp;TEXT([2]RequestList!$A3911,"0000")</f>
        <v>REQ0000</v>
      </c>
      <c r="P3910" s="7">
        <f>[2]RequestList!$J3911</f>
        <v>0</v>
      </c>
      <c r="Q3910" s="65">
        <f>SUMIF(日報!$R:$R,TEXT(YEAR($Q$2),"0000")&amp;TEXT(MONTH($Q$2),"00")&amp;$O3910,日報!$L:$L)</f>
        <v>0</v>
      </c>
      <c r="R3910" s="65">
        <f ca="1">SUMIF(日報!$J:$J,$O3910,日報!$L:$L)</f>
        <v>0</v>
      </c>
    </row>
    <row r="3911" spans="15:18" x14ac:dyDescent="0.15">
      <c r="O3911" s="7" t="str">
        <f>"REQ"&amp;TEXT([2]RequestList!$A3912,"0000")</f>
        <v>REQ0000</v>
      </c>
      <c r="P3911" s="7">
        <f>[2]RequestList!$J3912</f>
        <v>0</v>
      </c>
      <c r="Q3911" s="65">
        <f>SUMIF(日報!$R:$R,TEXT(YEAR($Q$2),"0000")&amp;TEXT(MONTH($Q$2),"00")&amp;$O3911,日報!$L:$L)</f>
        <v>0</v>
      </c>
      <c r="R3911" s="65">
        <f ca="1">SUMIF(日報!$J:$J,$O3911,日報!$L:$L)</f>
        <v>0</v>
      </c>
    </row>
    <row r="3912" spans="15:18" x14ac:dyDescent="0.15">
      <c r="O3912" s="7" t="str">
        <f>"REQ"&amp;TEXT([2]RequestList!$A3913,"0000")</f>
        <v>REQ0000</v>
      </c>
      <c r="P3912" s="7">
        <f>[2]RequestList!$J3913</f>
        <v>0</v>
      </c>
      <c r="Q3912" s="65">
        <f>SUMIF(日報!$R:$R,TEXT(YEAR($Q$2),"0000")&amp;TEXT(MONTH($Q$2),"00")&amp;$O3912,日報!$L:$L)</f>
        <v>0</v>
      </c>
      <c r="R3912" s="65">
        <f ca="1">SUMIF(日報!$J:$J,$O3912,日報!$L:$L)</f>
        <v>0</v>
      </c>
    </row>
    <row r="3913" spans="15:18" x14ac:dyDescent="0.15">
      <c r="O3913" s="7" t="str">
        <f>"REQ"&amp;TEXT([2]RequestList!$A3914,"0000")</f>
        <v>REQ0000</v>
      </c>
      <c r="P3913" s="7">
        <f>[2]RequestList!$J3914</f>
        <v>0</v>
      </c>
      <c r="Q3913" s="65">
        <f>SUMIF(日報!$R:$R,TEXT(YEAR($Q$2),"0000")&amp;TEXT(MONTH($Q$2),"00")&amp;$O3913,日報!$L:$L)</f>
        <v>0</v>
      </c>
      <c r="R3913" s="65">
        <f ca="1">SUMIF(日報!$J:$J,$O3913,日報!$L:$L)</f>
        <v>0</v>
      </c>
    </row>
    <row r="3914" spans="15:18" x14ac:dyDescent="0.15">
      <c r="O3914" s="7" t="str">
        <f>"REQ"&amp;TEXT([2]RequestList!$A3915,"0000")</f>
        <v>REQ0000</v>
      </c>
      <c r="P3914" s="7">
        <f>[2]RequestList!$J3915</f>
        <v>0</v>
      </c>
      <c r="Q3914" s="65">
        <f>SUMIF(日報!$R:$R,TEXT(YEAR($Q$2),"0000")&amp;TEXT(MONTH($Q$2),"00")&amp;$O3914,日報!$L:$L)</f>
        <v>0</v>
      </c>
      <c r="R3914" s="65">
        <f ca="1">SUMIF(日報!$J:$J,$O3914,日報!$L:$L)</f>
        <v>0</v>
      </c>
    </row>
    <row r="3915" spans="15:18" x14ac:dyDescent="0.15">
      <c r="O3915" s="7" t="str">
        <f>"REQ"&amp;TEXT([2]RequestList!$A3916,"0000")</f>
        <v>REQ0000</v>
      </c>
      <c r="P3915" s="7">
        <f>[2]RequestList!$J3916</f>
        <v>0</v>
      </c>
      <c r="Q3915" s="65">
        <f>SUMIF(日報!$R:$R,TEXT(YEAR($Q$2),"0000")&amp;TEXT(MONTH($Q$2),"00")&amp;$O3915,日報!$L:$L)</f>
        <v>0</v>
      </c>
      <c r="R3915" s="65">
        <f ca="1">SUMIF(日報!$J:$J,$O3915,日報!$L:$L)</f>
        <v>0</v>
      </c>
    </row>
    <row r="3916" spans="15:18" x14ac:dyDescent="0.15">
      <c r="O3916" s="7" t="str">
        <f>"REQ"&amp;TEXT([2]RequestList!$A3917,"0000")</f>
        <v>REQ0000</v>
      </c>
      <c r="P3916" s="7">
        <f>[2]RequestList!$J3917</f>
        <v>0</v>
      </c>
      <c r="Q3916" s="65">
        <f>SUMIF(日報!$R:$R,TEXT(YEAR($Q$2),"0000")&amp;TEXT(MONTH($Q$2),"00")&amp;$O3916,日報!$L:$L)</f>
        <v>0</v>
      </c>
      <c r="R3916" s="65">
        <f ca="1">SUMIF(日報!$J:$J,$O3916,日報!$L:$L)</f>
        <v>0</v>
      </c>
    </row>
    <row r="3917" spans="15:18" x14ac:dyDescent="0.15">
      <c r="O3917" s="7" t="str">
        <f>"REQ"&amp;TEXT([2]RequestList!$A3918,"0000")</f>
        <v>REQ0000</v>
      </c>
      <c r="P3917" s="7">
        <f>[2]RequestList!$J3918</f>
        <v>0</v>
      </c>
      <c r="Q3917" s="65">
        <f>SUMIF(日報!$R:$R,TEXT(YEAR($Q$2),"0000")&amp;TEXT(MONTH($Q$2),"00")&amp;$O3917,日報!$L:$L)</f>
        <v>0</v>
      </c>
      <c r="R3917" s="65">
        <f ca="1">SUMIF(日報!$J:$J,$O3917,日報!$L:$L)</f>
        <v>0</v>
      </c>
    </row>
    <row r="3918" spans="15:18" x14ac:dyDescent="0.15">
      <c r="O3918" s="7" t="str">
        <f>"REQ"&amp;TEXT([2]RequestList!$A3919,"0000")</f>
        <v>REQ0000</v>
      </c>
      <c r="P3918" s="7">
        <f>[2]RequestList!$J3919</f>
        <v>0</v>
      </c>
      <c r="Q3918" s="65">
        <f>SUMIF(日報!$R:$R,TEXT(YEAR($Q$2),"0000")&amp;TEXT(MONTH($Q$2),"00")&amp;$O3918,日報!$L:$L)</f>
        <v>0</v>
      </c>
      <c r="R3918" s="65">
        <f ca="1">SUMIF(日報!$J:$J,$O3918,日報!$L:$L)</f>
        <v>0</v>
      </c>
    </row>
    <row r="3919" spans="15:18" x14ac:dyDescent="0.15">
      <c r="O3919" s="7" t="str">
        <f>"REQ"&amp;TEXT([2]RequestList!$A3920,"0000")</f>
        <v>REQ0000</v>
      </c>
      <c r="P3919" s="7">
        <f>[2]RequestList!$J3920</f>
        <v>0</v>
      </c>
      <c r="Q3919" s="65">
        <f>SUMIF(日報!$R:$R,TEXT(YEAR($Q$2),"0000")&amp;TEXT(MONTH($Q$2),"00")&amp;$O3919,日報!$L:$L)</f>
        <v>0</v>
      </c>
      <c r="R3919" s="65">
        <f ca="1">SUMIF(日報!$J:$J,$O3919,日報!$L:$L)</f>
        <v>0</v>
      </c>
    </row>
    <row r="3920" spans="15:18" x14ac:dyDescent="0.15">
      <c r="O3920" s="7" t="str">
        <f>"REQ"&amp;TEXT([2]RequestList!$A3921,"0000")</f>
        <v>REQ0000</v>
      </c>
      <c r="P3920" s="7">
        <f>[2]RequestList!$J3921</f>
        <v>0</v>
      </c>
      <c r="Q3920" s="65">
        <f>SUMIF(日報!$R:$R,TEXT(YEAR($Q$2),"0000")&amp;TEXT(MONTH($Q$2),"00")&amp;$O3920,日報!$L:$L)</f>
        <v>0</v>
      </c>
      <c r="R3920" s="65">
        <f ca="1">SUMIF(日報!$J:$J,$O3920,日報!$L:$L)</f>
        <v>0</v>
      </c>
    </row>
    <row r="3921" spans="15:18" x14ac:dyDescent="0.15">
      <c r="O3921" s="7" t="str">
        <f>"REQ"&amp;TEXT([2]RequestList!$A3922,"0000")</f>
        <v>REQ0000</v>
      </c>
      <c r="P3921" s="7">
        <f>[2]RequestList!$J3922</f>
        <v>0</v>
      </c>
      <c r="Q3921" s="65">
        <f>SUMIF(日報!$R:$R,TEXT(YEAR($Q$2),"0000")&amp;TEXT(MONTH($Q$2),"00")&amp;$O3921,日報!$L:$L)</f>
        <v>0</v>
      </c>
      <c r="R3921" s="65">
        <f ca="1">SUMIF(日報!$J:$J,$O3921,日報!$L:$L)</f>
        <v>0</v>
      </c>
    </row>
    <row r="3922" spans="15:18" x14ac:dyDescent="0.15">
      <c r="O3922" s="7" t="str">
        <f>"REQ"&amp;TEXT([2]RequestList!$A3923,"0000")</f>
        <v>REQ0000</v>
      </c>
      <c r="P3922" s="7">
        <f>[2]RequestList!$J3923</f>
        <v>0</v>
      </c>
      <c r="Q3922" s="65">
        <f>SUMIF(日報!$R:$R,TEXT(YEAR($Q$2),"0000")&amp;TEXT(MONTH($Q$2),"00")&amp;$O3922,日報!$L:$L)</f>
        <v>0</v>
      </c>
      <c r="R3922" s="65">
        <f ca="1">SUMIF(日報!$J:$J,$O3922,日報!$L:$L)</f>
        <v>0</v>
      </c>
    </row>
    <row r="3923" spans="15:18" x14ac:dyDescent="0.15">
      <c r="O3923" s="7" t="str">
        <f>"REQ"&amp;TEXT([2]RequestList!$A3924,"0000")</f>
        <v>REQ0000</v>
      </c>
      <c r="P3923" s="7">
        <f>[2]RequestList!$J3924</f>
        <v>0</v>
      </c>
      <c r="Q3923" s="65">
        <f>SUMIF(日報!$R:$R,TEXT(YEAR($Q$2),"0000")&amp;TEXT(MONTH($Q$2),"00")&amp;$O3923,日報!$L:$L)</f>
        <v>0</v>
      </c>
      <c r="R3923" s="65">
        <f ca="1">SUMIF(日報!$J:$J,$O3923,日報!$L:$L)</f>
        <v>0</v>
      </c>
    </row>
    <row r="3924" spans="15:18" x14ac:dyDescent="0.15">
      <c r="O3924" s="7" t="str">
        <f>"REQ"&amp;TEXT([2]RequestList!$A3925,"0000")</f>
        <v>REQ0000</v>
      </c>
      <c r="P3924" s="7">
        <f>[2]RequestList!$J3925</f>
        <v>0</v>
      </c>
      <c r="Q3924" s="65">
        <f>SUMIF(日報!$R:$R,TEXT(YEAR($Q$2),"0000")&amp;TEXT(MONTH($Q$2),"00")&amp;$O3924,日報!$L:$L)</f>
        <v>0</v>
      </c>
      <c r="R3924" s="65">
        <f ca="1">SUMIF(日報!$J:$J,$O3924,日報!$L:$L)</f>
        <v>0</v>
      </c>
    </row>
    <row r="3925" spans="15:18" x14ac:dyDescent="0.15">
      <c r="O3925" s="7" t="str">
        <f>"REQ"&amp;TEXT([2]RequestList!$A3926,"0000")</f>
        <v>REQ0000</v>
      </c>
      <c r="P3925" s="7">
        <f>[2]RequestList!$J3926</f>
        <v>0</v>
      </c>
      <c r="Q3925" s="65">
        <f>SUMIF(日報!$R:$R,TEXT(YEAR($Q$2),"0000")&amp;TEXT(MONTH($Q$2),"00")&amp;$O3925,日報!$L:$L)</f>
        <v>0</v>
      </c>
      <c r="R3925" s="65">
        <f ca="1">SUMIF(日報!$J:$J,$O3925,日報!$L:$L)</f>
        <v>0</v>
      </c>
    </row>
    <row r="3926" spans="15:18" x14ac:dyDescent="0.15">
      <c r="O3926" s="7" t="str">
        <f>"REQ"&amp;TEXT([2]RequestList!$A3927,"0000")</f>
        <v>REQ0000</v>
      </c>
      <c r="P3926" s="7">
        <f>[2]RequestList!$J3927</f>
        <v>0</v>
      </c>
      <c r="Q3926" s="65">
        <f>SUMIF(日報!$R:$R,TEXT(YEAR($Q$2),"0000")&amp;TEXT(MONTH($Q$2),"00")&amp;$O3926,日報!$L:$L)</f>
        <v>0</v>
      </c>
      <c r="R3926" s="65">
        <f ca="1">SUMIF(日報!$J:$J,$O3926,日報!$L:$L)</f>
        <v>0</v>
      </c>
    </row>
    <row r="3927" spans="15:18" x14ac:dyDescent="0.15">
      <c r="O3927" s="7" t="str">
        <f>"REQ"&amp;TEXT([2]RequestList!$A3928,"0000")</f>
        <v>REQ0000</v>
      </c>
      <c r="P3927" s="7">
        <f>[2]RequestList!$J3928</f>
        <v>0</v>
      </c>
      <c r="Q3927" s="65">
        <f>SUMIF(日報!$R:$R,TEXT(YEAR($Q$2),"0000")&amp;TEXT(MONTH($Q$2),"00")&amp;$O3927,日報!$L:$L)</f>
        <v>0</v>
      </c>
      <c r="R3927" s="65">
        <f ca="1">SUMIF(日報!$J:$J,$O3927,日報!$L:$L)</f>
        <v>0</v>
      </c>
    </row>
    <row r="3928" spans="15:18" x14ac:dyDescent="0.15">
      <c r="O3928" s="7" t="str">
        <f>"REQ"&amp;TEXT([2]RequestList!$A3929,"0000")</f>
        <v>REQ0000</v>
      </c>
      <c r="P3928" s="7">
        <f>[2]RequestList!$J3929</f>
        <v>0</v>
      </c>
      <c r="Q3928" s="65">
        <f>SUMIF(日報!$R:$R,TEXT(YEAR($Q$2),"0000")&amp;TEXT(MONTH($Q$2),"00")&amp;$O3928,日報!$L:$L)</f>
        <v>0</v>
      </c>
      <c r="R3928" s="65">
        <f ca="1">SUMIF(日報!$J:$J,$O3928,日報!$L:$L)</f>
        <v>0</v>
      </c>
    </row>
    <row r="3929" spans="15:18" x14ac:dyDescent="0.15">
      <c r="O3929" s="7" t="str">
        <f>"REQ"&amp;TEXT([2]RequestList!$A3930,"0000")</f>
        <v>REQ0000</v>
      </c>
      <c r="P3929" s="7">
        <f>[2]RequestList!$J3930</f>
        <v>0</v>
      </c>
      <c r="Q3929" s="65">
        <f>SUMIF(日報!$R:$R,TEXT(YEAR($Q$2),"0000")&amp;TEXT(MONTH($Q$2),"00")&amp;$O3929,日報!$L:$L)</f>
        <v>0</v>
      </c>
      <c r="R3929" s="65">
        <f ca="1">SUMIF(日報!$J:$J,$O3929,日報!$L:$L)</f>
        <v>0</v>
      </c>
    </row>
    <row r="3930" spans="15:18" x14ac:dyDescent="0.15">
      <c r="O3930" s="7" t="str">
        <f>"REQ"&amp;TEXT([2]RequestList!$A3931,"0000")</f>
        <v>REQ0000</v>
      </c>
      <c r="P3930" s="7">
        <f>[2]RequestList!$J3931</f>
        <v>0</v>
      </c>
      <c r="Q3930" s="65">
        <f>SUMIF(日報!$R:$R,TEXT(YEAR($Q$2),"0000")&amp;TEXT(MONTH($Q$2),"00")&amp;$O3930,日報!$L:$L)</f>
        <v>0</v>
      </c>
      <c r="R3930" s="65">
        <f ca="1">SUMIF(日報!$J:$J,$O3930,日報!$L:$L)</f>
        <v>0</v>
      </c>
    </row>
    <row r="3931" spans="15:18" x14ac:dyDescent="0.15">
      <c r="O3931" s="7" t="str">
        <f>"REQ"&amp;TEXT([2]RequestList!$A3932,"0000")</f>
        <v>REQ0000</v>
      </c>
      <c r="P3931" s="7">
        <f>[2]RequestList!$J3932</f>
        <v>0</v>
      </c>
      <c r="Q3931" s="65">
        <f>SUMIF(日報!$R:$R,TEXT(YEAR($Q$2),"0000")&amp;TEXT(MONTH($Q$2),"00")&amp;$O3931,日報!$L:$L)</f>
        <v>0</v>
      </c>
      <c r="R3931" s="65">
        <f ca="1">SUMIF(日報!$J:$J,$O3931,日報!$L:$L)</f>
        <v>0</v>
      </c>
    </row>
    <row r="3932" spans="15:18" x14ac:dyDescent="0.15">
      <c r="O3932" s="7" t="str">
        <f>"REQ"&amp;TEXT([2]RequestList!$A3933,"0000")</f>
        <v>REQ0000</v>
      </c>
      <c r="P3932" s="7">
        <f>[2]RequestList!$J3933</f>
        <v>0</v>
      </c>
      <c r="Q3932" s="65">
        <f>SUMIF(日報!$R:$R,TEXT(YEAR($Q$2),"0000")&amp;TEXT(MONTH($Q$2),"00")&amp;$O3932,日報!$L:$L)</f>
        <v>0</v>
      </c>
      <c r="R3932" s="65">
        <f ca="1">SUMIF(日報!$J:$J,$O3932,日報!$L:$L)</f>
        <v>0</v>
      </c>
    </row>
    <row r="3933" spans="15:18" x14ac:dyDescent="0.15">
      <c r="O3933" s="7" t="str">
        <f>"REQ"&amp;TEXT([2]RequestList!$A3934,"0000")</f>
        <v>REQ0000</v>
      </c>
      <c r="P3933" s="7">
        <f>[2]RequestList!$J3934</f>
        <v>0</v>
      </c>
      <c r="Q3933" s="65">
        <f>SUMIF(日報!$R:$R,TEXT(YEAR($Q$2),"0000")&amp;TEXT(MONTH($Q$2),"00")&amp;$O3933,日報!$L:$L)</f>
        <v>0</v>
      </c>
      <c r="R3933" s="65">
        <f ca="1">SUMIF(日報!$J:$J,$O3933,日報!$L:$L)</f>
        <v>0</v>
      </c>
    </row>
    <row r="3934" spans="15:18" x14ac:dyDescent="0.15">
      <c r="O3934" s="7" t="str">
        <f>"REQ"&amp;TEXT([2]RequestList!$A3935,"0000")</f>
        <v>REQ0000</v>
      </c>
      <c r="P3934" s="7">
        <f>[2]RequestList!$J3935</f>
        <v>0</v>
      </c>
      <c r="Q3934" s="65">
        <f>SUMIF(日報!$R:$R,TEXT(YEAR($Q$2),"0000")&amp;TEXT(MONTH($Q$2),"00")&amp;$O3934,日報!$L:$L)</f>
        <v>0</v>
      </c>
      <c r="R3934" s="65">
        <f ca="1">SUMIF(日報!$J:$J,$O3934,日報!$L:$L)</f>
        <v>0</v>
      </c>
    </row>
    <row r="3935" spans="15:18" x14ac:dyDescent="0.15">
      <c r="O3935" s="7" t="str">
        <f>"REQ"&amp;TEXT([2]RequestList!$A3936,"0000")</f>
        <v>REQ0000</v>
      </c>
      <c r="P3935" s="7">
        <f>[2]RequestList!$J3936</f>
        <v>0</v>
      </c>
      <c r="Q3935" s="65">
        <f>SUMIF(日報!$R:$R,TEXT(YEAR($Q$2),"0000")&amp;TEXT(MONTH($Q$2),"00")&amp;$O3935,日報!$L:$L)</f>
        <v>0</v>
      </c>
      <c r="R3935" s="65">
        <f ca="1">SUMIF(日報!$J:$J,$O3935,日報!$L:$L)</f>
        <v>0</v>
      </c>
    </row>
    <row r="3936" spans="15:18" x14ac:dyDescent="0.15">
      <c r="O3936" s="7" t="str">
        <f>"REQ"&amp;TEXT([2]RequestList!$A3937,"0000")</f>
        <v>REQ0000</v>
      </c>
      <c r="P3936" s="7">
        <f>[2]RequestList!$J3937</f>
        <v>0</v>
      </c>
      <c r="Q3936" s="65">
        <f>SUMIF(日報!$R:$R,TEXT(YEAR($Q$2),"0000")&amp;TEXT(MONTH($Q$2),"00")&amp;$O3936,日報!$L:$L)</f>
        <v>0</v>
      </c>
      <c r="R3936" s="65">
        <f ca="1">SUMIF(日報!$J:$J,$O3936,日報!$L:$L)</f>
        <v>0</v>
      </c>
    </row>
    <row r="3937" spans="15:18" x14ac:dyDescent="0.15">
      <c r="O3937" s="7" t="str">
        <f>"REQ"&amp;TEXT([2]RequestList!$A3938,"0000")</f>
        <v>REQ0000</v>
      </c>
      <c r="P3937" s="7">
        <f>[2]RequestList!$J3938</f>
        <v>0</v>
      </c>
      <c r="Q3937" s="65">
        <f>SUMIF(日報!$R:$R,TEXT(YEAR($Q$2),"0000")&amp;TEXT(MONTH($Q$2),"00")&amp;$O3937,日報!$L:$L)</f>
        <v>0</v>
      </c>
      <c r="R3937" s="65">
        <f ca="1">SUMIF(日報!$J:$J,$O3937,日報!$L:$L)</f>
        <v>0</v>
      </c>
    </row>
    <row r="3938" spans="15:18" x14ac:dyDescent="0.15">
      <c r="O3938" s="7" t="str">
        <f>"REQ"&amp;TEXT([2]RequestList!$A3939,"0000")</f>
        <v>REQ0000</v>
      </c>
      <c r="P3938" s="7">
        <f>[2]RequestList!$J3939</f>
        <v>0</v>
      </c>
      <c r="Q3938" s="65">
        <f>SUMIF(日報!$R:$R,TEXT(YEAR($Q$2),"0000")&amp;TEXT(MONTH($Q$2),"00")&amp;$O3938,日報!$L:$L)</f>
        <v>0</v>
      </c>
      <c r="R3938" s="65">
        <f ca="1">SUMIF(日報!$J:$J,$O3938,日報!$L:$L)</f>
        <v>0</v>
      </c>
    </row>
    <row r="3939" spans="15:18" x14ac:dyDescent="0.15">
      <c r="O3939" s="7" t="str">
        <f>"REQ"&amp;TEXT([2]RequestList!$A3940,"0000")</f>
        <v>REQ0000</v>
      </c>
      <c r="P3939" s="7">
        <f>[2]RequestList!$J3940</f>
        <v>0</v>
      </c>
      <c r="Q3939" s="65">
        <f>SUMIF(日報!$R:$R,TEXT(YEAR($Q$2),"0000")&amp;TEXT(MONTH($Q$2),"00")&amp;$O3939,日報!$L:$L)</f>
        <v>0</v>
      </c>
      <c r="R3939" s="65">
        <f ca="1">SUMIF(日報!$J:$J,$O3939,日報!$L:$L)</f>
        <v>0</v>
      </c>
    </row>
    <row r="3940" spans="15:18" x14ac:dyDescent="0.15">
      <c r="O3940" s="7" t="str">
        <f>"REQ"&amp;TEXT([2]RequestList!$A3941,"0000")</f>
        <v>REQ0000</v>
      </c>
      <c r="P3940" s="7">
        <f>[2]RequestList!$J3941</f>
        <v>0</v>
      </c>
      <c r="Q3940" s="65">
        <f>SUMIF(日報!$R:$R,TEXT(YEAR($Q$2),"0000")&amp;TEXT(MONTH($Q$2),"00")&amp;$O3940,日報!$L:$L)</f>
        <v>0</v>
      </c>
      <c r="R3940" s="65">
        <f ca="1">SUMIF(日報!$J:$J,$O3940,日報!$L:$L)</f>
        <v>0</v>
      </c>
    </row>
    <row r="3941" spans="15:18" x14ac:dyDescent="0.15">
      <c r="O3941" s="7" t="str">
        <f>"REQ"&amp;TEXT([2]RequestList!$A3942,"0000")</f>
        <v>REQ0000</v>
      </c>
      <c r="P3941" s="7">
        <f>[2]RequestList!$J3942</f>
        <v>0</v>
      </c>
      <c r="Q3941" s="65">
        <f>SUMIF(日報!$R:$R,TEXT(YEAR($Q$2),"0000")&amp;TEXT(MONTH($Q$2),"00")&amp;$O3941,日報!$L:$L)</f>
        <v>0</v>
      </c>
      <c r="R3941" s="65">
        <f ca="1">SUMIF(日報!$J:$J,$O3941,日報!$L:$L)</f>
        <v>0</v>
      </c>
    </row>
    <row r="3942" spans="15:18" x14ac:dyDescent="0.15">
      <c r="O3942" s="7" t="str">
        <f>"REQ"&amp;TEXT([2]RequestList!$A3943,"0000")</f>
        <v>REQ0000</v>
      </c>
      <c r="P3942" s="7">
        <f>[2]RequestList!$J3943</f>
        <v>0</v>
      </c>
      <c r="Q3942" s="65">
        <f>SUMIF(日報!$R:$R,TEXT(YEAR($Q$2),"0000")&amp;TEXT(MONTH($Q$2),"00")&amp;$O3942,日報!$L:$L)</f>
        <v>0</v>
      </c>
      <c r="R3942" s="65">
        <f ca="1">SUMIF(日報!$J:$J,$O3942,日報!$L:$L)</f>
        <v>0</v>
      </c>
    </row>
    <row r="3943" spans="15:18" x14ac:dyDescent="0.15">
      <c r="O3943" s="7" t="str">
        <f>"REQ"&amp;TEXT([2]RequestList!$A3944,"0000")</f>
        <v>REQ0000</v>
      </c>
      <c r="P3943" s="7">
        <f>[2]RequestList!$J3944</f>
        <v>0</v>
      </c>
      <c r="Q3943" s="65">
        <f>SUMIF(日報!$R:$R,TEXT(YEAR($Q$2),"0000")&amp;TEXT(MONTH($Q$2),"00")&amp;$O3943,日報!$L:$L)</f>
        <v>0</v>
      </c>
      <c r="R3943" s="65">
        <f ca="1">SUMIF(日報!$J:$J,$O3943,日報!$L:$L)</f>
        <v>0</v>
      </c>
    </row>
    <row r="3944" spans="15:18" x14ac:dyDescent="0.15">
      <c r="O3944" s="7" t="str">
        <f>"REQ"&amp;TEXT([2]RequestList!$A3945,"0000")</f>
        <v>REQ0000</v>
      </c>
      <c r="P3944" s="7">
        <f>[2]RequestList!$J3945</f>
        <v>0</v>
      </c>
      <c r="Q3944" s="65">
        <f>SUMIF(日報!$R:$R,TEXT(YEAR($Q$2),"0000")&amp;TEXT(MONTH($Q$2),"00")&amp;$O3944,日報!$L:$L)</f>
        <v>0</v>
      </c>
      <c r="R3944" s="65">
        <f ca="1">SUMIF(日報!$J:$J,$O3944,日報!$L:$L)</f>
        <v>0</v>
      </c>
    </row>
    <row r="3945" spans="15:18" x14ac:dyDescent="0.15">
      <c r="O3945" s="7" t="str">
        <f>"REQ"&amp;TEXT([2]RequestList!$A3946,"0000")</f>
        <v>REQ0000</v>
      </c>
      <c r="P3945" s="7">
        <f>[2]RequestList!$J3946</f>
        <v>0</v>
      </c>
      <c r="Q3945" s="65">
        <f>SUMIF(日報!$R:$R,TEXT(YEAR($Q$2),"0000")&amp;TEXT(MONTH($Q$2),"00")&amp;$O3945,日報!$L:$L)</f>
        <v>0</v>
      </c>
      <c r="R3945" s="65">
        <f ca="1">SUMIF(日報!$J:$J,$O3945,日報!$L:$L)</f>
        <v>0</v>
      </c>
    </row>
    <row r="3946" spans="15:18" x14ac:dyDescent="0.15">
      <c r="O3946" s="7" t="str">
        <f>"REQ"&amp;TEXT([2]RequestList!$A3947,"0000")</f>
        <v>REQ0000</v>
      </c>
      <c r="P3946" s="7">
        <f>[2]RequestList!$J3947</f>
        <v>0</v>
      </c>
      <c r="Q3946" s="65">
        <f>SUMIF(日報!$R:$R,TEXT(YEAR($Q$2),"0000")&amp;TEXT(MONTH($Q$2),"00")&amp;$O3946,日報!$L:$L)</f>
        <v>0</v>
      </c>
      <c r="R3946" s="65">
        <f ca="1">SUMIF(日報!$J:$J,$O3946,日報!$L:$L)</f>
        <v>0</v>
      </c>
    </row>
    <row r="3947" spans="15:18" x14ac:dyDescent="0.15">
      <c r="O3947" s="7" t="str">
        <f>"REQ"&amp;TEXT([2]RequestList!$A3948,"0000")</f>
        <v>REQ0000</v>
      </c>
      <c r="P3947" s="7">
        <f>[2]RequestList!$J3948</f>
        <v>0</v>
      </c>
      <c r="Q3947" s="65">
        <f>SUMIF(日報!$R:$R,TEXT(YEAR($Q$2),"0000")&amp;TEXT(MONTH($Q$2),"00")&amp;$O3947,日報!$L:$L)</f>
        <v>0</v>
      </c>
      <c r="R3947" s="65">
        <f ca="1">SUMIF(日報!$J:$J,$O3947,日報!$L:$L)</f>
        <v>0</v>
      </c>
    </row>
    <row r="3948" spans="15:18" x14ac:dyDescent="0.15">
      <c r="O3948" s="7" t="str">
        <f>"REQ"&amp;TEXT([2]RequestList!$A3949,"0000")</f>
        <v>REQ0000</v>
      </c>
      <c r="P3948" s="7">
        <f>[2]RequestList!$J3949</f>
        <v>0</v>
      </c>
      <c r="Q3948" s="65">
        <f>SUMIF(日報!$R:$R,TEXT(YEAR($Q$2),"0000")&amp;TEXT(MONTH($Q$2),"00")&amp;$O3948,日報!$L:$L)</f>
        <v>0</v>
      </c>
      <c r="R3948" s="65">
        <f ca="1">SUMIF(日報!$J:$J,$O3948,日報!$L:$L)</f>
        <v>0</v>
      </c>
    </row>
    <row r="3949" spans="15:18" x14ac:dyDescent="0.15">
      <c r="O3949" s="7" t="str">
        <f>"REQ"&amp;TEXT([2]RequestList!$A3950,"0000")</f>
        <v>REQ0000</v>
      </c>
      <c r="P3949" s="7">
        <f>[2]RequestList!$J3950</f>
        <v>0</v>
      </c>
      <c r="Q3949" s="65">
        <f>SUMIF(日報!$R:$R,TEXT(YEAR($Q$2),"0000")&amp;TEXT(MONTH($Q$2),"00")&amp;$O3949,日報!$L:$L)</f>
        <v>0</v>
      </c>
      <c r="R3949" s="65">
        <f ca="1">SUMIF(日報!$J:$J,$O3949,日報!$L:$L)</f>
        <v>0</v>
      </c>
    </row>
    <row r="3950" spans="15:18" x14ac:dyDescent="0.15">
      <c r="O3950" s="7" t="str">
        <f>"REQ"&amp;TEXT([2]RequestList!$A3951,"0000")</f>
        <v>REQ0000</v>
      </c>
      <c r="P3950" s="7">
        <f>[2]RequestList!$J3951</f>
        <v>0</v>
      </c>
      <c r="Q3950" s="65">
        <f>SUMIF(日報!$R:$R,TEXT(YEAR($Q$2),"0000")&amp;TEXT(MONTH($Q$2),"00")&amp;$O3950,日報!$L:$L)</f>
        <v>0</v>
      </c>
      <c r="R3950" s="65">
        <f ca="1">SUMIF(日報!$J:$J,$O3950,日報!$L:$L)</f>
        <v>0</v>
      </c>
    </row>
    <row r="3951" spans="15:18" x14ac:dyDescent="0.15">
      <c r="O3951" s="7" t="str">
        <f>"REQ"&amp;TEXT([2]RequestList!$A3952,"0000")</f>
        <v>REQ0000</v>
      </c>
      <c r="P3951" s="7">
        <f>[2]RequestList!$J3952</f>
        <v>0</v>
      </c>
      <c r="Q3951" s="65">
        <f>SUMIF(日報!$R:$R,TEXT(YEAR($Q$2),"0000")&amp;TEXT(MONTH($Q$2),"00")&amp;$O3951,日報!$L:$L)</f>
        <v>0</v>
      </c>
      <c r="R3951" s="65">
        <f ca="1">SUMIF(日報!$J:$J,$O3951,日報!$L:$L)</f>
        <v>0</v>
      </c>
    </row>
    <row r="3952" spans="15:18" x14ac:dyDescent="0.15">
      <c r="O3952" s="7" t="str">
        <f>"REQ"&amp;TEXT([2]RequestList!$A3953,"0000")</f>
        <v>REQ0000</v>
      </c>
      <c r="P3952" s="7">
        <f>[2]RequestList!$J3953</f>
        <v>0</v>
      </c>
      <c r="Q3952" s="65">
        <f>SUMIF(日報!$R:$R,TEXT(YEAR($Q$2),"0000")&amp;TEXT(MONTH($Q$2),"00")&amp;$O3952,日報!$L:$L)</f>
        <v>0</v>
      </c>
      <c r="R3952" s="65">
        <f ca="1">SUMIF(日報!$J:$J,$O3952,日報!$L:$L)</f>
        <v>0</v>
      </c>
    </row>
    <row r="3953" spans="15:18" x14ac:dyDescent="0.15">
      <c r="O3953" s="7" t="str">
        <f>"REQ"&amp;TEXT([2]RequestList!$A3954,"0000")</f>
        <v>REQ0000</v>
      </c>
      <c r="P3953" s="7">
        <f>[2]RequestList!$J3954</f>
        <v>0</v>
      </c>
      <c r="Q3953" s="65">
        <f>SUMIF(日報!$R:$R,TEXT(YEAR($Q$2),"0000")&amp;TEXT(MONTH($Q$2),"00")&amp;$O3953,日報!$L:$L)</f>
        <v>0</v>
      </c>
      <c r="R3953" s="65">
        <f ca="1">SUMIF(日報!$J:$J,$O3953,日報!$L:$L)</f>
        <v>0</v>
      </c>
    </row>
    <row r="3954" spans="15:18" x14ac:dyDescent="0.15">
      <c r="O3954" s="7" t="str">
        <f>"REQ"&amp;TEXT([2]RequestList!$A3955,"0000")</f>
        <v>REQ0000</v>
      </c>
      <c r="P3954" s="7">
        <f>[2]RequestList!$J3955</f>
        <v>0</v>
      </c>
      <c r="Q3954" s="65">
        <f>SUMIF(日報!$R:$R,TEXT(YEAR($Q$2),"0000")&amp;TEXT(MONTH($Q$2),"00")&amp;$O3954,日報!$L:$L)</f>
        <v>0</v>
      </c>
      <c r="R3954" s="65">
        <f ca="1">SUMIF(日報!$J:$J,$O3954,日報!$L:$L)</f>
        <v>0</v>
      </c>
    </row>
    <row r="3955" spans="15:18" x14ac:dyDescent="0.15">
      <c r="O3955" s="7" t="str">
        <f>"REQ"&amp;TEXT([2]RequestList!$A3956,"0000")</f>
        <v>REQ0000</v>
      </c>
      <c r="P3955" s="7">
        <f>[2]RequestList!$J3956</f>
        <v>0</v>
      </c>
      <c r="Q3955" s="65">
        <f>SUMIF(日報!$R:$R,TEXT(YEAR($Q$2),"0000")&amp;TEXT(MONTH($Q$2),"00")&amp;$O3955,日報!$L:$L)</f>
        <v>0</v>
      </c>
      <c r="R3955" s="65">
        <f ca="1">SUMIF(日報!$J:$J,$O3955,日報!$L:$L)</f>
        <v>0</v>
      </c>
    </row>
    <row r="3956" spans="15:18" x14ac:dyDescent="0.15">
      <c r="O3956" s="7" t="str">
        <f>"REQ"&amp;TEXT([2]RequestList!$A3957,"0000")</f>
        <v>REQ0000</v>
      </c>
      <c r="P3956" s="7">
        <f>[2]RequestList!$J3957</f>
        <v>0</v>
      </c>
      <c r="Q3956" s="65">
        <f>SUMIF(日報!$R:$R,TEXT(YEAR($Q$2),"0000")&amp;TEXT(MONTH($Q$2),"00")&amp;$O3956,日報!$L:$L)</f>
        <v>0</v>
      </c>
      <c r="R3956" s="65">
        <f ca="1">SUMIF(日報!$J:$J,$O3956,日報!$L:$L)</f>
        <v>0</v>
      </c>
    </row>
    <row r="3957" spans="15:18" x14ac:dyDescent="0.15">
      <c r="O3957" s="7" t="str">
        <f>"REQ"&amp;TEXT([2]RequestList!$A3958,"0000")</f>
        <v>REQ0000</v>
      </c>
      <c r="P3957" s="7">
        <f>[2]RequestList!$J3958</f>
        <v>0</v>
      </c>
      <c r="Q3957" s="65">
        <f>SUMIF(日報!$R:$R,TEXT(YEAR($Q$2),"0000")&amp;TEXT(MONTH($Q$2),"00")&amp;$O3957,日報!$L:$L)</f>
        <v>0</v>
      </c>
      <c r="R3957" s="65">
        <f ca="1">SUMIF(日報!$J:$J,$O3957,日報!$L:$L)</f>
        <v>0</v>
      </c>
    </row>
    <row r="3958" spans="15:18" x14ac:dyDescent="0.15">
      <c r="O3958" s="7" t="str">
        <f>"REQ"&amp;TEXT([2]RequestList!$A3959,"0000")</f>
        <v>REQ0000</v>
      </c>
      <c r="P3958" s="7">
        <f>[2]RequestList!$J3959</f>
        <v>0</v>
      </c>
      <c r="Q3958" s="65">
        <f>SUMIF(日報!$R:$R,TEXT(YEAR($Q$2),"0000")&amp;TEXT(MONTH($Q$2),"00")&amp;$O3958,日報!$L:$L)</f>
        <v>0</v>
      </c>
      <c r="R3958" s="65">
        <f ca="1">SUMIF(日報!$J:$J,$O3958,日報!$L:$L)</f>
        <v>0</v>
      </c>
    </row>
    <row r="3959" spans="15:18" x14ac:dyDescent="0.15">
      <c r="O3959" s="7" t="str">
        <f>"REQ"&amp;TEXT([2]RequestList!$A3960,"0000")</f>
        <v>REQ0000</v>
      </c>
      <c r="P3959" s="7">
        <f>[2]RequestList!$J3960</f>
        <v>0</v>
      </c>
      <c r="Q3959" s="65">
        <f>SUMIF(日報!$R:$R,TEXT(YEAR($Q$2),"0000")&amp;TEXT(MONTH($Q$2),"00")&amp;$O3959,日報!$L:$L)</f>
        <v>0</v>
      </c>
      <c r="R3959" s="65">
        <f ca="1">SUMIF(日報!$J:$J,$O3959,日報!$L:$L)</f>
        <v>0</v>
      </c>
    </row>
    <row r="3960" spans="15:18" x14ac:dyDescent="0.15">
      <c r="O3960" s="7" t="str">
        <f>"REQ"&amp;TEXT([2]RequestList!$A3961,"0000")</f>
        <v>REQ0000</v>
      </c>
      <c r="P3960" s="7">
        <f>[2]RequestList!$J3961</f>
        <v>0</v>
      </c>
      <c r="Q3960" s="65">
        <f>SUMIF(日報!$R:$R,TEXT(YEAR($Q$2),"0000")&amp;TEXT(MONTH($Q$2),"00")&amp;$O3960,日報!$L:$L)</f>
        <v>0</v>
      </c>
      <c r="R3960" s="65">
        <f ca="1">SUMIF(日報!$J:$J,$O3960,日報!$L:$L)</f>
        <v>0</v>
      </c>
    </row>
    <row r="3961" spans="15:18" x14ac:dyDescent="0.15">
      <c r="O3961" s="7" t="str">
        <f>"REQ"&amp;TEXT([2]RequestList!$A3962,"0000")</f>
        <v>REQ0000</v>
      </c>
      <c r="P3961" s="7">
        <f>[2]RequestList!$J3962</f>
        <v>0</v>
      </c>
      <c r="Q3961" s="65">
        <f>SUMIF(日報!$R:$R,TEXT(YEAR($Q$2),"0000")&amp;TEXT(MONTH($Q$2),"00")&amp;$O3961,日報!$L:$L)</f>
        <v>0</v>
      </c>
      <c r="R3961" s="65">
        <f ca="1">SUMIF(日報!$J:$J,$O3961,日報!$L:$L)</f>
        <v>0</v>
      </c>
    </row>
    <row r="3962" spans="15:18" x14ac:dyDescent="0.15">
      <c r="O3962" s="7" t="str">
        <f>"REQ"&amp;TEXT([2]RequestList!$A3963,"0000")</f>
        <v>REQ0000</v>
      </c>
      <c r="P3962" s="7">
        <f>[2]RequestList!$J3963</f>
        <v>0</v>
      </c>
      <c r="Q3962" s="65">
        <f>SUMIF(日報!$R:$R,TEXT(YEAR($Q$2),"0000")&amp;TEXT(MONTH($Q$2),"00")&amp;$O3962,日報!$L:$L)</f>
        <v>0</v>
      </c>
      <c r="R3962" s="65">
        <f ca="1">SUMIF(日報!$J:$J,$O3962,日報!$L:$L)</f>
        <v>0</v>
      </c>
    </row>
    <row r="3963" spans="15:18" x14ac:dyDescent="0.15">
      <c r="O3963" s="7" t="str">
        <f>"REQ"&amp;TEXT([2]RequestList!$A3964,"0000")</f>
        <v>REQ0000</v>
      </c>
      <c r="P3963" s="7">
        <f>[2]RequestList!$J3964</f>
        <v>0</v>
      </c>
      <c r="Q3963" s="65">
        <f>SUMIF(日報!$R:$R,TEXT(YEAR($Q$2),"0000")&amp;TEXT(MONTH($Q$2),"00")&amp;$O3963,日報!$L:$L)</f>
        <v>0</v>
      </c>
      <c r="R3963" s="65">
        <f ca="1">SUMIF(日報!$J:$J,$O3963,日報!$L:$L)</f>
        <v>0</v>
      </c>
    </row>
    <row r="3964" spans="15:18" x14ac:dyDescent="0.15">
      <c r="O3964" s="7" t="str">
        <f>"REQ"&amp;TEXT([2]RequestList!$A3965,"0000")</f>
        <v>REQ0000</v>
      </c>
      <c r="P3964" s="7">
        <f>[2]RequestList!$J3965</f>
        <v>0</v>
      </c>
      <c r="Q3964" s="65">
        <f>SUMIF(日報!$R:$R,TEXT(YEAR($Q$2),"0000")&amp;TEXT(MONTH($Q$2),"00")&amp;$O3964,日報!$L:$L)</f>
        <v>0</v>
      </c>
      <c r="R3964" s="65">
        <f ca="1">SUMIF(日報!$J:$J,$O3964,日報!$L:$L)</f>
        <v>0</v>
      </c>
    </row>
    <row r="3965" spans="15:18" x14ac:dyDescent="0.15">
      <c r="O3965" s="7" t="str">
        <f>"REQ"&amp;TEXT([2]RequestList!$A3966,"0000")</f>
        <v>REQ0000</v>
      </c>
      <c r="P3965" s="7">
        <f>[2]RequestList!$J3966</f>
        <v>0</v>
      </c>
      <c r="Q3965" s="65">
        <f>SUMIF(日報!$R:$R,TEXT(YEAR($Q$2),"0000")&amp;TEXT(MONTH($Q$2),"00")&amp;$O3965,日報!$L:$L)</f>
        <v>0</v>
      </c>
      <c r="R3965" s="65">
        <f ca="1">SUMIF(日報!$J:$J,$O3965,日報!$L:$L)</f>
        <v>0</v>
      </c>
    </row>
    <row r="3966" spans="15:18" x14ac:dyDescent="0.15">
      <c r="O3966" s="7" t="str">
        <f>"REQ"&amp;TEXT([2]RequestList!$A3967,"0000")</f>
        <v>REQ0000</v>
      </c>
      <c r="P3966" s="7">
        <f>[2]RequestList!$J3967</f>
        <v>0</v>
      </c>
      <c r="Q3966" s="65">
        <f>SUMIF(日報!$R:$R,TEXT(YEAR($Q$2),"0000")&amp;TEXT(MONTH($Q$2),"00")&amp;$O3966,日報!$L:$L)</f>
        <v>0</v>
      </c>
      <c r="R3966" s="65">
        <f ca="1">SUMIF(日報!$J:$J,$O3966,日報!$L:$L)</f>
        <v>0</v>
      </c>
    </row>
    <row r="3967" spans="15:18" x14ac:dyDescent="0.15">
      <c r="O3967" s="7" t="str">
        <f>"REQ"&amp;TEXT([2]RequestList!$A3968,"0000")</f>
        <v>REQ0000</v>
      </c>
      <c r="P3967" s="7">
        <f>[2]RequestList!$J3968</f>
        <v>0</v>
      </c>
      <c r="Q3967" s="65">
        <f>SUMIF(日報!$R:$R,TEXT(YEAR($Q$2),"0000")&amp;TEXT(MONTH($Q$2),"00")&amp;$O3967,日報!$L:$L)</f>
        <v>0</v>
      </c>
      <c r="R3967" s="65">
        <f ca="1">SUMIF(日報!$J:$J,$O3967,日報!$L:$L)</f>
        <v>0</v>
      </c>
    </row>
    <row r="3968" spans="15:18" x14ac:dyDescent="0.15">
      <c r="O3968" s="7" t="str">
        <f>"REQ"&amp;TEXT([2]RequestList!$A3969,"0000")</f>
        <v>REQ0000</v>
      </c>
      <c r="P3968" s="7">
        <f>[2]RequestList!$J3969</f>
        <v>0</v>
      </c>
      <c r="Q3968" s="65">
        <f>SUMIF(日報!$R:$R,TEXT(YEAR($Q$2),"0000")&amp;TEXT(MONTH($Q$2),"00")&amp;$O3968,日報!$L:$L)</f>
        <v>0</v>
      </c>
      <c r="R3968" s="65">
        <f ca="1">SUMIF(日報!$J:$J,$O3968,日報!$L:$L)</f>
        <v>0</v>
      </c>
    </row>
    <row r="3969" spans="15:18" x14ac:dyDescent="0.15">
      <c r="O3969" s="7" t="str">
        <f>"REQ"&amp;TEXT([2]RequestList!$A3970,"0000")</f>
        <v>REQ0000</v>
      </c>
      <c r="P3969" s="7">
        <f>[2]RequestList!$J3970</f>
        <v>0</v>
      </c>
      <c r="Q3969" s="65">
        <f>SUMIF(日報!$R:$R,TEXT(YEAR($Q$2),"0000")&amp;TEXT(MONTH($Q$2),"00")&amp;$O3969,日報!$L:$L)</f>
        <v>0</v>
      </c>
      <c r="R3969" s="65">
        <f ca="1">SUMIF(日報!$J:$J,$O3969,日報!$L:$L)</f>
        <v>0</v>
      </c>
    </row>
    <row r="3970" spans="15:18" x14ac:dyDescent="0.15">
      <c r="O3970" s="7" t="str">
        <f>"REQ"&amp;TEXT([2]RequestList!$A3971,"0000")</f>
        <v>REQ0000</v>
      </c>
      <c r="P3970" s="7">
        <f>[2]RequestList!$J3971</f>
        <v>0</v>
      </c>
      <c r="Q3970" s="65">
        <f>SUMIF(日報!$R:$R,TEXT(YEAR($Q$2),"0000")&amp;TEXT(MONTH($Q$2),"00")&amp;$O3970,日報!$L:$L)</f>
        <v>0</v>
      </c>
      <c r="R3970" s="65">
        <f ca="1">SUMIF(日報!$J:$J,$O3970,日報!$L:$L)</f>
        <v>0</v>
      </c>
    </row>
    <row r="3971" spans="15:18" x14ac:dyDescent="0.15">
      <c r="O3971" s="7" t="str">
        <f>"REQ"&amp;TEXT([2]RequestList!$A3972,"0000")</f>
        <v>REQ0000</v>
      </c>
      <c r="P3971" s="7">
        <f>[2]RequestList!$J3972</f>
        <v>0</v>
      </c>
      <c r="Q3971" s="65">
        <f>SUMIF(日報!$R:$R,TEXT(YEAR($Q$2),"0000")&amp;TEXT(MONTH($Q$2),"00")&amp;$O3971,日報!$L:$L)</f>
        <v>0</v>
      </c>
      <c r="R3971" s="65">
        <f ca="1">SUMIF(日報!$J:$J,$O3971,日報!$L:$L)</f>
        <v>0</v>
      </c>
    </row>
    <row r="3972" spans="15:18" x14ac:dyDescent="0.15">
      <c r="O3972" s="7" t="str">
        <f>"REQ"&amp;TEXT([2]RequestList!$A3973,"0000")</f>
        <v>REQ0000</v>
      </c>
      <c r="P3972" s="7">
        <f>[2]RequestList!$J3973</f>
        <v>0</v>
      </c>
      <c r="Q3972" s="65">
        <f>SUMIF(日報!$R:$R,TEXT(YEAR($Q$2),"0000")&amp;TEXT(MONTH($Q$2),"00")&amp;$O3972,日報!$L:$L)</f>
        <v>0</v>
      </c>
      <c r="R3972" s="65">
        <f ca="1">SUMIF(日報!$J:$J,$O3972,日報!$L:$L)</f>
        <v>0</v>
      </c>
    </row>
    <row r="3973" spans="15:18" x14ac:dyDescent="0.15">
      <c r="O3973" s="7" t="str">
        <f>"REQ"&amp;TEXT([2]RequestList!$A3974,"0000")</f>
        <v>REQ0000</v>
      </c>
      <c r="P3973" s="7">
        <f>[2]RequestList!$J3974</f>
        <v>0</v>
      </c>
      <c r="Q3973" s="65">
        <f>SUMIF(日報!$R:$R,TEXT(YEAR($Q$2),"0000")&amp;TEXT(MONTH($Q$2),"00")&amp;$O3973,日報!$L:$L)</f>
        <v>0</v>
      </c>
      <c r="R3973" s="65">
        <f ca="1">SUMIF(日報!$J:$J,$O3973,日報!$L:$L)</f>
        <v>0</v>
      </c>
    </row>
    <row r="3974" spans="15:18" x14ac:dyDescent="0.15">
      <c r="O3974" s="7" t="str">
        <f>"REQ"&amp;TEXT([2]RequestList!$A3975,"0000")</f>
        <v>REQ0000</v>
      </c>
      <c r="P3974" s="7">
        <f>[2]RequestList!$J3975</f>
        <v>0</v>
      </c>
      <c r="Q3974" s="65">
        <f>SUMIF(日報!$R:$R,TEXT(YEAR($Q$2),"0000")&amp;TEXT(MONTH($Q$2),"00")&amp;$O3974,日報!$L:$L)</f>
        <v>0</v>
      </c>
      <c r="R3974" s="65">
        <f ca="1">SUMIF(日報!$J:$J,$O3974,日報!$L:$L)</f>
        <v>0</v>
      </c>
    </row>
    <row r="3975" spans="15:18" x14ac:dyDescent="0.15">
      <c r="O3975" s="7" t="str">
        <f>"REQ"&amp;TEXT([2]RequestList!$A3976,"0000")</f>
        <v>REQ0000</v>
      </c>
      <c r="P3975" s="7">
        <f>[2]RequestList!$J3976</f>
        <v>0</v>
      </c>
      <c r="Q3975" s="65">
        <f>SUMIF(日報!$R:$R,TEXT(YEAR($Q$2),"0000")&amp;TEXT(MONTH($Q$2),"00")&amp;$O3975,日報!$L:$L)</f>
        <v>0</v>
      </c>
      <c r="R3975" s="65">
        <f ca="1">SUMIF(日報!$J:$J,$O3975,日報!$L:$L)</f>
        <v>0</v>
      </c>
    </row>
    <row r="3976" spans="15:18" x14ac:dyDescent="0.15">
      <c r="O3976" s="7" t="str">
        <f>"REQ"&amp;TEXT([2]RequestList!$A3977,"0000")</f>
        <v>REQ0000</v>
      </c>
      <c r="P3976" s="7">
        <f>[2]RequestList!$J3977</f>
        <v>0</v>
      </c>
      <c r="Q3976" s="65">
        <f>SUMIF(日報!$R:$R,TEXT(YEAR($Q$2),"0000")&amp;TEXT(MONTH($Q$2),"00")&amp;$O3976,日報!$L:$L)</f>
        <v>0</v>
      </c>
      <c r="R3976" s="65">
        <f ca="1">SUMIF(日報!$J:$J,$O3976,日報!$L:$L)</f>
        <v>0</v>
      </c>
    </row>
    <row r="3977" spans="15:18" x14ac:dyDescent="0.15">
      <c r="O3977" s="7" t="str">
        <f>"REQ"&amp;TEXT([2]RequestList!$A3978,"0000")</f>
        <v>REQ0000</v>
      </c>
      <c r="P3977" s="7">
        <f>[2]RequestList!$J3978</f>
        <v>0</v>
      </c>
      <c r="Q3977" s="65">
        <f>SUMIF(日報!$R:$R,TEXT(YEAR($Q$2),"0000")&amp;TEXT(MONTH($Q$2),"00")&amp;$O3977,日報!$L:$L)</f>
        <v>0</v>
      </c>
      <c r="R3977" s="65">
        <f ca="1">SUMIF(日報!$J:$J,$O3977,日報!$L:$L)</f>
        <v>0</v>
      </c>
    </row>
    <row r="3978" spans="15:18" x14ac:dyDescent="0.15">
      <c r="O3978" s="7" t="str">
        <f>"REQ"&amp;TEXT([2]RequestList!$A3979,"0000")</f>
        <v>REQ0000</v>
      </c>
      <c r="P3978" s="7">
        <f>[2]RequestList!$J3979</f>
        <v>0</v>
      </c>
      <c r="Q3978" s="65">
        <f>SUMIF(日報!$R:$R,TEXT(YEAR($Q$2),"0000")&amp;TEXT(MONTH($Q$2),"00")&amp;$O3978,日報!$L:$L)</f>
        <v>0</v>
      </c>
      <c r="R3978" s="65">
        <f ca="1">SUMIF(日報!$J:$J,$O3978,日報!$L:$L)</f>
        <v>0</v>
      </c>
    </row>
    <row r="3979" spans="15:18" x14ac:dyDescent="0.15">
      <c r="O3979" s="7" t="str">
        <f>"REQ"&amp;TEXT([2]RequestList!$A3980,"0000")</f>
        <v>REQ0000</v>
      </c>
      <c r="P3979" s="7">
        <f>[2]RequestList!$J3980</f>
        <v>0</v>
      </c>
      <c r="Q3979" s="65">
        <f>SUMIF(日報!$R:$R,TEXT(YEAR($Q$2),"0000")&amp;TEXT(MONTH($Q$2),"00")&amp;$O3979,日報!$L:$L)</f>
        <v>0</v>
      </c>
      <c r="R3979" s="65">
        <f ca="1">SUMIF(日報!$J:$J,$O3979,日報!$L:$L)</f>
        <v>0</v>
      </c>
    </row>
    <row r="3980" spans="15:18" x14ac:dyDescent="0.15">
      <c r="O3980" s="7" t="str">
        <f>"REQ"&amp;TEXT([2]RequestList!$A3981,"0000")</f>
        <v>REQ0000</v>
      </c>
      <c r="P3980" s="7">
        <f>[2]RequestList!$J3981</f>
        <v>0</v>
      </c>
      <c r="Q3980" s="65">
        <f>SUMIF(日報!$R:$R,TEXT(YEAR($Q$2),"0000")&amp;TEXT(MONTH($Q$2),"00")&amp;$O3980,日報!$L:$L)</f>
        <v>0</v>
      </c>
      <c r="R3980" s="65">
        <f ca="1">SUMIF(日報!$J:$J,$O3980,日報!$L:$L)</f>
        <v>0</v>
      </c>
    </row>
    <row r="3981" spans="15:18" x14ac:dyDescent="0.15">
      <c r="O3981" s="7" t="str">
        <f>"REQ"&amp;TEXT([2]RequestList!$A3982,"0000")</f>
        <v>REQ0000</v>
      </c>
      <c r="P3981" s="7">
        <f>[2]RequestList!$J3982</f>
        <v>0</v>
      </c>
      <c r="Q3981" s="65">
        <f>SUMIF(日報!$R:$R,TEXT(YEAR($Q$2),"0000")&amp;TEXT(MONTH($Q$2),"00")&amp;$O3981,日報!$L:$L)</f>
        <v>0</v>
      </c>
      <c r="R3981" s="65">
        <f ca="1">SUMIF(日報!$J:$J,$O3981,日報!$L:$L)</f>
        <v>0</v>
      </c>
    </row>
    <row r="3982" spans="15:18" x14ac:dyDescent="0.15">
      <c r="O3982" s="7" t="str">
        <f>"REQ"&amp;TEXT([2]RequestList!$A3983,"0000")</f>
        <v>REQ0000</v>
      </c>
      <c r="P3982" s="7">
        <f>[2]RequestList!$J3983</f>
        <v>0</v>
      </c>
      <c r="Q3982" s="65">
        <f>SUMIF(日報!$R:$R,TEXT(YEAR($Q$2),"0000")&amp;TEXT(MONTH($Q$2),"00")&amp;$O3982,日報!$L:$L)</f>
        <v>0</v>
      </c>
      <c r="R3982" s="65">
        <f ca="1">SUMIF(日報!$J:$J,$O3982,日報!$L:$L)</f>
        <v>0</v>
      </c>
    </row>
    <row r="3983" spans="15:18" x14ac:dyDescent="0.15">
      <c r="O3983" s="7" t="str">
        <f>"REQ"&amp;TEXT([2]RequestList!$A3984,"0000")</f>
        <v>REQ0000</v>
      </c>
      <c r="P3983" s="7">
        <f>[2]RequestList!$J3984</f>
        <v>0</v>
      </c>
      <c r="Q3983" s="65">
        <f>SUMIF(日報!$R:$R,TEXT(YEAR($Q$2),"0000")&amp;TEXT(MONTH($Q$2),"00")&amp;$O3983,日報!$L:$L)</f>
        <v>0</v>
      </c>
      <c r="R3983" s="65">
        <f ca="1">SUMIF(日報!$J:$J,$O3983,日報!$L:$L)</f>
        <v>0</v>
      </c>
    </row>
    <row r="3984" spans="15:18" x14ac:dyDescent="0.15">
      <c r="O3984" s="7" t="str">
        <f>"REQ"&amp;TEXT([2]RequestList!$A3985,"0000")</f>
        <v>REQ0000</v>
      </c>
      <c r="P3984" s="7">
        <f>[2]RequestList!$J3985</f>
        <v>0</v>
      </c>
      <c r="Q3984" s="65">
        <f>SUMIF(日報!$R:$R,TEXT(YEAR($Q$2),"0000")&amp;TEXT(MONTH($Q$2),"00")&amp;$O3984,日報!$L:$L)</f>
        <v>0</v>
      </c>
      <c r="R3984" s="65">
        <f ca="1">SUMIF(日報!$J:$J,$O3984,日報!$L:$L)</f>
        <v>0</v>
      </c>
    </row>
    <row r="3985" spans="15:18" x14ac:dyDescent="0.15">
      <c r="O3985" s="7" t="str">
        <f>"REQ"&amp;TEXT([2]RequestList!$A3986,"0000")</f>
        <v>REQ0000</v>
      </c>
      <c r="P3985" s="7">
        <f>[2]RequestList!$J3986</f>
        <v>0</v>
      </c>
      <c r="Q3985" s="65">
        <f>SUMIF(日報!$R:$R,TEXT(YEAR($Q$2),"0000")&amp;TEXT(MONTH($Q$2),"00")&amp;$O3985,日報!$L:$L)</f>
        <v>0</v>
      </c>
      <c r="R3985" s="65">
        <f ca="1">SUMIF(日報!$J:$J,$O3985,日報!$L:$L)</f>
        <v>0</v>
      </c>
    </row>
    <row r="3986" spans="15:18" x14ac:dyDescent="0.15">
      <c r="O3986" s="7" t="str">
        <f>"REQ"&amp;TEXT([2]RequestList!$A3987,"0000")</f>
        <v>REQ0000</v>
      </c>
      <c r="P3986" s="7">
        <f>[2]RequestList!$J3987</f>
        <v>0</v>
      </c>
      <c r="Q3986" s="65">
        <f>SUMIF(日報!$R:$R,TEXT(YEAR($Q$2),"0000")&amp;TEXT(MONTH($Q$2),"00")&amp;$O3986,日報!$L:$L)</f>
        <v>0</v>
      </c>
      <c r="R3986" s="65">
        <f ca="1">SUMIF(日報!$J:$J,$O3986,日報!$L:$L)</f>
        <v>0</v>
      </c>
    </row>
    <row r="3987" spans="15:18" x14ac:dyDescent="0.15">
      <c r="O3987" s="7" t="str">
        <f>"REQ"&amp;TEXT([2]RequestList!$A3988,"0000")</f>
        <v>REQ0000</v>
      </c>
      <c r="P3987" s="7">
        <f>[2]RequestList!$J3988</f>
        <v>0</v>
      </c>
      <c r="Q3987" s="65">
        <f>SUMIF(日報!$R:$R,TEXT(YEAR($Q$2),"0000")&amp;TEXT(MONTH($Q$2),"00")&amp;$O3987,日報!$L:$L)</f>
        <v>0</v>
      </c>
      <c r="R3987" s="65">
        <f ca="1">SUMIF(日報!$J:$J,$O3987,日報!$L:$L)</f>
        <v>0</v>
      </c>
    </row>
    <row r="3988" spans="15:18" x14ac:dyDescent="0.15">
      <c r="O3988" s="7" t="str">
        <f>"REQ"&amp;TEXT([2]RequestList!$A3989,"0000")</f>
        <v>REQ0000</v>
      </c>
      <c r="P3988" s="7">
        <f>[2]RequestList!$J3989</f>
        <v>0</v>
      </c>
      <c r="Q3988" s="65">
        <f>SUMIF(日報!$R:$R,TEXT(YEAR($Q$2),"0000")&amp;TEXT(MONTH($Q$2),"00")&amp;$O3988,日報!$L:$L)</f>
        <v>0</v>
      </c>
      <c r="R3988" s="65">
        <f ca="1">SUMIF(日報!$J:$J,$O3988,日報!$L:$L)</f>
        <v>0</v>
      </c>
    </row>
    <row r="3989" spans="15:18" x14ac:dyDescent="0.15">
      <c r="O3989" s="7" t="str">
        <f>"REQ"&amp;TEXT([2]RequestList!$A3990,"0000")</f>
        <v>REQ0000</v>
      </c>
      <c r="P3989" s="7">
        <f>[2]RequestList!$J3990</f>
        <v>0</v>
      </c>
      <c r="Q3989" s="65">
        <f>SUMIF(日報!$R:$R,TEXT(YEAR($Q$2),"0000")&amp;TEXT(MONTH($Q$2),"00")&amp;$O3989,日報!$L:$L)</f>
        <v>0</v>
      </c>
      <c r="R3989" s="65">
        <f ca="1">SUMIF(日報!$J:$J,$O3989,日報!$L:$L)</f>
        <v>0</v>
      </c>
    </row>
    <row r="3990" spans="15:18" x14ac:dyDescent="0.15">
      <c r="O3990" s="7" t="str">
        <f>"REQ"&amp;TEXT([2]RequestList!$A3991,"0000")</f>
        <v>REQ0000</v>
      </c>
      <c r="P3990" s="7">
        <f>[2]RequestList!$J3991</f>
        <v>0</v>
      </c>
      <c r="Q3990" s="65">
        <f>SUMIF(日報!$R:$R,TEXT(YEAR($Q$2),"0000")&amp;TEXT(MONTH($Q$2),"00")&amp;$O3990,日報!$L:$L)</f>
        <v>0</v>
      </c>
      <c r="R3990" s="65">
        <f ca="1">SUMIF(日報!$J:$J,$O3990,日報!$L:$L)</f>
        <v>0</v>
      </c>
    </row>
    <row r="3991" spans="15:18" x14ac:dyDescent="0.15">
      <c r="O3991" s="7" t="str">
        <f>"REQ"&amp;TEXT([2]RequestList!$A3992,"0000")</f>
        <v>REQ0000</v>
      </c>
      <c r="P3991" s="7">
        <f>[2]RequestList!$J3992</f>
        <v>0</v>
      </c>
      <c r="Q3991" s="65">
        <f>SUMIF(日報!$R:$R,TEXT(YEAR($Q$2),"0000")&amp;TEXT(MONTH($Q$2),"00")&amp;$O3991,日報!$L:$L)</f>
        <v>0</v>
      </c>
      <c r="R3991" s="65">
        <f ca="1">SUMIF(日報!$J:$J,$O3991,日報!$L:$L)</f>
        <v>0</v>
      </c>
    </row>
    <row r="3992" spans="15:18" x14ac:dyDescent="0.15">
      <c r="O3992" s="7" t="str">
        <f>"REQ"&amp;TEXT([2]RequestList!$A3993,"0000")</f>
        <v>REQ0000</v>
      </c>
      <c r="P3992" s="7">
        <f>[2]RequestList!$J3993</f>
        <v>0</v>
      </c>
      <c r="Q3992" s="65">
        <f>SUMIF(日報!$R:$R,TEXT(YEAR($Q$2),"0000")&amp;TEXT(MONTH($Q$2),"00")&amp;$O3992,日報!$L:$L)</f>
        <v>0</v>
      </c>
      <c r="R3992" s="65">
        <f ca="1">SUMIF(日報!$J:$J,$O3992,日報!$L:$L)</f>
        <v>0</v>
      </c>
    </row>
    <row r="3993" spans="15:18" x14ac:dyDescent="0.15">
      <c r="O3993" s="7" t="str">
        <f>"REQ"&amp;TEXT([2]RequestList!$A3994,"0000")</f>
        <v>REQ0000</v>
      </c>
      <c r="P3993" s="7">
        <f>[2]RequestList!$J3994</f>
        <v>0</v>
      </c>
      <c r="Q3993" s="65">
        <f>SUMIF(日報!$R:$R,TEXT(YEAR($Q$2),"0000")&amp;TEXT(MONTH($Q$2),"00")&amp;$O3993,日報!$L:$L)</f>
        <v>0</v>
      </c>
      <c r="R3993" s="65">
        <f ca="1">SUMIF(日報!$J:$J,$O3993,日報!$L:$L)</f>
        <v>0</v>
      </c>
    </row>
    <row r="3994" spans="15:18" x14ac:dyDescent="0.15">
      <c r="O3994" s="7" t="str">
        <f>"REQ"&amp;TEXT([2]RequestList!$A3995,"0000")</f>
        <v>REQ0000</v>
      </c>
      <c r="P3994" s="7">
        <f>[2]RequestList!$J3995</f>
        <v>0</v>
      </c>
      <c r="Q3994" s="65">
        <f>SUMIF(日報!$R:$R,TEXT(YEAR($Q$2),"0000")&amp;TEXT(MONTH($Q$2),"00")&amp;$O3994,日報!$L:$L)</f>
        <v>0</v>
      </c>
      <c r="R3994" s="65">
        <f ca="1">SUMIF(日報!$J:$J,$O3994,日報!$L:$L)</f>
        <v>0</v>
      </c>
    </row>
    <row r="3995" spans="15:18" x14ac:dyDescent="0.15">
      <c r="O3995" s="7" t="str">
        <f>"REQ"&amp;TEXT([2]RequestList!$A3996,"0000")</f>
        <v>REQ0000</v>
      </c>
      <c r="P3995" s="7">
        <f>[2]RequestList!$J3996</f>
        <v>0</v>
      </c>
      <c r="Q3995" s="65">
        <f>SUMIF(日報!$R:$R,TEXT(YEAR($Q$2),"0000")&amp;TEXT(MONTH($Q$2),"00")&amp;$O3995,日報!$L:$L)</f>
        <v>0</v>
      </c>
      <c r="R3995" s="65">
        <f ca="1">SUMIF(日報!$J:$J,$O3995,日報!$L:$L)</f>
        <v>0</v>
      </c>
    </row>
    <row r="3996" spans="15:18" x14ac:dyDescent="0.15">
      <c r="O3996" s="7" t="str">
        <f>"REQ"&amp;TEXT([2]RequestList!$A3997,"0000")</f>
        <v>REQ0000</v>
      </c>
      <c r="P3996" s="7">
        <f>[2]RequestList!$J3997</f>
        <v>0</v>
      </c>
      <c r="Q3996" s="65">
        <f>SUMIF(日報!$R:$R,TEXT(YEAR($Q$2),"0000")&amp;TEXT(MONTH($Q$2),"00")&amp;$O3996,日報!$L:$L)</f>
        <v>0</v>
      </c>
      <c r="R3996" s="65">
        <f ca="1">SUMIF(日報!$J:$J,$O3996,日報!$L:$L)</f>
        <v>0</v>
      </c>
    </row>
    <row r="3997" spans="15:18" x14ac:dyDescent="0.15">
      <c r="O3997" s="7" t="str">
        <f>"REQ"&amp;TEXT([2]RequestList!$A3998,"0000")</f>
        <v>REQ0000</v>
      </c>
      <c r="P3997" s="7">
        <f>[2]RequestList!$J3998</f>
        <v>0</v>
      </c>
      <c r="Q3997" s="65">
        <f>SUMIF(日報!$R:$R,TEXT(YEAR($Q$2),"0000")&amp;TEXT(MONTH($Q$2),"00")&amp;$O3997,日報!$L:$L)</f>
        <v>0</v>
      </c>
      <c r="R3997" s="65">
        <f ca="1">SUMIF(日報!$J:$J,$O3997,日報!$L:$L)</f>
        <v>0</v>
      </c>
    </row>
    <row r="3998" spans="15:18" x14ac:dyDescent="0.15">
      <c r="O3998" s="7" t="str">
        <f>"REQ"&amp;TEXT([2]RequestList!$A3999,"0000")</f>
        <v>REQ0000</v>
      </c>
      <c r="P3998" s="7">
        <f>[2]RequestList!$J3999</f>
        <v>0</v>
      </c>
      <c r="Q3998" s="65">
        <f>SUMIF(日報!$R:$R,TEXT(YEAR($Q$2),"0000")&amp;TEXT(MONTH($Q$2),"00")&amp;$O3998,日報!$L:$L)</f>
        <v>0</v>
      </c>
      <c r="R3998" s="65">
        <f ca="1">SUMIF(日報!$J:$J,$O3998,日報!$L:$L)</f>
        <v>0</v>
      </c>
    </row>
    <row r="3999" spans="15:18" x14ac:dyDescent="0.15">
      <c r="O3999" s="7" t="str">
        <f>"REQ"&amp;TEXT([2]RequestList!$A4000,"0000")</f>
        <v>REQ0000</v>
      </c>
      <c r="P3999" s="7">
        <f>[2]RequestList!$J4000</f>
        <v>0</v>
      </c>
      <c r="Q3999" s="65">
        <f>SUMIF(日報!$R:$R,TEXT(YEAR($Q$2),"0000")&amp;TEXT(MONTH($Q$2),"00")&amp;$O3999,日報!$L:$L)</f>
        <v>0</v>
      </c>
      <c r="R3999" s="65">
        <f ca="1">SUMIF(日報!$J:$J,$O3999,日報!$L:$L)</f>
        <v>0</v>
      </c>
    </row>
    <row r="4000" spans="15:18" x14ac:dyDescent="0.15">
      <c r="O4000" s="7" t="str">
        <f>"REQ"&amp;TEXT([2]RequestList!$A4001,"0000")</f>
        <v>REQ0000</v>
      </c>
      <c r="P4000" s="7">
        <f>[2]RequestList!$J4001</f>
        <v>0</v>
      </c>
      <c r="Q4000" s="65">
        <f>SUMIF(日報!$R:$R,TEXT(YEAR($Q$2),"0000")&amp;TEXT(MONTH($Q$2),"00")&amp;$O4000,日報!$L:$L)</f>
        <v>0</v>
      </c>
      <c r="R4000" s="65">
        <f ca="1">SUMIF(日報!$J:$J,$O4000,日報!$L:$L)</f>
        <v>0</v>
      </c>
    </row>
    <row r="4001" spans="15:18" x14ac:dyDescent="0.15">
      <c r="O4001" s="7" t="str">
        <f>"REQ"&amp;TEXT([2]RequestList!$A4002,"0000")</f>
        <v>REQ0000</v>
      </c>
      <c r="P4001" s="7">
        <f>[2]RequestList!$J4002</f>
        <v>0</v>
      </c>
      <c r="Q4001" s="65">
        <f>SUMIF(日報!$R:$R,TEXT(YEAR($Q$2),"0000")&amp;TEXT(MONTH($Q$2),"00")&amp;$O4001,日報!$L:$L)</f>
        <v>0</v>
      </c>
      <c r="R4001" s="65">
        <f ca="1">SUMIF(日報!$J:$J,$O4001,日報!$L:$L)</f>
        <v>0</v>
      </c>
    </row>
    <row r="4002" spans="15:18" x14ac:dyDescent="0.15">
      <c r="O4002" s="7" t="str">
        <f>"REQ"&amp;TEXT([2]RequestList!$A4003,"0000")</f>
        <v>REQ0000</v>
      </c>
      <c r="P4002" s="7">
        <f>[2]RequestList!$J4003</f>
        <v>0</v>
      </c>
      <c r="Q4002" s="65">
        <f>SUMIF(日報!$R:$R,TEXT(YEAR($Q$2),"0000")&amp;TEXT(MONTH($Q$2),"00")&amp;$O4002,日報!$L:$L)</f>
        <v>0</v>
      </c>
      <c r="R4002" s="65">
        <f ca="1">SUMIF(日報!$J:$J,$O4002,日報!$L:$L)</f>
        <v>0</v>
      </c>
    </row>
    <row r="4003" spans="15:18" x14ac:dyDescent="0.15">
      <c r="O4003" s="7" t="str">
        <f>"REQ"&amp;TEXT([2]RequestList!$A4004,"0000")</f>
        <v>REQ0000</v>
      </c>
      <c r="P4003" s="7">
        <f>[2]RequestList!$J4004</f>
        <v>0</v>
      </c>
      <c r="Q4003" s="65">
        <f>SUMIF(日報!$R:$R,TEXT(YEAR($Q$2),"0000")&amp;TEXT(MONTH($Q$2),"00")&amp;$O4003,日報!$L:$L)</f>
        <v>0</v>
      </c>
      <c r="R4003" s="65">
        <f ca="1">SUMIF(日報!$J:$J,$O4003,日報!$L:$L)</f>
        <v>0</v>
      </c>
    </row>
    <row r="4004" spans="15:18" x14ac:dyDescent="0.15">
      <c r="O4004" s="7" t="str">
        <f>"REQ"&amp;TEXT([2]RequestList!$A4005,"0000")</f>
        <v>REQ0000</v>
      </c>
      <c r="P4004" s="7">
        <f>[2]RequestList!$J4005</f>
        <v>0</v>
      </c>
      <c r="Q4004" s="65">
        <f>SUMIF(日報!$R:$R,TEXT(YEAR($Q$2),"0000")&amp;TEXT(MONTH($Q$2),"00")&amp;$O4004,日報!$L:$L)</f>
        <v>0</v>
      </c>
      <c r="R4004" s="65">
        <f ca="1">SUMIF(日報!$J:$J,$O4004,日報!$L:$L)</f>
        <v>0</v>
      </c>
    </row>
    <row r="4005" spans="15:18" x14ac:dyDescent="0.15">
      <c r="O4005" s="7" t="str">
        <f>"REQ"&amp;TEXT([2]RequestList!$A4006,"0000")</f>
        <v>REQ0000</v>
      </c>
      <c r="P4005" s="7">
        <f>[2]RequestList!$J4006</f>
        <v>0</v>
      </c>
      <c r="Q4005" s="65">
        <f>SUMIF(日報!$R:$R,TEXT(YEAR($Q$2),"0000")&amp;TEXT(MONTH($Q$2),"00")&amp;$O4005,日報!$L:$L)</f>
        <v>0</v>
      </c>
      <c r="R4005" s="65">
        <f ca="1">SUMIF(日報!$J:$J,$O4005,日報!$L:$L)</f>
        <v>0</v>
      </c>
    </row>
    <row r="4006" spans="15:18" x14ac:dyDescent="0.15">
      <c r="O4006" s="7" t="str">
        <f>"REQ"&amp;TEXT([2]RequestList!$A4007,"0000")</f>
        <v>REQ0000</v>
      </c>
      <c r="P4006" s="7">
        <f>[2]RequestList!$J4007</f>
        <v>0</v>
      </c>
      <c r="Q4006" s="65">
        <f>SUMIF(日報!$R:$R,TEXT(YEAR($Q$2),"0000")&amp;TEXT(MONTH($Q$2),"00")&amp;$O4006,日報!$L:$L)</f>
        <v>0</v>
      </c>
      <c r="R4006" s="65">
        <f ca="1">SUMIF(日報!$J:$J,$O4006,日報!$L:$L)</f>
        <v>0</v>
      </c>
    </row>
    <row r="4007" spans="15:18" x14ac:dyDescent="0.15">
      <c r="O4007" s="7" t="str">
        <f>"REQ"&amp;TEXT([2]RequestList!$A4008,"0000")</f>
        <v>REQ0000</v>
      </c>
      <c r="P4007" s="7">
        <f>[2]RequestList!$J4008</f>
        <v>0</v>
      </c>
      <c r="Q4007" s="65">
        <f>SUMIF(日報!$R:$R,TEXT(YEAR($Q$2),"0000")&amp;TEXT(MONTH($Q$2),"00")&amp;$O4007,日報!$L:$L)</f>
        <v>0</v>
      </c>
      <c r="R4007" s="65">
        <f ca="1">SUMIF(日報!$J:$J,$O4007,日報!$L:$L)</f>
        <v>0</v>
      </c>
    </row>
    <row r="4008" spans="15:18" x14ac:dyDescent="0.15">
      <c r="O4008" s="7" t="str">
        <f>"REQ"&amp;TEXT([2]RequestList!$A4009,"0000")</f>
        <v>REQ0000</v>
      </c>
      <c r="P4008" s="7">
        <f>[2]RequestList!$J4009</f>
        <v>0</v>
      </c>
      <c r="Q4008" s="65">
        <f>SUMIF(日報!$R:$R,TEXT(YEAR($Q$2),"0000")&amp;TEXT(MONTH($Q$2),"00")&amp;$O4008,日報!$L:$L)</f>
        <v>0</v>
      </c>
      <c r="R4008" s="65">
        <f ca="1">SUMIF(日報!$J:$J,$O4008,日報!$L:$L)</f>
        <v>0</v>
      </c>
    </row>
    <row r="4009" spans="15:18" x14ac:dyDescent="0.15">
      <c r="O4009" s="7" t="str">
        <f>"REQ"&amp;TEXT([2]RequestList!$A4010,"0000")</f>
        <v>REQ0000</v>
      </c>
      <c r="P4009" s="7">
        <f>[2]RequestList!$J4010</f>
        <v>0</v>
      </c>
      <c r="Q4009" s="65">
        <f>SUMIF(日報!$R:$R,TEXT(YEAR($Q$2),"0000")&amp;TEXT(MONTH($Q$2),"00")&amp;$O4009,日報!$L:$L)</f>
        <v>0</v>
      </c>
      <c r="R4009" s="65">
        <f ca="1">SUMIF(日報!$J:$J,$O4009,日報!$L:$L)</f>
        <v>0</v>
      </c>
    </row>
    <row r="4010" spans="15:18" x14ac:dyDescent="0.15">
      <c r="O4010" s="7" t="str">
        <f>"REQ"&amp;TEXT([2]RequestList!$A4011,"0000")</f>
        <v>REQ0000</v>
      </c>
      <c r="P4010" s="7">
        <f>[2]RequestList!$J4011</f>
        <v>0</v>
      </c>
      <c r="Q4010" s="65">
        <f>SUMIF(日報!$R:$R,TEXT(YEAR($Q$2),"0000")&amp;TEXT(MONTH($Q$2),"00")&amp;$O4010,日報!$L:$L)</f>
        <v>0</v>
      </c>
      <c r="R4010" s="65">
        <f ca="1">SUMIF(日報!$J:$J,$O4010,日報!$L:$L)</f>
        <v>0</v>
      </c>
    </row>
    <row r="4011" spans="15:18" x14ac:dyDescent="0.15">
      <c r="O4011" s="7" t="str">
        <f>"REQ"&amp;TEXT([2]RequestList!$A4012,"0000")</f>
        <v>REQ0000</v>
      </c>
      <c r="P4011" s="7">
        <f>[2]RequestList!$J4012</f>
        <v>0</v>
      </c>
      <c r="Q4011" s="65">
        <f>SUMIF(日報!$R:$R,TEXT(YEAR($Q$2),"0000")&amp;TEXT(MONTH($Q$2),"00")&amp;$O4011,日報!$L:$L)</f>
        <v>0</v>
      </c>
      <c r="R4011" s="65">
        <f ca="1">SUMIF(日報!$J:$J,$O4011,日報!$L:$L)</f>
        <v>0</v>
      </c>
    </row>
    <row r="4012" spans="15:18" x14ac:dyDescent="0.15">
      <c r="O4012" s="7" t="str">
        <f>"REQ"&amp;TEXT([2]RequestList!$A4013,"0000")</f>
        <v>REQ0000</v>
      </c>
      <c r="P4012" s="7">
        <f>[2]RequestList!$J4013</f>
        <v>0</v>
      </c>
      <c r="Q4012" s="65">
        <f>SUMIF(日報!$R:$R,TEXT(YEAR($Q$2),"0000")&amp;TEXT(MONTH($Q$2),"00")&amp;$O4012,日報!$L:$L)</f>
        <v>0</v>
      </c>
      <c r="R4012" s="65">
        <f ca="1">SUMIF(日報!$J:$J,$O4012,日報!$L:$L)</f>
        <v>0</v>
      </c>
    </row>
    <row r="4013" spans="15:18" x14ac:dyDescent="0.15">
      <c r="O4013" s="7" t="str">
        <f>"REQ"&amp;TEXT([2]RequestList!$A4014,"0000")</f>
        <v>REQ0000</v>
      </c>
      <c r="P4013" s="7">
        <f>[2]RequestList!$J4014</f>
        <v>0</v>
      </c>
      <c r="Q4013" s="65">
        <f>SUMIF(日報!$R:$R,TEXT(YEAR($Q$2),"0000")&amp;TEXT(MONTH($Q$2),"00")&amp;$O4013,日報!$L:$L)</f>
        <v>0</v>
      </c>
      <c r="R4013" s="65">
        <f ca="1">SUMIF(日報!$J:$J,$O4013,日報!$L:$L)</f>
        <v>0</v>
      </c>
    </row>
    <row r="4014" spans="15:18" x14ac:dyDescent="0.15">
      <c r="O4014" s="7" t="str">
        <f>"REQ"&amp;TEXT([2]RequestList!$A4015,"0000")</f>
        <v>REQ0000</v>
      </c>
      <c r="P4014" s="7">
        <f>[2]RequestList!$J4015</f>
        <v>0</v>
      </c>
      <c r="Q4014" s="65">
        <f>SUMIF(日報!$R:$R,TEXT(YEAR($Q$2),"0000")&amp;TEXT(MONTH($Q$2),"00")&amp;$O4014,日報!$L:$L)</f>
        <v>0</v>
      </c>
      <c r="R4014" s="65">
        <f ca="1">SUMIF(日報!$J:$J,$O4014,日報!$L:$L)</f>
        <v>0</v>
      </c>
    </row>
    <row r="4015" spans="15:18" x14ac:dyDescent="0.15">
      <c r="O4015" s="7" t="str">
        <f>"REQ"&amp;TEXT([2]RequestList!$A4016,"0000")</f>
        <v>REQ0000</v>
      </c>
      <c r="P4015" s="7">
        <f>[2]RequestList!$J4016</f>
        <v>0</v>
      </c>
      <c r="Q4015" s="65">
        <f>SUMIF(日報!$R:$R,TEXT(YEAR($Q$2),"0000")&amp;TEXT(MONTH($Q$2),"00")&amp;$O4015,日報!$L:$L)</f>
        <v>0</v>
      </c>
      <c r="R4015" s="65">
        <f ca="1">SUMIF(日報!$J:$J,$O4015,日報!$L:$L)</f>
        <v>0</v>
      </c>
    </row>
    <row r="4016" spans="15:18" x14ac:dyDescent="0.15">
      <c r="O4016" s="7" t="str">
        <f>"REQ"&amp;TEXT([2]RequestList!$A4017,"0000")</f>
        <v>REQ0000</v>
      </c>
      <c r="P4016" s="7">
        <f>[2]RequestList!$J4017</f>
        <v>0</v>
      </c>
      <c r="Q4016" s="65">
        <f>SUMIF(日報!$R:$R,TEXT(YEAR($Q$2),"0000")&amp;TEXT(MONTH($Q$2),"00")&amp;$O4016,日報!$L:$L)</f>
        <v>0</v>
      </c>
      <c r="R4016" s="65">
        <f ca="1">SUMIF(日報!$J:$J,$O4016,日報!$L:$L)</f>
        <v>0</v>
      </c>
    </row>
    <row r="4017" spans="15:18" x14ac:dyDescent="0.15">
      <c r="O4017" s="7" t="str">
        <f>"REQ"&amp;TEXT([2]RequestList!$A4018,"0000")</f>
        <v>REQ0000</v>
      </c>
      <c r="P4017" s="7">
        <f>[2]RequestList!$J4018</f>
        <v>0</v>
      </c>
      <c r="Q4017" s="65">
        <f>SUMIF(日報!$R:$R,TEXT(YEAR($Q$2),"0000")&amp;TEXT(MONTH($Q$2),"00")&amp;$O4017,日報!$L:$L)</f>
        <v>0</v>
      </c>
      <c r="R4017" s="65">
        <f ca="1">SUMIF(日報!$J:$J,$O4017,日報!$L:$L)</f>
        <v>0</v>
      </c>
    </row>
    <row r="4018" spans="15:18" x14ac:dyDescent="0.15">
      <c r="O4018" s="7" t="str">
        <f>"REQ"&amp;TEXT([2]RequestList!$A4019,"0000")</f>
        <v>REQ0000</v>
      </c>
      <c r="P4018" s="7">
        <f>[2]RequestList!$J4019</f>
        <v>0</v>
      </c>
      <c r="Q4018" s="65">
        <f>SUMIF(日報!$R:$R,TEXT(YEAR($Q$2),"0000")&amp;TEXT(MONTH($Q$2),"00")&amp;$O4018,日報!$L:$L)</f>
        <v>0</v>
      </c>
      <c r="R4018" s="65">
        <f ca="1">SUMIF(日報!$J:$J,$O4018,日報!$L:$L)</f>
        <v>0</v>
      </c>
    </row>
    <row r="4019" spans="15:18" x14ac:dyDescent="0.15">
      <c r="O4019" s="7" t="str">
        <f>"REQ"&amp;TEXT([2]RequestList!$A4020,"0000")</f>
        <v>REQ0000</v>
      </c>
      <c r="P4019" s="7">
        <f>[2]RequestList!$J4020</f>
        <v>0</v>
      </c>
      <c r="Q4019" s="65">
        <f>SUMIF(日報!$R:$R,TEXT(YEAR($Q$2),"0000")&amp;TEXT(MONTH($Q$2),"00")&amp;$O4019,日報!$L:$L)</f>
        <v>0</v>
      </c>
      <c r="R4019" s="65">
        <f ca="1">SUMIF(日報!$J:$J,$O4019,日報!$L:$L)</f>
        <v>0</v>
      </c>
    </row>
    <row r="4020" spans="15:18" x14ac:dyDescent="0.15">
      <c r="O4020" s="7" t="str">
        <f>"REQ"&amp;TEXT([2]RequestList!$A4021,"0000")</f>
        <v>REQ0000</v>
      </c>
      <c r="P4020" s="7">
        <f>[2]RequestList!$J4021</f>
        <v>0</v>
      </c>
      <c r="Q4020" s="65">
        <f>SUMIF(日報!$R:$R,TEXT(YEAR($Q$2),"0000")&amp;TEXT(MONTH($Q$2),"00")&amp;$O4020,日報!$L:$L)</f>
        <v>0</v>
      </c>
      <c r="R4020" s="65">
        <f ca="1">SUMIF(日報!$J:$J,$O4020,日報!$L:$L)</f>
        <v>0</v>
      </c>
    </row>
    <row r="4021" spans="15:18" x14ac:dyDescent="0.15">
      <c r="O4021" s="7" t="str">
        <f>"REQ"&amp;TEXT([2]RequestList!$A4022,"0000")</f>
        <v>REQ0000</v>
      </c>
      <c r="P4021" s="7">
        <f>[2]RequestList!$J4022</f>
        <v>0</v>
      </c>
      <c r="Q4021" s="65">
        <f>SUMIF(日報!$R:$R,TEXT(YEAR($Q$2),"0000")&amp;TEXT(MONTH($Q$2),"00")&amp;$O4021,日報!$L:$L)</f>
        <v>0</v>
      </c>
      <c r="R4021" s="65">
        <f ca="1">SUMIF(日報!$J:$J,$O4021,日報!$L:$L)</f>
        <v>0</v>
      </c>
    </row>
    <row r="4022" spans="15:18" x14ac:dyDescent="0.15">
      <c r="O4022" s="7" t="str">
        <f>"REQ"&amp;TEXT([2]RequestList!$A4023,"0000")</f>
        <v>REQ0000</v>
      </c>
      <c r="P4022" s="7">
        <f>[2]RequestList!$J4023</f>
        <v>0</v>
      </c>
      <c r="Q4022" s="65">
        <f>SUMIF(日報!$R:$R,TEXT(YEAR($Q$2),"0000")&amp;TEXT(MONTH($Q$2),"00")&amp;$O4022,日報!$L:$L)</f>
        <v>0</v>
      </c>
      <c r="R4022" s="65">
        <f ca="1">SUMIF(日報!$J:$J,$O4022,日報!$L:$L)</f>
        <v>0</v>
      </c>
    </row>
    <row r="4023" spans="15:18" x14ac:dyDescent="0.15">
      <c r="O4023" s="7" t="str">
        <f>"REQ"&amp;TEXT([2]RequestList!$A4024,"0000")</f>
        <v>REQ0000</v>
      </c>
      <c r="P4023" s="7">
        <f>[2]RequestList!$J4024</f>
        <v>0</v>
      </c>
      <c r="Q4023" s="65">
        <f>SUMIF(日報!$R:$R,TEXT(YEAR($Q$2),"0000")&amp;TEXT(MONTH($Q$2),"00")&amp;$O4023,日報!$L:$L)</f>
        <v>0</v>
      </c>
      <c r="R4023" s="65">
        <f ca="1">SUMIF(日報!$J:$J,$O4023,日報!$L:$L)</f>
        <v>0</v>
      </c>
    </row>
    <row r="4024" spans="15:18" x14ac:dyDescent="0.15">
      <c r="O4024" s="7" t="str">
        <f>"REQ"&amp;TEXT([2]RequestList!$A4025,"0000")</f>
        <v>REQ0000</v>
      </c>
      <c r="P4024" s="7">
        <f>[2]RequestList!$J4025</f>
        <v>0</v>
      </c>
      <c r="Q4024" s="65">
        <f>SUMIF(日報!$R:$R,TEXT(YEAR($Q$2),"0000")&amp;TEXT(MONTH($Q$2),"00")&amp;$O4024,日報!$L:$L)</f>
        <v>0</v>
      </c>
      <c r="R4024" s="65">
        <f ca="1">SUMIF(日報!$J:$J,$O4024,日報!$L:$L)</f>
        <v>0</v>
      </c>
    </row>
    <row r="4025" spans="15:18" x14ac:dyDescent="0.15">
      <c r="O4025" s="7" t="str">
        <f>"REQ"&amp;TEXT([2]RequestList!$A4026,"0000")</f>
        <v>REQ0000</v>
      </c>
      <c r="P4025" s="7">
        <f>[2]RequestList!$J4026</f>
        <v>0</v>
      </c>
      <c r="Q4025" s="65">
        <f>SUMIF(日報!$R:$R,TEXT(YEAR($Q$2),"0000")&amp;TEXT(MONTH($Q$2),"00")&amp;$O4025,日報!$L:$L)</f>
        <v>0</v>
      </c>
      <c r="R4025" s="65">
        <f ca="1">SUMIF(日報!$J:$J,$O4025,日報!$L:$L)</f>
        <v>0</v>
      </c>
    </row>
    <row r="4026" spans="15:18" x14ac:dyDescent="0.15">
      <c r="O4026" s="7" t="str">
        <f>"REQ"&amp;TEXT([2]RequestList!$A4027,"0000")</f>
        <v>REQ0000</v>
      </c>
      <c r="P4026" s="7">
        <f>[2]RequestList!$J4027</f>
        <v>0</v>
      </c>
      <c r="Q4026" s="65">
        <f>SUMIF(日報!$R:$R,TEXT(YEAR($Q$2),"0000")&amp;TEXT(MONTH($Q$2),"00")&amp;$O4026,日報!$L:$L)</f>
        <v>0</v>
      </c>
      <c r="R4026" s="65">
        <f ca="1">SUMIF(日報!$J:$J,$O4026,日報!$L:$L)</f>
        <v>0</v>
      </c>
    </row>
    <row r="4027" spans="15:18" x14ac:dyDescent="0.15">
      <c r="O4027" s="7" t="str">
        <f>"REQ"&amp;TEXT([2]RequestList!$A4028,"0000")</f>
        <v>REQ0000</v>
      </c>
      <c r="P4027" s="7">
        <f>[2]RequestList!$J4028</f>
        <v>0</v>
      </c>
      <c r="Q4027" s="65">
        <f>SUMIF(日報!$R:$R,TEXT(YEAR($Q$2),"0000")&amp;TEXT(MONTH($Q$2),"00")&amp;$O4027,日報!$L:$L)</f>
        <v>0</v>
      </c>
      <c r="R4027" s="65">
        <f ca="1">SUMIF(日報!$J:$J,$O4027,日報!$L:$L)</f>
        <v>0</v>
      </c>
    </row>
    <row r="4028" spans="15:18" x14ac:dyDescent="0.15">
      <c r="O4028" s="7" t="str">
        <f>"REQ"&amp;TEXT([2]RequestList!$A4029,"0000")</f>
        <v>REQ0000</v>
      </c>
      <c r="P4028" s="7">
        <f>[2]RequestList!$J4029</f>
        <v>0</v>
      </c>
      <c r="Q4028" s="65">
        <f>SUMIF(日報!$R:$R,TEXT(YEAR($Q$2),"0000")&amp;TEXT(MONTH($Q$2),"00")&amp;$O4028,日報!$L:$L)</f>
        <v>0</v>
      </c>
      <c r="R4028" s="65">
        <f ca="1">SUMIF(日報!$J:$J,$O4028,日報!$L:$L)</f>
        <v>0</v>
      </c>
    </row>
    <row r="4029" spans="15:18" x14ac:dyDescent="0.15">
      <c r="O4029" s="7" t="str">
        <f>"REQ"&amp;TEXT([2]RequestList!$A4030,"0000")</f>
        <v>REQ0000</v>
      </c>
      <c r="P4029" s="7">
        <f>[2]RequestList!$J4030</f>
        <v>0</v>
      </c>
      <c r="Q4029" s="65">
        <f>SUMIF(日報!$R:$R,TEXT(YEAR($Q$2),"0000")&amp;TEXT(MONTH($Q$2),"00")&amp;$O4029,日報!$L:$L)</f>
        <v>0</v>
      </c>
      <c r="R4029" s="65">
        <f ca="1">SUMIF(日報!$J:$J,$O4029,日報!$L:$L)</f>
        <v>0</v>
      </c>
    </row>
    <row r="4030" spans="15:18" x14ac:dyDescent="0.15">
      <c r="O4030" s="7" t="str">
        <f>"REQ"&amp;TEXT([2]RequestList!$A4031,"0000")</f>
        <v>REQ0000</v>
      </c>
      <c r="P4030" s="7">
        <f>[2]RequestList!$J4031</f>
        <v>0</v>
      </c>
      <c r="Q4030" s="65">
        <f>SUMIF(日報!$R:$R,TEXT(YEAR($Q$2),"0000")&amp;TEXT(MONTH($Q$2),"00")&amp;$O4030,日報!$L:$L)</f>
        <v>0</v>
      </c>
      <c r="R4030" s="65">
        <f ca="1">SUMIF(日報!$J:$J,$O4030,日報!$L:$L)</f>
        <v>0</v>
      </c>
    </row>
    <row r="4031" spans="15:18" x14ac:dyDescent="0.15">
      <c r="O4031" s="7" t="str">
        <f>"REQ"&amp;TEXT([2]RequestList!$A4032,"0000")</f>
        <v>REQ0000</v>
      </c>
      <c r="P4031" s="7">
        <f>[2]RequestList!$J4032</f>
        <v>0</v>
      </c>
      <c r="Q4031" s="65">
        <f>SUMIF(日報!$R:$R,TEXT(YEAR($Q$2),"0000")&amp;TEXT(MONTH($Q$2),"00")&amp;$O4031,日報!$L:$L)</f>
        <v>0</v>
      </c>
      <c r="R4031" s="65">
        <f ca="1">SUMIF(日報!$J:$J,$O4031,日報!$L:$L)</f>
        <v>0</v>
      </c>
    </row>
    <row r="4032" spans="15:18" x14ac:dyDescent="0.15">
      <c r="O4032" s="7" t="str">
        <f>"REQ"&amp;TEXT([2]RequestList!$A4033,"0000")</f>
        <v>REQ0000</v>
      </c>
      <c r="P4032" s="7">
        <f>[2]RequestList!$J4033</f>
        <v>0</v>
      </c>
      <c r="Q4032" s="65">
        <f>SUMIF(日報!$R:$R,TEXT(YEAR($Q$2),"0000")&amp;TEXT(MONTH($Q$2),"00")&amp;$O4032,日報!$L:$L)</f>
        <v>0</v>
      </c>
      <c r="R4032" s="65">
        <f ca="1">SUMIF(日報!$J:$J,$O4032,日報!$L:$L)</f>
        <v>0</v>
      </c>
    </row>
    <row r="4033" spans="15:18" x14ac:dyDescent="0.15">
      <c r="O4033" s="7" t="str">
        <f>"REQ"&amp;TEXT([2]RequestList!$A4034,"0000")</f>
        <v>REQ0000</v>
      </c>
      <c r="P4033" s="7">
        <f>[2]RequestList!$J4034</f>
        <v>0</v>
      </c>
      <c r="Q4033" s="65">
        <f>SUMIF(日報!$R:$R,TEXT(YEAR($Q$2),"0000")&amp;TEXT(MONTH($Q$2),"00")&amp;$O4033,日報!$L:$L)</f>
        <v>0</v>
      </c>
      <c r="R4033" s="65">
        <f ca="1">SUMIF(日報!$J:$J,$O4033,日報!$L:$L)</f>
        <v>0</v>
      </c>
    </row>
    <row r="4034" spans="15:18" x14ac:dyDescent="0.15">
      <c r="O4034" s="7" t="str">
        <f>"REQ"&amp;TEXT([2]RequestList!$A4035,"0000")</f>
        <v>REQ0000</v>
      </c>
      <c r="P4034" s="7">
        <f>[2]RequestList!$J4035</f>
        <v>0</v>
      </c>
      <c r="Q4034" s="65">
        <f>SUMIF(日報!$R:$R,TEXT(YEAR($Q$2),"0000")&amp;TEXT(MONTH($Q$2),"00")&amp;$O4034,日報!$L:$L)</f>
        <v>0</v>
      </c>
      <c r="R4034" s="65">
        <f ca="1">SUMIF(日報!$J:$J,$O4034,日報!$L:$L)</f>
        <v>0</v>
      </c>
    </row>
    <row r="4035" spans="15:18" x14ac:dyDescent="0.15">
      <c r="O4035" s="7" t="str">
        <f>"REQ"&amp;TEXT([2]RequestList!$A4036,"0000")</f>
        <v>REQ0000</v>
      </c>
      <c r="P4035" s="7">
        <f>[2]RequestList!$J4036</f>
        <v>0</v>
      </c>
      <c r="Q4035" s="65">
        <f>SUMIF(日報!$R:$R,TEXT(YEAR($Q$2),"0000")&amp;TEXT(MONTH($Q$2),"00")&amp;$O4035,日報!$L:$L)</f>
        <v>0</v>
      </c>
      <c r="R4035" s="65">
        <f ca="1">SUMIF(日報!$J:$J,$O4035,日報!$L:$L)</f>
        <v>0</v>
      </c>
    </row>
    <row r="4036" spans="15:18" x14ac:dyDescent="0.15">
      <c r="O4036" s="7" t="str">
        <f>"REQ"&amp;TEXT([2]RequestList!$A4037,"0000")</f>
        <v>REQ0000</v>
      </c>
      <c r="P4036" s="7">
        <f>[2]RequestList!$J4037</f>
        <v>0</v>
      </c>
      <c r="Q4036" s="65">
        <f>SUMIF(日報!$R:$R,TEXT(YEAR($Q$2),"0000")&amp;TEXT(MONTH($Q$2),"00")&amp;$O4036,日報!$L:$L)</f>
        <v>0</v>
      </c>
      <c r="R4036" s="65">
        <f ca="1">SUMIF(日報!$J:$J,$O4036,日報!$L:$L)</f>
        <v>0</v>
      </c>
    </row>
    <row r="4037" spans="15:18" x14ac:dyDescent="0.15">
      <c r="O4037" s="7" t="str">
        <f>"REQ"&amp;TEXT([2]RequestList!$A4038,"0000")</f>
        <v>REQ0000</v>
      </c>
      <c r="P4037" s="7">
        <f>[2]RequestList!$J4038</f>
        <v>0</v>
      </c>
      <c r="Q4037" s="65">
        <f>SUMIF(日報!$R:$R,TEXT(YEAR($Q$2),"0000")&amp;TEXT(MONTH($Q$2),"00")&amp;$O4037,日報!$L:$L)</f>
        <v>0</v>
      </c>
      <c r="R4037" s="65">
        <f ca="1">SUMIF(日報!$J:$J,$O4037,日報!$L:$L)</f>
        <v>0</v>
      </c>
    </row>
    <row r="4038" spans="15:18" x14ac:dyDescent="0.15">
      <c r="O4038" s="7" t="str">
        <f>"REQ"&amp;TEXT([2]RequestList!$A4039,"0000")</f>
        <v>REQ0000</v>
      </c>
      <c r="P4038" s="7">
        <f>[2]RequestList!$J4039</f>
        <v>0</v>
      </c>
      <c r="Q4038" s="65">
        <f>SUMIF(日報!$R:$R,TEXT(YEAR($Q$2),"0000")&amp;TEXT(MONTH($Q$2),"00")&amp;$O4038,日報!$L:$L)</f>
        <v>0</v>
      </c>
      <c r="R4038" s="65">
        <f ca="1">SUMIF(日報!$J:$J,$O4038,日報!$L:$L)</f>
        <v>0</v>
      </c>
    </row>
    <row r="4039" spans="15:18" x14ac:dyDescent="0.15">
      <c r="O4039" s="7" t="str">
        <f>"REQ"&amp;TEXT([2]RequestList!$A4040,"0000")</f>
        <v>REQ0000</v>
      </c>
      <c r="P4039" s="7">
        <f>[2]RequestList!$J4040</f>
        <v>0</v>
      </c>
      <c r="Q4039" s="65">
        <f>SUMIF(日報!$R:$R,TEXT(YEAR($Q$2),"0000")&amp;TEXT(MONTH($Q$2),"00")&amp;$O4039,日報!$L:$L)</f>
        <v>0</v>
      </c>
      <c r="R4039" s="65">
        <f ca="1">SUMIF(日報!$J:$J,$O4039,日報!$L:$L)</f>
        <v>0</v>
      </c>
    </row>
    <row r="4040" spans="15:18" x14ac:dyDescent="0.15">
      <c r="O4040" s="7" t="str">
        <f>"REQ"&amp;TEXT([2]RequestList!$A4041,"0000")</f>
        <v>REQ0000</v>
      </c>
      <c r="P4040" s="7">
        <f>[2]RequestList!$J4041</f>
        <v>0</v>
      </c>
      <c r="Q4040" s="65">
        <f>SUMIF(日報!$R:$R,TEXT(YEAR($Q$2),"0000")&amp;TEXT(MONTH($Q$2),"00")&amp;$O4040,日報!$L:$L)</f>
        <v>0</v>
      </c>
      <c r="R4040" s="65">
        <f ca="1">SUMIF(日報!$J:$J,$O4040,日報!$L:$L)</f>
        <v>0</v>
      </c>
    </row>
    <row r="4041" spans="15:18" x14ac:dyDescent="0.15">
      <c r="O4041" s="7" t="str">
        <f>"REQ"&amp;TEXT([2]RequestList!$A4042,"0000")</f>
        <v>REQ0000</v>
      </c>
      <c r="P4041" s="7">
        <f>[2]RequestList!$J4042</f>
        <v>0</v>
      </c>
      <c r="Q4041" s="65">
        <f>SUMIF(日報!$R:$R,TEXT(YEAR($Q$2),"0000")&amp;TEXT(MONTH($Q$2),"00")&amp;$O4041,日報!$L:$L)</f>
        <v>0</v>
      </c>
      <c r="R4041" s="65">
        <f ca="1">SUMIF(日報!$J:$J,$O4041,日報!$L:$L)</f>
        <v>0</v>
      </c>
    </row>
    <row r="4042" spans="15:18" x14ac:dyDescent="0.15">
      <c r="O4042" s="7" t="str">
        <f>"REQ"&amp;TEXT([2]RequestList!$A4043,"0000")</f>
        <v>REQ0000</v>
      </c>
      <c r="P4042" s="7">
        <f>[2]RequestList!$J4043</f>
        <v>0</v>
      </c>
      <c r="Q4042" s="65">
        <f>SUMIF(日報!$R:$R,TEXT(YEAR($Q$2),"0000")&amp;TEXT(MONTH($Q$2),"00")&amp;$O4042,日報!$L:$L)</f>
        <v>0</v>
      </c>
      <c r="R4042" s="65">
        <f ca="1">SUMIF(日報!$J:$J,$O4042,日報!$L:$L)</f>
        <v>0</v>
      </c>
    </row>
    <row r="4043" spans="15:18" x14ac:dyDescent="0.15">
      <c r="O4043" s="7" t="str">
        <f>"REQ"&amp;TEXT([2]RequestList!$A4044,"0000")</f>
        <v>REQ0000</v>
      </c>
      <c r="P4043" s="7">
        <f>[2]RequestList!$J4044</f>
        <v>0</v>
      </c>
      <c r="Q4043" s="65">
        <f>SUMIF(日報!$R:$R,TEXT(YEAR($Q$2),"0000")&amp;TEXT(MONTH($Q$2),"00")&amp;$O4043,日報!$L:$L)</f>
        <v>0</v>
      </c>
      <c r="R4043" s="65">
        <f ca="1">SUMIF(日報!$J:$J,$O4043,日報!$L:$L)</f>
        <v>0</v>
      </c>
    </row>
    <row r="4044" spans="15:18" x14ac:dyDescent="0.15">
      <c r="O4044" s="7" t="str">
        <f>"REQ"&amp;TEXT([2]RequestList!$A4045,"0000")</f>
        <v>REQ0000</v>
      </c>
      <c r="P4044" s="7">
        <f>[2]RequestList!$J4045</f>
        <v>0</v>
      </c>
      <c r="Q4044" s="65">
        <f>SUMIF(日報!$R:$R,TEXT(YEAR($Q$2),"0000")&amp;TEXT(MONTH($Q$2),"00")&amp;$O4044,日報!$L:$L)</f>
        <v>0</v>
      </c>
      <c r="R4044" s="65">
        <f ca="1">SUMIF(日報!$J:$J,$O4044,日報!$L:$L)</f>
        <v>0</v>
      </c>
    </row>
    <row r="4045" spans="15:18" x14ac:dyDescent="0.15">
      <c r="O4045" s="7" t="str">
        <f>"REQ"&amp;TEXT([2]RequestList!$A4046,"0000")</f>
        <v>REQ0000</v>
      </c>
      <c r="P4045" s="7">
        <f>[2]RequestList!$J4046</f>
        <v>0</v>
      </c>
      <c r="Q4045" s="65">
        <f>SUMIF(日報!$R:$R,TEXT(YEAR($Q$2),"0000")&amp;TEXT(MONTH($Q$2),"00")&amp;$O4045,日報!$L:$L)</f>
        <v>0</v>
      </c>
      <c r="R4045" s="65">
        <f ca="1">SUMIF(日報!$J:$J,$O4045,日報!$L:$L)</f>
        <v>0</v>
      </c>
    </row>
    <row r="4046" spans="15:18" x14ac:dyDescent="0.15">
      <c r="O4046" s="7" t="str">
        <f>"REQ"&amp;TEXT([2]RequestList!$A4047,"0000")</f>
        <v>REQ0000</v>
      </c>
      <c r="P4046" s="7">
        <f>[2]RequestList!$J4047</f>
        <v>0</v>
      </c>
      <c r="Q4046" s="65">
        <f>SUMIF(日報!$R:$R,TEXT(YEAR($Q$2),"0000")&amp;TEXT(MONTH($Q$2),"00")&amp;$O4046,日報!$L:$L)</f>
        <v>0</v>
      </c>
      <c r="R4046" s="65">
        <f ca="1">SUMIF(日報!$J:$J,$O4046,日報!$L:$L)</f>
        <v>0</v>
      </c>
    </row>
    <row r="4047" spans="15:18" x14ac:dyDescent="0.15">
      <c r="O4047" s="7" t="str">
        <f>"REQ"&amp;TEXT([2]RequestList!$A4048,"0000")</f>
        <v>REQ0000</v>
      </c>
      <c r="P4047" s="7">
        <f>[2]RequestList!$J4048</f>
        <v>0</v>
      </c>
      <c r="Q4047" s="65">
        <f>SUMIF(日報!$R:$R,TEXT(YEAR($Q$2),"0000")&amp;TEXT(MONTH($Q$2),"00")&amp;$O4047,日報!$L:$L)</f>
        <v>0</v>
      </c>
      <c r="R4047" s="65">
        <f ca="1">SUMIF(日報!$J:$J,$O4047,日報!$L:$L)</f>
        <v>0</v>
      </c>
    </row>
    <row r="4048" spans="15:18" x14ac:dyDescent="0.15">
      <c r="O4048" s="7" t="str">
        <f>"REQ"&amp;TEXT([2]RequestList!$A4049,"0000")</f>
        <v>REQ0000</v>
      </c>
      <c r="P4048" s="7">
        <f>[2]RequestList!$J4049</f>
        <v>0</v>
      </c>
      <c r="Q4048" s="65">
        <f>SUMIF(日報!$R:$R,TEXT(YEAR($Q$2),"0000")&amp;TEXT(MONTH($Q$2),"00")&amp;$O4048,日報!$L:$L)</f>
        <v>0</v>
      </c>
      <c r="R4048" s="65">
        <f ca="1">SUMIF(日報!$J:$J,$O4048,日報!$L:$L)</f>
        <v>0</v>
      </c>
    </row>
    <row r="4049" spans="15:18" x14ac:dyDescent="0.15">
      <c r="O4049" s="7" t="str">
        <f>"REQ"&amp;TEXT([2]RequestList!$A4050,"0000")</f>
        <v>REQ0000</v>
      </c>
      <c r="P4049" s="7">
        <f>[2]RequestList!$J4050</f>
        <v>0</v>
      </c>
      <c r="Q4049" s="65">
        <f>SUMIF(日報!$R:$R,TEXT(YEAR($Q$2),"0000")&amp;TEXT(MONTH($Q$2),"00")&amp;$O4049,日報!$L:$L)</f>
        <v>0</v>
      </c>
      <c r="R4049" s="65">
        <f ca="1">SUMIF(日報!$J:$J,$O4049,日報!$L:$L)</f>
        <v>0</v>
      </c>
    </row>
    <row r="4050" spans="15:18" x14ac:dyDescent="0.15">
      <c r="O4050" s="7" t="str">
        <f>"REQ"&amp;TEXT([2]RequestList!$A4051,"0000")</f>
        <v>REQ0000</v>
      </c>
      <c r="P4050" s="7">
        <f>[2]RequestList!$J4051</f>
        <v>0</v>
      </c>
      <c r="Q4050" s="65">
        <f>SUMIF(日報!$R:$R,TEXT(YEAR($Q$2),"0000")&amp;TEXT(MONTH($Q$2),"00")&amp;$O4050,日報!$L:$L)</f>
        <v>0</v>
      </c>
      <c r="R4050" s="65">
        <f ca="1">SUMIF(日報!$J:$J,$O4050,日報!$L:$L)</f>
        <v>0</v>
      </c>
    </row>
    <row r="4051" spans="15:18" x14ac:dyDescent="0.15">
      <c r="O4051" s="7" t="str">
        <f>"REQ"&amp;TEXT([2]RequestList!$A4052,"0000")</f>
        <v>REQ0000</v>
      </c>
      <c r="P4051" s="7">
        <f>[2]RequestList!$J4052</f>
        <v>0</v>
      </c>
      <c r="Q4051" s="65">
        <f>SUMIF(日報!$R:$R,TEXT(YEAR($Q$2),"0000")&amp;TEXT(MONTH($Q$2),"00")&amp;$O4051,日報!$L:$L)</f>
        <v>0</v>
      </c>
      <c r="R4051" s="65">
        <f ca="1">SUMIF(日報!$J:$J,$O4051,日報!$L:$L)</f>
        <v>0</v>
      </c>
    </row>
    <row r="4052" spans="15:18" x14ac:dyDescent="0.15">
      <c r="O4052" s="7" t="str">
        <f>"REQ"&amp;TEXT([2]RequestList!$A4053,"0000")</f>
        <v>REQ0000</v>
      </c>
      <c r="P4052" s="7">
        <f>[2]RequestList!$J4053</f>
        <v>0</v>
      </c>
      <c r="Q4052" s="65">
        <f>SUMIF(日報!$R:$R,TEXT(YEAR($Q$2),"0000")&amp;TEXT(MONTH($Q$2),"00")&amp;$O4052,日報!$L:$L)</f>
        <v>0</v>
      </c>
      <c r="R4052" s="65">
        <f ca="1">SUMIF(日報!$J:$J,$O4052,日報!$L:$L)</f>
        <v>0</v>
      </c>
    </row>
    <row r="4053" spans="15:18" x14ac:dyDescent="0.15">
      <c r="O4053" s="7" t="str">
        <f>"REQ"&amp;TEXT([2]RequestList!$A4054,"0000")</f>
        <v>REQ0000</v>
      </c>
      <c r="P4053" s="7">
        <f>[2]RequestList!$J4054</f>
        <v>0</v>
      </c>
      <c r="Q4053" s="65">
        <f>SUMIF(日報!$R:$R,TEXT(YEAR($Q$2),"0000")&amp;TEXT(MONTH($Q$2),"00")&amp;$O4053,日報!$L:$L)</f>
        <v>0</v>
      </c>
      <c r="R4053" s="65">
        <f ca="1">SUMIF(日報!$J:$J,$O4053,日報!$L:$L)</f>
        <v>0</v>
      </c>
    </row>
    <row r="4054" spans="15:18" x14ac:dyDescent="0.15">
      <c r="O4054" s="7" t="str">
        <f>"REQ"&amp;TEXT([2]RequestList!$A4055,"0000")</f>
        <v>REQ0000</v>
      </c>
      <c r="P4054" s="7">
        <f>[2]RequestList!$J4055</f>
        <v>0</v>
      </c>
      <c r="Q4054" s="65">
        <f>SUMIF(日報!$R:$R,TEXT(YEAR($Q$2),"0000")&amp;TEXT(MONTH($Q$2),"00")&amp;$O4054,日報!$L:$L)</f>
        <v>0</v>
      </c>
      <c r="R4054" s="65">
        <f ca="1">SUMIF(日報!$J:$J,$O4054,日報!$L:$L)</f>
        <v>0</v>
      </c>
    </row>
    <row r="4055" spans="15:18" x14ac:dyDescent="0.15">
      <c r="O4055" s="7" t="str">
        <f>"REQ"&amp;TEXT([2]RequestList!$A4056,"0000")</f>
        <v>REQ0000</v>
      </c>
      <c r="P4055" s="7">
        <f>[2]RequestList!$J4056</f>
        <v>0</v>
      </c>
      <c r="Q4055" s="65">
        <f>SUMIF(日報!$R:$R,TEXT(YEAR($Q$2),"0000")&amp;TEXT(MONTH($Q$2),"00")&amp;$O4055,日報!$L:$L)</f>
        <v>0</v>
      </c>
      <c r="R4055" s="65">
        <f ca="1">SUMIF(日報!$J:$J,$O4055,日報!$L:$L)</f>
        <v>0</v>
      </c>
    </row>
    <row r="4056" spans="15:18" x14ac:dyDescent="0.15">
      <c r="O4056" s="7" t="str">
        <f>"REQ"&amp;TEXT([2]RequestList!$A4057,"0000")</f>
        <v>REQ0000</v>
      </c>
      <c r="P4056" s="7">
        <f>[2]RequestList!$J4057</f>
        <v>0</v>
      </c>
      <c r="Q4056" s="65">
        <f>SUMIF(日報!$R:$R,TEXT(YEAR($Q$2),"0000")&amp;TEXT(MONTH($Q$2),"00")&amp;$O4056,日報!$L:$L)</f>
        <v>0</v>
      </c>
      <c r="R4056" s="65">
        <f ca="1">SUMIF(日報!$J:$J,$O4056,日報!$L:$L)</f>
        <v>0</v>
      </c>
    </row>
    <row r="4057" spans="15:18" x14ac:dyDescent="0.15">
      <c r="O4057" s="7" t="str">
        <f>"REQ"&amp;TEXT([2]RequestList!$A4058,"0000")</f>
        <v>REQ0000</v>
      </c>
      <c r="P4057" s="7">
        <f>[2]RequestList!$J4058</f>
        <v>0</v>
      </c>
      <c r="Q4057" s="65">
        <f>SUMIF(日報!$R:$R,TEXT(YEAR($Q$2),"0000")&amp;TEXT(MONTH($Q$2),"00")&amp;$O4057,日報!$L:$L)</f>
        <v>0</v>
      </c>
      <c r="R4057" s="65">
        <f ca="1">SUMIF(日報!$J:$J,$O4057,日報!$L:$L)</f>
        <v>0</v>
      </c>
    </row>
    <row r="4058" spans="15:18" x14ac:dyDescent="0.15">
      <c r="O4058" s="7" t="str">
        <f>"REQ"&amp;TEXT([2]RequestList!$A4059,"0000")</f>
        <v>REQ0000</v>
      </c>
      <c r="P4058" s="7">
        <f>[2]RequestList!$J4059</f>
        <v>0</v>
      </c>
      <c r="Q4058" s="65">
        <f>SUMIF(日報!$R:$R,TEXT(YEAR($Q$2),"0000")&amp;TEXT(MONTH($Q$2),"00")&amp;$O4058,日報!$L:$L)</f>
        <v>0</v>
      </c>
      <c r="R4058" s="65">
        <f ca="1">SUMIF(日報!$J:$J,$O4058,日報!$L:$L)</f>
        <v>0</v>
      </c>
    </row>
    <row r="4059" spans="15:18" x14ac:dyDescent="0.15">
      <c r="O4059" s="7" t="str">
        <f>"REQ"&amp;TEXT([2]RequestList!$A4060,"0000")</f>
        <v>REQ0000</v>
      </c>
      <c r="P4059" s="7">
        <f>[2]RequestList!$J4060</f>
        <v>0</v>
      </c>
      <c r="Q4059" s="65">
        <f>SUMIF(日報!$R:$R,TEXT(YEAR($Q$2),"0000")&amp;TEXT(MONTH($Q$2),"00")&amp;$O4059,日報!$L:$L)</f>
        <v>0</v>
      </c>
      <c r="R4059" s="65">
        <f ca="1">SUMIF(日報!$J:$J,$O4059,日報!$L:$L)</f>
        <v>0</v>
      </c>
    </row>
    <row r="4060" spans="15:18" x14ac:dyDescent="0.15">
      <c r="O4060" s="7" t="str">
        <f>"REQ"&amp;TEXT([2]RequestList!$A4061,"0000")</f>
        <v>REQ0000</v>
      </c>
      <c r="P4060" s="7">
        <f>[2]RequestList!$J4061</f>
        <v>0</v>
      </c>
      <c r="Q4060" s="65">
        <f>SUMIF(日報!$R:$R,TEXT(YEAR($Q$2),"0000")&amp;TEXT(MONTH($Q$2),"00")&amp;$O4060,日報!$L:$L)</f>
        <v>0</v>
      </c>
      <c r="R4060" s="65">
        <f ca="1">SUMIF(日報!$J:$J,$O4060,日報!$L:$L)</f>
        <v>0</v>
      </c>
    </row>
    <row r="4061" spans="15:18" x14ac:dyDescent="0.15">
      <c r="O4061" s="7" t="str">
        <f>"REQ"&amp;TEXT([2]RequestList!$A4062,"0000")</f>
        <v>REQ0000</v>
      </c>
      <c r="P4061" s="7">
        <f>[2]RequestList!$J4062</f>
        <v>0</v>
      </c>
      <c r="Q4061" s="65">
        <f>SUMIF(日報!$R:$R,TEXT(YEAR($Q$2),"0000")&amp;TEXT(MONTH($Q$2),"00")&amp;$O4061,日報!$L:$L)</f>
        <v>0</v>
      </c>
      <c r="R4061" s="65">
        <f ca="1">SUMIF(日報!$J:$J,$O4061,日報!$L:$L)</f>
        <v>0</v>
      </c>
    </row>
    <row r="4062" spans="15:18" x14ac:dyDescent="0.15">
      <c r="O4062" s="7" t="str">
        <f>"REQ"&amp;TEXT([2]RequestList!$A4063,"0000")</f>
        <v>REQ0000</v>
      </c>
      <c r="P4062" s="7">
        <f>[2]RequestList!$J4063</f>
        <v>0</v>
      </c>
      <c r="Q4062" s="65">
        <f>SUMIF(日報!$R:$R,TEXT(YEAR($Q$2),"0000")&amp;TEXT(MONTH($Q$2),"00")&amp;$O4062,日報!$L:$L)</f>
        <v>0</v>
      </c>
      <c r="R4062" s="65">
        <f ca="1">SUMIF(日報!$J:$J,$O4062,日報!$L:$L)</f>
        <v>0</v>
      </c>
    </row>
    <row r="4063" spans="15:18" x14ac:dyDescent="0.15">
      <c r="O4063" s="7" t="str">
        <f>"REQ"&amp;TEXT([2]RequestList!$A4064,"0000")</f>
        <v>REQ0000</v>
      </c>
      <c r="P4063" s="7">
        <f>[2]RequestList!$J4064</f>
        <v>0</v>
      </c>
      <c r="Q4063" s="65">
        <f>SUMIF(日報!$R:$R,TEXT(YEAR($Q$2),"0000")&amp;TEXT(MONTH($Q$2),"00")&amp;$O4063,日報!$L:$L)</f>
        <v>0</v>
      </c>
      <c r="R4063" s="65">
        <f ca="1">SUMIF(日報!$J:$J,$O4063,日報!$L:$L)</f>
        <v>0</v>
      </c>
    </row>
    <row r="4064" spans="15:18" x14ac:dyDescent="0.15">
      <c r="O4064" s="7" t="str">
        <f>"REQ"&amp;TEXT([2]RequestList!$A4065,"0000")</f>
        <v>REQ0000</v>
      </c>
      <c r="P4064" s="7">
        <f>[2]RequestList!$J4065</f>
        <v>0</v>
      </c>
      <c r="Q4064" s="65">
        <f>SUMIF(日報!$R:$R,TEXT(YEAR($Q$2),"0000")&amp;TEXT(MONTH($Q$2),"00")&amp;$O4064,日報!$L:$L)</f>
        <v>0</v>
      </c>
      <c r="R4064" s="65">
        <f ca="1">SUMIF(日報!$J:$J,$O4064,日報!$L:$L)</f>
        <v>0</v>
      </c>
    </row>
    <row r="4065" spans="15:18" x14ac:dyDescent="0.15">
      <c r="O4065" s="7" t="str">
        <f>"REQ"&amp;TEXT([2]RequestList!$A4066,"0000")</f>
        <v>REQ0000</v>
      </c>
      <c r="P4065" s="7">
        <f>[2]RequestList!$J4066</f>
        <v>0</v>
      </c>
      <c r="Q4065" s="65">
        <f>SUMIF(日報!$R:$R,TEXT(YEAR($Q$2),"0000")&amp;TEXT(MONTH($Q$2),"00")&amp;$O4065,日報!$L:$L)</f>
        <v>0</v>
      </c>
      <c r="R4065" s="65">
        <f ca="1">SUMIF(日報!$J:$J,$O4065,日報!$L:$L)</f>
        <v>0</v>
      </c>
    </row>
    <row r="4066" spans="15:18" x14ac:dyDescent="0.15">
      <c r="O4066" s="7" t="str">
        <f>"REQ"&amp;TEXT([2]RequestList!$A4067,"0000")</f>
        <v>REQ0000</v>
      </c>
      <c r="P4066" s="7">
        <f>[2]RequestList!$J4067</f>
        <v>0</v>
      </c>
      <c r="Q4066" s="65">
        <f>SUMIF(日報!$R:$R,TEXT(YEAR($Q$2),"0000")&amp;TEXT(MONTH($Q$2),"00")&amp;$O4066,日報!$L:$L)</f>
        <v>0</v>
      </c>
      <c r="R4066" s="65">
        <f ca="1">SUMIF(日報!$J:$J,$O4066,日報!$L:$L)</f>
        <v>0</v>
      </c>
    </row>
    <row r="4067" spans="15:18" x14ac:dyDescent="0.15">
      <c r="O4067" s="7" t="str">
        <f>"REQ"&amp;TEXT([2]RequestList!$A4068,"0000")</f>
        <v>REQ0000</v>
      </c>
      <c r="P4067" s="7">
        <f>[2]RequestList!$J4068</f>
        <v>0</v>
      </c>
      <c r="Q4067" s="65">
        <f>SUMIF(日報!$R:$R,TEXT(YEAR($Q$2),"0000")&amp;TEXT(MONTH($Q$2),"00")&amp;$O4067,日報!$L:$L)</f>
        <v>0</v>
      </c>
      <c r="R4067" s="65">
        <f ca="1">SUMIF(日報!$J:$J,$O4067,日報!$L:$L)</f>
        <v>0</v>
      </c>
    </row>
    <row r="4068" spans="15:18" x14ac:dyDescent="0.15">
      <c r="O4068" s="7" t="str">
        <f>"REQ"&amp;TEXT([2]RequestList!$A4069,"0000")</f>
        <v>REQ0000</v>
      </c>
      <c r="P4068" s="7">
        <f>[2]RequestList!$J4069</f>
        <v>0</v>
      </c>
      <c r="Q4068" s="65">
        <f>SUMIF(日報!$R:$R,TEXT(YEAR($Q$2),"0000")&amp;TEXT(MONTH($Q$2),"00")&amp;$O4068,日報!$L:$L)</f>
        <v>0</v>
      </c>
      <c r="R4068" s="65">
        <f ca="1">SUMIF(日報!$J:$J,$O4068,日報!$L:$L)</f>
        <v>0</v>
      </c>
    </row>
    <row r="4069" spans="15:18" x14ac:dyDescent="0.15">
      <c r="O4069" s="7" t="str">
        <f>"REQ"&amp;TEXT([2]RequestList!$A4070,"0000")</f>
        <v>REQ0000</v>
      </c>
      <c r="P4069" s="7">
        <f>[2]RequestList!$J4070</f>
        <v>0</v>
      </c>
      <c r="Q4069" s="65">
        <f>SUMIF(日報!$R:$R,TEXT(YEAR($Q$2),"0000")&amp;TEXT(MONTH($Q$2),"00")&amp;$O4069,日報!$L:$L)</f>
        <v>0</v>
      </c>
      <c r="R4069" s="65">
        <f ca="1">SUMIF(日報!$J:$J,$O4069,日報!$L:$L)</f>
        <v>0</v>
      </c>
    </row>
  </sheetData>
  <customSheetViews>
    <customSheetView guid="{3E7FFAB8-447D-47A1-A768-79CD9C6A4372}" showPageBreaks="1" showGridLines="0" state="hidden" showRuler="0">
      <pageMargins left="0.78700000000000003" right="0.78700000000000003" top="0.98399999999999999" bottom="0.98399999999999999" header="0.51200000000000001" footer="0.51200000000000001"/>
      <pageSetup paperSize="9" orientation="portrait" horizontalDpi="300" verticalDpi="300" r:id="rId1"/>
      <headerFooter alignWithMargins="0"/>
    </customSheetView>
    <customSheetView guid="{AC979982-2FC0-40D3-9198-009B8901DBFE}" showPageBreaks="1" showGridLines="0" state="hidden" showRuler="0">
      <selection activeCell="A2" sqref="A2"/>
      <pageMargins left="0.78700000000000003" right="0.78700000000000003" top="0.98399999999999999" bottom="0.98399999999999999" header="0.51200000000000001" footer="0.51200000000000001"/>
      <pageSetup paperSize="9" orientation="portrait" horizontalDpi="300" verticalDpi="300" r:id="rId2"/>
      <headerFooter alignWithMargins="0"/>
    </customSheetView>
    <customSheetView guid="{E1821C0A-EBCD-4CD1-AEFE-55F5B4CCCE2F}" showGridLines="0" state="hidden" showRuler="0">
      <selection activeCell="A2" sqref="A2"/>
      <pageMargins left="0.78700000000000003" right="0.78700000000000003" top="0.98399999999999999" bottom="0.98399999999999999" header="0.51200000000000001" footer="0.51200000000000001"/>
      <headerFooter alignWithMargins="0"/>
    </customSheetView>
    <customSheetView guid="{0B67175A-B3F1-49F5-AA68-60E6D9AA41BC}" showGridLines="0" state="hidden" showRuler="0" topLeftCell="A13">
      <selection activeCell="E32" sqref="E32"/>
      <pageMargins left="0.78700000000000003" right="0.78700000000000003" top="0.98399999999999999" bottom="0.98399999999999999" header="0.51200000000000001" footer="0.51200000000000001"/>
      <headerFooter alignWithMargins="0"/>
    </customSheetView>
    <customSheetView guid="{0684C5C9-8E23-4B53-AA74-18AA5B149DB7}" showGridLines="0" state="hidden" showRuler="0">
      <selection activeCell="F17" sqref="F17"/>
      <pageMargins left="0.78700000000000003" right="0.78700000000000003" top="0.98399999999999999" bottom="0.98399999999999999" header="0.51200000000000001" footer="0.51200000000000001"/>
      <pageSetup paperSize="9" orientation="portrait" horizontalDpi="300" verticalDpi="300" r:id="rId3"/>
      <headerFooter alignWithMargins="0"/>
    </customSheetView>
  </customSheetViews>
  <phoneticPr fontId="8"/>
  <pageMargins left="0.78700000000000003" right="0.78700000000000003" top="0.98399999999999999" bottom="0.98399999999999999" header="0.51200000000000001" footer="0.51200000000000001"/>
  <pageSetup paperSize="9" orientation="portrait" horizontalDpi="300" verticalDpi="300" r:id="rId4"/>
  <headerFooter alignWithMargins="0"/>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X23"/>
  <sheetViews>
    <sheetView showGridLines="0" zoomScale="90" zoomScaleNormal="90" workbookViewId="0">
      <selection activeCell="I2" sqref="I2"/>
    </sheetView>
  </sheetViews>
  <sheetFormatPr defaultRowHeight="13.5" x14ac:dyDescent="0.15"/>
  <cols>
    <col min="1" max="1" width="2.75" customWidth="1"/>
    <col min="2" max="2" width="19.75" customWidth="1"/>
    <col min="3" max="24" width="11.375" customWidth="1"/>
  </cols>
  <sheetData>
    <row r="2" spans="2:24" x14ac:dyDescent="0.15">
      <c r="B2" s="319" t="s">
        <v>222</v>
      </c>
      <c r="C2" s="319" t="s">
        <v>228</v>
      </c>
      <c r="D2" s="283" t="s">
        <v>186</v>
      </c>
      <c r="E2" s="283" t="s">
        <v>185</v>
      </c>
      <c r="F2" s="319" t="s">
        <v>223</v>
      </c>
      <c r="G2" s="319" t="s">
        <v>224</v>
      </c>
      <c r="H2" s="283" t="s">
        <v>147</v>
      </c>
      <c r="I2" s="319" t="s">
        <v>225</v>
      </c>
      <c r="J2" s="283" t="s">
        <v>187</v>
      </c>
      <c r="K2" s="313"/>
      <c r="L2" s="279"/>
      <c r="M2" s="279"/>
      <c r="N2" s="279"/>
      <c r="O2" s="279"/>
      <c r="P2" s="279"/>
      <c r="Q2" s="279"/>
      <c r="R2" s="279"/>
      <c r="S2" s="279"/>
      <c r="T2" s="279"/>
      <c r="U2" s="279"/>
      <c r="V2" s="279"/>
      <c r="W2" s="279"/>
      <c r="X2" s="279"/>
    </row>
    <row r="3" spans="2:24" x14ac:dyDescent="0.15">
      <c r="B3" s="304" t="s">
        <v>151</v>
      </c>
      <c r="C3" s="47" t="s">
        <v>189</v>
      </c>
      <c r="D3" s="47" t="s">
        <v>189</v>
      </c>
      <c r="E3" s="47" t="s">
        <v>175</v>
      </c>
      <c r="F3" s="47" t="s">
        <v>146</v>
      </c>
      <c r="G3" s="47" t="s">
        <v>146</v>
      </c>
      <c r="H3" s="47" t="s">
        <v>190</v>
      </c>
      <c r="I3" s="47" t="s">
        <v>226</v>
      </c>
      <c r="J3" s="47" t="s">
        <v>191</v>
      </c>
      <c r="K3" s="47"/>
      <c r="L3" s="47"/>
      <c r="M3" s="47"/>
      <c r="N3" s="47"/>
      <c r="O3" s="47"/>
      <c r="P3" s="47"/>
      <c r="Q3" s="47"/>
      <c r="R3" s="47"/>
      <c r="S3" s="47"/>
      <c r="T3" s="47"/>
      <c r="U3" s="46"/>
      <c r="V3" s="47"/>
      <c r="W3" s="47"/>
      <c r="X3" s="47"/>
    </row>
    <row r="4" spans="2:24" x14ac:dyDescent="0.15">
      <c r="B4" s="304" t="s">
        <v>220</v>
      </c>
      <c r="C4" s="47" t="s">
        <v>171</v>
      </c>
      <c r="D4" s="47" t="s">
        <v>171</v>
      </c>
      <c r="E4" s="47"/>
      <c r="F4" s="47" t="s">
        <v>130</v>
      </c>
      <c r="G4" s="47" t="s">
        <v>130</v>
      </c>
      <c r="H4" s="47"/>
      <c r="I4" s="47" t="s">
        <v>227</v>
      </c>
      <c r="J4" s="47"/>
      <c r="K4" s="47"/>
      <c r="L4" s="46"/>
      <c r="M4" s="46"/>
      <c r="N4" s="46"/>
      <c r="O4" s="46"/>
      <c r="P4" s="46"/>
      <c r="Q4" s="46"/>
      <c r="R4" s="46"/>
      <c r="S4" s="46"/>
      <c r="T4" s="46"/>
      <c r="U4" s="47"/>
      <c r="V4" s="47"/>
      <c r="W4" s="46"/>
      <c r="X4" s="46"/>
    </row>
    <row r="5" spans="2:24" x14ac:dyDescent="0.15">
      <c r="B5" s="47" t="s">
        <v>221</v>
      </c>
      <c r="C5" s="47" t="s">
        <v>170</v>
      </c>
      <c r="D5" s="47" t="s">
        <v>170</v>
      </c>
      <c r="E5" s="47"/>
      <c r="F5" s="47"/>
      <c r="G5" s="47"/>
      <c r="H5" s="47"/>
      <c r="I5" s="47"/>
      <c r="J5" s="47"/>
      <c r="K5" s="47"/>
      <c r="L5" s="47"/>
      <c r="M5" s="47"/>
      <c r="N5" s="47"/>
      <c r="O5" s="47"/>
      <c r="P5" s="47"/>
      <c r="Q5" s="47"/>
      <c r="R5" s="47"/>
      <c r="S5" s="47"/>
      <c r="T5" s="47"/>
      <c r="U5" s="47"/>
      <c r="V5" s="7"/>
      <c r="W5" s="46"/>
      <c r="X5" s="46"/>
    </row>
    <row r="6" spans="2:24" x14ac:dyDescent="0.15">
      <c r="B6" s="7" t="s">
        <v>188</v>
      </c>
      <c r="C6" s="47"/>
      <c r="D6" s="47"/>
      <c r="E6" s="47"/>
      <c r="F6" s="47"/>
      <c r="G6" s="47"/>
      <c r="H6" s="47"/>
      <c r="I6" s="47"/>
      <c r="J6" s="47"/>
      <c r="K6" s="47"/>
      <c r="L6" s="47"/>
      <c r="M6" s="47"/>
      <c r="N6" s="47"/>
      <c r="O6" s="47"/>
      <c r="P6" s="47"/>
      <c r="Q6" s="47"/>
      <c r="R6" s="47"/>
      <c r="S6" s="47"/>
      <c r="T6" s="47"/>
      <c r="U6" s="47"/>
      <c r="V6" s="47"/>
      <c r="W6" s="47"/>
      <c r="X6" s="47"/>
    </row>
    <row r="7" spans="2:24" x14ac:dyDescent="0.15">
      <c r="B7" s="47"/>
      <c r="C7" s="47"/>
      <c r="D7" s="47"/>
      <c r="E7" s="47"/>
      <c r="F7" s="47"/>
      <c r="G7" s="47"/>
      <c r="H7" s="47"/>
      <c r="I7" s="47"/>
      <c r="J7" s="47"/>
      <c r="K7" s="47"/>
      <c r="L7" s="47"/>
      <c r="M7" s="47"/>
      <c r="N7" s="47"/>
      <c r="O7" s="47"/>
      <c r="P7" s="47"/>
      <c r="Q7" s="46"/>
      <c r="R7" s="47"/>
      <c r="S7" s="47"/>
      <c r="T7" s="47"/>
      <c r="U7" s="47"/>
      <c r="V7" s="47"/>
      <c r="W7" s="47"/>
      <c r="X7" s="47"/>
    </row>
    <row r="8" spans="2:24" x14ac:dyDescent="0.15">
      <c r="B8" s="47"/>
      <c r="C8" s="47"/>
      <c r="D8" s="47"/>
      <c r="E8" s="47"/>
      <c r="F8" s="47"/>
      <c r="G8" s="47"/>
      <c r="H8" s="47"/>
      <c r="I8" s="47"/>
      <c r="J8" s="47"/>
      <c r="K8" s="47"/>
      <c r="L8" s="46"/>
      <c r="M8" s="46"/>
      <c r="N8" s="46"/>
      <c r="O8" s="46"/>
      <c r="P8" s="46"/>
      <c r="Q8" s="7"/>
      <c r="R8" s="46"/>
      <c r="S8" s="46"/>
      <c r="T8" s="46"/>
      <c r="U8" s="47"/>
      <c r="V8" s="47"/>
      <c r="W8" s="47"/>
      <c r="X8" s="47"/>
    </row>
    <row r="9" spans="2:24" x14ac:dyDescent="0.15">
      <c r="B9" s="7"/>
      <c r="C9" s="47"/>
      <c r="D9" s="47"/>
      <c r="E9" s="47"/>
      <c r="F9" s="47"/>
      <c r="G9" s="47"/>
      <c r="H9" s="47"/>
      <c r="I9" s="47"/>
      <c r="J9" s="47"/>
      <c r="K9" s="47"/>
      <c r="L9" s="7"/>
      <c r="M9" s="7"/>
      <c r="N9" s="7"/>
      <c r="O9" s="7"/>
      <c r="P9" s="7"/>
      <c r="Q9" s="7"/>
      <c r="R9" s="7"/>
      <c r="S9" s="7"/>
      <c r="T9" s="7"/>
      <c r="U9" s="47"/>
      <c r="V9" s="47"/>
      <c r="W9" s="47"/>
      <c r="X9" s="47"/>
    </row>
    <row r="15" spans="2:24" x14ac:dyDescent="0.15">
      <c r="F15" s="281"/>
      <c r="P15" s="281"/>
      <c r="Q15" s="281"/>
      <c r="S15" s="281"/>
      <c r="T15" s="281"/>
    </row>
    <row r="16" spans="2:24" x14ac:dyDescent="0.15">
      <c r="F16" s="282"/>
      <c r="P16" s="282"/>
      <c r="Q16" s="282"/>
      <c r="S16" s="282"/>
      <c r="T16" s="282"/>
    </row>
    <row r="17" spans="16:20" x14ac:dyDescent="0.15">
      <c r="P17" s="282"/>
      <c r="S17" s="282"/>
      <c r="T17" s="282"/>
    </row>
    <row r="18" spans="16:20" x14ac:dyDescent="0.15">
      <c r="P18" s="282"/>
      <c r="S18" s="282"/>
      <c r="T18" s="282"/>
    </row>
    <row r="19" spans="16:20" x14ac:dyDescent="0.15">
      <c r="P19" s="282"/>
      <c r="S19" s="282"/>
      <c r="T19" s="282"/>
    </row>
    <row r="20" spans="16:20" x14ac:dyDescent="0.15">
      <c r="P20" s="282"/>
      <c r="S20" s="282"/>
      <c r="T20" s="282"/>
    </row>
    <row r="21" spans="16:20" x14ac:dyDescent="0.15">
      <c r="P21" s="282"/>
      <c r="S21" s="282"/>
      <c r="T21" s="282"/>
    </row>
    <row r="22" spans="16:20" x14ac:dyDescent="0.15">
      <c r="P22" s="282"/>
      <c r="S22" s="282"/>
    </row>
    <row r="23" spans="16:20" x14ac:dyDescent="0.15">
      <c r="P23" s="282"/>
    </row>
  </sheetData>
  <phoneticPr fontId="8"/>
  <dataValidations count="2">
    <dataValidation type="list" allowBlank="1" sqref="B4" xr:uid="{00000000-0002-0000-0500-000000000000}">
      <formula1>業務項目</formula1>
    </dataValidation>
    <dataValidation type="list" allowBlank="1" sqref="B3" xr:uid="{00000000-0002-0000-0500-000001000000}">
      <formula1>業務内容</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1:CX16"/>
  <sheetViews>
    <sheetView showGridLines="0" zoomScale="85" zoomScaleNormal="85" workbookViewId="0"/>
  </sheetViews>
  <sheetFormatPr defaultRowHeight="13.5" x14ac:dyDescent="0.15"/>
  <cols>
    <col min="1" max="1" width="2.625" customWidth="1"/>
    <col min="2" max="102" width="11.375" customWidth="1"/>
  </cols>
  <sheetData>
    <row r="1" spans="2:102" x14ac:dyDescent="0.15">
      <c r="BJ1" s="136"/>
    </row>
    <row r="2" spans="2:102" s="310" customFormat="1" ht="12" x14ac:dyDescent="0.15">
      <c r="B2" s="291" t="s">
        <v>192</v>
      </c>
      <c r="C2" s="292" t="s">
        <v>229</v>
      </c>
      <c r="D2" s="292" t="s">
        <v>230</v>
      </c>
      <c r="E2" s="292" t="s">
        <v>193</v>
      </c>
      <c r="F2" s="291" t="s">
        <v>231</v>
      </c>
      <c r="G2" s="292" t="s">
        <v>232</v>
      </c>
      <c r="H2" s="292" t="s">
        <v>233</v>
      </c>
      <c r="I2" s="291" t="s">
        <v>202</v>
      </c>
      <c r="J2" s="292" t="s">
        <v>203</v>
      </c>
      <c r="K2" s="292" t="s">
        <v>204</v>
      </c>
      <c r="L2" s="292" t="s">
        <v>243</v>
      </c>
      <c r="M2" s="291" t="s">
        <v>234</v>
      </c>
      <c r="N2" s="292" t="s">
        <v>235</v>
      </c>
      <c r="O2" s="292" t="s">
        <v>236</v>
      </c>
      <c r="P2" s="291" t="s">
        <v>237</v>
      </c>
      <c r="Q2" s="292" t="s">
        <v>160</v>
      </c>
      <c r="R2" s="291" t="s">
        <v>238</v>
      </c>
      <c r="S2" s="292" t="s">
        <v>239</v>
      </c>
      <c r="T2" s="292" t="s">
        <v>148</v>
      </c>
      <c r="U2" s="292"/>
      <c r="V2" s="291"/>
      <c r="W2" s="292"/>
      <c r="X2" s="292"/>
      <c r="Y2" s="291"/>
      <c r="Z2" s="292"/>
      <c r="AA2" s="292"/>
      <c r="AB2" s="292"/>
      <c r="AC2" s="291"/>
      <c r="AD2" s="292"/>
      <c r="AE2" s="291"/>
      <c r="AF2" s="292"/>
      <c r="AG2" s="292"/>
      <c r="AH2" s="292"/>
      <c r="AI2" s="291"/>
      <c r="AJ2" s="291"/>
      <c r="AK2" s="292"/>
      <c r="AL2" s="292"/>
      <c r="AM2" s="292"/>
      <c r="AN2" s="292"/>
      <c r="AO2" s="291"/>
      <c r="AP2" s="292"/>
      <c r="AQ2" s="292"/>
      <c r="AR2" s="291"/>
      <c r="AS2" s="292"/>
      <c r="AT2" s="292"/>
      <c r="AU2" s="292"/>
      <c r="AV2" s="291"/>
      <c r="AW2" s="292"/>
      <c r="AX2" s="292"/>
      <c r="AY2" s="291"/>
      <c r="AZ2" s="292"/>
      <c r="BA2" s="292"/>
      <c r="BB2" s="292"/>
      <c r="BC2" s="291"/>
      <c r="BD2" s="291"/>
      <c r="BE2" s="292"/>
      <c r="BF2" s="292"/>
      <c r="BG2" s="292"/>
      <c r="BH2" s="292"/>
      <c r="BI2" s="293"/>
      <c r="BJ2" s="292"/>
      <c r="BK2" s="292"/>
      <c r="BL2" s="292"/>
      <c r="BM2" s="292"/>
      <c r="BN2" s="292"/>
      <c r="BO2" s="292"/>
      <c r="BP2" s="292"/>
      <c r="BQ2" s="292"/>
      <c r="BR2" s="292"/>
      <c r="BS2" s="292"/>
      <c r="BT2" s="292"/>
      <c r="BU2" s="292"/>
      <c r="BV2" s="292"/>
      <c r="BW2" s="292"/>
      <c r="BX2" s="292"/>
      <c r="BY2" s="292"/>
      <c r="BZ2" s="292"/>
      <c r="CA2" s="292"/>
      <c r="CB2" s="292"/>
      <c r="CC2" s="292"/>
      <c r="CD2" s="292"/>
      <c r="CE2" s="292"/>
      <c r="CF2" s="292"/>
      <c r="CG2" s="292"/>
      <c r="CH2" s="292"/>
      <c r="CI2" s="292"/>
      <c r="CJ2" s="292"/>
      <c r="CK2" s="292"/>
      <c r="CL2" s="291"/>
      <c r="CM2" s="291"/>
      <c r="CN2" s="292"/>
      <c r="CO2" s="291"/>
      <c r="CP2" s="291"/>
      <c r="CQ2" s="292"/>
      <c r="CR2" s="291"/>
      <c r="CS2" s="291"/>
      <c r="CT2" s="292"/>
      <c r="CU2" s="291"/>
      <c r="CV2" s="291"/>
      <c r="CW2" s="292"/>
      <c r="CX2" s="291"/>
    </row>
    <row r="3" spans="2:102" s="311" customFormat="1" ht="24" x14ac:dyDescent="0.15">
      <c r="B3" s="285" t="s">
        <v>240</v>
      </c>
      <c r="C3" s="285" t="s">
        <v>240</v>
      </c>
      <c r="D3" s="285" t="s">
        <v>240</v>
      </c>
      <c r="E3" s="285" t="s">
        <v>152</v>
      </c>
      <c r="F3" s="285" t="s">
        <v>199</v>
      </c>
      <c r="G3" s="288" t="s">
        <v>158</v>
      </c>
      <c r="H3" s="288" t="s">
        <v>241</v>
      </c>
      <c r="I3" s="285" t="s">
        <v>242</v>
      </c>
      <c r="J3" s="285" t="s">
        <v>158</v>
      </c>
      <c r="K3" s="285" t="s">
        <v>198</v>
      </c>
      <c r="L3" s="285" t="s">
        <v>199</v>
      </c>
      <c r="M3" s="285" t="s">
        <v>245</v>
      </c>
      <c r="N3" s="285" t="s">
        <v>245</v>
      </c>
      <c r="O3" s="289" t="s">
        <v>246</v>
      </c>
      <c r="P3" s="289" t="s">
        <v>246</v>
      </c>
      <c r="Q3" s="285" t="s">
        <v>147</v>
      </c>
      <c r="R3" s="289" t="s">
        <v>174</v>
      </c>
      <c r="S3" s="289" t="s">
        <v>174</v>
      </c>
      <c r="T3" s="289" t="s">
        <v>174</v>
      </c>
      <c r="U3" s="285"/>
      <c r="V3" s="289"/>
      <c r="W3" s="285"/>
      <c r="X3" s="285"/>
      <c r="Y3" s="285"/>
      <c r="Z3" s="289"/>
      <c r="AA3" s="285"/>
      <c r="AB3" s="289"/>
      <c r="AC3" s="285"/>
      <c r="AD3" s="285"/>
      <c r="AE3" s="285"/>
      <c r="AF3" s="289"/>
      <c r="AG3" s="289"/>
      <c r="AH3" s="289"/>
      <c r="AI3" s="285"/>
      <c r="AJ3" s="285"/>
      <c r="AK3" s="289"/>
      <c r="AL3" s="285"/>
      <c r="AM3" s="289"/>
      <c r="AN3" s="289"/>
      <c r="AO3" s="285"/>
      <c r="AP3" s="285"/>
      <c r="AQ3" s="285"/>
      <c r="AR3" s="285"/>
      <c r="AS3" s="289"/>
      <c r="AT3" s="285"/>
      <c r="AU3" s="287"/>
      <c r="AV3" s="285"/>
      <c r="AW3" s="285"/>
      <c r="AX3" s="285"/>
      <c r="AY3" s="285"/>
      <c r="AZ3" s="305"/>
      <c r="BA3" s="285"/>
      <c r="BB3" s="289"/>
      <c r="BC3" s="285"/>
      <c r="BD3" s="285"/>
      <c r="BE3" s="285"/>
      <c r="BF3" s="285"/>
      <c r="BG3" s="285"/>
      <c r="BH3" s="285"/>
      <c r="BI3" s="285"/>
      <c r="BJ3" s="285"/>
      <c r="BK3" s="285"/>
      <c r="BL3" s="285"/>
      <c r="BM3" s="285"/>
      <c r="BN3" s="285"/>
      <c r="BO3" s="285"/>
      <c r="BP3" s="285"/>
      <c r="BQ3" s="285"/>
      <c r="BR3" s="285"/>
      <c r="BS3" s="285"/>
      <c r="BT3" s="289"/>
      <c r="BU3" s="285"/>
      <c r="BV3" s="289"/>
      <c r="BW3" s="285"/>
      <c r="BX3" s="285"/>
      <c r="BY3" s="285"/>
      <c r="BZ3" s="285"/>
      <c r="CA3" s="289"/>
      <c r="CB3" s="285"/>
      <c r="CC3" s="289"/>
      <c r="CD3" s="285"/>
      <c r="CE3" s="285"/>
      <c r="CF3" s="285"/>
      <c r="CG3" s="289"/>
      <c r="CH3" s="289"/>
      <c r="CI3" s="285"/>
      <c r="CJ3" s="289"/>
      <c r="CK3" s="285"/>
      <c r="CL3" s="285"/>
      <c r="CM3" s="285"/>
      <c r="CN3" s="289"/>
      <c r="CO3" s="285"/>
      <c r="CP3" s="285"/>
      <c r="CQ3" s="289"/>
      <c r="CR3" s="285"/>
      <c r="CS3" s="285"/>
      <c r="CT3" s="289"/>
      <c r="CU3" s="285"/>
      <c r="CV3" s="285"/>
      <c r="CW3" s="289"/>
      <c r="CX3" s="285"/>
    </row>
    <row r="4" spans="2:102" s="311" customFormat="1" ht="24" x14ac:dyDescent="0.15">
      <c r="B4" s="289" t="s">
        <v>195</v>
      </c>
      <c r="C4" s="289" t="s">
        <v>195</v>
      </c>
      <c r="D4" s="289" t="s">
        <v>195</v>
      </c>
      <c r="E4" s="289" t="s">
        <v>197</v>
      </c>
      <c r="F4" s="289" t="s">
        <v>156</v>
      </c>
      <c r="G4" s="288"/>
      <c r="H4" s="288" t="s">
        <v>198</v>
      </c>
      <c r="I4" s="289" t="s">
        <v>156</v>
      </c>
      <c r="J4" s="289"/>
      <c r="K4" s="289"/>
      <c r="L4" s="289" t="s">
        <v>156</v>
      </c>
      <c r="M4" s="289" t="s">
        <v>172</v>
      </c>
      <c r="N4" s="289" t="s">
        <v>172</v>
      </c>
      <c r="O4" s="289"/>
      <c r="P4" s="289" t="s">
        <v>159</v>
      </c>
      <c r="Q4" s="289" t="s">
        <v>131</v>
      </c>
      <c r="R4" s="289"/>
      <c r="S4" s="289"/>
      <c r="T4" s="289"/>
      <c r="U4" s="289"/>
      <c r="V4" s="289"/>
      <c r="W4" s="289"/>
      <c r="X4" s="289"/>
      <c r="Y4" s="289"/>
      <c r="Z4" s="289"/>
      <c r="AA4" s="289"/>
      <c r="AB4" s="289"/>
      <c r="AC4" s="289"/>
      <c r="AD4" s="289"/>
      <c r="AE4" s="289"/>
      <c r="AF4" s="289"/>
      <c r="AG4" s="289"/>
      <c r="AH4" s="289"/>
      <c r="AI4" s="289"/>
      <c r="AJ4" s="289"/>
      <c r="AK4" s="289"/>
      <c r="AL4" s="289"/>
      <c r="AM4" s="289"/>
      <c r="AN4" s="289"/>
      <c r="AO4" s="289"/>
      <c r="AP4" s="289"/>
      <c r="AQ4" s="289"/>
      <c r="AR4" s="289"/>
      <c r="AS4" s="289"/>
      <c r="AT4" s="289"/>
      <c r="AU4" s="287"/>
      <c r="AV4" s="289"/>
      <c r="AW4" s="285"/>
      <c r="AX4" s="289"/>
      <c r="AY4" s="289"/>
      <c r="AZ4" s="305"/>
      <c r="BA4" s="289"/>
      <c r="BB4" s="289"/>
      <c r="BC4" s="289"/>
      <c r="BD4" s="285"/>
      <c r="BE4" s="289"/>
      <c r="BF4" s="289"/>
      <c r="BG4" s="289"/>
      <c r="BH4" s="289"/>
      <c r="BI4" s="289"/>
      <c r="BJ4" s="289"/>
      <c r="BK4" s="289"/>
      <c r="BL4" s="289"/>
      <c r="BM4" s="289"/>
      <c r="BN4" s="289"/>
      <c r="BO4" s="289"/>
      <c r="BP4" s="289"/>
      <c r="BQ4" s="289"/>
      <c r="BR4" s="285"/>
      <c r="BS4" s="289"/>
      <c r="BT4" s="289"/>
      <c r="BU4" s="289"/>
      <c r="BV4" s="289"/>
      <c r="BW4" s="289"/>
      <c r="BX4" s="285"/>
      <c r="BY4" s="289"/>
      <c r="BZ4" s="289"/>
      <c r="CA4" s="289"/>
      <c r="CB4" s="289"/>
      <c r="CD4" s="289"/>
      <c r="CE4" s="285"/>
      <c r="CF4" s="289"/>
      <c r="CG4" s="289"/>
      <c r="CH4" s="289"/>
      <c r="CI4" s="289"/>
      <c r="CJ4" s="289"/>
      <c r="CK4" s="289"/>
      <c r="CL4" s="285"/>
      <c r="CM4" s="289"/>
      <c r="CN4" s="289"/>
      <c r="CO4" s="289"/>
      <c r="CP4" s="289"/>
      <c r="CQ4" s="289"/>
      <c r="CR4" s="289"/>
      <c r="CS4" s="289"/>
      <c r="CT4" s="289"/>
      <c r="CU4" s="289"/>
      <c r="CV4" s="289"/>
      <c r="CW4" s="289"/>
      <c r="CX4" s="289"/>
    </row>
    <row r="5" spans="2:102" s="311" customFormat="1" ht="12" x14ac:dyDescent="0.15">
      <c r="B5" s="289" t="s">
        <v>196</v>
      </c>
      <c r="C5" s="289" t="s">
        <v>197</v>
      </c>
      <c r="D5" s="289" t="s">
        <v>157</v>
      </c>
      <c r="E5" s="289"/>
      <c r="F5" s="289"/>
      <c r="G5" s="288"/>
      <c r="H5" s="288"/>
      <c r="I5" s="289"/>
      <c r="J5" s="289"/>
      <c r="K5" s="289"/>
      <c r="L5" s="289" t="s">
        <v>200</v>
      </c>
      <c r="M5" s="289"/>
      <c r="N5" s="289"/>
      <c r="O5" s="289"/>
      <c r="P5" s="289"/>
      <c r="Q5" s="289" t="s">
        <v>173</v>
      </c>
      <c r="R5" s="289"/>
      <c r="S5" s="289"/>
      <c r="T5" s="289"/>
      <c r="U5" s="289"/>
      <c r="V5" s="289"/>
      <c r="W5" s="289"/>
      <c r="X5" s="289"/>
      <c r="Y5" s="289"/>
      <c r="Z5" s="289"/>
      <c r="AA5" s="289"/>
      <c r="AB5" s="289"/>
      <c r="AC5" s="289"/>
      <c r="AD5" s="289"/>
      <c r="AE5" s="289"/>
      <c r="AF5" s="289"/>
      <c r="AG5" s="289"/>
      <c r="AH5" s="289"/>
      <c r="AI5" s="289"/>
      <c r="AJ5" s="289"/>
      <c r="AK5" s="289"/>
      <c r="AL5" s="289"/>
      <c r="AM5" s="289"/>
      <c r="AN5" s="289"/>
      <c r="AO5" s="289"/>
      <c r="AP5" s="289"/>
      <c r="AQ5" s="289"/>
      <c r="AR5" s="289"/>
      <c r="AS5" s="289"/>
      <c r="AT5" s="289"/>
      <c r="AU5" s="289"/>
      <c r="AV5" s="289"/>
      <c r="AW5" s="289"/>
      <c r="AX5" s="289"/>
      <c r="AY5" s="289"/>
      <c r="AZ5" s="305"/>
      <c r="BA5" s="289"/>
      <c r="BB5" s="289"/>
      <c r="BC5" s="289"/>
      <c r="BD5" s="289"/>
      <c r="BE5" s="289"/>
      <c r="BF5" s="289"/>
      <c r="BG5" s="289"/>
      <c r="BH5" s="289"/>
      <c r="BI5" s="289"/>
      <c r="BJ5" s="289"/>
      <c r="BK5" s="289"/>
      <c r="BL5" s="289"/>
      <c r="BM5" s="289"/>
      <c r="BN5" s="289"/>
      <c r="BO5" s="289"/>
      <c r="BP5" s="289"/>
      <c r="BQ5" s="289"/>
      <c r="BR5" s="289"/>
      <c r="BS5" s="289"/>
      <c r="BT5" s="289"/>
      <c r="BU5" s="289"/>
      <c r="BV5" s="289"/>
      <c r="BW5" s="289"/>
      <c r="BX5" s="289"/>
      <c r="BY5" s="289"/>
      <c r="BZ5" s="289"/>
      <c r="CA5" s="289"/>
      <c r="CB5" s="289"/>
      <c r="CC5" s="289"/>
      <c r="CD5" s="289"/>
      <c r="CE5" s="289"/>
      <c r="CF5" s="289"/>
      <c r="CG5" s="289"/>
      <c r="CH5" s="289"/>
      <c r="CI5" s="289"/>
      <c r="CJ5" s="289"/>
      <c r="CK5" s="289"/>
      <c r="CL5" s="289"/>
      <c r="CM5" s="289"/>
      <c r="CN5" s="289"/>
      <c r="CO5" s="289"/>
      <c r="CP5" s="289"/>
      <c r="CQ5" s="289"/>
      <c r="CR5" s="289"/>
      <c r="CS5" s="289"/>
      <c r="CT5" s="289"/>
      <c r="CU5" s="289"/>
      <c r="CV5" s="289"/>
      <c r="CW5" s="289"/>
      <c r="CX5" s="289"/>
    </row>
    <row r="6" spans="2:102" s="311" customFormat="1" ht="12" x14ac:dyDescent="0.15">
      <c r="B6" s="289" t="s">
        <v>157</v>
      </c>
      <c r="C6" s="289"/>
      <c r="D6" s="289" t="s">
        <v>197</v>
      </c>
      <c r="E6" s="289"/>
      <c r="F6" s="289"/>
      <c r="G6" s="288"/>
      <c r="H6" s="288"/>
      <c r="I6" s="289"/>
      <c r="J6" s="289"/>
      <c r="K6" s="289"/>
      <c r="L6" s="289" t="s">
        <v>244</v>
      </c>
      <c r="M6" s="289"/>
      <c r="N6" s="289"/>
      <c r="O6" s="289"/>
      <c r="P6" s="289"/>
      <c r="Q6" s="289"/>
      <c r="R6" s="289"/>
      <c r="S6" s="289"/>
      <c r="T6" s="289"/>
      <c r="U6" s="289"/>
      <c r="V6" s="289"/>
      <c r="W6" s="289"/>
      <c r="X6" s="289"/>
      <c r="Y6" s="289"/>
      <c r="Z6" s="289"/>
      <c r="AA6" s="289"/>
      <c r="AB6" s="289"/>
      <c r="AC6" s="289"/>
      <c r="AD6" s="289"/>
      <c r="AE6" s="289"/>
      <c r="AF6" s="289"/>
      <c r="AG6" s="289"/>
      <c r="AH6" s="289"/>
      <c r="AI6" s="289"/>
      <c r="AJ6" s="289"/>
      <c r="AK6" s="289"/>
      <c r="AL6" s="289"/>
      <c r="AM6" s="287"/>
      <c r="AN6" s="287"/>
      <c r="AO6" s="289"/>
      <c r="AP6" s="289"/>
      <c r="AQ6" s="289"/>
      <c r="AR6" s="289"/>
      <c r="AS6" s="289"/>
      <c r="AT6" s="289"/>
      <c r="AU6" s="287"/>
      <c r="AV6" s="289"/>
      <c r="AW6" s="289"/>
      <c r="AX6" s="289"/>
      <c r="AY6" s="289"/>
      <c r="AZ6" s="305"/>
      <c r="BA6" s="289"/>
      <c r="BB6" s="287"/>
      <c r="BC6" s="289"/>
      <c r="BD6" s="289"/>
      <c r="BE6" s="289"/>
      <c r="BF6" s="289"/>
      <c r="BG6" s="289"/>
      <c r="BH6" s="289"/>
      <c r="BI6" s="289"/>
      <c r="BJ6" s="289"/>
      <c r="BK6" s="289"/>
      <c r="BL6" s="289"/>
      <c r="BM6" s="289"/>
      <c r="BN6" s="289"/>
      <c r="BO6" s="289"/>
      <c r="BP6" s="289"/>
      <c r="BQ6" s="289"/>
      <c r="BR6" s="289"/>
      <c r="BS6" s="289"/>
      <c r="BT6" s="289"/>
      <c r="BU6" s="289"/>
      <c r="BV6" s="289"/>
      <c r="BW6" s="289"/>
      <c r="BX6" s="289"/>
      <c r="BY6" s="289"/>
      <c r="BZ6" s="289"/>
      <c r="CA6" s="289"/>
      <c r="CB6" s="289"/>
      <c r="CC6" s="289"/>
      <c r="CD6" s="289"/>
      <c r="CE6" s="289"/>
      <c r="CF6" s="289"/>
      <c r="CG6" s="289"/>
      <c r="CH6" s="289"/>
      <c r="CI6" s="289"/>
      <c r="CJ6" s="289"/>
      <c r="CK6" s="289"/>
      <c r="CL6" s="289"/>
      <c r="CM6" s="289"/>
      <c r="CN6" s="289"/>
      <c r="CO6" s="289"/>
      <c r="CP6" s="289"/>
      <c r="CQ6" s="289"/>
      <c r="CR6" s="289"/>
      <c r="CS6" s="289"/>
      <c r="CT6" s="289"/>
      <c r="CU6" s="289"/>
      <c r="CV6" s="289"/>
      <c r="CW6" s="289"/>
      <c r="CX6" s="289"/>
    </row>
    <row r="7" spans="2:102" s="311" customFormat="1" ht="12" x14ac:dyDescent="0.15">
      <c r="B7" s="289" t="s">
        <v>197</v>
      </c>
      <c r="C7" s="289"/>
      <c r="D7" s="289"/>
      <c r="E7" s="289"/>
      <c r="F7" s="289"/>
      <c r="G7" s="288"/>
      <c r="H7" s="288"/>
      <c r="I7" s="289"/>
      <c r="J7" s="289"/>
      <c r="K7" s="289"/>
      <c r="L7" s="289" t="s">
        <v>201</v>
      </c>
      <c r="M7" s="289"/>
      <c r="N7" s="289"/>
      <c r="O7" s="289"/>
      <c r="P7" s="289"/>
      <c r="Q7" s="289"/>
      <c r="R7" s="289"/>
      <c r="S7" s="289"/>
      <c r="T7" s="289"/>
      <c r="U7" s="289"/>
      <c r="V7" s="289"/>
      <c r="W7" s="289"/>
      <c r="X7" s="289"/>
      <c r="Y7" s="289"/>
      <c r="Z7" s="289"/>
      <c r="AA7" s="289"/>
      <c r="AB7" s="289"/>
      <c r="AC7" s="289"/>
      <c r="AD7" s="289"/>
      <c r="AE7" s="289"/>
      <c r="AF7" s="289"/>
      <c r="AG7" s="289"/>
      <c r="AH7" s="289"/>
      <c r="AI7" s="289"/>
      <c r="AJ7" s="289"/>
      <c r="AK7" s="289"/>
      <c r="AL7" s="289"/>
      <c r="AM7" s="285"/>
      <c r="AN7" s="285"/>
      <c r="AO7" s="289"/>
      <c r="AP7" s="289"/>
      <c r="AQ7" s="289"/>
      <c r="AR7" s="289"/>
      <c r="AS7" s="289"/>
      <c r="AT7" s="289"/>
      <c r="AU7" s="285"/>
      <c r="AV7" s="289"/>
      <c r="AW7" s="289"/>
      <c r="AX7" s="289"/>
      <c r="AY7" s="289"/>
      <c r="AZ7" s="305"/>
      <c r="BA7" s="289"/>
      <c r="BB7" s="285"/>
      <c r="BC7" s="289"/>
      <c r="BD7" s="289"/>
      <c r="BE7" s="289"/>
      <c r="BF7" s="289"/>
      <c r="BG7" s="289"/>
      <c r="BH7" s="289"/>
      <c r="BI7" s="289"/>
      <c r="BJ7" s="289"/>
      <c r="BK7" s="289"/>
      <c r="BL7" s="289"/>
      <c r="BM7" s="289"/>
      <c r="BN7" s="289"/>
      <c r="BO7" s="289"/>
      <c r="BP7" s="289"/>
      <c r="BQ7" s="289"/>
      <c r="BR7" s="289"/>
      <c r="BS7" s="289"/>
      <c r="BT7" s="289"/>
      <c r="BU7" s="289"/>
      <c r="BV7" s="289"/>
      <c r="BW7" s="289"/>
      <c r="BX7" s="289"/>
      <c r="BY7" s="289"/>
      <c r="BZ7" s="289"/>
      <c r="CA7" s="289"/>
      <c r="CB7" s="289"/>
      <c r="CC7" s="289"/>
      <c r="CD7" s="289"/>
      <c r="CE7" s="289"/>
      <c r="CF7" s="289"/>
      <c r="CG7" s="289"/>
      <c r="CH7" s="289"/>
      <c r="CI7" s="289"/>
      <c r="CJ7" s="289"/>
      <c r="CK7" s="289"/>
      <c r="CL7" s="289"/>
      <c r="CM7" s="289"/>
      <c r="CN7" s="289"/>
      <c r="CO7" s="289"/>
      <c r="CP7" s="289"/>
      <c r="CQ7" s="289"/>
      <c r="CR7" s="289"/>
      <c r="CS7" s="289"/>
      <c r="CT7" s="289"/>
      <c r="CU7" s="289"/>
      <c r="CV7" s="289"/>
      <c r="CW7" s="289"/>
      <c r="CX7" s="289"/>
    </row>
    <row r="8" spans="2:102" s="311" customFormat="1" ht="12" x14ac:dyDescent="0.15">
      <c r="B8" s="289"/>
      <c r="C8" s="289"/>
      <c r="D8" s="289"/>
      <c r="E8" s="289"/>
      <c r="F8" s="289"/>
      <c r="G8" s="288"/>
      <c r="H8" s="288"/>
      <c r="I8" s="289"/>
      <c r="J8" s="289"/>
      <c r="K8" s="289"/>
      <c r="L8" s="289"/>
      <c r="M8" s="289"/>
      <c r="N8" s="289"/>
      <c r="O8" s="289"/>
      <c r="P8" s="289"/>
      <c r="Q8" s="289"/>
      <c r="R8" s="289"/>
      <c r="S8" s="289"/>
      <c r="T8" s="289"/>
      <c r="U8" s="289"/>
      <c r="V8" s="289"/>
      <c r="W8" s="289"/>
      <c r="X8" s="289"/>
      <c r="Y8" s="289"/>
      <c r="Z8" s="289"/>
      <c r="AA8" s="289"/>
      <c r="AB8" s="288"/>
      <c r="AC8" s="289"/>
      <c r="AD8" s="289"/>
      <c r="AE8" s="289"/>
      <c r="AF8" s="289"/>
      <c r="AG8" s="289"/>
      <c r="AH8" s="289"/>
      <c r="AI8" s="289"/>
      <c r="AJ8" s="289"/>
      <c r="AK8" s="289"/>
      <c r="AL8" s="289"/>
      <c r="AM8" s="285"/>
      <c r="AN8" s="285"/>
      <c r="AO8" s="289"/>
      <c r="AP8" s="289"/>
      <c r="AQ8" s="289"/>
      <c r="AR8" s="289"/>
      <c r="AS8" s="289"/>
      <c r="AT8" s="289"/>
      <c r="AU8" s="285"/>
      <c r="AV8" s="289"/>
      <c r="AW8" s="289"/>
      <c r="AX8" s="289"/>
      <c r="AY8" s="289"/>
      <c r="AZ8" s="306"/>
      <c r="BA8" s="289"/>
      <c r="BB8" s="285"/>
      <c r="BC8" s="289"/>
      <c r="BD8" s="289"/>
      <c r="BE8" s="289"/>
      <c r="BF8" s="289"/>
      <c r="BG8" s="289"/>
      <c r="BH8" s="289"/>
      <c r="BI8" s="289"/>
      <c r="BJ8" s="289"/>
      <c r="BK8" s="289"/>
      <c r="BL8" s="289"/>
      <c r="BM8" s="289"/>
      <c r="BN8" s="289"/>
      <c r="BO8" s="289"/>
      <c r="BP8" s="289"/>
      <c r="BQ8" s="289"/>
      <c r="BR8" s="289"/>
      <c r="BS8" s="289"/>
      <c r="BT8" s="289"/>
      <c r="BU8" s="289"/>
      <c r="BV8" s="289"/>
      <c r="BW8" s="289"/>
      <c r="BX8" s="289"/>
      <c r="BY8" s="289"/>
      <c r="BZ8" s="289"/>
      <c r="CA8" s="289"/>
      <c r="CB8" s="289"/>
      <c r="CD8" s="289"/>
      <c r="CE8" s="289"/>
      <c r="CF8" s="289"/>
      <c r="CG8" s="289"/>
      <c r="CH8" s="289"/>
      <c r="CI8" s="289"/>
      <c r="CJ8" s="289"/>
      <c r="CK8" s="289"/>
      <c r="CL8" s="289"/>
      <c r="CM8" s="289"/>
      <c r="CN8" s="289"/>
      <c r="CO8" s="289"/>
      <c r="CP8" s="289"/>
      <c r="CQ8" s="289"/>
      <c r="CR8" s="289"/>
      <c r="CS8" s="289"/>
      <c r="CT8" s="289"/>
      <c r="CU8" s="289"/>
      <c r="CV8" s="289"/>
      <c r="CW8" s="289"/>
      <c r="CX8" s="289"/>
    </row>
    <row r="9" spans="2:102" s="311" customFormat="1" ht="12" x14ac:dyDescent="0.15">
      <c r="B9" s="289"/>
      <c r="C9" s="289"/>
      <c r="D9" s="289"/>
      <c r="E9" s="289"/>
      <c r="F9" s="289"/>
      <c r="G9" s="290"/>
      <c r="H9" s="289"/>
      <c r="I9" s="289"/>
      <c r="J9" s="289"/>
      <c r="K9" s="289"/>
      <c r="L9" s="289"/>
      <c r="M9" s="289"/>
      <c r="N9" s="289"/>
      <c r="O9" s="289"/>
      <c r="P9" s="289"/>
      <c r="Q9" s="289"/>
      <c r="R9" s="289"/>
      <c r="S9" s="289"/>
      <c r="T9" s="289"/>
      <c r="U9" s="289"/>
      <c r="V9" s="289"/>
      <c r="W9" s="289"/>
      <c r="X9" s="289"/>
      <c r="Y9" s="289"/>
      <c r="Z9" s="289"/>
      <c r="AA9" s="289"/>
      <c r="AB9" s="288"/>
      <c r="AC9" s="289"/>
      <c r="AD9" s="289"/>
      <c r="AE9" s="289"/>
      <c r="AF9" s="289"/>
      <c r="AH9" s="289"/>
      <c r="AI9" s="289"/>
      <c r="AJ9" s="289"/>
      <c r="AK9" s="289"/>
      <c r="AL9" s="289"/>
      <c r="AM9" s="287"/>
      <c r="AN9" s="287"/>
      <c r="AO9" s="289"/>
      <c r="AP9" s="289"/>
      <c r="AQ9" s="289"/>
      <c r="AR9" s="289"/>
      <c r="AS9" s="289"/>
      <c r="AT9" s="289"/>
      <c r="AU9" s="287"/>
      <c r="AV9" s="289"/>
      <c r="AW9" s="289"/>
      <c r="AX9" s="289"/>
      <c r="AY9" s="289"/>
      <c r="AZ9" s="306"/>
      <c r="BA9" s="289"/>
      <c r="BB9" s="287"/>
      <c r="BC9" s="289"/>
      <c r="BD9" s="289"/>
      <c r="BE9" s="289"/>
      <c r="BF9" s="289"/>
      <c r="BG9" s="289"/>
      <c r="BH9" s="289"/>
      <c r="BI9" s="289"/>
      <c r="BJ9" s="289"/>
      <c r="BK9" s="289"/>
      <c r="BL9" s="289"/>
      <c r="BM9" s="289"/>
      <c r="BN9" s="289"/>
      <c r="BO9" s="289"/>
      <c r="BP9" s="289"/>
      <c r="BQ9" s="289"/>
      <c r="BR9" s="289"/>
      <c r="BS9" s="289"/>
      <c r="BT9" s="289"/>
      <c r="BU9" s="289"/>
      <c r="BV9" s="289"/>
      <c r="BW9" s="289"/>
      <c r="BX9" s="289"/>
      <c r="BY9" s="289"/>
      <c r="BZ9" s="289"/>
      <c r="CA9" s="289"/>
      <c r="CB9" s="289"/>
      <c r="CC9" s="289"/>
      <c r="CD9" s="289"/>
      <c r="CE9" s="289"/>
      <c r="CF9" s="289"/>
      <c r="CG9" s="289"/>
      <c r="CH9" s="289"/>
      <c r="CI9" s="289"/>
      <c r="CJ9" s="289"/>
      <c r="CK9" s="289"/>
      <c r="CL9" s="289"/>
      <c r="CM9" s="289"/>
      <c r="CN9" s="289"/>
      <c r="CO9" s="289"/>
      <c r="CP9" s="289"/>
      <c r="CQ9" s="289"/>
      <c r="CR9" s="289"/>
      <c r="CS9" s="289"/>
      <c r="CT9" s="289"/>
      <c r="CU9" s="289"/>
      <c r="CV9" s="289"/>
      <c r="CW9" s="289"/>
      <c r="CX9" s="289"/>
    </row>
    <row r="10" spans="2:102" s="311" customFormat="1" ht="12" x14ac:dyDescent="0.15">
      <c r="B10" s="289"/>
      <c r="C10" s="289"/>
      <c r="D10" s="289"/>
      <c r="E10" s="289"/>
      <c r="F10" s="289"/>
      <c r="G10" s="290"/>
      <c r="H10" s="289"/>
      <c r="I10" s="289"/>
      <c r="J10" s="289"/>
      <c r="K10" s="289"/>
      <c r="L10" s="289"/>
      <c r="M10" s="289"/>
      <c r="N10" s="289"/>
      <c r="O10" s="287"/>
      <c r="P10" s="289"/>
      <c r="Q10" s="289"/>
      <c r="R10" s="289"/>
      <c r="S10" s="289"/>
      <c r="T10" s="289"/>
      <c r="U10" s="289"/>
      <c r="V10" s="289"/>
      <c r="W10" s="289"/>
      <c r="X10" s="289"/>
      <c r="Y10" s="289"/>
      <c r="Z10" s="289"/>
      <c r="AA10" s="289"/>
      <c r="AB10" s="287"/>
      <c r="AC10" s="289"/>
      <c r="AD10" s="289"/>
      <c r="AE10" s="289"/>
      <c r="AF10" s="289"/>
      <c r="AG10" s="289"/>
      <c r="AH10" s="289"/>
      <c r="AI10" s="289"/>
      <c r="AJ10" s="289"/>
      <c r="AK10" s="289"/>
      <c r="AL10" s="289"/>
      <c r="AM10" s="287"/>
      <c r="AN10" s="287"/>
      <c r="AO10" s="289"/>
      <c r="AP10" s="289"/>
      <c r="AQ10" s="289"/>
      <c r="AR10" s="289"/>
      <c r="AS10" s="289"/>
      <c r="AT10" s="289"/>
      <c r="AU10" s="287"/>
      <c r="AV10" s="289"/>
      <c r="AW10" s="289"/>
      <c r="AX10" s="289"/>
      <c r="AY10" s="289"/>
      <c r="AZ10" s="289"/>
      <c r="BA10" s="289"/>
      <c r="BB10" s="287"/>
      <c r="BC10" s="289"/>
      <c r="BD10" s="289"/>
      <c r="BE10" s="289"/>
      <c r="BF10" s="289"/>
      <c r="BG10" s="289"/>
      <c r="BH10" s="289"/>
      <c r="BI10" s="289"/>
      <c r="BJ10" s="289"/>
      <c r="BK10" s="289"/>
      <c r="BL10" s="289"/>
      <c r="BM10" s="289"/>
      <c r="BN10" s="289"/>
      <c r="BO10" s="289"/>
      <c r="BP10" s="289"/>
      <c r="BQ10" s="289"/>
      <c r="BR10" s="289"/>
      <c r="BS10" s="289"/>
      <c r="BT10" s="289"/>
      <c r="BU10" s="289"/>
      <c r="BV10" s="289"/>
      <c r="BW10" s="289"/>
      <c r="BX10" s="289"/>
      <c r="BY10" s="289"/>
      <c r="BZ10" s="289"/>
      <c r="CA10" s="289"/>
      <c r="CB10" s="289"/>
      <c r="CC10" s="289"/>
      <c r="CD10" s="289"/>
      <c r="CE10" s="289"/>
      <c r="CF10" s="289"/>
      <c r="CG10" s="289"/>
      <c r="CH10" s="289"/>
      <c r="CI10" s="289"/>
      <c r="CJ10" s="289"/>
      <c r="CK10" s="289"/>
      <c r="CL10" s="289"/>
      <c r="CM10" s="289"/>
      <c r="CN10" s="289"/>
      <c r="CO10" s="289"/>
      <c r="CP10" s="289"/>
      <c r="CQ10" s="289"/>
      <c r="CR10" s="289"/>
      <c r="CS10" s="289"/>
      <c r="CT10" s="289"/>
      <c r="CU10" s="289"/>
      <c r="CV10" s="289"/>
      <c r="CW10" s="289"/>
      <c r="CX10" s="289"/>
    </row>
    <row r="11" spans="2:102" s="311" customFormat="1" ht="12" x14ac:dyDescent="0.15">
      <c r="B11" s="289"/>
      <c r="C11" s="289"/>
      <c r="D11" s="289"/>
      <c r="E11" s="289"/>
      <c r="F11" s="289"/>
      <c r="G11" s="289"/>
      <c r="H11" s="289"/>
      <c r="I11" s="289"/>
      <c r="J11" s="289"/>
      <c r="K11" s="289"/>
      <c r="L11" s="289"/>
      <c r="M11" s="289"/>
      <c r="N11" s="289"/>
      <c r="O11" s="289"/>
      <c r="P11" s="289"/>
      <c r="Q11" s="289"/>
      <c r="R11" s="289"/>
      <c r="S11" s="289"/>
      <c r="T11" s="289"/>
      <c r="U11" s="289"/>
      <c r="V11" s="289"/>
      <c r="W11" s="289"/>
      <c r="X11" s="289"/>
      <c r="Y11" s="289"/>
      <c r="Z11" s="289"/>
      <c r="AA11" s="289"/>
      <c r="AB11" s="289"/>
      <c r="AC11" s="289"/>
      <c r="AD11" s="289"/>
      <c r="AE11" s="289"/>
      <c r="AF11" s="289"/>
      <c r="AG11" s="289"/>
      <c r="AH11" s="289"/>
      <c r="AI11" s="289"/>
      <c r="AJ11" s="289"/>
      <c r="AK11" s="289"/>
      <c r="AL11" s="289"/>
      <c r="AM11" s="289"/>
      <c r="AN11" s="289"/>
      <c r="AO11" s="289"/>
      <c r="AP11" s="289"/>
      <c r="AQ11" s="289"/>
      <c r="AR11" s="289"/>
      <c r="AS11" s="289"/>
      <c r="AT11" s="289"/>
      <c r="AU11" s="289"/>
      <c r="AV11" s="289"/>
      <c r="AW11" s="289"/>
      <c r="AX11" s="289"/>
      <c r="AY11" s="289"/>
      <c r="AZ11" s="289"/>
      <c r="BA11" s="289"/>
      <c r="BB11" s="289"/>
      <c r="BC11" s="289"/>
      <c r="BD11" s="289"/>
      <c r="BE11" s="289"/>
      <c r="BF11" s="289"/>
      <c r="BG11" s="289"/>
      <c r="BH11" s="289"/>
      <c r="BI11" s="289"/>
      <c r="BJ11" s="289"/>
      <c r="BK11" s="289"/>
      <c r="BL11" s="289"/>
      <c r="BM11" s="289"/>
      <c r="BN11" s="289"/>
      <c r="BO11" s="289"/>
      <c r="BP11" s="289"/>
      <c r="BQ11" s="289"/>
      <c r="BR11" s="289"/>
      <c r="BS11" s="289"/>
      <c r="BT11" s="289"/>
      <c r="BU11" s="289"/>
      <c r="BV11" s="289"/>
      <c r="BW11" s="289"/>
      <c r="BX11" s="289"/>
      <c r="BY11" s="289"/>
      <c r="BZ11" s="289"/>
      <c r="CA11" s="289"/>
      <c r="CB11" s="289"/>
      <c r="CC11" s="289"/>
      <c r="CD11" s="289"/>
      <c r="CE11" s="289"/>
      <c r="CF11" s="289"/>
      <c r="CG11" s="289"/>
      <c r="CH11" s="289"/>
      <c r="CI11" s="289"/>
      <c r="CJ11" s="289"/>
      <c r="CK11" s="289"/>
      <c r="CL11" s="289"/>
      <c r="CM11" s="289"/>
      <c r="CN11" s="289"/>
      <c r="CO11" s="289"/>
      <c r="CP11" s="289"/>
      <c r="CQ11" s="289"/>
      <c r="CR11" s="289"/>
      <c r="CS11" s="289"/>
      <c r="CT11" s="289"/>
      <c r="CU11" s="289"/>
      <c r="CV11" s="289"/>
      <c r="CW11" s="289"/>
      <c r="CX11" s="289"/>
    </row>
    <row r="12" spans="2:102" s="311" customFormat="1" ht="12" x14ac:dyDescent="0.15">
      <c r="B12" s="289"/>
      <c r="C12" s="289"/>
      <c r="D12" s="289"/>
      <c r="E12" s="289"/>
      <c r="F12" s="289"/>
      <c r="G12" s="289"/>
      <c r="H12" s="289"/>
      <c r="I12" s="289"/>
      <c r="J12" s="289"/>
      <c r="K12" s="289"/>
      <c r="L12" s="289"/>
      <c r="M12" s="289"/>
      <c r="N12" s="289"/>
      <c r="O12" s="289"/>
      <c r="P12" s="289"/>
      <c r="Q12" s="289"/>
      <c r="R12" s="289"/>
      <c r="S12" s="289"/>
      <c r="T12" s="289"/>
      <c r="U12" s="289"/>
      <c r="V12" s="289"/>
      <c r="W12" s="289"/>
      <c r="X12" s="289"/>
      <c r="Y12" s="289"/>
      <c r="Z12" s="289"/>
      <c r="AA12" s="289"/>
      <c r="AB12" s="289"/>
      <c r="AC12" s="289"/>
      <c r="AD12" s="289"/>
      <c r="AE12" s="289"/>
      <c r="AF12" s="289"/>
      <c r="AG12" s="289"/>
      <c r="AH12" s="289"/>
      <c r="AI12" s="289"/>
      <c r="AJ12" s="289"/>
      <c r="AK12" s="289"/>
      <c r="AL12" s="289"/>
      <c r="AM12" s="289"/>
      <c r="AN12" s="289"/>
      <c r="AO12" s="289"/>
      <c r="AP12" s="289"/>
      <c r="AQ12" s="289"/>
      <c r="AR12" s="289"/>
      <c r="AS12" s="289"/>
      <c r="AT12" s="289"/>
      <c r="AU12" s="289"/>
      <c r="AV12" s="289"/>
      <c r="AW12" s="289"/>
      <c r="AX12" s="289"/>
      <c r="AY12" s="289"/>
      <c r="AZ12" s="289"/>
      <c r="BA12" s="289"/>
      <c r="BB12" s="289"/>
      <c r="BC12" s="289"/>
      <c r="BD12" s="289"/>
      <c r="BE12" s="289"/>
      <c r="BF12" s="289"/>
      <c r="BG12" s="289"/>
      <c r="BH12" s="289"/>
      <c r="BI12" s="289"/>
      <c r="BJ12" s="289"/>
      <c r="BK12" s="289"/>
      <c r="BL12" s="289"/>
      <c r="BM12" s="289"/>
      <c r="BN12" s="289"/>
      <c r="BO12" s="289"/>
      <c r="BP12" s="289"/>
      <c r="BQ12" s="289"/>
      <c r="BR12" s="289"/>
      <c r="BS12" s="289"/>
      <c r="BT12" s="289"/>
      <c r="BU12" s="289"/>
      <c r="BV12" s="289"/>
      <c r="BW12" s="289"/>
      <c r="BX12" s="289"/>
      <c r="BY12" s="289"/>
      <c r="BZ12" s="289"/>
      <c r="CA12" s="289"/>
      <c r="CB12" s="289"/>
      <c r="CC12" s="289"/>
      <c r="CD12" s="289"/>
      <c r="CE12" s="289"/>
      <c r="CF12" s="289"/>
      <c r="CG12" s="289"/>
      <c r="CH12" s="289"/>
      <c r="CI12" s="289"/>
      <c r="CJ12" s="289"/>
      <c r="CK12" s="289"/>
      <c r="CL12" s="289"/>
      <c r="CM12" s="289"/>
      <c r="CN12" s="289"/>
      <c r="CO12" s="289"/>
      <c r="CP12" s="289"/>
      <c r="CQ12" s="289"/>
      <c r="CR12" s="289"/>
      <c r="CS12" s="289"/>
      <c r="CT12" s="289"/>
      <c r="CU12" s="289"/>
      <c r="CV12" s="289"/>
      <c r="CW12" s="289"/>
      <c r="CX12" s="289"/>
    </row>
    <row r="13" spans="2:102" s="311" customFormat="1" ht="12" x14ac:dyDescent="0.15">
      <c r="B13" s="289"/>
      <c r="C13" s="289"/>
      <c r="D13" s="289"/>
      <c r="E13" s="289"/>
      <c r="F13" s="289"/>
      <c r="G13" s="289"/>
      <c r="H13" s="289"/>
      <c r="I13" s="289"/>
      <c r="J13" s="289"/>
      <c r="K13" s="289"/>
      <c r="L13" s="289"/>
      <c r="M13" s="289"/>
      <c r="N13" s="289"/>
      <c r="O13" s="289"/>
      <c r="P13" s="289"/>
      <c r="Q13" s="289"/>
      <c r="R13" s="289"/>
      <c r="S13" s="289"/>
      <c r="T13" s="289"/>
      <c r="U13" s="289"/>
      <c r="V13" s="289"/>
      <c r="W13" s="289"/>
      <c r="X13" s="289"/>
      <c r="Y13" s="289"/>
      <c r="Z13" s="289"/>
      <c r="AA13" s="289"/>
      <c r="AB13" s="289"/>
      <c r="AC13" s="289"/>
      <c r="AD13" s="289"/>
      <c r="AE13" s="289"/>
      <c r="AF13" s="289"/>
      <c r="AG13" s="289"/>
      <c r="AH13" s="289"/>
      <c r="AI13" s="289"/>
      <c r="AJ13" s="289"/>
      <c r="AK13" s="289"/>
      <c r="AL13" s="289"/>
      <c r="AM13" s="289"/>
      <c r="AN13" s="289"/>
      <c r="AO13" s="289"/>
      <c r="AP13" s="289"/>
      <c r="AQ13" s="289"/>
      <c r="AR13" s="289"/>
      <c r="AS13" s="289"/>
      <c r="AT13" s="289"/>
      <c r="AU13" s="289"/>
      <c r="AV13" s="289"/>
      <c r="AW13" s="289"/>
      <c r="AX13" s="289"/>
      <c r="AY13" s="289"/>
      <c r="AZ13" s="289"/>
      <c r="BA13" s="289"/>
      <c r="BB13" s="289"/>
      <c r="BC13" s="289"/>
      <c r="BD13" s="289"/>
      <c r="BE13" s="289"/>
      <c r="BF13" s="289"/>
      <c r="BG13" s="289"/>
      <c r="BH13" s="289"/>
      <c r="BI13" s="289"/>
      <c r="BJ13" s="289"/>
      <c r="BK13" s="289"/>
      <c r="BL13" s="289"/>
      <c r="BM13" s="289"/>
      <c r="BN13" s="289"/>
      <c r="BO13" s="289"/>
      <c r="BP13" s="289"/>
      <c r="BQ13" s="289"/>
      <c r="BR13" s="289"/>
      <c r="BS13" s="289"/>
      <c r="BT13" s="289"/>
      <c r="BU13" s="289"/>
      <c r="BV13" s="289"/>
      <c r="BW13" s="289"/>
      <c r="BX13" s="289"/>
      <c r="BY13" s="289"/>
      <c r="BZ13" s="289"/>
      <c r="CA13" s="289"/>
      <c r="CB13" s="289"/>
      <c r="CC13" s="289"/>
      <c r="CD13" s="289"/>
      <c r="CE13" s="289"/>
      <c r="CF13" s="289"/>
      <c r="CG13" s="289"/>
      <c r="CH13" s="289"/>
      <c r="CI13" s="289"/>
      <c r="CJ13" s="289"/>
      <c r="CK13" s="289"/>
      <c r="CL13" s="289"/>
      <c r="CM13" s="289"/>
      <c r="CN13" s="289"/>
      <c r="CO13" s="289"/>
      <c r="CP13" s="289"/>
      <c r="CQ13" s="289"/>
      <c r="CR13" s="289"/>
      <c r="CS13" s="289"/>
      <c r="CT13" s="289"/>
      <c r="CU13" s="289"/>
      <c r="CV13" s="289"/>
      <c r="CW13" s="289"/>
      <c r="CX13" s="289"/>
    </row>
    <row r="14" spans="2:102" s="311" customFormat="1" ht="12" x14ac:dyDescent="0.15">
      <c r="B14" s="289"/>
      <c r="C14" s="289"/>
      <c r="D14" s="289"/>
      <c r="E14" s="289"/>
      <c r="F14" s="289"/>
      <c r="G14" s="289"/>
      <c r="H14" s="289"/>
      <c r="I14" s="289"/>
      <c r="J14" s="289"/>
      <c r="K14" s="289"/>
      <c r="L14" s="289"/>
      <c r="M14" s="289"/>
      <c r="N14" s="289"/>
      <c r="O14" s="289"/>
      <c r="P14" s="289"/>
      <c r="Q14" s="289"/>
      <c r="R14" s="289"/>
      <c r="S14" s="289"/>
      <c r="T14" s="289"/>
      <c r="U14" s="289"/>
      <c r="V14" s="289"/>
      <c r="W14" s="289"/>
      <c r="X14" s="289"/>
      <c r="Y14" s="289"/>
      <c r="Z14" s="289"/>
      <c r="AA14" s="289"/>
      <c r="AB14" s="289"/>
      <c r="AC14" s="289"/>
      <c r="AD14" s="289"/>
      <c r="AE14" s="289"/>
      <c r="AF14" s="289"/>
      <c r="AG14" s="289"/>
      <c r="AH14" s="289"/>
      <c r="AI14" s="289"/>
      <c r="AJ14" s="289"/>
      <c r="AK14" s="289"/>
      <c r="AL14" s="289"/>
      <c r="AM14" s="289"/>
      <c r="AN14" s="289"/>
      <c r="AO14" s="289"/>
      <c r="AP14" s="289"/>
      <c r="AQ14" s="289"/>
      <c r="AR14" s="289"/>
      <c r="AS14" s="289"/>
      <c r="AT14" s="289"/>
      <c r="AU14" s="289"/>
      <c r="AV14" s="289"/>
      <c r="AW14" s="289"/>
      <c r="AX14" s="289"/>
      <c r="AY14" s="289"/>
      <c r="AZ14" s="289"/>
      <c r="BA14" s="289"/>
      <c r="BB14" s="289"/>
      <c r="BC14" s="289"/>
      <c r="BD14" s="289"/>
      <c r="BE14" s="289"/>
      <c r="BF14" s="289"/>
      <c r="BG14" s="289"/>
      <c r="BH14" s="289"/>
      <c r="BI14" s="289"/>
      <c r="BJ14" s="289"/>
      <c r="BK14" s="289"/>
      <c r="BL14" s="289"/>
      <c r="BM14" s="289"/>
      <c r="BN14" s="289"/>
      <c r="BO14" s="289"/>
      <c r="BP14" s="289"/>
      <c r="BQ14" s="289"/>
      <c r="BR14" s="289"/>
      <c r="BS14" s="289"/>
      <c r="BT14" s="289"/>
      <c r="BU14" s="289"/>
      <c r="BV14" s="289"/>
      <c r="BW14" s="289"/>
      <c r="BX14" s="289"/>
      <c r="BY14" s="289"/>
      <c r="BZ14" s="289"/>
      <c r="CA14" s="289"/>
      <c r="CB14" s="289"/>
      <c r="CC14" s="289"/>
      <c r="CD14" s="289"/>
      <c r="CE14" s="289"/>
      <c r="CF14" s="289"/>
      <c r="CG14" s="289"/>
      <c r="CH14" s="289"/>
      <c r="CI14" s="289"/>
      <c r="CJ14" s="289"/>
      <c r="CK14" s="289"/>
      <c r="CL14" s="289"/>
      <c r="CM14" s="289"/>
      <c r="CN14" s="289"/>
      <c r="CO14" s="289"/>
      <c r="CP14" s="289"/>
      <c r="CQ14" s="289"/>
      <c r="CR14" s="289"/>
      <c r="CS14" s="289"/>
      <c r="CT14" s="289"/>
      <c r="CU14" s="289"/>
      <c r="CV14" s="289"/>
      <c r="CW14" s="289"/>
      <c r="CX14" s="289"/>
    </row>
    <row r="15" spans="2:102" s="311" customFormat="1" ht="12" x14ac:dyDescent="0.15">
      <c r="B15" s="289"/>
      <c r="C15" s="289"/>
      <c r="D15" s="289"/>
      <c r="E15" s="289"/>
      <c r="F15" s="289"/>
      <c r="G15" s="289"/>
      <c r="H15" s="289"/>
      <c r="I15" s="289"/>
      <c r="J15" s="289"/>
      <c r="K15" s="289"/>
      <c r="L15" s="289"/>
      <c r="M15" s="289"/>
      <c r="N15" s="289"/>
      <c r="O15" s="289"/>
      <c r="P15" s="289"/>
      <c r="Q15" s="289"/>
      <c r="R15" s="289"/>
      <c r="S15" s="289"/>
      <c r="T15" s="289"/>
      <c r="U15" s="289"/>
      <c r="V15" s="289"/>
      <c r="W15" s="289"/>
      <c r="X15" s="289"/>
      <c r="Y15" s="289"/>
      <c r="Z15" s="289"/>
      <c r="AA15" s="289"/>
      <c r="AB15" s="289"/>
      <c r="AC15" s="289"/>
      <c r="AD15" s="289"/>
      <c r="AE15" s="289"/>
      <c r="AF15" s="289"/>
      <c r="AG15" s="289"/>
      <c r="AH15" s="289"/>
      <c r="AI15" s="289"/>
      <c r="AJ15" s="289"/>
      <c r="AK15" s="289"/>
      <c r="AL15" s="289"/>
      <c r="AM15" s="289"/>
      <c r="AN15" s="289"/>
      <c r="AO15" s="289"/>
      <c r="AP15" s="289"/>
      <c r="AQ15" s="289"/>
      <c r="AR15" s="289"/>
      <c r="AS15" s="289"/>
      <c r="AT15" s="289"/>
      <c r="AU15" s="289"/>
      <c r="AV15" s="289"/>
      <c r="AW15" s="289"/>
      <c r="AX15" s="289"/>
      <c r="AY15" s="289"/>
      <c r="AZ15" s="289"/>
      <c r="BA15" s="289"/>
      <c r="BB15" s="289"/>
      <c r="BC15" s="289"/>
      <c r="BD15" s="289"/>
      <c r="BE15" s="289"/>
      <c r="BF15" s="289"/>
      <c r="BG15" s="289"/>
      <c r="BH15" s="289"/>
      <c r="BI15" s="289"/>
      <c r="BJ15" s="289"/>
      <c r="BK15" s="289"/>
      <c r="BL15" s="289"/>
      <c r="BM15" s="289"/>
      <c r="BN15" s="289"/>
      <c r="BO15" s="289"/>
      <c r="BP15" s="289"/>
      <c r="BQ15" s="289"/>
      <c r="BR15" s="289"/>
      <c r="BS15" s="289"/>
      <c r="BT15" s="289"/>
      <c r="BU15" s="289"/>
      <c r="BV15" s="289"/>
      <c r="BW15" s="289"/>
      <c r="BX15" s="289"/>
      <c r="BY15" s="289"/>
      <c r="BZ15" s="289"/>
      <c r="CA15" s="289"/>
      <c r="CB15" s="289"/>
      <c r="CC15" s="289"/>
      <c r="CD15" s="289"/>
      <c r="CE15" s="289"/>
      <c r="CF15" s="289"/>
      <c r="CG15" s="289"/>
      <c r="CH15" s="289"/>
      <c r="CI15" s="289"/>
      <c r="CJ15" s="289"/>
      <c r="CK15" s="289"/>
      <c r="CL15" s="289"/>
      <c r="CM15" s="289"/>
      <c r="CN15" s="289"/>
      <c r="CO15" s="289"/>
      <c r="CP15" s="289"/>
      <c r="CQ15" s="289"/>
      <c r="CR15" s="289"/>
      <c r="CS15" s="289"/>
      <c r="CT15" s="289"/>
      <c r="CU15" s="289"/>
      <c r="CV15" s="289"/>
      <c r="CW15" s="289"/>
      <c r="CX15" s="289"/>
    </row>
    <row r="16" spans="2:102" s="311" customFormat="1" ht="12" x14ac:dyDescent="0.15">
      <c r="B16" s="289"/>
      <c r="C16" s="289"/>
      <c r="D16" s="289"/>
      <c r="E16" s="289"/>
      <c r="F16" s="289"/>
      <c r="G16" s="289"/>
      <c r="H16" s="289"/>
      <c r="I16" s="289"/>
      <c r="J16" s="289"/>
      <c r="K16" s="289"/>
      <c r="L16" s="289"/>
      <c r="M16" s="289"/>
      <c r="N16" s="289"/>
      <c r="O16" s="289"/>
      <c r="P16" s="289"/>
      <c r="Q16" s="289"/>
      <c r="R16" s="289"/>
      <c r="S16" s="289"/>
      <c r="T16" s="289"/>
      <c r="U16" s="289"/>
      <c r="V16" s="289"/>
      <c r="W16" s="289"/>
      <c r="X16" s="289"/>
      <c r="Y16" s="289"/>
      <c r="Z16" s="289"/>
      <c r="AA16" s="289"/>
      <c r="AB16" s="289"/>
      <c r="AC16" s="289"/>
      <c r="AD16" s="289"/>
      <c r="AE16" s="289"/>
      <c r="AF16" s="289"/>
      <c r="AG16" s="289"/>
      <c r="AH16" s="289"/>
      <c r="AI16" s="289"/>
      <c r="AJ16" s="289"/>
      <c r="AK16" s="289"/>
      <c r="AL16" s="289"/>
      <c r="AM16" s="289"/>
      <c r="AN16" s="289"/>
      <c r="AO16" s="289"/>
      <c r="AP16" s="289"/>
      <c r="AQ16" s="289"/>
      <c r="AR16" s="289"/>
      <c r="AS16" s="289"/>
      <c r="AT16" s="289"/>
      <c r="AU16" s="289"/>
      <c r="AV16" s="289"/>
      <c r="AW16" s="289"/>
      <c r="AX16" s="289"/>
      <c r="AY16" s="289"/>
      <c r="AZ16" s="289"/>
      <c r="BA16" s="289"/>
      <c r="BB16" s="289"/>
      <c r="BC16" s="289"/>
      <c r="BD16" s="289"/>
      <c r="BE16" s="289"/>
      <c r="BF16" s="289"/>
      <c r="BG16" s="289"/>
      <c r="BH16" s="289"/>
      <c r="BI16" s="289"/>
      <c r="BJ16" s="289"/>
      <c r="BK16" s="289"/>
      <c r="BL16" s="289"/>
      <c r="BM16" s="289"/>
      <c r="BN16" s="289"/>
      <c r="BO16" s="289"/>
      <c r="BP16" s="289"/>
      <c r="BQ16" s="289"/>
      <c r="BR16" s="289"/>
      <c r="BS16" s="289"/>
      <c r="BT16" s="289"/>
      <c r="BU16" s="289"/>
      <c r="BV16" s="289"/>
      <c r="BW16" s="289"/>
      <c r="BX16" s="289"/>
      <c r="BY16" s="289"/>
      <c r="BZ16" s="289"/>
      <c r="CA16" s="289"/>
      <c r="CB16" s="289"/>
      <c r="CC16" s="289"/>
      <c r="CD16" s="289"/>
      <c r="CE16" s="289"/>
      <c r="CF16" s="289"/>
      <c r="CG16" s="289"/>
      <c r="CH16" s="289"/>
      <c r="CI16" s="289"/>
      <c r="CJ16" s="289"/>
      <c r="CK16" s="289"/>
      <c r="CL16" s="289"/>
      <c r="CM16" s="289"/>
      <c r="CN16" s="289"/>
      <c r="CO16" s="289"/>
      <c r="CP16" s="289"/>
      <c r="CQ16" s="289"/>
      <c r="CR16" s="289"/>
      <c r="CS16" s="289"/>
      <c r="CT16" s="289"/>
      <c r="CU16" s="289"/>
      <c r="CV16" s="289"/>
      <c r="CW16" s="289"/>
      <c r="CX16" s="289"/>
    </row>
  </sheetData>
  <phoneticPr fontId="8"/>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2:HN27"/>
  <sheetViews>
    <sheetView showGridLines="0" topLeftCell="W1" zoomScale="70" zoomScaleNormal="70" workbookViewId="0">
      <selection activeCell="AN2" sqref="AN2"/>
    </sheetView>
  </sheetViews>
  <sheetFormatPr defaultColWidth="9" defaultRowHeight="13.5" x14ac:dyDescent="0.15"/>
  <cols>
    <col min="1" max="1" width="2.25" style="294" customWidth="1"/>
    <col min="2" max="132" width="11.375" style="294" customWidth="1"/>
    <col min="133" max="148" width="11.375" customWidth="1"/>
    <col min="149" max="221" width="11.375" style="294" customWidth="1"/>
    <col min="222" max="222" width="11.5" style="294" customWidth="1"/>
    <col min="223" max="16384" width="9" style="294"/>
  </cols>
  <sheetData>
    <row r="2" spans="2:222" x14ac:dyDescent="0.15">
      <c r="B2" s="280" t="s">
        <v>205</v>
      </c>
      <c r="C2" s="280" t="s">
        <v>269</v>
      </c>
      <c r="D2" s="280" t="s">
        <v>206</v>
      </c>
      <c r="E2" s="280" t="s">
        <v>207</v>
      </c>
      <c r="F2" s="280" t="s">
        <v>208</v>
      </c>
      <c r="G2" s="280" t="s">
        <v>247</v>
      </c>
      <c r="H2" s="280" t="s">
        <v>248</v>
      </c>
      <c r="I2" s="280" t="s">
        <v>249</v>
      </c>
      <c r="J2" s="280" t="s">
        <v>250</v>
      </c>
      <c r="K2" s="280" t="s">
        <v>251</v>
      </c>
      <c r="L2" s="280" t="s">
        <v>252</v>
      </c>
      <c r="M2" s="280" t="s">
        <v>253</v>
      </c>
      <c r="N2" s="280" t="s">
        <v>209</v>
      </c>
      <c r="O2" s="280" t="s">
        <v>210</v>
      </c>
      <c r="P2" s="280" t="s">
        <v>254</v>
      </c>
      <c r="Q2" s="280" t="s">
        <v>255</v>
      </c>
      <c r="R2" s="280" t="s">
        <v>256</v>
      </c>
      <c r="S2" s="280" t="s">
        <v>257</v>
      </c>
      <c r="T2" s="280" t="s">
        <v>258</v>
      </c>
      <c r="U2" s="280" t="s">
        <v>214</v>
      </c>
      <c r="V2" s="280" t="s">
        <v>215</v>
      </c>
      <c r="W2" s="280" t="s">
        <v>216</v>
      </c>
      <c r="X2" s="280" t="s">
        <v>217</v>
      </c>
      <c r="Y2" s="280" t="s">
        <v>259</v>
      </c>
      <c r="Z2" s="280" t="s">
        <v>260</v>
      </c>
      <c r="AA2" s="280" t="s">
        <v>211</v>
      </c>
      <c r="AB2" s="280" t="s">
        <v>212</v>
      </c>
      <c r="AC2" s="280" t="s">
        <v>213</v>
      </c>
      <c r="AD2" s="280" t="s">
        <v>261</v>
      </c>
      <c r="AE2" s="280" t="s">
        <v>262</v>
      </c>
      <c r="AF2" s="280" t="s">
        <v>263</v>
      </c>
      <c r="AG2" s="280" t="s">
        <v>264</v>
      </c>
      <c r="AH2" s="280" t="s">
        <v>265</v>
      </c>
      <c r="AI2" s="280" t="s">
        <v>266</v>
      </c>
      <c r="AJ2" s="280" t="s">
        <v>267</v>
      </c>
      <c r="AK2" s="280" t="s">
        <v>161</v>
      </c>
      <c r="AL2" s="280" t="s">
        <v>162</v>
      </c>
      <c r="AM2" s="280" t="s">
        <v>163</v>
      </c>
      <c r="AN2" s="280" t="s">
        <v>271</v>
      </c>
      <c r="AO2" s="280" t="s">
        <v>268</v>
      </c>
      <c r="AP2" s="280" t="s">
        <v>164</v>
      </c>
      <c r="AQ2" s="280"/>
      <c r="AR2" s="280"/>
      <c r="AS2" s="280"/>
      <c r="AT2" s="280"/>
      <c r="AU2" s="280"/>
      <c r="AV2" s="280"/>
      <c r="AW2" s="280"/>
      <c r="AX2" s="280"/>
      <c r="AY2" s="280"/>
      <c r="AZ2" s="280"/>
      <c r="BA2" s="280"/>
      <c r="BB2" s="280"/>
      <c r="BC2" s="280"/>
      <c r="BD2" s="280"/>
      <c r="BE2" s="280"/>
      <c r="BF2" s="280"/>
      <c r="BG2" s="280"/>
      <c r="BH2" s="280"/>
      <c r="BI2" s="280"/>
      <c r="BJ2" s="280"/>
      <c r="BK2" s="280"/>
      <c r="BL2" s="280"/>
      <c r="BM2" s="280"/>
      <c r="BN2" s="280"/>
      <c r="BO2" s="280" t="s">
        <v>161</v>
      </c>
      <c r="BP2" s="280" t="s">
        <v>162</v>
      </c>
      <c r="BQ2" s="280" t="s">
        <v>163</v>
      </c>
      <c r="BR2" s="280" t="s">
        <v>164</v>
      </c>
      <c r="BS2" s="280"/>
      <c r="BT2" s="280"/>
      <c r="BU2" s="280"/>
      <c r="BV2" s="280"/>
      <c r="BW2" s="280"/>
      <c r="BX2" s="280"/>
      <c r="BY2" s="280"/>
      <c r="BZ2" s="280"/>
      <c r="CA2" s="280"/>
      <c r="CB2" s="280"/>
      <c r="CC2" s="280"/>
      <c r="CD2" s="280"/>
      <c r="CE2" s="280"/>
      <c r="CF2" s="280"/>
      <c r="CG2" s="280"/>
      <c r="CH2" s="280"/>
      <c r="CI2" s="280"/>
      <c r="CJ2" s="280"/>
      <c r="CK2" s="280"/>
      <c r="CL2" s="280"/>
      <c r="CM2" s="280"/>
      <c r="CN2" s="280"/>
      <c r="CO2" s="280"/>
      <c r="CP2" s="280"/>
      <c r="CQ2" s="280"/>
      <c r="CR2" s="280"/>
      <c r="CS2" s="280"/>
      <c r="CT2" s="280"/>
      <c r="CU2" s="280"/>
      <c r="CV2" s="280"/>
      <c r="CW2" s="280"/>
      <c r="CX2" s="280"/>
      <c r="CY2" s="280"/>
      <c r="CZ2" s="280"/>
      <c r="DA2" s="280"/>
      <c r="DB2" s="280"/>
      <c r="DC2" s="280"/>
      <c r="DD2" s="280"/>
      <c r="DE2" s="280"/>
      <c r="DF2" s="280"/>
      <c r="DG2" s="280"/>
      <c r="DH2" s="280"/>
      <c r="DI2" s="280"/>
      <c r="DJ2" s="280"/>
      <c r="DK2" s="280"/>
      <c r="DL2" s="280"/>
      <c r="DM2" s="280"/>
      <c r="DN2" s="280"/>
      <c r="DO2" s="280"/>
      <c r="DP2" s="280"/>
      <c r="DQ2" s="280"/>
      <c r="DR2" s="280"/>
      <c r="DS2" s="280"/>
      <c r="DT2" s="280"/>
      <c r="DU2" s="280"/>
      <c r="DV2" s="280"/>
      <c r="DW2" s="280"/>
      <c r="DX2" s="280"/>
      <c r="DY2" s="280"/>
      <c r="DZ2" s="280"/>
      <c r="EA2" s="280"/>
      <c r="EB2" s="280"/>
      <c r="EC2" s="280"/>
      <c r="ED2" s="280"/>
      <c r="EE2" s="280"/>
      <c r="EF2" s="280"/>
      <c r="EG2" s="280"/>
      <c r="EH2" s="280"/>
      <c r="EI2" s="280"/>
      <c r="EJ2" s="280"/>
      <c r="EK2" s="280"/>
      <c r="EL2" s="280"/>
      <c r="EM2" s="280"/>
      <c r="EN2" s="280"/>
      <c r="EO2" s="280"/>
      <c r="EP2" s="280"/>
      <c r="EQ2" s="280"/>
      <c r="ER2" s="280"/>
      <c r="ES2" s="280"/>
      <c r="ET2" s="295"/>
      <c r="EU2" s="295"/>
      <c r="EV2" s="295"/>
      <c r="EW2" s="295"/>
      <c r="EX2" s="295"/>
      <c r="EY2" s="295"/>
      <c r="EZ2" s="295"/>
      <c r="FA2" s="295"/>
      <c r="FB2" s="292"/>
      <c r="FC2" s="295"/>
      <c r="FD2" s="295"/>
      <c r="FE2" s="295"/>
      <c r="FF2" s="295"/>
      <c r="FG2" s="280"/>
      <c r="FH2" s="280"/>
      <c r="FI2" s="280"/>
      <c r="FJ2" s="280"/>
      <c r="FK2" s="280"/>
      <c r="FL2" s="280"/>
      <c r="FM2" s="280"/>
      <c r="FN2" s="280"/>
      <c r="FO2" s="280"/>
      <c r="FP2" s="280"/>
      <c r="FQ2" s="280"/>
      <c r="FR2" s="280"/>
      <c r="FS2" s="280"/>
      <c r="FT2" s="280"/>
      <c r="FU2" s="280"/>
      <c r="FV2" s="280"/>
      <c r="FW2" s="280"/>
      <c r="FX2" s="280"/>
      <c r="FY2" s="295"/>
      <c r="FZ2" s="295"/>
      <c r="GA2" s="295"/>
      <c r="GB2" s="295"/>
      <c r="GC2" s="295"/>
      <c r="GD2" s="295"/>
      <c r="GE2" s="295"/>
      <c r="GF2" s="295"/>
      <c r="GG2" s="295"/>
      <c r="GH2" s="295"/>
      <c r="GI2" s="295"/>
      <c r="GJ2" s="295"/>
      <c r="GK2" s="295"/>
      <c r="GL2" s="295"/>
      <c r="GM2" s="295"/>
      <c r="GN2" s="295"/>
      <c r="GO2" s="295"/>
      <c r="GP2" s="295"/>
      <c r="GQ2" s="295"/>
      <c r="GR2" s="295"/>
      <c r="GS2" s="295"/>
      <c r="GT2" s="295"/>
      <c r="GU2" s="295"/>
      <c r="GV2" s="295"/>
      <c r="GW2" s="295"/>
      <c r="GX2" s="295"/>
      <c r="GY2" s="295"/>
      <c r="GZ2" s="295"/>
      <c r="HA2" s="295"/>
      <c r="HB2" s="295"/>
      <c r="HC2" s="295"/>
      <c r="HD2" s="295"/>
      <c r="HE2" s="295"/>
      <c r="HF2" s="295"/>
      <c r="HG2" s="295"/>
      <c r="HH2" s="295"/>
      <c r="HI2" s="295"/>
      <c r="HJ2" s="295"/>
      <c r="HK2" s="295"/>
      <c r="HL2" s="295"/>
      <c r="HM2" s="295"/>
      <c r="HN2" s="295"/>
    </row>
    <row r="3" spans="2:222" ht="14.25" x14ac:dyDescent="0.15">
      <c r="B3" s="296" t="s">
        <v>194</v>
      </c>
      <c r="C3" s="296" t="s">
        <v>195</v>
      </c>
      <c r="D3" s="296" t="s">
        <v>196</v>
      </c>
      <c r="E3" s="296" t="s">
        <v>157</v>
      </c>
      <c r="F3" s="296" t="s">
        <v>197</v>
      </c>
      <c r="G3" s="296" t="s">
        <v>240</v>
      </c>
      <c r="H3" s="296" t="s">
        <v>195</v>
      </c>
      <c r="I3" s="296" t="s">
        <v>197</v>
      </c>
      <c r="J3" s="307" t="s">
        <v>240</v>
      </c>
      <c r="K3" s="308" t="s">
        <v>195</v>
      </c>
      <c r="L3" s="308" t="s">
        <v>157</v>
      </c>
      <c r="M3" s="307" t="s">
        <v>197</v>
      </c>
      <c r="N3" s="308" t="s">
        <v>152</v>
      </c>
      <c r="O3" s="296" t="s">
        <v>197</v>
      </c>
      <c r="P3" s="296" t="s">
        <v>218</v>
      </c>
      <c r="Q3" s="222" t="s">
        <v>156</v>
      </c>
      <c r="R3" s="296" t="s">
        <v>218</v>
      </c>
      <c r="S3" s="296" t="s">
        <v>218</v>
      </c>
      <c r="T3" s="222" t="s">
        <v>176</v>
      </c>
      <c r="U3" s="315" t="s">
        <v>242</v>
      </c>
      <c r="V3" s="315" t="s">
        <v>156</v>
      </c>
      <c r="W3" s="315" t="s">
        <v>158</v>
      </c>
      <c r="X3" s="315" t="s">
        <v>198</v>
      </c>
      <c r="Y3" s="315" t="s">
        <v>199</v>
      </c>
      <c r="Z3" s="315" t="s">
        <v>156</v>
      </c>
      <c r="AA3" s="308" t="s">
        <v>200</v>
      </c>
      <c r="AB3" s="308" t="s">
        <v>244</v>
      </c>
      <c r="AC3" s="286" t="s">
        <v>201</v>
      </c>
      <c r="AD3" s="286" t="s">
        <v>270</v>
      </c>
      <c r="AE3" s="286" t="s">
        <v>172</v>
      </c>
      <c r="AF3" s="286" t="s">
        <v>270</v>
      </c>
      <c r="AG3" s="286" t="s">
        <v>172</v>
      </c>
      <c r="AH3" s="308" t="s">
        <v>158</v>
      </c>
      <c r="AI3" s="308" t="s">
        <v>158</v>
      </c>
      <c r="AJ3" s="286" t="s">
        <v>159</v>
      </c>
      <c r="AK3" s="316" t="s">
        <v>178</v>
      </c>
      <c r="AL3" s="316" t="s">
        <v>179</v>
      </c>
      <c r="AM3" s="316" t="s">
        <v>173</v>
      </c>
      <c r="AN3" s="209" t="s">
        <v>272</v>
      </c>
      <c r="AO3" s="286" t="s">
        <v>272</v>
      </c>
      <c r="AP3" s="209" t="s">
        <v>132</v>
      </c>
      <c r="AQ3" s="286"/>
      <c r="AR3" s="286"/>
      <c r="AS3" s="286"/>
      <c r="AT3" s="286"/>
      <c r="AU3" s="308"/>
      <c r="AV3" s="308"/>
      <c r="AW3" s="308"/>
      <c r="AX3" s="308"/>
      <c r="AY3" s="308"/>
      <c r="AZ3" s="316"/>
      <c r="BA3" s="316"/>
      <c r="BB3" s="316"/>
      <c r="BC3" s="209"/>
      <c r="BD3" s="308"/>
      <c r="BE3" s="286"/>
      <c r="BF3" s="286"/>
      <c r="BG3" s="308"/>
      <c r="BH3" s="308"/>
      <c r="BI3" s="222"/>
      <c r="BJ3" s="222"/>
      <c r="BK3" s="222"/>
      <c r="BL3" s="222"/>
      <c r="BM3" s="222"/>
      <c r="BN3" s="222"/>
      <c r="BO3" s="316" t="s">
        <v>178</v>
      </c>
      <c r="BP3" s="316" t="s">
        <v>179</v>
      </c>
      <c r="BQ3" s="316" t="s">
        <v>173</v>
      </c>
      <c r="BR3" s="209" t="s">
        <v>132</v>
      </c>
      <c r="BS3" s="209"/>
      <c r="BT3" s="209"/>
      <c r="BU3" s="209"/>
      <c r="BV3" s="209"/>
      <c r="BW3" s="209"/>
      <c r="BX3" s="209"/>
      <c r="BY3" s="286"/>
      <c r="BZ3" s="209"/>
      <c r="CA3" s="209"/>
      <c r="CB3" s="209"/>
      <c r="CC3" s="209"/>
      <c r="CD3" s="209"/>
      <c r="CE3" s="209"/>
      <c r="CF3" s="209"/>
      <c r="CG3" s="209"/>
      <c r="CH3" s="286"/>
      <c r="CI3" s="286"/>
      <c r="CJ3" s="286"/>
      <c r="CK3" s="209"/>
      <c r="CL3" s="209"/>
      <c r="CM3" s="286"/>
      <c r="CN3" s="286"/>
      <c r="CO3" s="209"/>
      <c r="CP3" s="286"/>
      <c r="CQ3" s="209"/>
      <c r="CR3" s="286"/>
      <c r="CS3" s="286"/>
      <c r="CT3" s="286"/>
      <c r="CU3" s="209"/>
      <c r="CV3" s="209"/>
      <c r="CW3" s="286"/>
      <c r="CX3" s="286"/>
      <c r="CY3" s="286"/>
      <c r="CZ3" s="209"/>
      <c r="DA3" s="209"/>
      <c r="DB3" s="304"/>
      <c r="DC3" s="304"/>
      <c r="DD3" s="209"/>
      <c r="DE3" s="286"/>
      <c r="DF3" s="286"/>
      <c r="DG3" s="209"/>
      <c r="DH3" s="286"/>
      <c r="DI3" s="286"/>
      <c r="DJ3" s="209"/>
      <c r="DK3" s="286"/>
      <c r="DL3" s="286"/>
      <c r="DM3" s="209"/>
      <c r="DN3" s="286"/>
      <c r="DO3" s="286"/>
      <c r="DP3" s="209"/>
      <c r="DQ3" s="286"/>
      <c r="DR3" s="286"/>
      <c r="DS3" s="209"/>
      <c r="DT3" s="286"/>
      <c r="DU3" s="209"/>
      <c r="DV3" s="286"/>
      <c r="DW3" s="286"/>
      <c r="DX3" s="209"/>
      <c r="DY3" s="286"/>
      <c r="DZ3" s="209"/>
      <c r="EA3" s="286"/>
      <c r="EB3" s="286"/>
      <c r="EC3" s="285"/>
      <c r="ED3" s="285"/>
      <c r="EE3" s="289"/>
      <c r="EF3" s="285"/>
      <c r="EG3" s="285"/>
      <c r="EH3" s="7"/>
      <c r="EI3" s="7"/>
      <c r="EJ3" s="7"/>
      <c r="EK3" s="7"/>
      <c r="EL3" s="7"/>
      <c r="EM3" s="7"/>
      <c r="EN3" s="7"/>
      <c r="EO3" s="7"/>
      <c r="EP3" s="7"/>
      <c r="EQ3" s="7"/>
      <c r="ER3" s="312"/>
      <c r="ES3" s="286"/>
      <c r="ET3" s="209"/>
      <c r="EU3" s="286"/>
      <c r="EV3" s="296"/>
      <c r="EW3" s="286"/>
      <c r="EX3" s="286"/>
      <c r="EY3" s="286"/>
      <c r="EZ3" s="286"/>
      <c r="FA3" s="304"/>
      <c r="FB3" s="287"/>
      <c r="FC3" s="286"/>
      <c r="FD3" s="286"/>
      <c r="FE3" s="286"/>
      <c r="FF3" s="286"/>
      <c r="FG3" s="209"/>
      <c r="FH3" s="209"/>
      <c r="FI3" s="286"/>
      <c r="FJ3" s="286"/>
      <c r="FK3" s="298"/>
      <c r="FL3" s="286"/>
      <c r="FM3" s="286"/>
      <c r="FN3" s="286"/>
      <c r="FO3" s="286"/>
      <c r="FP3" s="209"/>
      <c r="FQ3" s="209"/>
      <c r="FR3" s="209"/>
      <c r="FS3" s="209"/>
      <c r="FT3" s="209"/>
      <c r="FU3" s="297"/>
      <c r="FV3" s="286"/>
      <c r="FW3" s="286"/>
      <c r="FX3" s="286"/>
      <c r="FY3" s="286"/>
      <c r="FZ3" s="298"/>
      <c r="GA3" s="298"/>
      <c r="GB3" s="298"/>
      <c r="GC3" s="298"/>
      <c r="GD3" s="298"/>
      <c r="GE3" s="298"/>
      <c r="GF3" s="298"/>
      <c r="GG3" s="298"/>
      <c r="GH3" s="298"/>
      <c r="GI3" s="298"/>
      <c r="GJ3" s="298"/>
      <c r="GK3" s="298"/>
      <c r="GL3" s="298"/>
      <c r="GM3" s="298"/>
      <c r="GN3" s="298"/>
      <c r="GO3" s="298"/>
      <c r="GP3" s="298"/>
      <c r="GQ3" s="298"/>
      <c r="GR3" s="298"/>
      <c r="GS3" s="298"/>
      <c r="GT3" s="298"/>
      <c r="GU3" s="298"/>
      <c r="GV3" s="298"/>
      <c r="GW3" s="298"/>
      <c r="GX3" s="298"/>
      <c r="GY3" s="298"/>
      <c r="GZ3" s="298"/>
      <c r="HA3" s="298"/>
      <c r="HB3" s="298"/>
      <c r="HC3" s="298"/>
      <c r="HD3" s="298"/>
      <c r="HE3" s="298"/>
      <c r="HF3" s="298"/>
      <c r="HG3" s="298"/>
      <c r="HH3" s="298"/>
      <c r="HI3" s="298"/>
      <c r="HJ3" s="298"/>
      <c r="HK3" s="298"/>
      <c r="HL3" s="298"/>
      <c r="HM3" s="298"/>
      <c r="HN3" s="298"/>
    </row>
    <row r="4" spans="2:222" ht="14.25" x14ac:dyDescent="0.15">
      <c r="B4" s="296"/>
      <c r="C4" s="296"/>
      <c r="D4" s="296"/>
      <c r="E4" s="296"/>
      <c r="F4" s="296"/>
      <c r="G4" s="296"/>
      <c r="H4" s="296"/>
      <c r="I4" s="296"/>
      <c r="J4" s="286"/>
      <c r="K4" s="307"/>
      <c r="L4" s="297"/>
      <c r="M4" s="307"/>
      <c r="N4" s="308"/>
      <c r="O4" s="296"/>
      <c r="P4" s="296" t="s">
        <v>176</v>
      </c>
      <c r="Q4" s="296"/>
      <c r="R4" s="296" t="s">
        <v>176</v>
      </c>
      <c r="S4" s="296" t="s">
        <v>176</v>
      </c>
      <c r="T4" s="296"/>
      <c r="U4" s="296"/>
      <c r="V4" s="296"/>
      <c r="W4" s="296"/>
      <c r="X4" s="307"/>
      <c r="Y4" s="307"/>
      <c r="Z4" s="307"/>
      <c r="AA4" s="296"/>
      <c r="AB4" s="307"/>
      <c r="AC4" s="307"/>
      <c r="AD4" s="307" t="s">
        <v>156</v>
      </c>
      <c r="AE4" s="286"/>
      <c r="AF4" s="307" t="s">
        <v>156</v>
      </c>
      <c r="AG4" s="286"/>
      <c r="AH4" s="308"/>
      <c r="AI4" s="307"/>
      <c r="AJ4" s="307"/>
      <c r="AK4" s="286"/>
      <c r="AL4" s="297"/>
      <c r="AM4" s="297"/>
      <c r="AN4" s="297"/>
      <c r="AO4" s="286"/>
      <c r="AP4" s="297" t="s">
        <v>165</v>
      </c>
      <c r="AQ4" s="297"/>
      <c r="AR4" s="297"/>
      <c r="AS4" s="297"/>
      <c r="AT4" s="297"/>
      <c r="AU4" s="307"/>
      <c r="AV4" s="286"/>
      <c r="AW4" s="286"/>
      <c r="AX4" s="286"/>
      <c r="AY4" s="286"/>
      <c r="AZ4" s="286"/>
      <c r="BA4" s="297"/>
      <c r="BB4" s="297"/>
      <c r="BC4" s="297"/>
      <c r="BD4" s="297"/>
      <c r="BE4" s="297"/>
      <c r="BF4" s="286"/>
      <c r="BG4" s="307"/>
      <c r="BH4" s="307"/>
      <c r="BI4" s="286"/>
      <c r="BJ4" s="286"/>
      <c r="BK4" s="286"/>
      <c r="BL4" s="286"/>
      <c r="BM4" s="286"/>
      <c r="BN4" s="286"/>
      <c r="BO4" s="286"/>
      <c r="BP4" s="297"/>
      <c r="BQ4" s="297"/>
      <c r="BR4" s="297" t="s">
        <v>165</v>
      </c>
      <c r="BS4" s="297"/>
      <c r="BT4" s="297"/>
      <c r="BU4" s="297"/>
      <c r="BV4" s="297"/>
      <c r="BW4" s="297"/>
      <c r="BX4" s="297"/>
      <c r="BY4" s="286"/>
      <c r="BZ4" s="209"/>
      <c r="CA4" s="209"/>
      <c r="CB4" s="209"/>
      <c r="CC4" s="286"/>
      <c r="CD4" s="286"/>
      <c r="CE4" s="286"/>
      <c r="CF4" s="286"/>
      <c r="CG4" s="286"/>
      <c r="CH4" s="286"/>
      <c r="CI4" s="286"/>
      <c r="CJ4" s="286"/>
      <c r="CK4" s="286"/>
      <c r="CL4" s="286"/>
      <c r="CM4" s="286"/>
      <c r="CN4" s="286"/>
      <c r="CO4" s="286"/>
      <c r="CP4" s="286"/>
      <c r="CQ4" s="297"/>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6"/>
      <c r="EC4" s="289"/>
      <c r="EE4" s="289"/>
      <c r="EF4" s="289"/>
      <c r="EG4" s="289"/>
      <c r="EH4" s="289"/>
      <c r="EI4" s="289"/>
      <c r="EJ4" s="289"/>
      <c r="EK4" s="289"/>
      <c r="EL4" s="289"/>
      <c r="EM4" s="289"/>
      <c r="EN4" s="289"/>
      <c r="EO4" s="289"/>
      <c r="EP4" s="289"/>
      <c r="EQ4" s="289"/>
      <c r="ER4" s="289"/>
      <c r="ES4" s="286"/>
      <c r="ET4" s="297"/>
      <c r="EU4" s="286"/>
      <c r="EV4" s="296"/>
      <c r="EW4" s="297"/>
      <c r="EX4" s="297"/>
      <c r="EY4" s="297"/>
      <c r="EZ4" s="297"/>
      <c r="FA4" s="297"/>
      <c r="FB4" s="287"/>
      <c r="FC4" s="286"/>
      <c r="FD4" s="286"/>
      <c r="FE4" s="286"/>
      <c r="FF4" s="286"/>
      <c r="FG4" s="297"/>
      <c r="FH4" s="297"/>
      <c r="FI4" s="286"/>
      <c r="FJ4" s="286"/>
      <c r="FK4" s="298"/>
      <c r="FL4" s="286"/>
      <c r="FM4" s="286"/>
      <c r="FN4" s="286"/>
      <c r="FO4" s="286"/>
      <c r="FP4" s="297"/>
      <c r="FQ4" s="297"/>
      <c r="FR4" s="297"/>
      <c r="FS4" s="297"/>
      <c r="FT4" s="309"/>
      <c r="FU4" s="286"/>
      <c r="FV4" s="286"/>
      <c r="FW4" s="286"/>
      <c r="FX4" s="286"/>
      <c r="FY4" s="297"/>
      <c r="FZ4" s="298"/>
      <c r="GA4" s="298"/>
      <c r="GB4" s="298"/>
      <c r="GC4" s="298"/>
      <c r="GD4" s="298"/>
      <c r="GE4" s="298"/>
      <c r="GF4" s="298"/>
      <c r="GG4" s="298"/>
      <c r="GH4" s="298"/>
      <c r="GI4" s="298"/>
      <c r="GJ4" s="298"/>
      <c r="GK4" s="298"/>
      <c r="GL4" s="298"/>
      <c r="GM4" s="298"/>
      <c r="GN4" s="298"/>
      <c r="GO4" s="298"/>
      <c r="GP4" s="298"/>
      <c r="GQ4" s="298"/>
      <c r="GR4" s="298"/>
      <c r="GS4" s="298"/>
      <c r="GT4" s="298"/>
      <c r="GU4" s="298"/>
      <c r="GV4" s="298"/>
      <c r="GW4" s="298"/>
      <c r="GX4" s="298"/>
      <c r="GY4" s="298"/>
      <c r="GZ4" s="298"/>
      <c r="HA4" s="298"/>
      <c r="HB4" s="298"/>
      <c r="HC4" s="298"/>
      <c r="HD4" s="298"/>
      <c r="HE4" s="298"/>
      <c r="HF4" s="298"/>
      <c r="HG4" s="298"/>
      <c r="HH4" s="298"/>
      <c r="HI4" s="298"/>
      <c r="HJ4" s="298"/>
      <c r="HK4" s="298"/>
      <c r="HL4" s="298"/>
      <c r="HM4" s="298"/>
      <c r="HN4" s="298"/>
    </row>
    <row r="5" spans="2:222" ht="14.25" x14ac:dyDescent="0.15">
      <c r="B5" s="286"/>
      <c r="C5" s="286"/>
      <c r="D5" s="286"/>
      <c r="E5" s="286"/>
      <c r="F5" s="286"/>
      <c r="G5" s="286"/>
      <c r="H5" s="286"/>
      <c r="I5" s="209"/>
      <c r="J5" s="286"/>
      <c r="K5" s="307"/>
      <c r="L5" s="286"/>
      <c r="M5" s="307"/>
      <c r="N5" s="307"/>
      <c r="O5" s="286"/>
      <c r="P5" s="286" t="s">
        <v>177</v>
      </c>
      <c r="Q5" s="286"/>
      <c r="R5" s="286" t="s">
        <v>177</v>
      </c>
      <c r="S5" s="286" t="s">
        <v>177</v>
      </c>
      <c r="T5" s="286"/>
      <c r="U5" s="286"/>
      <c r="V5" s="286"/>
      <c r="W5" s="286"/>
      <c r="X5" s="307"/>
      <c r="Y5" s="307"/>
      <c r="Z5" s="307"/>
      <c r="AA5" s="298"/>
      <c r="AB5" s="307"/>
      <c r="AC5" s="307"/>
      <c r="AD5" s="307"/>
      <c r="AE5" s="286"/>
      <c r="AF5" s="307"/>
      <c r="AG5" s="286"/>
      <c r="AH5" s="307"/>
      <c r="AI5" s="307"/>
      <c r="AJ5" s="307"/>
      <c r="AK5" s="286"/>
      <c r="AL5" s="297"/>
      <c r="AM5" s="297"/>
      <c r="AN5" s="297"/>
      <c r="AO5" s="286"/>
      <c r="AP5" s="297" t="s">
        <v>154</v>
      </c>
      <c r="AQ5" s="286"/>
      <c r="AR5" s="286"/>
      <c r="AS5" s="286"/>
      <c r="AT5" s="286"/>
      <c r="AU5" s="307"/>
      <c r="AV5" s="286"/>
      <c r="AW5" s="286"/>
      <c r="AX5" s="286"/>
      <c r="AY5" s="286"/>
      <c r="AZ5" s="286"/>
      <c r="BA5" s="297"/>
      <c r="BB5" s="297"/>
      <c r="BC5" s="297"/>
      <c r="BD5" s="297"/>
      <c r="BE5" s="297"/>
      <c r="BF5" s="297"/>
      <c r="BG5" s="307"/>
      <c r="BH5" s="307"/>
      <c r="BI5" s="286"/>
      <c r="BJ5" s="286"/>
      <c r="BK5" s="286"/>
      <c r="BL5" s="286"/>
      <c r="BM5" s="286"/>
      <c r="BN5" s="286"/>
      <c r="BO5" s="286"/>
      <c r="BP5" s="297"/>
      <c r="BQ5" s="297"/>
      <c r="BR5" s="297" t="s">
        <v>154</v>
      </c>
      <c r="BS5" s="297"/>
      <c r="BT5" s="297"/>
      <c r="BU5" s="297"/>
      <c r="BV5" s="297"/>
      <c r="BW5" s="297"/>
      <c r="BX5" s="297"/>
      <c r="BY5" s="286"/>
      <c r="BZ5" s="286"/>
      <c r="CA5" s="286"/>
      <c r="CB5" s="286"/>
      <c r="CC5" s="286"/>
      <c r="CD5" s="286"/>
      <c r="CE5" s="286"/>
      <c r="CF5" s="286"/>
      <c r="CG5" s="286"/>
      <c r="CH5" s="286"/>
      <c r="CI5" s="286"/>
      <c r="CJ5" s="286"/>
      <c r="CK5" s="286"/>
      <c r="CL5" s="286"/>
      <c r="CM5" s="286"/>
      <c r="CN5" s="286"/>
      <c r="CO5" s="286"/>
      <c r="CP5" s="286"/>
      <c r="CQ5" s="297"/>
      <c r="CR5" s="286"/>
      <c r="CS5" s="286"/>
      <c r="CT5" s="286"/>
      <c r="CU5" s="286"/>
      <c r="CV5" s="286"/>
      <c r="CW5" s="286"/>
      <c r="CX5" s="286"/>
      <c r="CY5" s="286"/>
      <c r="CZ5" s="286"/>
      <c r="DA5" s="286"/>
      <c r="DB5" s="286"/>
      <c r="DC5" s="286"/>
      <c r="DD5" s="286"/>
      <c r="DE5" s="286"/>
      <c r="DF5" s="286"/>
      <c r="DG5" s="286"/>
      <c r="DH5" s="286"/>
      <c r="DI5" s="286"/>
      <c r="DJ5" s="286"/>
      <c r="DK5" s="286"/>
      <c r="DL5" s="286"/>
      <c r="DM5" s="286"/>
      <c r="DN5" s="286"/>
      <c r="DO5" s="286"/>
      <c r="DP5" s="286"/>
      <c r="DQ5" s="286"/>
      <c r="DR5" s="286"/>
      <c r="DS5" s="286"/>
      <c r="DT5" s="286"/>
      <c r="DU5" s="286"/>
      <c r="DV5" s="286"/>
      <c r="DW5" s="286"/>
      <c r="DX5" s="286"/>
      <c r="DY5" s="286"/>
      <c r="DZ5" s="286"/>
      <c r="EA5" s="286"/>
      <c r="EB5" s="286"/>
      <c r="EC5" s="289"/>
      <c r="ED5" s="289"/>
      <c r="EE5" s="289"/>
      <c r="EF5" s="289"/>
      <c r="EG5" s="289"/>
      <c r="EH5" s="289"/>
      <c r="EI5" s="289"/>
      <c r="EJ5" s="289"/>
      <c r="EK5" s="289"/>
      <c r="EL5" s="289"/>
      <c r="EM5" s="289"/>
      <c r="EN5" s="289"/>
      <c r="EO5" s="289"/>
      <c r="EP5" s="289"/>
      <c r="EQ5" s="289"/>
      <c r="ER5" s="289"/>
      <c r="ES5" s="286"/>
      <c r="ET5" s="286"/>
      <c r="EU5" s="286"/>
      <c r="EV5" s="297"/>
      <c r="EW5" s="297"/>
      <c r="EX5" s="297"/>
      <c r="EY5" s="297"/>
      <c r="EZ5" s="297"/>
      <c r="FA5" s="297"/>
      <c r="FB5" s="284"/>
      <c r="FC5" s="286"/>
      <c r="FD5" s="286"/>
      <c r="FE5" s="286"/>
      <c r="FF5" s="286"/>
      <c r="FG5" s="297"/>
      <c r="FH5" s="297"/>
      <c r="FI5" s="286"/>
      <c r="FJ5" s="286"/>
      <c r="FK5" s="286"/>
      <c r="FL5" s="286"/>
      <c r="FM5" s="286"/>
      <c r="FN5" s="286"/>
      <c r="FO5" s="286"/>
      <c r="FP5" s="297"/>
      <c r="FQ5" s="297"/>
      <c r="FR5" s="297"/>
      <c r="FS5" s="297"/>
      <c r="FT5" s="286"/>
      <c r="FU5" s="286"/>
      <c r="FV5" s="286"/>
      <c r="FW5" s="286"/>
      <c r="FX5" s="286"/>
      <c r="FY5" s="297"/>
      <c r="FZ5" s="298"/>
      <c r="GA5" s="298"/>
      <c r="GB5" s="298"/>
      <c r="GC5" s="298"/>
      <c r="GD5" s="298"/>
      <c r="GE5" s="298"/>
      <c r="GF5" s="298"/>
      <c r="GG5" s="298"/>
      <c r="GH5" s="298"/>
      <c r="GI5" s="298"/>
      <c r="GJ5" s="298"/>
      <c r="GK5" s="298"/>
      <c r="GL5" s="298"/>
      <c r="GM5" s="298"/>
      <c r="GN5" s="298"/>
      <c r="GO5" s="298"/>
      <c r="GP5" s="298"/>
      <c r="GQ5" s="298"/>
      <c r="GR5" s="298"/>
      <c r="GS5" s="298"/>
      <c r="GT5" s="298"/>
      <c r="GU5" s="298"/>
      <c r="GV5" s="298"/>
      <c r="GW5" s="298"/>
      <c r="GX5" s="298"/>
      <c r="GY5" s="298"/>
      <c r="GZ5" s="298"/>
      <c r="HA5" s="298"/>
      <c r="HB5" s="298"/>
      <c r="HC5" s="298"/>
      <c r="HD5" s="298"/>
      <c r="HE5" s="298"/>
      <c r="HF5" s="298"/>
      <c r="HG5" s="298"/>
      <c r="HH5" s="298"/>
      <c r="HI5" s="298"/>
      <c r="HJ5" s="298"/>
      <c r="HK5" s="298"/>
      <c r="HL5" s="298"/>
      <c r="HM5" s="298"/>
      <c r="HN5" s="298"/>
    </row>
    <row r="6" spans="2:222" ht="14.25" x14ac:dyDescent="0.15">
      <c r="B6" s="286"/>
      <c r="C6" s="286"/>
      <c r="D6" s="286"/>
      <c r="E6" s="286"/>
      <c r="F6" s="286"/>
      <c r="G6" s="286"/>
      <c r="H6" s="286"/>
      <c r="I6" s="209"/>
      <c r="J6" s="286"/>
      <c r="K6" s="307"/>
      <c r="L6" s="286"/>
      <c r="M6" s="308"/>
      <c r="N6" s="308"/>
      <c r="O6" s="286"/>
      <c r="P6" s="286"/>
      <c r="Q6" s="286"/>
      <c r="R6" s="286"/>
      <c r="S6" s="286"/>
      <c r="T6" s="286"/>
      <c r="U6" s="286"/>
      <c r="V6" s="286"/>
      <c r="W6" s="286"/>
      <c r="X6" s="307"/>
      <c r="Y6" s="307"/>
      <c r="Z6" s="307"/>
      <c r="AA6" s="298"/>
      <c r="AB6" s="307"/>
      <c r="AC6" s="307"/>
      <c r="AD6" s="307"/>
      <c r="AE6" s="286"/>
      <c r="AF6" s="307"/>
      <c r="AG6" s="307"/>
      <c r="AH6" s="307"/>
      <c r="AI6" s="307"/>
      <c r="AJ6" s="307"/>
      <c r="AK6" s="286"/>
      <c r="AL6" s="297"/>
      <c r="AM6" s="297"/>
      <c r="AN6" s="297"/>
      <c r="AO6" s="286"/>
      <c r="AP6" s="297" t="s">
        <v>153</v>
      </c>
      <c r="AQ6" s="286"/>
      <c r="AR6" s="286"/>
      <c r="AS6" s="286"/>
      <c r="AT6" s="286"/>
      <c r="AU6" s="307"/>
      <c r="AV6" s="286"/>
      <c r="AW6" s="286"/>
      <c r="AX6" s="286"/>
      <c r="AY6" s="286"/>
      <c r="AZ6" s="286"/>
      <c r="BA6" s="297"/>
      <c r="BB6" s="297"/>
      <c r="BC6" s="297"/>
      <c r="BD6" s="308"/>
      <c r="BE6" s="308"/>
      <c r="BF6" s="308"/>
      <c r="BG6" s="307"/>
      <c r="BH6" s="307"/>
      <c r="BI6" s="297"/>
      <c r="BJ6" s="297"/>
      <c r="BK6" s="297"/>
      <c r="BL6" s="286"/>
      <c r="BM6" s="286"/>
      <c r="BN6" s="286"/>
      <c r="BO6" s="286"/>
      <c r="BP6" s="297"/>
      <c r="BQ6" s="297"/>
      <c r="BR6" s="297" t="s">
        <v>153</v>
      </c>
      <c r="BS6" s="297"/>
      <c r="BT6" s="297"/>
      <c r="BU6" s="297"/>
      <c r="BV6" s="297"/>
      <c r="BW6" s="297"/>
      <c r="BX6" s="297"/>
      <c r="BY6" s="297"/>
      <c r="BZ6" s="286"/>
      <c r="CA6" s="297"/>
      <c r="CB6" s="297"/>
      <c r="CC6" s="286"/>
      <c r="CD6" s="286"/>
      <c r="CE6" s="286"/>
      <c r="CF6" s="286"/>
      <c r="CG6" s="286"/>
      <c r="CH6" s="286"/>
      <c r="CI6" s="286"/>
      <c r="CJ6" s="286"/>
      <c r="CK6" s="286"/>
      <c r="CL6" s="286"/>
      <c r="CM6" s="286"/>
      <c r="CN6" s="286"/>
      <c r="CO6" s="286"/>
      <c r="CP6" s="286"/>
      <c r="CQ6" s="297"/>
      <c r="CR6" s="286"/>
      <c r="CS6" s="286"/>
      <c r="CT6" s="286"/>
      <c r="CU6" s="286"/>
      <c r="CV6" s="286"/>
      <c r="CW6" s="286"/>
      <c r="CX6" s="286"/>
      <c r="CY6" s="286"/>
      <c r="CZ6" s="286"/>
      <c r="DA6" s="286"/>
      <c r="DB6" s="286"/>
      <c r="DC6" s="286"/>
      <c r="DD6" s="286"/>
      <c r="DE6" s="286"/>
      <c r="DF6" s="286"/>
      <c r="DG6" s="286"/>
      <c r="DH6" s="286"/>
      <c r="DI6" s="286"/>
      <c r="DJ6" s="286"/>
      <c r="DK6" s="286"/>
      <c r="DL6" s="286"/>
      <c r="DM6" s="286"/>
      <c r="DN6" s="286"/>
      <c r="DO6" s="286"/>
      <c r="DP6" s="286"/>
      <c r="DQ6" s="286"/>
      <c r="DR6" s="286"/>
      <c r="DS6" s="286"/>
      <c r="DT6" s="286"/>
      <c r="DU6" s="286"/>
      <c r="DV6" s="286"/>
      <c r="DW6" s="286"/>
      <c r="DX6" s="286"/>
      <c r="DY6" s="286"/>
      <c r="DZ6" s="286"/>
      <c r="EA6" s="286"/>
      <c r="EB6" s="286"/>
      <c r="EC6" s="289"/>
      <c r="ED6" s="289"/>
      <c r="EE6" s="289"/>
      <c r="EF6" s="289"/>
      <c r="EG6" s="289"/>
      <c r="EH6" s="289"/>
      <c r="EI6" s="289"/>
      <c r="EJ6" s="289"/>
      <c r="EK6" s="289"/>
      <c r="EL6" s="289"/>
      <c r="EM6" s="289"/>
      <c r="EN6" s="289"/>
      <c r="EO6" s="289"/>
      <c r="EP6" s="289"/>
      <c r="EQ6" s="289"/>
      <c r="ER6" s="289"/>
      <c r="ES6" s="286"/>
      <c r="ET6" s="286"/>
      <c r="EU6" s="286"/>
      <c r="EV6" s="297"/>
      <c r="EW6" s="297"/>
      <c r="EX6" s="297"/>
      <c r="EY6" s="297"/>
      <c r="EZ6" s="297"/>
      <c r="FA6" s="297"/>
      <c r="FB6" s="287"/>
      <c r="FC6" s="286"/>
      <c r="FD6" s="286"/>
      <c r="FE6" s="286"/>
      <c r="FF6" s="286"/>
      <c r="FG6" s="297"/>
      <c r="FH6" s="297"/>
      <c r="FI6" s="286"/>
      <c r="FJ6" s="286"/>
      <c r="FK6" s="297"/>
      <c r="FL6" s="286"/>
      <c r="FM6" s="286"/>
      <c r="FN6" s="297"/>
      <c r="FO6" s="297"/>
      <c r="FP6" s="297"/>
      <c r="FQ6" s="297"/>
      <c r="FR6" s="297"/>
      <c r="FS6" s="297"/>
      <c r="FT6" s="297"/>
      <c r="FU6" s="286"/>
      <c r="FV6" s="286"/>
      <c r="FW6" s="286"/>
      <c r="FX6" s="286"/>
      <c r="FY6" s="297"/>
      <c r="FZ6" s="298"/>
      <c r="GA6" s="298"/>
      <c r="GB6" s="298"/>
      <c r="GC6" s="298"/>
      <c r="GD6" s="298"/>
      <c r="GE6" s="298"/>
      <c r="GF6" s="298"/>
      <c r="GG6" s="298"/>
      <c r="GH6" s="298"/>
      <c r="GI6" s="298"/>
      <c r="GJ6" s="298"/>
      <c r="GK6" s="298"/>
      <c r="GL6" s="298"/>
      <c r="GM6" s="298"/>
      <c r="GN6" s="298"/>
      <c r="GO6" s="298"/>
      <c r="GP6" s="298"/>
      <c r="GQ6" s="298"/>
      <c r="GR6" s="298"/>
      <c r="GS6" s="298"/>
      <c r="GT6" s="298"/>
      <c r="GU6" s="298"/>
      <c r="GV6" s="298"/>
      <c r="GW6" s="298"/>
      <c r="GX6" s="298"/>
      <c r="GY6" s="298"/>
      <c r="GZ6" s="298"/>
      <c r="HA6" s="298"/>
      <c r="HB6" s="298"/>
      <c r="HC6" s="298"/>
      <c r="HD6" s="298"/>
      <c r="HE6" s="298"/>
      <c r="HF6" s="298"/>
      <c r="HG6" s="298"/>
      <c r="HH6" s="298"/>
      <c r="HI6" s="298"/>
      <c r="HJ6" s="298"/>
      <c r="HK6" s="298"/>
      <c r="HL6" s="298"/>
      <c r="HM6" s="298"/>
      <c r="HN6" s="298"/>
    </row>
    <row r="7" spans="2:222" ht="14.25" x14ac:dyDescent="0.15">
      <c r="B7" s="286"/>
      <c r="C7" s="286"/>
      <c r="D7" s="286"/>
      <c r="E7" s="286"/>
      <c r="F7" s="286"/>
      <c r="G7" s="286"/>
      <c r="H7" s="209"/>
      <c r="I7" s="209"/>
      <c r="J7" s="286"/>
      <c r="K7" s="307"/>
      <c r="L7" s="286"/>
      <c r="M7" s="307"/>
      <c r="N7" s="307"/>
      <c r="O7" s="286"/>
      <c r="P7" s="286"/>
      <c r="Q7" s="286"/>
      <c r="R7" s="286"/>
      <c r="S7" s="286"/>
      <c r="T7" s="286"/>
      <c r="U7" s="286"/>
      <c r="V7" s="286"/>
      <c r="W7" s="286"/>
      <c r="X7" s="307"/>
      <c r="Y7" s="307"/>
      <c r="Z7" s="307"/>
      <c r="AA7" s="298"/>
      <c r="AB7" s="307"/>
      <c r="AC7" s="307"/>
      <c r="AD7" s="307"/>
      <c r="AE7" s="286"/>
      <c r="AF7" s="307"/>
      <c r="AG7" s="307"/>
      <c r="AH7" s="307"/>
      <c r="AI7" s="307"/>
      <c r="AJ7" s="307"/>
      <c r="AK7" s="286"/>
      <c r="AL7" s="286"/>
      <c r="AM7" s="286"/>
      <c r="AN7" s="286"/>
      <c r="AO7" s="286"/>
      <c r="AP7" s="286" t="s">
        <v>180</v>
      </c>
      <c r="AQ7" s="286"/>
      <c r="AR7" s="286"/>
      <c r="AS7" s="286"/>
      <c r="AT7" s="286"/>
      <c r="AU7" s="307"/>
      <c r="AV7" s="286"/>
      <c r="AW7" s="286"/>
      <c r="AX7" s="286"/>
      <c r="AY7" s="286"/>
      <c r="AZ7" s="286"/>
      <c r="BA7" s="286"/>
      <c r="BB7" s="286"/>
      <c r="BC7" s="286"/>
      <c r="BD7" s="308"/>
      <c r="BE7" s="308"/>
      <c r="BF7" s="308"/>
      <c r="BG7" s="307"/>
      <c r="BH7" s="307"/>
      <c r="BI7" s="286"/>
      <c r="BJ7" s="286"/>
      <c r="BK7" s="286"/>
      <c r="BL7" s="286"/>
      <c r="BM7" s="286"/>
      <c r="BN7" s="286"/>
      <c r="BO7" s="286"/>
      <c r="BP7" s="286"/>
      <c r="BQ7" s="286"/>
      <c r="BR7" s="286" t="s">
        <v>180</v>
      </c>
      <c r="BS7" s="286"/>
      <c r="BT7" s="286"/>
      <c r="BU7" s="286"/>
      <c r="BV7" s="286"/>
      <c r="BW7" s="286"/>
      <c r="BX7" s="286"/>
      <c r="BY7" s="286"/>
      <c r="BZ7" s="286"/>
      <c r="CA7" s="286"/>
      <c r="CB7" s="286"/>
      <c r="CC7" s="286"/>
      <c r="CD7" s="286"/>
      <c r="CE7" s="286"/>
      <c r="CF7" s="286"/>
      <c r="CG7" s="286"/>
      <c r="CH7" s="286"/>
      <c r="CI7" s="286"/>
      <c r="CJ7" s="286"/>
      <c r="CK7" s="286"/>
      <c r="CL7" s="286"/>
      <c r="CM7" s="286"/>
      <c r="CN7" s="286"/>
      <c r="CO7" s="286"/>
      <c r="CP7" s="286"/>
      <c r="CQ7" s="286"/>
      <c r="CR7" s="286"/>
      <c r="CS7" s="286"/>
      <c r="CT7" s="286"/>
      <c r="CU7" s="286"/>
      <c r="CV7" s="286"/>
      <c r="CW7" s="286"/>
      <c r="CX7" s="286"/>
      <c r="CY7" s="286"/>
      <c r="CZ7" s="286"/>
      <c r="DA7" s="286"/>
      <c r="DB7" s="286"/>
      <c r="DC7" s="286"/>
      <c r="DD7" s="286"/>
      <c r="DE7" s="286"/>
      <c r="DF7" s="286"/>
      <c r="DG7" s="286"/>
      <c r="DH7" s="286"/>
      <c r="DI7" s="286"/>
      <c r="DJ7" s="286"/>
      <c r="DK7" s="286"/>
      <c r="DL7" s="286"/>
      <c r="DM7" s="286"/>
      <c r="DN7" s="286"/>
      <c r="DO7" s="286"/>
      <c r="DP7" s="286"/>
      <c r="DQ7" s="286"/>
      <c r="DR7" s="286"/>
      <c r="DS7" s="286"/>
      <c r="DT7" s="286"/>
      <c r="DU7" s="286"/>
      <c r="DV7" s="286"/>
      <c r="DW7" s="286"/>
      <c r="DX7" s="286"/>
      <c r="DY7" s="286"/>
      <c r="DZ7" s="286"/>
      <c r="EA7" s="286"/>
      <c r="EB7" s="286"/>
      <c r="EC7" s="289"/>
      <c r="ED7" s="289"/>
      <c r="EE7" s="289"/>
      <c r="EF7" s="289"/>
      <c r="EG7" s="289"/>
      <c r="EH7" s="289"/>
      <c r="EI7" s="289"/>
      <c r="EJ7" s="289"/>
      <c r="EK7" s="289"/>
      <c r="EL7" s="289"/>
      <c r="EM7" s="289"/>
      <c r="EN7" s="289"/>
      <c r="EO7" s="289"/>
      <c r="EP7" s="289"/>
      <c r="EQ7" s="289"/>
      <c r="ER7" s="289"/>
      <c r="ES7" s="286"/>
      <c r="ET7" s="286"/>
      <c r="EU7" s="286"/>
      <c r="EV7" s="297"/>
      <c r="EW7" s="297"/>
      <c r="EX7" s="297"/>
      <c r="EY7" s="297"/>
      <c r="EZ7" s="297"/>
      <c r="FA7" s="297"/>
      <c r="FB7" s="285"/>
      <c r="FC7" s="286"/>
      <c r="FD7" s="286"/>
      <c r="FE7" s="286"/>
      <c r="FF7" s="286"/>
      <c r="FG7" s="297"/>
      <c r="FH7" s="297"/>
      <c r="FI7" s="286"/>
      <c r="FJ7" s="297"/>
      <c r="FK7" s="297"/>
      <c r="FL7" s="286"/>
      <c r="FM7" s="286"/>
      <c r="FN7" s="297"/>
      <c r="FO7" s="297"/>
      <c r="FP7" s="297"/>
      <c r="FQ7" s="297"/>
      <c r="FR7" s="297"/>
      <c r="FS7" s="297"/>
      <c r="FT7" s="286"/>
      <c r="FU7" s="286"/>
      <c r="FV7" s="286"/>
      <c r="FW7" s="286"/>
      <c r="FX7" s="286"/>
      <c r="FY7" s="297"/>
      <c r="FZ7" s="298"/>
      <c r="GA7" s="298"/>
      <c r="GB7" s="298"/>
      <c r="GC7" s="298"/>
      <c r="GD7" s="298"/>
      <c r="GE7" s="298"/>
      <c r="GF7" s="298"/>
      <c r="GG7" s="298"/>
      <c r="GH7" s="298"/>
      <c r="GI7" s="298"/>
      <c r="GJ7" s="298"/>
      <c r="GK7" s="298"/>
      <c r="GL7" s="298"/>
      <c r="GM7" s="298"/>
      <c r="GN7" s="298"/>
      <c r="GO7" s="298"/>
      <c r="GP7" s="298"/>
      <c r="GQ7" s="298"/>
      <c r="GR7" s="298"/>
      <c r="GS7" s="298"/>
      <c r="GT7" s="298"/>
      <c r="GU7" s="298"/>
      <c r="GV7" s="298"/>
      <c r="GW7" s="298"/>
      <c r="GX7" s="298"/>
      <c r="GY7" s="298"/>
      <c r="GZ7" s="298"/>
      <c r="HA7" s="298"/>
      <c r="HB7" s="298"/>
      <c r="HC7" s="298"/>
      <c r="HD7" s="298"/>
      <c r="HE7" s="298"/>
      <c r="HF7" s="298"/>
      <c r="HG7" s="298"/>
      <c r="HH7" s="298"/>
      <c r="HI7" s="298"/>
      <c r="HJ7" s="298"/>
      <c r="HK7" s="298"/>
      <c r="HL7" s="298"/>
      <c r="HM7" s="298"/>
      <c r="HN7" s="298"/>
    </row>
    <row r="8" spans="2:222" x14ac:dyDescent="0.15">
      <c r="B8" s="209"/>
      <c r="C8" s="209"/>
      <c r="D8" s="209"/>
      <c r="E8" s="209"/>
      <c r="F8" s="209"/>
      <c r="G8" s="209"/>
      <c r="H8" s="209"/>
      <c r="I8" s="209"/>
      <c r="J8" s="307"/>
      <c r="K8" s="307"/>
      <c r="L8" s="307"/>
      <c r="M8" s="307"/>
      <c r="N8" s="307"/>
      <c r="O8" s="209"/>
      <c r="P8" s="209"/>
      <c r="Q8" s="286"/>
      <c r="R8" s="209"/>
      <c r="S8" s="209"/>
      <c r="T8" s="209"/>
      <c r="U8" s="209"/>
      <c r="V8" s="286"/>
      <c r="W8" s="209"/>
      <c r="X8" s="286"/>
      <c r="Y8" s="307"/>
      <c r="Z8" s="307"/>
      <c r="AA8" s="307"/>
      <c r="AB8" s="307"/>
      <c r="AC8" s="307"/>
      <c r="AD8" s="307"/>
      <c r="AE8" s="286"/>
      <c r="AF8" s="307"/>
      <c r="AG8" s="307"/>
      <c r="AH8" s="307"/>
      <c r="AI8" s="307"/>
      <c r="AJ8" s="307"/>
      <c r="AK8" s="286"/>
      <c r="AL8" s="286"/>
      <c r="AM8" s="286"/>
      <c r="AN8" s="286"/>
      <c r="AO8" s="286"/>
      <c r="AP8" s="286" t="s">
        <v>166</v>
      </c>
      <c r="AQ8" s="286"/>
      <c r="AR8" s="286"/>
      <c r="AS8" s="286"/>
      <c r="AT8" s="286"/>
      <c r="AU8" s="307"/>
      <c r="AV8" s="209"/>
      <c r="AW8" s="209"/>
      <c r="AX8" s="209"/>
      <c r="AY8" s="209"/>
      <c r="AZ8" s="286"/>
      <c r="BA8" s="286"/>
      <c r="BB8" s="286"/>
      <c r="BC8" s="286"/>
      <c r="BD8" s="308"/>
      <c r="BE8" s="308"/>
      <c r="BF8" s="308"/>
      <c r="BG8" s="307"/>
      <c r="BH8" s="307"/>
      <c r="BI8" s="286"/>
      <c r="BJ8" s="286"/>
      <c r="BK8" s="286"/>
      <c r="BL8" s="286"/>
      <c r="BM8" s="286"/>
      <c r="BN8" s="286"/>
      <c r="BO8" s="286"/>
      <c r="BP8" s="286"/>
      <c r="BQ8" s="286"/>
      <c r="BR8" s="286" t="s">
        <v>166</v>
      </c>
      <c r="BS8" s="286"/>
      <c r="BT8" s="286"/>
      <c r="BU8" s="286"/>
      <c r="BV8" s="286"/>
      <c r="BW8" s="286"/>
      <c r="BX8" s="286"/>
      <c r="BY8" s="297"/>
      <c r="BZ8" s="286"/>
      <c r="CA8" s="286"/>
      <c r="CB8" s="286"/>
      <c r="CC8" s="286"/>
      <c r="CD8" s="286"/>
      <c r="CE8" s="286"/>
      <c r="CF8" s="286"/>
      <c r="CG8" s="286"/>
      <c r="CH8" s="286"/>
      <c r="CI8" s="286"/>
      <c r="CJ8" s="286"/>
      <c r="CK8" s="286"/>
      <c r="CL8" s="286"/>
      <c r="CM8" s="286"/>
      <c r="CN8" s="286"/>
      <c r="CO8" s="286"/>
      <c r="CP8" s="286"/>
      <c r="CQ8" s="286"/>
      <c r="CR8" s="286"/>
      <c r="CS8" s="286"/>
      <c r="CT8" s="286"/>
      <c r="CU8" s="286"/>
      <c r="CV8" s="286"/>
      <c r="CW8" s="286"/>
      <c r="CX8" s="286"/>
      <c r="CY8" s="286"/>
      <c r="CZ8" s="286"/>
      <c r="DA8" s="286"/>
      <c r="DB8" s="286"/>
      <c r="DC8" s="286"/>
      <c r="DD8" s="286"/>
      <c r="DE8" s="286"/>
      <c r="DF8" s="286"/>
      <c r="DG8" s="286"/>
      <c r="DH8" s="286"/>
      <c r="DI8" s="286"/>
      <c r="DJ8" s="286"/>
      <c r="DK8" s="286"/>
      <c r="DL8" s="286"/>
      <c r="DM8" s="286"/>
      <c r="DN8" s="286"/>
      <c r="DO8" s="286"/>
      <c r="DP8" s="286"/>
      <c r="DQ8" s="286"/>
      <c r="DR8" s="286"/>
      <c r="DS8" s="286"/>
      <c r="DT8" s="286"/>
      <c r="DU8" s="286"/>
      <c r="DV8" s="286"/>
      <c r="DW8" s="286"/>
      <c r="DX8" s="286"/>
      <c r="DY8" s="286"/>
      <c r="DZ8" s="286"/>
      <c r="EA8" s="286"/>
      <c r="EB8" s="286"/>
      <c r="EC8" s="289"/>
      <c r="ED8" s="289"/>
      <c r="EE8" s="289"/>
      <c r="EF8" s="289"/>
      <c r="EG8" s="289"/>
      <c r="EH8" s="289"/>
      <c r="EI8" s="289"/>
      <c r="EJ8" s="289"/>
      <c r="EK8" s="289"/>
      <c r="EL8" s="289"/>
      <c r="EM8" s="289"/>
      <c r="EN8" s="289"/>
      <c r="EO8" s="289"/>
      <c r="EP8" s="289"/>
      <c r="EQ8" s="289"/>
      <c r="ER8" s="289"/>
      <c r="ES8" s="286"/>
      <c r="ET8" s="286"/>
      <c r="EU8" s="286"/>
      <c r="EV8" s="297"/>
      <c r="EW8" s="297"/>
      <c r="EX8" s="297"/>
      <c r="EY8" s="297"/>
      <c r="EZ8" s="297"/>
      <c r="FA8" s="297"/>
      <c r="FB8" s="285"/>
      <c r="FC8" s="286"/>
      <c r="FD8" s="286"/>
      <c r="FE8" s="286"/>
      <c r="FF8" s="286"/>
      <c r="FG8" s="297"/>
      <c r="FH8" s="297"/>
      <c r="FI8" s="286"/>
      <c r="FJ8" s="297"/>
      <c r="FK8" s="297"/>
      <c r="FL8" s="286"/>
      <c r="FM8" s="297"/>
      <c r="FN8" s="297"/>
      <c r="FO8" s="297"/>
      <c r="FP8" s="297"/>
      <c r="FQ8" s="297"/>
      <c r="FR8" s="297"/>
      <c r="FS8" s="297"/>
      <c r="FT8" s="286"/>
      <c r="FU8" s="286"/>
      <c r="FV8" s="286"/>
      <c r="FW8" s="286"/>
      <c r="FX8" s="286"/>
      <c r="FY8" s="297"/>
      <c r="FZ8" s="299"/>
      <c r="GA8" s="299"/>
      <c r="GB8" s="299"/>
      <c r="GC8" s="299"/>
      <c r="GD8" s="299"/>
      <c r="GE8" s="299"/>
      <c r="GF8" s="299"/>
      <c r="GG8" s="299"/>
      <c r="GH8" s="299"/>
      <c r="GI8" s="299"/>
      <c r="GJ8" s="299"/>
      <c r="GK8" s="299"/>
      <c r="GL8" s="299"/>
      <c r="GM8" s="299"/>
      <c r="GN8" s="299"/>
      <c r="GO8" s="299"/>
      <c r="GP8" s="299"/>
      <c r="GQ8" s="299"/>
      <c r="GR8" s="299"/>
      <c r="GS8" s="299"/>
      <c r="GT8" s="299"/>
      <c r="GU8" s="299"/>
      <c r="GV8" s="299"/>
      <c r="GW8" s="299"/>
      <c r="GX8" s="299"/>
      <c r="GY8" s="299"/>
      <c r="GZ8" s="299"/>
      <c r="HA8" s="299"/>
      <c r="HB8" s="299"/>
      <c r="HC8" s="299"/>
      <c r="HD8" s="299"/>
      <c r="HE8" s="299"/>
      <c r="HF8" s="299"/>
      <c r="HG8" s="299"/>
      <c r="HH8" s="299"/>
      <c r="HI8" s="299"/>
      <c r="HJ8" s="299"/>
      <c r="HK8" s="299"/>
      <c r="HL8" s="299"/>
      <c r="HM8" s="299"/>
      <c r="HN8" s="299"/>
    </row>
    <row r="9" spans="2:222" x14ac:dyDescent="0.15">
      <c r="B9" s="209"/>
      <c r="C9" s="209"/>
      <c r="D9" s="209"/>
      <c r="E9" s="209"/>
      <c r="F9" s="209"/>
      <c r="G9" s="209"/>
      <c r="H9" s="209"/>
      <c r="I9" s="209"/>
      <c r="J9" s="307"/>
      <c r="K9" s="307"/>
      <c r="L9" s="307"/>
      <c r="M9" s="307"/>
      <c r="N9" s="307"/>
      <c r="O9" s="209"/>
      <c r="P9" s="209"/>
      <c r="Q9" s="286"/>
      <c r="R9" s="286"/>
      <c r="S9" s="286"/>
      <c r="T9" s="286"/>
      <c r="U9" s="286"/>
      <c r="V9" s="286"/>
      <c r="W9" s="286"/>
      <c r="X9" s="286"/>
      <c r="Y9" s="307"/>
      <c r="Z9" s="307"/>
      <c r="AA9" s="307"/>
      <c r="AB9" s="307"/>
      <c r="AC9" s="286"/>
      <c r="AD9" s="307"/>
      <c r="AE9" s="286"/>
      <c r="AF9" s="307"/>
      <c r="AG9" s="307"/>
      <c r="AH9" s="307"/>
      <c r="AI9" s="307"/>
      <c r="AJ9" s="307"/>
      <c r="AK9" s="286"/>
      <c r="AL9" s="286"/>
      <c r="AM9" s="286"/>
      <c r="AN9" s="286"/>
      <c r="AO9" s="286"/>
      <c r="AP9" s="307"/>
      <c r="AQ9" s="286"/>
      <c r="AR9" s="286"/>
      <c r="AS9" s="286"/>
      <c r="AT9" s="286"/>
      <c r="AU9" s="307"/>
      <c r="AV9" s="209"/>
      <c r="AW9" s="209"/>
      <c r="AX9" s="209"/>
      <c r="AY9" s="209"/>
      <c r="AZ9" s="286"/>
      <c r="BA9" s="286"/>
      <c r="BB9" s="286"/>
      <c r="BC9" s="286"/>
      <c r="BD9" s="308"/>
      <c r="BE9" s="308"/>
      <c r="BF9" s="308"/>
      <c r="BG9" s="307"/>
      <c r="BH9" s="307"/>
      <c r="BI9" s="286"/>
      <c r="BJ9" s="286"/>
      <c r="BK9" s="286"/>
      <c r="BL9" s="286"/>
      <c r="BM9" s="286"/>
      <c r="BN9" s="286"/>
      <c r="BO9" s="286"/>
      <c r="BP9" s="286"/>
      <c r="BQ9" s="286"/>
      <c r="BR9" s="286"/>
      <c r="BS9" s="286"/>
      <c r="BT9" s="286"/>
      <c r="BU9" s="286"/>
      <c r="BV9" s="286"/>
      <c r="BW9" s="286"/>
      <c r="BX9" s="286"/>
      <c r="BY9" s="286"/>
      <c r="BZ9" s="286"/>
      <c r="CA9" s="286"/>
      <c r="CB9" s="286"/>
      <c r="CC9" s="286"/>
      <c r="CD9" s="286"/>
      <c r="CE9" s="286"/>
      <c r="CF9" s="286"/>
      <c r="CG9" s="286"/>
      <c r="CH9" s="286"/>
      <c r="CI9" s="286"/>
      <c r="CJ9" s="286"/>
      <c r="CK9" s="286"/>
      <c r="CL9" s="286"/>
      <c r="CM9" s="286"/>
      <c r="CN9" s="286"/>
      <c r="CO9" s="286"/>
      <c r="CP9" s="286"/>
      <c r="CQ9" s="286"/>
      <c r="CR9" s="286"/>
      <c r="CS9" s="286"/>
      <c r="CT9" s="286"/>
      <c r="CU9" s="286"/>
      <c r="CV9" s="286"/>
      <c r="CW9" s="286"/>
      <c r="CX9" s="286"/>
      <c r="CY9" s="286"/>
      <c r="CZ9" s="286"/>
      <c r="DA9" s="286"/>
      <c r="DB9" s="286"/>
      <c r="DC9" s="286"/>
      <c r="DD9" s="286"/>
      <c r="DE9" s="286"/>
      <c r="DF9" s="286"/>
      <c r="DG9" s="286"/>
      <c r="DH9" s="286"/>
      <c r="DI9" s="286"/>
      <c r="DJ9" s="286"/>
      <c r="DK9" s="286"/>
      <c r="DL9" s="286"/>
      <c r="DM9" s="286"/>
      <c r="DN9" s="286"/>
      <c r="DO9" s="286"/>
      <c r="DP9" s="286"/>
      <c r="DQ9" s="286"/>
      <c r="DR9" s="286"/>
      <c r="DS9" s="286"/>
      <c r="DT9" s="286"/>
      <c r="DU9" s="286"/>
      <c r="DV9" s="286"/>
      <c r="DW9" s="286"/>
      <c r="DX9" s="286"/>
      <c r="DY9" s="286"/>
      <c r="DZ9" s="286"/>
      <c r="EA9" s="286"/>
      <c r="EB9" s="286"/>
      <c r="EC9" s="289"/>
      <c r="ED9" s="289"/>
      <c r="EE9" s="289"/>
      <c r="EF9" s="289"/>
      <c r="EG9" s="289"/>
      <c r="EH9" s="289"/>
      <c r="EI9" s="289"/>
      <c r="EJ9" s="289"/>
      <c r="EK9" s="289"/>
      <c r="EL9" s="289"/>
      <c r="EM9" s="289"/>
      <c r="EN9" s="289"/>
      <c r="EO9" s="289"/>
      <c r="EP9" s="289"/>
      <c r="EQ9" s="289"/>
      <c r="ER9" s="289"/>
      <c r="ES9" s="286"/>
      <c r="ET9" s="286"/>
      <c r="EU9" s="286"/>
      <c r="EV9" s="297"/>
      <c r="EW9" s="297"/>
      <c r="EX9" s="297"/>
      <c r="EY9" s="297"/>
      <c r="EZ9" s="297"/>
      <c r="FA9" s="297"/>
      <c r="FB9" s="287"/>
      <c r="FC9" s="286"/>
      <c r="FD9" s="286"/>
      <c r="FE9" s="286"/>
      <c r="FF9" s="286"/>
      <c r="FG9" s="297"/>
      <c r="FH9" s="297"/>
      <c r="FI9" s="297"/>
      <c r="FJ9" s="297"/>
      <c r="FK9" s="297"/>
      <c r="FL9" s="297"/>
      <c r="FM9" s="297"/>
      <c r="FN9" s="297"/>
      <c r="FO9" s="297"/>
      <c r="FP9" s="297"/>
      <c r="FQ9" s="297"/>
      <c r="FR9" s="297"/>
      <c r="FS9" s="297"/>
      <c r="FT9" s="286"/>
      <c r="FU9" s="286"/>
      <c r="FV9" s="286"/>
      <c r="FW9" s="286"/>
      <c r="FX9" s="286"/>
      <c r="FY9" s="297"/>
      <c r="FZ9" s="299"/>
      <c r="GA9" s="299"/>
      <c r="GB9" s="299"/>
      <c r="GC9" s="299"/>
      <c r="GD9" s="299"/>
      <c r="GE9" s="299"/>
      <c r="GF9" s="299"/>
      <c r="GG9" s="299"/>
      <c r="GH9" s="299"/>
      <c r="GI9" s="299"/>
      <c r="GJ9" s="299"/>
      <c r="GK9" s="299"/>
      <c r="GL9" s="299"/>
      <c r="GM9" s="299"/>
      <c r="GN9" s="299"/>
      <c r="GO9" s="299"/>
      <c r="GP9" s="299"/>
      <c r="GQ9" s="299"/>
      <c r="GR9" s="299"/>
      <c r="GS9" s="299"/>
      <c r="GT9" s="299"/>
      <c r="GU9" s="299"/>
      <c r="GV9" s="299"/>
      <c r="GW9" s="299"/>
      <c r="GX9" s="299"/>
      <c r="GY9" s="299"/>
      <c r="GZ9" s="299"/>
      <c r="HA9" s="299"/>
      <c r="HB9" s="299"/>
      <c r="HC9" s="299"/>
      <c r="HD9" s="299"/>
      <c r="HE9" s="299"/>
      <c r="HF9" s="299"/>
      <c r="HG9" s="299"/>
      <c r="HH9" s="299"/>
      <c r="HI9" s="299"/>
      <c r="HJ9" s="299"/>
      <c r="HK9" s="299"/>
      <c r="HL9" s="299"/>
      <c r="HM9" s="299"/>
      <c r="HN9" s="299"/>
    </row>
    <row r="10" spans="2:222" x14ac:dyDescent="0.15">
      <c r="B10" s="222"/>
      <c r="C10" s="222"/>
      <c r="D10" s="222"/>
      <c r="E10" s="222"/>
      <c r="F10" s="222"/>
      <c r="G10" s="222"/>
      <c r="H10" s="222"/>
      <c r="I10" s="222"/>
      <c r="J10" s="286"/>
      <c r="K10" s="286"/>
      <c r="L10" s="286"/>
      <c r="M10" s="307"/>
      <c r="N10" s="307"/>
      <c r="O10" s="222"/>
      <c r="P10" s="222"/>
      <c r="Q10" s="286"/>
      <c r="R10" s="286"/>
      <c r="S10" s="286"/>
      <c r="T10" s="286"/>
      <c r="U10" s="286"/>
      <c r="V10" s="286"/>
      <c r="W10" s="286"/>
      <c r="X10" s="286"/>
      <c r="Y10" s="286"/>
      <c r="Z10" s="286"/>
      <c r="AA10" s="286"/>
      <c r="AB10" s="286"/>
      <c r="AC10" s="286"/>
      <c r="AD10" s="286"/>
      <c r="AE10" s="286"/>
      <c r="AF10" s="286"/>
      <c r="AG10" s="286"/>
      <c r="AH10" s="286"/>
      <c r="AI10" s="286"/>
      <c r="AJ10" s="286"/>
      <c r="AK10" s="286"/>
      <c r="AL10" s="286"/>
      <c r="AM10" s="286"/>
      <c r="AN10" s="286"/>
      <c r="AO10" s="286"/>
      <c r="AP10" s="286"/>
      <c r="AQ10" s="286"/>
      <c r="AR10" s="286"/>
      <c r="AS10" s="286"/>
      <c r="AT10" s="286"/>
      <c r="AU10" s="286"/>
      <c r="AV10" s="222"/>
      <c r="AW10" s="222"/>
      <c r="AX10" s="222"/>
      <c r="AY10" s="222"/>
      <c r="AZ10" s="286"/>
      <c r="BA10" s="286"/>
      <c r="BB10" s="286"/>
      <c r="BC10" s="286"/>
      <c r="BD10" s="308"/>
      <c r="BE10" s="308"/>
      <c r="BF10" s="308"/>
      <c r="BG10" s="286"/>
      <c r="BH10" s="286"/>
      <c r="BI10" s="286"/>
      <c r="BJ10" s="286"/>
      <c r="BK10" s="286"/>
      <c r="BL10" s="286"/>
      <c r="BM10" s="286"/>
      <c r="BN10" s="286"/>
      <c r="BO10" s="286"/>
      <c r="BP10" s="286"/>
      <c r="BQ10" s="286"/>
      <c r="BR10" s="286"/>
      <c r="BS10" s="286"/>
      <c r="BT10" s="286"/>
      <c r="BU10" s="286"/>
      <c r="BV10" s="286"/>
      <c r="BW10" s="286"/>
      <c r="BX10" s="286"/>
      <c r="BY10" s="286"/>
      <c r="BZ10" s="286"/>
      <c r="CA10" s="286"/>
      <c r="CB10" s="286"/>
      <c r="CC10" s="286"/>
      <c r="CD10" s="286"/>
      <c r="CE10" s="286"/>
      <c r="CF10" s="286"/>
      <c r="CG10" s="286"/>
      <c r="CH10" s="286"/>
      <c r="CI10" s="286"/>
      <c r="CJ10" s="286"/>
      <c r="CK10" s="286"/>
      <c r="CL10" s="286"/>
      <c r="CM10" s="286"/>
      <c r="CN10" s="286"/>
      <c r="CO10" s="286"/>
      <c r="CP10" s="286"/>
      <c r="CQ10" s="286"/>
      <c r="CR10" s="286"/>
      <c r="CS10" s="286"/>
      <c r="CT10" s="286"/>
      <c r="CU10" s="286"/>
      <c r="CV10" s="286"/>
      <c r="CW10" s="286"/>
      <c r="CX10" s="286"/>
      <c r="CY10" s="286"/>
      <c r="CZ10" s="286"/>
      <c r="DA10" s="286"/>
      <c r="DB10" s="286"/>
      <c r="DC10" s="286"/>
      <c r="DD10" s="286"/>
      <c r="DE10" s="286"/>
      <c r="DF10" s="286"/>
      <c r="DG10" s="286"/>
      <c r="DH10" s="286"/>
      <c r="DI10" s="286"/>
      <c r="DJ10" s="286"/>
      <c r="DK10" s="286"/>
      <c r="DL10" s="286"/>
      <c r="DM10" s="286"/>
      <c r="DN10" s="286"/>
      <c r="DO10" s="286"/>
      <c r="DP10" s="286"/>
      <c r="DQ10" s="286"/>
      <c r="DR10" s="286"/>
      <c r="DS10" s="286"/>
      <c r="DT10" s="286"/>
      <c r="DU10" s="286"/>
      <c r="DV10" s="286"/>
      <c r="DW10" s="286"/>
      <c r="DX10" s="286"/>
      <c r="DY10" s="286"/>
      <c r="DZ10" s="286"/>
      <c r="EA10" s="286"/>
      <c r="EB10" s="286"/>
      <c r="EC10" s="289"/>
      <c r="ED10" s="289"/>
      <c r="EE10" s="289"/>
      <c r="EF10" s="289"/>
      <c r="EG10" s="289"/>
      <c r="EH10" s="289"/>
      <c r="EI10" s="289"/>
      <c r="EJ10" s="289"/>
      <c r="EK10" s="289"/>
      <c r="EL10" s="289"/>
      <c r="EM10" s="289"/>
      <c r="EN10" s="289"/>
      <c r="EO10" s="289"/>
      <c r="EP10" s="289"/>
      <c r="EQ10" s="289"/>
      <c r="ER10" s="289"/>
      <c r="ES10" s="286"/>
      <c r="ET10" s="286"/>
      <c r="EU10" s="286"/>
      <c r="EV10" s="297"/>
      <c r="EW10" s="297"/>
      <c r="EX10" s="297"/>
      <c r="EY10" s="297"/>
      <c r="EZ10" s="297"/>
      <c r="FA10" s="297"/>
      <c r="FB10" s="287"/>
      <c r="FC10" s="286"/>
      <c r="FD10" s="286"/>
      <c r="FE10" s="286"/>
      <c r="FF10" s="286"/>
      <c r="FG10" s="297"/>
      <c r="FH10" s="297"/>
      <c r="FI10" s="297"/>
      <c r="FJ10" s="297"/>
      <c r="FK10" s="297"/>
      <c r="FL10" s="297"/>
      <c r="FM10" s="297"/>
      <c r="FN10" s="297"/>
      <c r="FO10" s="297"/>
      <c r="FP10" s="297"/>
      <c r="FQ10" s="297"/>
      <c r="FR10" s="297"/>
      <c r="FS10" s="297"/>
      <c r="FT10" s="286"/>
      <c r="FU10" s="286"/>
      <c r="FV10" s="286"/>
      <c r="FW10" s="286"/>
      <c r="FX10" s="286"/>
      <c r="FY10" s="297"/>
      <c r="FZ10" s="299"/>
      <c r="GA10" s="299"/>
      <c r="GB10" s="299"/>
      <c r="GC10" s="299"/>
      <c r="GD10" s="299"/>
      <c r="GE10" s="299"/>
      <c r="GF10" s="299"/>
      <c r="GG10" s="299"/>
      <c r="GH10" s="299"/>
      <c r="GI10" s="299"/>
      <c r="GJ10" s="299"/>
      <c r="GK10" s="299"/>
      <c r="GL10" s="299"/>
      <c r="GM10" s="299"/>
      <c r="GN10" s="299"/>
      <c r="GO10" s="299"/>
      <c r="GP10" s="299"/>
      <c r="GQ10" s="299"/>
      <c r="GR10" s="299"/>
      <c r="GS10" s="299"/>
      <c r="GT10" s="299"/>
      <c r="GU10" s="299"/>
      <c r="GV10" s="299"/>
      <c r="GW10" s="299"/>
      <c r="GX10" s="299"/>
      <c r="GY10" s="299"/>
      <c r="GZ10" s="299"/>
      <c r="HA10" s="299"/>
      <c r="HB10" s="299"/>
      <c r="HC10" s="299"/>
      <c r="HD10" s="299"/>
      <c r="HE10" s="299"/>
      <c r="HF10" s="299"/>
      <c r="HG10" s="299"/>
      <c r="HH10" s="299"/>
      <c r="HI10" s="299"/>
      <c r="HJ10" s="299"/>
      <c r="HK10" s="299"/>
      <c r="HL10" s="299"/>
      <c r="HM10" s="299"/>
      <c r="HN10" s="299"/>
    </row>
    <row r="11" spans="2:222" x14ac:dyDescent="0.15">
      <c r="B11" s="222"/>
      <c r="C11" s="222"/>
      <c r="D11" s="222"/>
      <c r="E11" s="222"/>
      <c r="F11" s="222"/>
      <c r="G11" s="222"/>
      <c r="H11" s="222"/>
      <c r="I11" s="222"/>
      <c r="J11" s="286"/>
      <c r="K11" s="286"/>
      <c r="L11" s="286"/>
      <c r="M11" s="286"/>
      <c r="N11" s="286"/>
      <c r="O11" s="222"/>
      <c r="P11" s="222"/>
      <c r="Q11" s="286"/>
      <c r="R11" s="286"/>
      <c r="S11" s="286"/>
      <c r="T11" s="286"/>
      <c r="U11" s="286"/>
      <c r="V11" s="286"/>
      <c r="W11" s="286"/>
      <c r="X11" s="286"/>
      <c r="Y11" s="286"/>
      <c r="Z11" s="286"/>
      <c r="AA11" s="286"/>
      <c r="AB11" s="286"/>
      <c r="AC11" s="286"/>
      <c r="AD11" s="286"/>
      <c r="AE11" s="286"/>
      <c r="AF11" s="286"/>
      <c r="AG11" s="286"/>
      <c r="AH11" s="286"/>
      <c r="AI11" s="286"/>
      <c r="AJ11" s="286"/>
      <c r="AK11" s="286"/>
      <c r="AL11" s="286"/>
      <c r="AM11" s="286"/>
      <c r="AN11" s="286"/>
      <c r="AO11" s="286"/>
      <c r="AP11" s="286"/>
      <c r="AQ11" s="286"/>
      <c r="AR11" s="286"/>
      <c r="AS11" s="286"/>
      <c r="AT11" s="286"/>
      <c r="AU11" s="286"/>
      <c r="AV11" s="222"/>
      <c r="AW11" s="222"/>
      <c r="AX11" s="222"/>
      <c r="AY11" s="222"/>
      <c r="AZ11" s="286"/>
      <c r="BA11" s="286"/>
      <c r="BB11" s="286"/>
      <c r="BC11" s="286"/>
      <c r="BD11" s="308"/>
      <c r="BE11" s="308"/>
      <c r="BF11" s="308"/>
      <c r="BG11" s="286"/>
      <c r="BH11" s="286"/>
      <c r="BI11" s="286"/>
      <c r="BJ11" s="286"/>
      <c r="BK11" s="286"/>
      <c r="BL11" s="286"/>
      <c r="BM11" s="286"/>
      <c r="BN11" s="286"/>
      <c r="BO11" s="286"/>
      <c r="BP11" s="286"/>
      <c r="BQ11" s="286"/>
      <c r="BR11" s="286"/>
      <c r="BS11" s="286"/>
      <c r="BT11" s="286"/>
      <c r="BU11" s="286"/>
      <c r="BV11" s="286"/>
      <c r="BW11" s="286"/>
      <c r="BX11" s="286"/>
      <c r="BY11" s="286"/>
      <c r="BZ11" s="286"/>
      <c r="CA11" s="286"/>
      <c r="CB11" s="286"/>
      <c r="CC11" s="286"/>
      <c r="CD11" s="286"/>
      <c r="CE11" s="286"/>
      <c r="CF11" s="286"/>
      <c r="CG11" s="286"/>
      <c r="CH11" s="286"/>
      <c r="CI11" s="286"/>
      <c r="CJ11" s="286"/>
      <c r="CK11" s="286"/>
      <c r="CL11" s="286"/>
      <c r="CM11" s="286"/>
      <c r="CN11" s="286"/>
      <c r="CO11" s="286"/>
      <c r="CP11" s="286"/>
      <c r="CQ11" s="286"/>
      <c r="CR11" s="286"/>
      <c r="CS11" s="286"/>
      <c r="CT11" s="286"/>
      <c r="CU11" s="286"/>
      <c r="CV11" s="286"/>
      <c r="CW11" s="286"/>
      <c r="CX11" s="286"/>
      <c r="CY11" s="286"/>
      <c r="CZ11" s="286"/>
      <c r="DA11" s="286"/>
      <c r="DB11" s="286"/>
      <c r="DC11" s="286"/>
      <c r="DD11" s="286"/>
      <c r="DE11" s="286"/>
      <c r="DF11" s="286"/>
      <c r="DG11" s="286"/>
      <c r="DH11" s="286"/>
      <c r="DI11" s="286"/>
      <c r="DJ11" s="286"/>
      <c r="DK11" s="286"/>
      <c r="DL11" s="286"/>
      <c r="DM11" s="286"/>
      <c r="DN11" s="286"/>
      <c r="DO11" s="286"/>
      <c r="DP11" s="286"/>
      <c r="DQ11" s="286"/>
      <c r="DR11" s="286"/>
      <c r="DS11" s="286"/>
      <c r="DT11" s="286"/>
      <c r="DU11" s="286"/>
      <c r="DV11" s="286"/>
      <c r="DW11" s="286"/>
      <c r="DX11" s="286"/>
      <c r="DY11" s="286"/>
      <c r="DZ11" s="286"/>
      <c r="EA11" s="286"/>
      <c r="EB11" s="286"/>
      <c r="EC11" s="289"/>
      <c r="ED11" s="289"/>
      <c r="EE11" s="289"/>
      <c r="EF11" s="289"/>
      <c r="EG11" s="289"/>
      <c r="EH11" s="289"/>
      <c r="EI11" s="289"/>
      <c r="EJ11" s="289"/>
      <c r="EK11" s="289"/>
      <c r="EL11" s="289"/>
      <c r="EM11" s="289"/>
      <c r="EN11" s="289"/>
      <c r="EO11" s="289"/>
      <c r="EP11" s="289"/>
      <c r="EQ11" s="289"/>
      <c r="ER11" s="289"/>
      <c r="ES11" s="286"/>
      <c r="ET11" s="286"/>
      <c r="EU11" s="286"/>
      <c r="EV11" s="297"/>
      <c r="EW11" s="297"/>
      <c r="EX11" s="297"/>
      <c r="EY11" s="297"/>
      <c r="EZ11" s="297"/>
      <c r="FA11" s="297"/>
      <c r="FB11" s="284"/>
      <c r="FC11" s="286"/>
      <c r="FD11" s="286"/>
      <c r="FE11" s="286"/>
      <c r="FF11" s="286"/>
      <c r="FG11" s="297"/>
      <c r="FH11" s="297"/>
      <c r="FI11" s="297"/>
      <c r="FJ11" s="297"/>
      <c r="FK11" s="297"/>
      <c r="FL11" s="297"/>
      <c r="FM11" s="297"/>
      <c r="FN11" s="297"/>
      <c r="FO11" s="297"/>
      <c r="FP11" s="297"/>
      <c r="FQ11" s="297"/>
      <c r="FR11" s="297"/>
      <c r="FS11" s="297"/>
      <c r="FT11" s="286"/>
      <c r="FU11" s="286"/>
      <c r="FV11" s="286"/>
      <c r="FW11" s="286"/>
      <c r="FX11" s="286"/>
      <c r="FY11" s="297"/>
      <c r="FZ11" s="300"/>
      <c r="GA11" s="300"/>
      <c r="GB11" s="300"/>
      <c r="GC11" s="300"/>
      <c r="GD11" s="300"/>
      <c r="GE11" s="300"/>
      <c r="GF11" s="300"/>
      <c r="GG11" s="300"/>
      <c r="GH11" s="300"/>
      <c r="GI11" s="300"/>
      <c r="GJ11" s="300"/>
      <c r="GK11" s="300"/>
      <c r="GL11" s="300"/>
      <c r="GM11" s="300"/>
      <c r="GN11" s="300"/>
      <c r="GO11" s="300"/>
      <c r="GP11" s="300"/>
      <c r="GQ11" s="300"/>
      <c r="GR11" s="300"/>
      <c r="GS11" s="300"/>
      <c r="GT11" s="300"/>
      <c r="GU11" s="300"/>
      <c r="GV11" s="300"/>
      <c r="GW11" s="300"/>
      <c r="GX11" s="300"/>
      <c r="GY11" s="300"/>
      <c r="GZ11" s="300"/>
      <c r="HA11" s="300"/>
      <c r="HB11" s="300"/>
      <c r="HC11" s="300"/>
      <c r="HD11" s="300"/>
      <c r="HE11" s="300"/>
      <c r="HF11" s="300"/>
      <c r="HG11" s="300"/>
      <c r="HH11" s="300"/>
      <c r="HI11" s="300"/>
      <c r="HJ11" s="300"/>
      <c r="HK11" s="300"/>
      <c r="HL11" s="300"/>
      <c r="HM11" s="300"/>
      <c r="HN11" s="300"/>
    </row>
    <row r="12" spans="2:222" x14ac:dyDescent="0.15">
      <c r="B12" s="209"/>
      <c r="C12" s="209"/>
      <c r="D12" s="209"/>
      <c r="E12" s="209"/>
      <c r="F12" s="209"/>
      <c r="G12" s="209"/>
      <c r="H12" s="209"/>
      <c r="I12" s="209"/>
      <c r="J12" s="286"/>
      <c r="K12" s="286"/>
      <c r="L12" s="286"/>
      <c r="M12" s="286"/>
      <c r="N12" s="286"/>
      <c r="O12" s="209"/>
      <c r="P12" s="209"/>
      <c r="Q12" s="286"/>
      <c r="R12" s="286"/>
      <c r="S12" s="286"/>
      <c r="T12" s="286"/>
      <c r="U12" s="286"/>
      <c r="V12" s="286"/>
      <c r="W12" s="286"/>
      <c r="X12" s="286"/>
      <c r="Y12" s="286"/>
      <c r="Z12" s="286"/>
      <c r="AA12" s="286"/>
      <c r="AB12" s="286"/>
      <c r="AC12" s="286"/>
      <c r="AD12" s="286"/>
      <c r="AE12" s="286"/>
      <c r="AF12" s="286"/>
      <c r="AG12" s="286"/>
      <c r="AH12" s="286"/>
      <c r="AI12" s="286"/>
      <c r="AJ12" s="286"/>
      <c r="AK12" s="286"/>
      <c r="AL12" s="286"/>
      <c r="AM12" s="286"/>
      <c r="AN12" s="286"/>
      <c r="AO12" s="286"/>
      <c r="AP12" s="286"/>
      <c r="AQ12" s="286"/>
      <c r="AR12" s="286"/>
      <c r="AS12" s="286"/>
      <c r="AT12" s="286"/>
      <c r="AU12" s="286"/>
      <c r="AV12" s="209"/>
      <c r="AW12" s="209"/>
      <c r="AX12" s="209"/>
      <c r="AY12" s="209"/>
      <c r="AZ12" s="286"/>
      <c r="BA12" s="286"/>
      <c r="BB12" s="286"/>
      <c r="BC12" s="286"/>
      <c r="BD12" s="286"/>
      <c r="BE12" s="308"/>
      <c r="BF12" s="308"/>
      <c r="BG12" s="286"/>
      <c r="BH12" s="286"/>
      <c r="BI12" s="286"/>
      <c r="BJ12" s="286"/>
      <c r="BK12" s="286"/>
      <c r="BL12" s="286"/>
      <c r="BM12" s="286"/>
      <c r="BN12" s="286"/>
      <c r="BO12" s="286"/>
      <c r="BP12" s="286"/>
      <c r="BQ12" s="286"/>
      <c r="BR12" s="286"/>
      <c r="BS12" s="286"/>
      <c r="BT12" s="286"/>
      <c r="BU12" s="286"/>
      <c r="BV12" s="286"/>
      <c r="BW12" s="286"/>
      <c r="BX12" s="286"/>
      <c r="BY12" s="286"/>
      <c r="BZ12" s="286"/>
      <c r="CA12" s="286"/>
      <c r="CB12" s="286"/>
      <c r="CC12" s="286"/>
      <c r="CD12" s="286"/>
      <c r="CE12" s="286"/>
      <c r="CF12" s="286"/>
      <c r="CG12" s="286"/>
      <c r="CH12" s="286"/>
      <c r="CI12" s="286"/>
      <c r="CJ12" s="286"/>
      <c r="CK12" s="286"/>
      <c r="CL12" s="286"/>
      <c r="CM12" s="286"/>
      <c r="CN12" s="286"/>
      <c r="CO12" s="286"/>
      <c r="CP12" s="286"/>
      <c r="CQ12" s="286"/>
      <c r="CR12" s="286"/>
      <c r="CS12" s="286"/>
      <c r="CT12" s="286"/>
      <c r="CU12" s="286"/>
      <c r="CV12" s="286"/>
      <c r="CW12" s="286"/>
      <c r="CX12" s="286"/>
      <c r="CY12" s="286"/>
      <c r="CZ12" s="286"/>
      <c r="DA12" s="286"/>
      <c r="DB12" s="286"/>
      <c r="DC12" s="286"/>
      <c r="DD12" s="286"/>
      <c r="DE12" s="286"/>
      <c r="DF12" s="286"/>
      <c r="DG12" s="286"/>
      <c r="DH12" s="286"/>
      <c r="DI12" s="286"/>
      <c r="DJ12" s="286"/>
      <c r="DK12" s="286"/>
      <c r="DL12" s="286"/>
      <c r="DM12" s="286"/>
      <c r="DN12" s="286"/>
      <c r="DO12" s="286"/>
      <c r="DP12" s="286"/>
      <c r="DQ12" s="286"/>
      <c r="DR12" s="286"/>
      <c r="DS12" s="286"/>
      <c r="DT12" s="286"/>
      <c r="DU12" s="286"/>
      <c r="DV12" s="286"/>
      <c r="DW12" s="286"/>
      <c r="DX12" s="286"/>
      <c r="DY12" s="286"/>
      <c r="DZ12" s="286"/>
      <c r="EA12" s="286"/>
      <c r="EB12" s="286"/>
      <c r="EC12" s="289"/>
      <c r="ED12" s="289"/>
      <c r="EE12" s="289"/>
      <c r="EF12" s="289"/>
      <c r="EG12" s="289"/>
      <c r="EH12" s="289"/>
      <c r="EI12" s="289"/>
      <c r="EJ12" s="289"/>
      <c r="EK12" s="289"/>
      <c r="EL12" s="289"/>
      <c r="EM12" s="289"/>
      <c r="EN12" s="289"/>
      <c r="EO12" s="289"/>
      <c r="EP12" s="289"/>
      <c r="EQ12" s="289"/>
      <c r="ER12" s="289"/>
      <c r="ES12" s="286"/>
      <c r="ET12" s="286"/>
      <c r="EU12" s="286"/>
      <c r="EV12" s="297"/>
      <c r="EW12" s="297"/>
      <c r="EX12" s="297"/>
      <c r="EY12" s="297"/>
      <c r="EZ12" s="297"/>
      <c r="FA12" s="297"/>
      <c r="FB12" s="284"/>
      <c r="FC12" s="286"/>
      <c r="FD12" s="286"/>
      <c r="FE12" s="286"/>
      <c r="FF12" s="286"/>
      <c r="FG12" s="297"/>
      <c r="FH12" s="297"/>
      <c r="FI12" s="297"/>
      <c r="FJ12" s="297"/>
      <c r="FK12" s="297"/>
      <c r="FL12" s="297"/>
      <c r="FM12" s="297"/>
      <c r="FN12" s="297"/>
      <c r="FO12" s="297"/>
      <c r="FP12" s="297"/>
      <c r="FQ12" s="297"/>
      <c r="FR12" s="297"/>
      <c r="FS12" s="297"/>
      <c r="FT12" s="286"/>
      <c r="FU12" s="286"/>
      <c r="FV12" s="286"/>
      <c r="FW12" s="286"/>
      <c r="FX12" s="286"/>
      <c r="FY12" s="297"/>
      <c r="FZ12" s="297"/>
      <c r="GA12" s="297"/>
      <c r="GB12" s="297"/>
      <c r="GC12" s="297"/>
      <c r="GD12" s="297"/>
      <c r="GE12" s="297"/>
      <c r="GF12" s="297"/>
      <c r="GG12" s="297"/>
      <c r="GH12" s="297"/>
      <c r="GI12" s="297"/>
      <c r="GJ12" s="297"/>
      <c r="GK12" s="297"/>
      <c r="GL12" s="297"/>
      <c r="GM12" s="297"/>
      <c r="GN12" s="297"/>
      <c r="GO12" s="297"/>
      <c r="GP12" s="297"/>
      <c r="GQ12" s="297"/>
      <c r="GR12" s="297"/>
      <c r="GS12" s="297"/>
      <c r="GT12" s="297"/>
      <c r="GU12" s="297"/>
      <c r="GV12" s="297"/>
      <c r="GW12" s="297"/>
      <c r="GX12" s="297"/>
      <c r="GY12" s="297"/>
      <c r="GZ12" s="297"/>
      <c r="HA12" s="297"/>
      <c r="HB12" s="297"/>
      <c r="HC12" s="297"/>
      <c r="HD12" s="297"/>
      <c r="HE12" s="297"/>
      <c r="HF12" s="297"/>
      <c r="HG12" s="297"/>
      <c r="HH12" s="297"/>
      <c r="HI12" s="297"/>
      <c r="HJ12" s="297"/>
      <c r="HK12" s="297"/>
      <c r="HL12" s="297"/>
      <c r="HM12" s="297"/>
      <c r="HN12" s="297"/>
    </row>
    <row r="15" spans="2:222" customFormat="1" x14ac:dyDescent="0.15"/>
    <row r="16" spans="2:222" customFormat="1" x14ac:dyDescent="0.15"/>
    <row r="17" customFormat="1" x14ac:dyDescent="0.15"/>
    <row r="18" customFormat="1" x14ac:dyDescent="0.15"/>
    <row r="19" customFormat="1" x14ac:dyDescent="0.15"/>
    <row r="20" customFormat="1" x14ac:dyDescent="0.15"/>
    <row r="21" customFormat="1" x14ac:dyDescent="0.15"/>
    <row r="22" customFormat="1" x14ac:dyDescent="0.15"/>
    <row r="23" customFormat="1" x14ac:dyDescent="0.15"/>
    <row r="24" customFormat="1" x14ac:dyDescent="0.15"/>
    <row r="25" customFormat="1" x14ac:dyDescent="0.15"/>
    <row r="26" customFormat="1" x14ac:dyDescent="0.15"/>
    <row r="27" customFormat="1" x14ac:dyDescent="0.15"/>
  </sheetData>
  <phoneticPr fontId="8"/>
  <dataValidations count="1">
    <dataValidation type="list" allowBlank="1" sqref="AW3:AY3 BQ3 BB3 AM3" xr:uid="{00000000-0002-0000-0700-000000000000}">
      <formula1>業務内容</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5BD3A8BF832004BAAF9B47926F443E5" ma:contentTypeVersion="6" ma:contentTypeDescription="Create a new document." ma:contentTypeScope="" ma:versionID="a4287ea95f988086f43512be6f901a77">
  <xsd:schema xmlns:xsd="http://www.w3.org/2001/XMLSchema" xmlns:xs="http://www.w3.org/2001/XMLSchema" xmlns:p="http://schemas.microsoft.com/office/2006/metadata/properties" xmlns:ns3="533c7ee8-9f1e-4d6c-81fb-0caf8eae43e5" targetNamespace="http://schemas.microsoft.com/office/2006/metadata/properties" ma:root="true" ma:fieldsID="60d2075dfa5f807add99b40a31b84c9f" ns3:_="">
    <xsd:import namespace="533c7ee8-9f1e-4d6c-81fb-0caf8eae43e5"/>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3c7ee8-9f1e-4d6c-81fb-0caf8eae43e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0932FA8E-C888-44F4-863A-97E2D6BF5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3c7ee8-9f1e-4d6c-81fb-0caf8eae43e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101759C-081A-44C4-94D7-BD254B314953}">
  <ds:schemaRefs>
    <ds:schemaRef ds:uri="http://schemas.microsoft.com/sharepoint/v3/contenttype/forms"/>
  </ds:schemaRefs>
</ds:datastoreItem>
</file>

<file path=customXml/itemProps3.xml><?xml version="1.0" encoding="utf-8"?>
<ds:datastoreItem xmlns:ds="http://schemas.openxmlformats.org/officeDocument/2006/customXml" ds:itemID="{DB8ED629-DE7B-49A6-AADB-39E096C3867C}">
  <ds:schemaRefs>
    <ds:schemaRef ds:uri="http://purl.org/dc/dcmitype/"/>
    <ds:schemaRef ds:uri="http://schemas.microsoft.com/office/infopath/2007/PartnerControls"/>
    <ds:schemaRef ds:uri="533c7ee8-9f1e-4d6c-81fb-0caf8eae43e5"/>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6</vt:i4>
      </vt:variant>
    </vt:vector>
  </HeadingPairs>
  <TitlesOfParts>
    <vt:vector size="14" baseType="lpstr">
      <vt:lpstr>使い方</vt:lpstr>
      <vt:lpstr>2020</vt:lpstr>
      <vt:lpstr>日報</vt:lpstr>
      <vt:lpstr>例</vt:lpstr>
      <vt:lpstr>Master</vt:lpstr>
      <vt:lpstr>SOW</vt:lpstr>
      <vt:lpstr>SOW1</vt:lpstr>
      <vt:lpstr>SOW2</vt:lpstr>
      <vt:lpstr>日報!Print_Area</vt:lpstr>
      <vt:lpstr>例!Print_Area</vt:lpstr>
      <vt:lpstr>時間外開始</vt:lpstr>
      <vt:lpstr>時間外終了</vt:lpstr>
      <vt:lpstr>深夜開始</vt:lpstr>
      <vt:lpstr>深夜終了</vt:lpstr>
    </vt:vector>
  </TitlesOfParts>
  <Company>JOHNSON &amp; JOHNSON MEDICAL KK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VISTAKON</dc:creator>
  <cp:lastModifiedBy>Ri, Geishun [MEDJP NON J&amp;J]</cp:lastModifiedBy>
  <cp:lastPrinted>2020-05-29T08:18:10Z</cp:lastPrinted>
  <dcterms:created xsi:type="dcterms:W3CDTF">2000-03-14T07:01:06Z</dcterms:created>
  <dcterms:modified xsi:type="dcterms:W3CDTF">2020-09-29T06:23:21Z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0x010100C5BD3A8BF832004BAAF9B47926F443E5</vt:lpwstr>
  </property>
</Properties>
</file>